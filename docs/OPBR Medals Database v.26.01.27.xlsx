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als Database" sheetId="1" r:id="rId5"/>
    <sheet state="visible" name="Search" sheetId="2" r:id="rId6"/>
    <sheet state="visible" name="الورقة10" sheetId="3" r:id="rId7"/>
    <sheet state="hidden" name="Text" sheetId="4" r:id="rId8"/>
    <sheet state="visible" name="Tag Effects" sheetId="5" r:id="rId9"/>
    <sheet state="visible" name="Changelog" sheetId="6" r:id="rId10"/>
    <sheet state="visible" name="Medals tsv" sheetId="7" r:id="rId11"/>
  </sheets>
  <definedNames/>
  <calcPr/>
</workbook>
</file>

<file path=xl/sharedStrings.xml><?xml version="1.0" encoding="utf-8"?>
<sst xmlns="http://schemas.openxmlformats.org/spreadsheetml/2006/main" count="14004" uniqueCount="7293">
  <si>
    <t>🌟If you have any suggestions to improve the sheet, please insert a comment in this cell with your idea.</t>
  </si>
  <si>
    <t>📥Download Link</t>
  </si>
  <si>
    <t>OPBR Characters Database v.26.01.27</t>
  </si>
  <si>
    <t>OPBR Traits Database v.26.01.27</t>
  </si>
  <si>
    <r>
      <rPr>
        <rFont val="Mada"/>
        <b/>
        <color rgb="FF4A86E8"/>
        <sz val="14.0"/>
        <u/>
      </rPr>
      <t>☕Support my work &amp; keep OPBR sheets updated.</t>
    </r>
    <r>
      <rPr>
        <rFont val="Mada"/>
        <b/>
        <color rgb="FF4A86E8"/>
        <sz val="14.0"/>
      </rPr>
      <t xml:space="preserve"> </t>
    </r>
    <r>
      <rPr>
        <rFont val="Mada"/>
        <b/>
        <color rgb="FFFFFFFF"/>
        <sz val="14.0"/>
      </rPr>
      <t xml:space="preserve">Thanks💖 </t>
    </r>
  </si>
  <si>
    <t>General MEDALS</t>
  </si>
  <si>
    <t>EVENT MEDALS</t>
  </si>
  <si>
    <t>Medal
Name</t>
  </si>
  <si>
    <t>Medal
Icon</t>
  </si>
  <si>
    <t>Trait</t>
  </si>
  <si>
    <t>Medal Tags</t>
  </si>
  <si>
    <t>Black Vortex</t>
  </si>
  <si>
    <t>When attacked by a character type ``Power users`` enemy: Reduce damage recieved by 2%.</t>
  </si>
  <si>
    <t>Egghead
The Seven Warlords of the Sea / Former Warlords of the Sea
Logia
Paramecia
Captain
The Four Emperors
Blackbeard Pirates</t>
  </si>
  <si>
    <t>https://i.postimg.cc/K8sJ0jy7/341.png</t>
  </si>
  <si>
    <t>The Four Emperrors Red Hair</t>
  </si>
  <si>
    <t>When using Skill 2: Reduce the cooldown time of Skill 1 by 5%.</t>
  </si>
  <si>
    <t>Egghead
Red_Haired Pirates
Captain
The Four Emperors
Roger Pirates / Ex_Roger Pirates</t>
  </si>
  <si>
    <t>https://i.postimg.cc/dQHvmRSb/307.png</t>
  </si>
  <si>
    <t>ASL Ace &amp; Sabo &amp; Luffy</t>
  </si>
  <si>
    <t>When your HP is 70% or more: Boost the cooldown reduction speed of dodge by 13%.</t>
  </si>
  <si>
    <t>East Blue
Paramecia
Blood Brothers
Child</t>
  </si>
  <si>
    <t>https://i.postimg.cc/8zX9f14t/340.png</t>
  </si>
  <si>
    <t>The Four Emperrors Blackbeard</t>
  </si>
  <si>
    <t>When attacking an enemy with the Element you are strong against: Increase damage dealt by 5%.</t>
  </si>
  <si>
    <t>https://i.postimg.cc/dQHvmRSz/306.png</t>
  </si>
  <si>
    <t>Winner Island Law</t>
  </si>
  <si>
    <t>When you are in your Enemy`s Treasure Area and the Treasure Gauge is 50% or more: Boost capture speed by 8%.</t>
  </si>
  <si>
    <t>Egghead
The Seven Warlords of the Sea / Former Warlords of the Sea
Paramecia
Captain
Worst Generation
Heart Pirates</t>
  </si>
  <si>
    <t>https://i.postimg.cc/4xZLWVgM/339.png</t>
  </si>
  <si>
    <t>ASL Luffy</t>
  </si>
  <si>
    <t>When attacking an enemy whose ATK are boosted: Increase damage dealt by 3%.</t>
  </si>
  <si>
    <t>https://i.postimg.cc/Lsq7zr0X/305.png</t>
  </si>
  <si>
    <t>Winner Island Bepo</t>
  </si>
  <si>
    <t>When attacking an enemy in the area around your captured Treasure: Increase damage dealt by 5%.</t>
  </si>
  <si>
    <t>Egghead
Navigator
Minks
Heart Pirates</t>
  </si>
  <si>
    <t>https://i.postimg.cc/4xb8hWRc/338.png</t>
  </si>
  <si>
    <t>ASL Sabo</t>
  </si>
  <si>
    <t>When an ally is KO`d (not including you): Reduce the cooldown time of Skill 2 by 6%.</t>
  </si>
  <si>
    <t>East Blue
Blood Brothers
Child</t>
  </si>
  <si>
    <t>https://i.postimg.cc/HLJKQfPj/304.png</t>
  </si>
  <si>
    <t>Genius Scientist</t>
  </si>
  <si>
    <t>When attacked by a character type ``Navy`` enemy: Reduce damage recieved by 3%.</t>
  </si>
  <si>
    <t>Egghead
Navy
Paramecia</t>
  </si>
  <si>
    <t>https://i.postimg.cc/HsbjQzTf/337.png</t>
  </si>
  <si>
    <t>Bepo
(Sulong)</t>
  </si>
  <si>
    <t>When Critical occurs: Reduce the cooldown time of Skill 2 by 2%.</t>
  </si>
  <si>
    <t>https://i.postimg.cc/KzdQBgfR/303.png</t>
  </si>
  <si>
    <t>Kuma &amp; Bonney</t>
  </si>
  <si>
    <t>After KOing an enemy: Recover HP by 5%.</t>
  </si>
  <si>
    <t>Egghead
Bonney Pirates
Paramecia
Royalty / Former Royalty
Worst Generation
The Seven Warlords of the Sea / Former Warlords of the Sea</t>
  </si>
  <si>
    <t>https://i.postimg.cc/Pr1Nmydg/336.png</t>
  </si>
  <si>
    <t>Winner Takes All</t>
  </si>
  <si>
    <t>When you capture the Treasure: Reduce the cooldown time of Skill 2 by 8%.</t>
  </si>
  <si>
    <t>https://i.postimg.cc/rmvgxtjs/302.png</t>
  </si>
  <si>
    <t>Egghead Jinbe</t>
  </si>
  <si>
    <t>When in the area around your enemy`s Treasure: Boost the cooldown reduction speed of Skill 2 by 13%.</t>
  </si>
  <si>
    <t>Egghead
Straw Hat Pirates
The Seven Warlords of the Sea / Former Warlords of the Sea
Helmsman
Fish_Man
Fish_Man Karate</t>
  </si>
  <si>
    <t>https://i.postimg.cc/DZBsvxhd/335.png</t>
  </si>
  <si>
    <t>Sentomaru
(Child)</t>
  </si>
  <si>
    <t>When you or an ally captures Treasure: Recover HP by 3%.</t>
  </si>
  <si>
    <t>Egghead
Child</t>
  </si>
  <si>
    <t>https://i.postimg.cc/1X5VWNMt/301.png</t>
  </si>
  <si>
    <t>Egghead Franky</t>
  </si>
  <si>
    <t>When attacking an enemy with Skill 2: Increase damage dealt by 5%.</t>
  </si>
  <si>
    <t>Egghead
Straw Hat Pirates
Ship Carpenter</t>
  </si>
  <si>
    <t>https://i.postimg.cc/RFXfSgmL/334.png</t>
  </si>
  <si>
    <t>Ginny
(Child)</t>
  </si>
  <si>
    <t>When you Down an enemy: Reduce the cooldown time of Skill 2 by 4%.</t>
  </si>
  <si>
    <t>https://i.postimg.cc/J04HTBKh/300.png</t>
  </si>
  <si>
    <t>St. Jaygarcia Saturn</t>
  </si>
  <si>
    <t>When in the Treasure Area: Reduce damage recieved by 3%.</t>
  </si>
  <si>
    <t>Egghead
World Noble
The Five Elders</t>
  </si>
  <si>
    <t>https://i.postimg.cc/7Lq9QDmL/333.png</t>
  </si>
  <si>
    <t>King
(Bandaged)</t>
  </si>
  <si>
    <t>When Critical occurs: Recover HP by 2%.</t>
  </si>
  <si>
    <t>Land of Wano
Animal Kingdom Pirates
Zoan
Lead Performer</t>
  </si>
  <si>
    <t>https://i.postimg.cc/kMybBzDn/299.png</t>
  </si>
  <si>
    <t>Egghead Robin</t>
  </si>
  <si>
    <t>When in the area around your captured Treasure: Boost the cooldown reduction speed of Skill 1 by 13%.</t>
  </si>
  <si>
    <t>Egghead
Straw Hat Pirates
Paramecia
Archaeologist</t>
  </si>
  <si>
    <t>https://i.postimg.cc/6ppxZLBq/332.png</t>
  </si>
  <si>
    <t>Zoro
(Feast)</t>
  </si>
  <si>
    <t>When attacked by a character type ``Power users`` enemy: Reduce damage recieved by 3%.</t>
  </si>
  <si>
    <t>Land of Wano
Straw Hat Pirates
Combatant
Worst Generation</t>
  </si>
  <si>
    <t>https://i.postimg.cc/wxkm7Z3q/298.png</t>
  </si>
  <si>
    <t>Egghead Chopper</t>
  </si>
  <si>
    <t>When your HP is 70% or more: Reduce damage recieved by 5%.</t>
  </si>
  <si>
    <t>Egghead
Straw Hat Pirates
Zoan
Doctor</t>
  </si>
  <si>
    <t>https://i.postimg.cc/XYY65cnJ/331.png</t>
  </si>
  <si>
    <t>Warrior God of Agriculture</t>
  </si>
  <si>
    <t>When attacking an enemy that is capturing Treasure: Reduce the cooldown time of Skill 2 by 2%.</t>
  </si>
  <si>
    <t>https://i.postimg.cc/3Nz9LvcJ/297.png</t>
  </si>
  <si>
    <t>Egghead Brook</t>
  </si>
  <si>
    <t>Egghead
Straw Hat Pirates
Paramecia
Musician</t>
  </si>
  <si>
    <t>https://i.postimg.cc/8PSXcjj5/330.png</t>
  </si>
  <si>
    <t>Warrior God of Justice</t>
  </si>
  <si>
    <t>When you Knockback an enemy: Recover HP by 3%.</t>
  </si>
  <si>
    <t>https://i.postimg.cc/0jhZtwB8/296.png</t>
  </si>
  <si>
    <t>Star Gun</t>
  </si>
  <si>
    <t>Egghead
Straw Hat Pirates
Zoan
Captain
The Four Emperors
Blood Brothers</t>
  </si>
  <si>
    <t>https://i.postimg.cc/B6xLJc36/329.png</t>
  </si>
  <si>
    <t>Jinbe
(Future Outfit)</t>
  </si>
  <si>
    <t>When attacking an enemy in the area around your enemy`s Treasure: Increase damage dealt by 3%.</t>
  </si>
  <si>
    <t>https://i.postimg.cc/BbBRLty7/295.png</t>
  </si>
  <si>
    <t>Egghead Usopp</t>
  </si>
  <si>
    <t>When in the area around your captured Treasure: Reduce damage recieved by 5%.</t>
  </si>
  <si>
    <t>Egghead
Straw Hat Pirates
Sharp Shooter</t>
  </si>
  <si>
    <t>https://i.postimg.cc/Yqf0m8Lz/328.png</t>
  </si>
  <si>
    <t>Zoro &amp; Kaku</t>
  </si>
  <si>
    <t>Egghead
Straw Hat Pirates
Zoan
Combatant
Six Powers
Worst Generation</t>
  </si>
  <si>
    <t>https://i.postimg.cc/nrGNjM5w/294.png</t>
  </si>
  <si>
    <t>Egghead Nami</t>
  </si>
  <si>
    <t>When you capture the Treasure: Recover HP by 5%.</t>
  </si>
  <si>
    <t>Egghead
Straw Hat Pirates
Navigator</t>
  </si>
  <si>
    <t>https://i.postimg.cc/DwvZQsqk/327.png</t>
  </si>
  <si>
    <t>Franky
(Future Outfit)</t>
  </si>
  <si>
    <t>When attacked by an enemy whose ATK is boosted: Reduce damage recieved by 3%.</t>
  </si>
  <si>
    <t>https://i.postimg.cc/wBvGzZ3Q/293.png</t>
  </si>
  <si>
    <t>Issho</t>
  </si>
  <si>
    <t>Dressrosa
Navy
Paramecia
Navy Admiral / Former Navy Admiral</t>
  </si>
  <si>
    <t>https://i.postimg.cc/6QLCZvL7/326.png</t>
  </si>
  <si>
    <t>Usopp
(Future Outfit)</t>
  </si>
  <si>
    <t>When you or an ally KOs an enemy: Reduce the cooldown time of Skill 1 by 3%.</t>
  </si>
  <si>
    <t>https://i.postimg.cc/8C0nz46Q/292.png</t>
  </si>
  <si>
    <t>Aramaki</t>
  </si>
  <si>
    <t>Land of Wano
Navy
Logia
Navy Admiral / Former Navy Admiral</t>
  </si>
  <si>
    <t>https://i.postimg.cc/W4PMtnrL/325.png</t>
  </si>
  <si>
    <t>Sanji
(Future Outfit)</t>
  </si>
  <si>
    <t>When you Knockback an enemy: Reduce the cooldown time of Skill 2 by 3%.</t>
  </si>
  <si>
    <t>Egghead
Straw Hat Pirates
Cook</t>
  </si>
  <si>
    <t>https://i.postimg.cc/rmWWK21q/291.png</t>
  </si>
  <si>
    <t>Borsalino</t>
  </si>
  <si>
    <t>Egghead
Navy
Logia
Navy Admiral / Former Navy Admiral</t>
  </si>
  <si>
    <t>https://i.postimg.cc/ZKFqF2xm/324.png</t>
  </si>
  <si>
    <t>A Hundred Times Stronger</t>
  </si>
  <si>
    <t>When you capture the Treasure: Reduce the cooldown time of Skill 1 by 8%.</t>
  </si>
  <si>
    <t>https://i.postimg.cc/6QFnWpGH/290.png</t>
  </si>
  <si>
    <t>Armée de l’Air Power Shoot</t>
  </si>
  <si>
    <t>When you are Downed: Reduce the cooldown time of Skill 2 by 4%.</t>
  </si>
  <si>
    <t>Sky Island / LRLL
Foxy Pirates
Cook</t>
  </si>
  <si>
    <t>https://i.postimg.cc/VkCqvGkD/323.png</t>
  </si>
  <si>
    <t>Atlas
(Order)</t>
  </si>
  <si>
    <t>When your HP is 70% or more: Reduce damage recieved by 3%.</t>
  </si>
  <si>
    <t>Egghead
Navy
Satellite</t>
  </si>
  <si>
    <t>https://i.postimg.cc/GhQ3p26M/289.png</t>
  </si>
  <si>
    <t>Foxy</t>
  </si>
  <si>
    <t>Sky Island / LRLL
Foxy Pirates
Paramecia
Captain</t>
  </si>
  <si>
    <t>https://i.postimg.cc/28zbH4FF/322.png</t>
  </si>
  <si>
    <t>Edison
(Bandaged)</t>
  </si>
  <si>
    <t>When you Knockback an enemy: Reduce the cooldown time of Skill 2 by 5%.</t>
  </si>
  <si>
    <t>https://i.postimg.cc/m2R2RMpz/288.png</t>
  </si>
  <si>
    <t>Flail</t>
  </si>
  <si>
    <t>Sky Island / LRLL
Straw Hat Pirates
Paramecia
Captain
Blood Brothers</t>
  </si>
  <si>
    <t>https://i.postimg.cc/Wpmq69r1/321.png</t>
  </si>
  <si>
    <t>Kuzan
(FILM Z)</t>
  </si>
  <si>
    <t>When in the area around your captured Treasure: Reduce damage recieved by 3%.</t>
  </si>
  <si>
    <t>FILM Z
Logia
Navy Admiral / Former Navy Admiral</t>
  </si>
  <si>
    <t>https://i.postimg.cc/pdjqGDm2/287.png</t>
  </si>
  <si>
    <t>Sai</t>
  </si>
  <si>
    <t>Reverie
Straw Hat Fleet</t>
  </si>
  <si>
    <t>https://i.postimg.cc/bvvbC6KC/320.png</t>
  </si>
  <si>
    <t>Admiral Zephyr</t>
  </si>
  <si>
    <t>FILM Z
Navy Admiral / Former Navy Admiral</t>
  </si>
  <si>
    <t>https://i.postimg.cc/6pgMfH5j/286.png</t>
  </si>
  <si>
    <t>Leo</t>
  </si>
  <si>
    <t>Reverie
Paramecia
Captain
Straw Hat Fleet</t>
  </si>
  <si>
    <t>https://i.postimg.cc/GpSDZFRc/319.png</t>
  </si>
  <si>
    <t>Bluegrass</t>
  </si>
  <si>
    <t>When attacking an enemy with the Element you are strong against: Increase damage dealt by 3%.</t>
  </si>
  <si>
    <t>Egghead
Navy
Paramecia
Vice Admiral</t>
  </si>
  <si>
    <t>https://i.postimg.cc/VkKL2thH/285.png</t>
  </si>
  <si>
    <t>St. Charlos</t>
  </si>
  <si>
    <t>When attacking a character type ``Fish_Man`` enemy: Increase damage dealt by 1%.</t>
  </si>
  <si>
    <t>Sabaody Archipelago / Island of Women
World Noble</t>
  </si>
  <si>
    <t>https://i.postimg.cc/Y23F8CzG/318.png</t>
  </si>
  <si>
    <t>Doll</t>
  </si>
  <si>
    <t>When you Knockback an enemy: Reduce the cooldown time of Skill 1 by 5%.</t>
  </si>
  <si>
    <t>Egghead
Navy
Vice Admiral</t>
  </si>
  <si>
    <t>https://i.postimg.cc/0Nr2vQR5/284.png</t>
  </si>
  <si>
    <t>Invisible Strike</t>
  </si>
  <si>
    <t>Egghead
Paramecia
Helmsman
Blackbeard Pirates</t>
  </si>
  <si>
    <t>https://i.postimg.cc/XqQyvsYc/317.png</t>
  </si>
  <si>
    <t>Usopp
(Cornerman)</t>
  </si>
  <si>
    <t>Sky Island / LRLL
Foxy Pirates
Sharp Shooter</t>
  </si>
  <si>
    <t>https://i.postimg.cc/DzQ1dSsG/283.png</t>
  </si>
  <si>
    <t>Gallion Lariat</t>
  </si>
  <si>
    <t>Egghead
Paramecia
Blackbeard Pirates</t>
  </si>
  <si>
    <t>https://i.postimg.cc/ZnTdZG45/316.png</t>
  </si>
  <si>
    <t>Chappy</t>
  </si>
  <si>
    <t>When in the area around your enemy`s Treasure: Increase damage dealt by 5%.</t>
  </si>
  <si>
    <t>Sky Island / LRLL
Foxy Pirates
Zoan
Doctor</t>
  </si>
  <si>
    <t>https://i.postimg.cc/FKXjLyfm/282.png</t>
  </si>
  <si>
    <t>Yonji</t>
  </si>
  <si>
    <t>Zou / Whole Cake Island
Royalty / Former Royalty
Germa 66</t>
  </si>
  <si>
    <t>https://i.postimg.cc/bYmdMGh3/315.png</t>
  </si>
  <si>
    <t>Hamburg</t>
  </si>
  <si>
    <t>When in the Treasure Area: Boost the cooldown reduction speed of dodge by 10%.</t>
  </si>
  <si>
    <t>Sky Island / LRLL
Foxy Pirates
Combatant</t>
  </si>
  <si>
    <t>https://i.postimg.cc/TYCyBpt8/281.png</t>
  </si>
  <si>
    <t>Neji</t>
  </si>
  <si>
    <t>When performing a Perfect Dodge: Reduce the cooldown time of Skill 1 by 3%.</t>
  </si>
  <si>
    <t>https://i.postimg.cc/tC77HXRy/314.png</t>
  </si>
  <si>
    <t>Porche</t>
  </si>
  <si>
    <t>After KOing an enemy: Reduce the cooldown time of Skill 2 by 8%.</t>
  </si>
  <si>
    <t>https://i.postimg.cc/6pq7KtP8/280.png</t>
  </si>
  <si>
    <t>Ichiji</t>
  </si>
  <si>
    <t>https://i.postimg.cc/BQybSdtF/313.png</t>
  </si>
  <si>
    <t>Bartolomeo
(Straw Hat Fleet)</t>
  </si>
  <si>
    <t>Dressrosa
Barto Club
Paramecia
Captain
Straw Hat Fleet</t>
  </si>
  <si>
    <t>https://i.postimg.cc/wTL4kvpf/279.png</t>
  </si>
  <si>
    <t>Rock Check</t>
  </si>
  <si>
    <t>When in the area around your enemy`s Treasure: Reduce damage recieved by 5%.</t>
  </si>
  <si>
    <t>Egghead
Revolutionary Army
Logia
Chief of Staff
Blood Brothers</t>
  </si>
  <si>
    <t>https://i.postimg.cc/Hx0XhSN7/312.png</t>
  </si>
  <si>
    <t>Hajrudin
(Straw Hat Fleet)</t>
  </si>
  <si>
    <t>When attacking an enemy in the area around your enemy`s Treasure: Increase damage dealt by 5%.</t>
  </si>
  <si>
    <t>Dressrosa
Captain
Giant
Straw Hat Fleet</t>
  </si>
  <si>
    <t>https://i.postimg.cc/Vs3HMt30/278.png</t>
  </si>
  <si>
    <t>Revolutionary Army Female Solider</t>
  </si>
  <si>
    <t>Egghead
Revolutionary Army
Fish_Man Karate</t>
  </si>
  <si>
    <t>https://i.postimg.cc/W3Dmy7fS/311.png</t>
  </si>
  <si>
    <t>Kuma`s Daughter</t>
  </si>
  <si>
    <t>Egghead
Bonney Pirates
Paramecia
Captain
Worst Generation</t>
  </si>
  <si>
    <t>https://i.postimg.cc/KvpMSpVm/277.png</t>
  </si>
  <si>
    <t>Former Senior Apprentice</t>
  </si>
  <si>
    <t>When attacking an enemy that is capturing Treasure: Reduce the cooldown time of Skill 2 by 3%.</t>
  </si>
  <si>
    <t>Egghead
Blackbeard Pirates
Logia
Navy Admiral / Former Navy Admiral</t>
  </si>
  <si>
    <t>https://i.postimg.cc/x81w7xKv/310.png</t>
  </si>
  <si>
    <t>Free Form</t>
  </si>
  <si>
    <t>When your allies are not near the Treasure area where you are at: Boost the cooldown reduction speed of Skill 1 by 13%.</t>
  </si>
  <si>
    <t>https://i.postimg.cc/P5L8tzsY/276.png</t>
  </si>
  <si>
    <t>The Future of the Navy</t>
  </si>
  <si>
    <t>When an ally is KO`d (not including you): Recover HP by 3%.</t>
  </si>
  <si>
    <t>Egghead
Navy
Navy Captain
Six Powers
``Sword``</t>
  </si>
  <si>
    <t>https://i.postimg.cc/RVJztKWq/309.png</t>
  </si>
  <si>
    <t>St. Roswald</t>
  </si>
  <si>
    <t>When you or an ally KOs an enemy: Reduce the cooldown time of Skill 2 by 3%.</t>
  </si>
  <si>
    <t>https://i.postimg.cc/4Nx90RW8/275.png</t>
  </si>
  <si>
    <t>Galaxy Impact</t>
  </si>
  <si>
    <t>When your HP is 70% or more: Increase damage dealt by 5%.</t>
  </si>
  <si>
    <t>https://i.postimg.cc/L4kctyd8/308.png</t>
  </si>
  <si>
    <t>Buggyjiro</t>
  </si>
  <si>
    <t>When your team has less Treasure secured: Boost the cooldown reduction speed of Skill 2 by 13%.</t>
  </si>
  <si>
    <t>Land of Wano
Paramecia
Child
Roger Pirates / Ex_Roger Pirates</t>
  </si>
  <si>
    <t>https://i.postimg.cc/155SkMHq/274.png</t>
  </si>
  <si>
    <t>Lt. Commander Helmeppo</t>
  </si>
  <si>
    <t>Egghead
Navy
``Sword``</t>
  </si>
  <si>
    <t>https://i.postimg.cc/Dy7gvNSD/307.png</t>
  </si>
  <si>
    <t>Redtaro</t>
  </si>
  <si>
    <t>Land of Wano
Child
Roger Pirates / Ex_Roger Pirates</t>
  </si>
  <si>
    <t>https://i.postimg.cc/tCSbpPSm/273.png</t>
  </si>
  <si>
    <t>Egghead Bonney</t>
  </si>
  <si>
    <t>When attacking an enemy that is capturing Treasure: Reduce the cooldown time of Skill 1 by 2%.</t>
  </si>
  <si>
    <t>Egghead
Bonney Pirates
Paramecia
Captain
Royalty / Former Royalty
Worst Generation</t>
  </si>
  <si>
    <t>https://i.postimg.cc/N0MvPMFy/308.png</t>
  </si>
  <si>
    <t>Vice Captain of the Eastern Forces</t>
  </si>
  <si>
    <t>When your HP is 50% or less: Increase damage dealt by 3%.</t>
  </si>
  <si>
    <t>Egghead
Revolutionary Army</t>
  </si>
  <si>
    <t>https://i.postimg.cc/Kzd7hg6b/272.png</t>
  </si>
  <si>
    <t>Egghead Sanji</t>
  </si>
  <si>
    <t>Egghead
Straw Hat Pirates
Cook
Royalty / Former Royalty</t>
  </si>
  <si>
    <t>https://i.postimg.cc/NFyBnLZ2/305.png</t>
  </si>
  <si>
    <t>Captain of the Eastern Forces</t>
  </si>
  <si>
    <t>When hit with Knockback by enemy: Reduce the cooldown time of Skill 1 by 5%.</t>
  </si>
  <si>
    <t>Egghead
Revolutionary Army
Paramecia
Captain of the Revolutionary Army</t>
  </si>
  <si>
    <t>https://i.postimg.cc/C5kGhx0q/271.png</t>
  </si>
  <si>
    <t>S_Shark</t>
  </si>
  <si>
    <t>Egghead
Navy
Paramecia
Fish_Man Karate
Seraphim</t>
  </si>
  <si>
    <t>https://i.postimg.cc/9Mgc1ygj/304.png</t>
  </si>
  <si>
    <t>Helmeppo
(Fullalead)</t>
  </si>
  <si>
    <t>When an ally is KO`d (not including you): Reduce the cooldown time of Skill 2 by 4%.</t>
  </si>
  <si>
    <t>https://i.postimg.cc/x1rV38m5/270.png</t>
  </si>
  <si>
    <t>Punk_06</t>
  </si>
  <si>
    <t>https://i.postimg.cc/G2VjmpmX/303.png</t>
  </si>
  <si>
    <t>Garp
(Fullalead)</t>
  </si>
  <si>
    <t>https://i.postimg.cc/13phCScQ/269.png</t>
  </si>
  <si>
    <t>Punk_05</t>
  </si>
  <si>
    <t>When your HP is 70% or more: Boost the cooldown reduction speed of Skill 2 by 13%.</t>
  </si>
  <si>
    <t>https://i.postimg.cc/MTZxTsNP/302.png</t>
  </si>
  <si>
    <t>Hibari
(Fullalead)</t>
  </si>
  <si>
    <t>When using Skill 2: Reduce the cooldown time of Skill 1 by 3%.</t>
  </si>
  <si>
    <t>https://i.postimg.cc/m258CMrr/268.png</t>
  </si>
  <si>
    <t>S_Bear</t>
  </si>
  <si>
    <t>Egghead
Paramecia
Navy
Seraphim</t>
  </si>
  <si>
    <t>https://i.postimg.cc/BnDJwP2g/301.png</t>
  </si>
  <si>
    <t>Prince Grus
(Fullalead)</t>
  </si>
  <si>
    <t>After KOing an enemy: Reduce the cooldown time of Skill 1 by 8%.</t>
  </si>
  <si>
    <t>https://i.postimg.cc/Gh2X4zdN/267.png</t>
  </si>
  <si>
    <t>Punk_02</t>
  </si>
  <si>
    <t>When attacking a character type ``Power users`` enemy: Increase damage dealt by 3%.</t>
  </si>
  <si>
    <t>https://i.postimg.cc/VsV1fWRg/300.png</t>
  </si>
  <si>
    <t>Tashigi
(Fullalead)</t>
  </si>
  <si>
    <t>When your HP is 70% or more: Boost the cooldown reduction speed of Skill 1 by 13%.</t>
  </si>
  <si>
    <t>Egghead
Navy
Navy Captain</t>
  </si>
  <si>
    <t>https://i.postimg.cc/d3s4xNdz/266.png</t>
  </si>
  <si>
    <t>Halloween Uta</t>
  </si>
  <si>
    <t>FILM RED
Paramecia</t>
  </si>
  <si>
    <t>https://i.postimg.cc/dtZFLZNY/299.png</t>
  </si>
  <si>
    <t>Peacook
(Fullalead)</t>
  </si>
  <si>
    <t>https://i.postimg.cc/3RCt9QyX/265.png</t>
  </si>
  <si>
    <t>Broggy</t>
  </si>
  <si>
    <t>Egghead
Giant Pirate Crew
Captain
Giant</t>
  </si>
  <si>
    <t>https://i.postimg.cc/RZrBfC2n/298.png</t>
  </si>
  <si>
    <t>Nami
(Future Outfit)</t>
  </si>
  <si>
    <t>When in the area around your captured Treasure: Increase damage dealt by 3%.</t>
  </si>
  <si>
    <t>https://i.postimg.cc/sD4sNFNc/264.png</t>
  </si>
  <si>
    <t>Dorry</t>
  </si>
  <si>
    <t>https://i.postimg.cc/tgj90R5H/297.png</t>
  </si>
  <si>
    <t>Robin
(Future Outfit)</t>
  </si>
  <si>
    <t>When an ally is KO`d (not including you): Reduce the cooldown time of Skill 1 by 6%.</t>
  </si>
  <si>
    <t>https://i.postimg.cc/FHFNtWtQ/263.png</t>
  </si>
  <si>
    <t>Red_Haired Divine Departure</t>
  </si>
  <si>
    <t>https://i.postimg.cc/MT2nSCWV/296.png</t>
  </si>
  <si>
    <t>Chopper
(Future Outfit)</t>
  </si>
  <si>
    <t>When you Down an enemy: Reduce the cooldown time of Skill 2 by 3%.</t>
  </si>
  <si>
    <t>https://i.postimg.cc/s2s9MScH/262.png</t>
  </si>
  <si>
    <t>Vegapunk`s Spy</t>
  </si>
  <si>
    <t>When attacking a character type ``Zoan`` enemy: Increase damage dealt by 5%.</t>
  </si>
  <si>
    <t>Egghead
Six Powers</t>
  </si>
  <si>
    <t>https://i.postimg.cc/HWvYDq86/295.png</t>
  </si>
  <si>
    <t>Brook
(Future Outfit)</t>
  </si>
  <si>
    <t>https://i.postimg.cc/MpkY8gjS/261.png</t>
  </si>
  <si>
    <t>Nose Pistol</t>
  </si>
  <si>
    <t>When in the area around your captured Treasure: Increase damage dealt by 5%.</t>
  </si>
  <si>
    <t>Egghead
Cipher Pol
Zoan
Intelligence Agent
Six Powers</t>
  </si>
  <si>
    <t>https://i.postimg.cc/xdJYHww9/294.png</t>
  </si>
  <si>
    <t>Bonney`s Father</t>
  </si>
  <si>
    <t>When you Knockback an enemy: Reduce the cooldown time of Skill 1 by 3%.</t>
  </si>
  <si>
    <t>Egghead
Revolutionary Army
Paramecia</t>
  </si>
  <si>
    <t>https://i.postimg.cc/FHjVFGjJ/260.png</t>
  </si>
  <si>
    <t>Hand Pistol</t>
  </si>
  <si>
    <t>https://i.postimg.cc/nLyx1dxB/293.png</t>
  </si>
  <si>
    <t>Luffy &amp; Lucci</t>
  </si>
  <si>
    <t>When in the area around your enemy`s Treasure: Boost the cooldown reduction speed of Skill 1 by 13%.</t>
  </si>
  <si>
    <t>Egghead
Straw Hat Pirates
Zoan
Captain
Six Powers
The Four Emperors
Blood Brothers</t>
  </si>
  <si>
    <t>https://i.postimg.cc/d3pj3xHG/259.png</t>
  </si>
  <si>
    <t>Jabra</t>
  </si>
  <si>
    <t>Water 7 / Enies Lobby
Cipher Pol
Zoan
Intelligence Agent
Six Powers</t>
  </si>
  <si>
    <t>https://i.postimg.cc/vHpqjgWf/292.png</t>
  </si>
  <si>
    <t>Pythagores</t>
  </si>
  <si>
    <t>When in the area around your captured Treasure: Boost the cooldown reduction speed of Skill 2 by 10%.</t>
  </si>
  <si>
    <t>Egghead
Navy</t>
  </si>
  <si>
    <t>https://i.postimg.cc/J72qpsrt/258.png</t>
  </si>
  <si>
    <t>Blueno</t>
  </si>
  <si>
    <t>Water 7 / Enies Lobby
Cipher Pol
Paramecia
Intelligence Agent
Six Powers</t>
  </si>
  <si>
    <t>https://i.postimg.cc/sg76Rjc8/291.png</t>
  </si>
  <si>
    <t>Vegaforce_01</t>
  </si>
  <si>
    <t>When attacking an enemy that is capturing Treasure: Reduce the cooldown time of Skill 1 by 3%.</t>
  </si>
  <si>
    <t>https://i.postimg.cc/VvdFY8RY/257.png</t>
  </si>
  <si>
    <t>S_Hawk</t>
  </si>
  <si>
    <t>https://i.postimg.cc/htGptmqX/290.png</t>
  </si>
  <si>
    <t>Kashii</t>
  </si>
  <si>
    <t>When you Knockback an enemy: Recover HP by 2%.</t>
  </si>
  <si>
    <t>Egghead
Giant Pirate Crew
Giant</t>
  </si>
  <si>
    <t>https://i.postimg.cc/zBdjZBTt/256.png</t>
  </si>
  <si>
    <t>Egghead Zoro</t>
  </si>
  <si>
    <t>Egghead
Straw Hat Pirates
Combatant
Worst Generation</t>
  </si>
  <si>
    <t>https://i.postimg.cc/SscGv7cv/289.png</t>
  </si>
  <si>
    <t>Oimo</t>
  </si>
  <si>
    <t>When using Skill 1: Reduce the cooldown time of Skill 2 by 5%.</t>
  </si>
  <si>
    <t>https://i.postimg.cc/4NH1qXyP/255.png</t>
  </si>
  <si>
    <t>S_Snake</t>
  </si>
  <si>
    <t>https://i.postimg.cc/MTkDgg21/288.png</t>
  </si>
  <si>
    <t>Izo
(Young)</t>
  </si>
  <si>
    <t>When your HP is 70% or more: Boost the cooldown reduction speed of Skill 2 by 10%.</t>
  </si>
  <si>
    <t>Whitebeard Pirates
Kozuki Clan / Kozuki Clan Servant</t>
  </si>
  <si>
    <t>https://i.postimg.cc/QM1xz0d5/254.png</t>
  </si>
  <si>
    <t>Egghead Luffy</t>
  </si>
  <si>
    <t>https://i.postimg.cc/5th3gkQz/287.png</t>
  </si>
  <si>
    <t>Oden
(2nd Division Commander)</t>
  </si>
  <si>
    <t>Whitebeard Pirates
Kozuki Clan / Kozuki Clan Servant
Whitebeard Pirates Commander</t>
  </si>
  <si>
    <t>https://i.postimg.cc/52Z2pZbb/253.png</t>
  </si>
  <si>
    <t>Pacifista</t>
  </si>
  <si>
    <t>Navy</t>
  </si>
  <si>
    <t>https://i.postimg.cc/wBy2hdMH/286.png</t>
  </si>
  <si>
    <t>Rayleigh
(First Mate)</t>
  </si>
  <si>
    <t>When in the Treasure Area: Boost the cooldown reduction speed of dodge by 13%.</t>
  </si>
  <si>
    <t>Roger Pirates / Ex_Roger Pirates</t>
  </si>
  <si>
    <t>https://i.postimg.cc/y8JNmVqL/252.png</t>
  </si>
  <si>
    <t>Axe</t>
  </si>
  <si>
    <t>When enemies are inflicted with Recovery Block: Reduce the cooldown time of Skill 2 by 6%.</t>
  </si>
  <si>
    <t>https://i.postimg.cc/fRg5tbwB/285.png</t>
  </si>
  <si>
    <t>Roger
(Captain)</t>
  </si>
  <si>
    <t>Captain
Roger Pirates / Ex_Roger Pirates</t>
  </si>
  <si>
    <t>https://i.postimg.cc/xT18dv6D/251.png</t>
  </si>
  <si>
    <t>Demaro Black</t>
  </si>
  <si>
    <t>When attacked by a character type ``Straw Hat Pirates`` enemy: Reduce damage recieved by 3%.</t>
  </si>
  <si>
    <t>Fake Straw Hat Pirates
Captain</t>
  </si>
  <si>
    <t>https://i.postimg.cc/jS1QqGs2/284.png</t>
  </si>
  <si>
    <t>Edison</t>
  </si>
  <si>
    <t>When hit with Knockback by enemy: Reduce the cooldown time of Skill 2 by 3%.</t>
  </si>
  <si>
    <t>https://i.postimg.cc/2896L1tq/250.png</t>
  </si>
  <si>
    <t>Shandia`s Savior</t>
  </si>
  <si>
    <t>When attacking an enemy that is capturing Treasure: Recover HP by 3%.</t>
  </si>
  <si>
    <t>Sky Island / LRLL</t>
  </si>
  <si>
    <t>https://i.postimg.cc/rFQN3D3S/283.png</t>
  </si>
  <si>
    <t>Shaka</t>
  </si>
  <si>
    <t>When attacked by an enemy: Reduce the cooldown time of Skill 1 by 2%.</t>
  </si>
  <si>
    <t>https://i.postimg.cc/J7qtm6c5/249.png</t>
  </si>
  <si>
    <t>The Great Warrior Kalgara</t>
  </si>
  <si>
    <t>When attacking an enemy that is capturing Treasure: Increase damage dealt by 3%.</t>
  </si>
  <si>
    <t>https://i.postimg.cc/T31J6RvB/282.png</t>
  </si>
  <si>
    <t>Hattori
(CP0)</t>
  </si>
  <si>
    <t>When the equipped character is character type ``Cipher Pol``: Increase Normal Attack damage dealt by 3%.</t>
  </si>
  <si>
    <t>Egghead
Cipher Pol</t>
  </si>
  <si>
    <t>https://i.postimg.cc/T1CP91Y4/248.png</t>
  </si>
  <si>
    <t>Ganfor</t>
  </si>
  <si>
    <t>https://i.postimg.cc/hPkTg4Rh/281.png</t>
  </si>
  <si>
    <t>Stussy
(CP0)</t>
  </si>
  <si>
    <t>Egghead
Cipher Pol
Intelligence Agent
Six Powers</t>
  </si>
  <si>
    <t>https://i.postimg.cc/DZ3mfRMB/247.png</t>
  </si>
  <si>
    <t>The Dark King`s Flash</t>
  </si>
  <si>
    <t>Sabaody Archipelago / Island of Women
Roger Pirates / Ex_Roger Pirates</t>
  </si>
  <si>
    <t>https://i.postimg.cc/MTL5GrGz/280.png</t>
  </si>
  <si>
    <t>Zoro
(Future Outfit)</t>
  </si>
  <si>
    <t>When in the area around your enemy`s Treasure: Increase damage dealt by 3%.</t>
  </si>
  <si>
    <t>https://i.postimg.cc/XvCpbnQr/246.png</t>
  </si>
  <si>
    <t>The Man Who Had Everything</t>
  </si>
  <si>
    <t>https://i.postimg.cc/1tXMsZsW/279.png</t>
  </si>
  <si>
    <t>Luffy
(Future Outfit)</t>
  </si>
  <si>
    <t>https://i.postimg.cc/4xnYW6cb/245.png</t>
  </si>
  <si>
    <t>Carrot
(Whole Cake Island)</t>
  </si>
  <si>
    <t>Zou / Whole Cake Island
Mokomo Dukedom Musketeer
Kingsbird
Minks</t>
  </si>
  <si>
    <t>https://i.postimg.cc/k5J5M9BP/278.png</t>
  </si>
  <si>
    <t>Kumadori</t>
  </si>
  <si>
    <t>When you Down an enemy: Reduce the cooldown time of Skill 1 by 3%.</t>
  </si>
  <si>
    <t>East Blue
Buggy Pirates</t>
  </si>
  <si>
    <t>https://i.postimg.cc/FsTfbWYH/244.png</t>
  </si>
  <si>
    <t>Paradise Waterfall</t>
  </si>
  <si>
    <t>When your HP is 50% or less: Increase damage dealt by 5%.</t>
  </si>
  <si>
    <t>Whitebeard Pirates
Kozuki Clan / Kozuki Clan Servant
Whitebeard Pirates Commander
Roger Pirates / Ex_Roger Pirates</t>
  </si>
  <si>
    <t>https://i.postimg.cc/pdC9Z6J1/277.png</t>
  </si>
  <si>
    <t>Fukuro</t>
  </si>
  <si>
    <t>When you are in your Enemy`s Treasure Area and the Treasure Gauge is 50% or less: Boost capture speed by 8%.</t>
  </si>
  <si>
    <t>Water 7 / Enies Lobby
Cipher Pol
Intelligence Agent
Six Powers</t>
  </si>
  <si>
    <t>https://i.postimg.cc/RVS6H5VY/243.png</t>
  </si>
  <si>
    <t>The Man Who Shook the World</t>
  </si>
  <si>
    <t>Whitebeard Pirates
Paramecia
Captain
Former Rocks Pirates</t>
  </si>
  <si>
    <t>https://i.postimg.cc/DZmysgrC/276.png</t>
  </si>
  <si>
    <t>Mini_Merry</t>
  </si>
  <si>
    <t>When attacking an enemy with a Normal Attack: 30% chance to, Reduce the cooldown time of Skill 2 by 2%.</t>
  </si>
  <si>
    <t>Thriller Bark</t>
  </si>
  <si>
    <t>https://i.postimg.cc/zDSHvX5W/242.png</t>
  </si>
  <si>
    <t>Ace &amp; Yamato</t>
  </si>
  <si>
    <t>Land of Wano
Logia
Zoan
Captain
Blood Brothers</t>
  </si>
  <si>
    <t>https://i.postimg.cc/RhkFvHng/275.png</t>
  </si>
  <si>
    <t>Thousand Sunny</t>
  </si>
  <si>
    <t>When attacking an enemy with a Normal Attack: 30% chance to, Reduce the cooldown time of Skill 1 by 3%.</t>
  </si>
  <si>
    <t>Water 7 / Enies Lobby</t>
  </si>
  <si>
    <t>https://i.postimg.cc/TwTG4xSM/241.png</t>
  </si>
  <si>
    <t>Shogun of Wano</t>
  </si>
  <si>
    <t>Land of Wano
Paramecia
Kozuki Clan / Kozuki Clan Servant</t>
  </si>
  <si>
    <t>https://i.postimg.cc/nVgM46wq/274.png</t>
  </si>
  <si>
    <t>Dr. Vegapunk</t>
  </si>
  <si>
    <t>Egghead
Paramecia
Navy</t>
  </si>
  <si>
    <t>https://i.postimg.cc/tgQ9FWNg/240.png</t>
  </si>
  <si>
    <t>Ryokugyu</t>
  </si>
  <si>
    <t>When your HP is 70% or more: Boost capture speed by 8%.</t>
  </si>
  <si>
    <t>https://i.postimg.cc/bvmwsMtD/273.png</t>
  </si>
  <si>
    <t>Slave Arrow</t>
  </si>
  <si>
    <t>When your allies are not near the Treasure area where you are at: Boost capture speed by 8%.</t>
  </si>
  <si>
    <t>Kuja Pirates
Paramecia
Captain
Gorgon Sisters</t>
  </si>
  <si>
    <t>https://i.postimg.cc/QdWXB05P/239.png</t>
  </si>
  <si>
    <t>Otama &amp; Komachiyo</t>
  </si>
  <si>
    <t>When your team has more Treasure secured: Boost the cooldown reduction speed of Skill 2 by 13%.</t>
  </si>
  <si>
    <t>Land of Wano
Paramecia</t>
  </si>
  <si>
    <t>https://i.postimg.cc/Ls2YjpL1/272.png</t>
  </si>
  <si>
    <t>Lilith</t>
  </si>
  <si>
    <t>When you capture the Treasure: Reduce the cooldown time of Skill 1 by 6%.</t>
  </si>
  <si>
    <t>https://i.postimg.cc/wTrqTStL/238.png</t>
  </si>
  <si>
    <t>Raid Franky</t>
  </si>
  <si>
    <t>Land of Wano
Straw Hat Pirates
Ship Carpenter</t>
  </si>
  <si>
    <t>https://i.postimg.cc/qMKqjj9S/271.png</t>
  </si>
  <si>
    <t>Bonney
(Kid)</t>
  </si>
  <si>
    <t>When in the area around your captured Treasure: Boost the cooldown reduction speed of Skill 2 by 13%.</t>
  </si>
  <si>
    <t>https://i.postimg.cc/bNrYPzvq/237.png</t>
  </si>
  <si>
    <t>Raid Chopper</t>
  </si>
  <si>
    <t>When hit with Knockback by enemy: Reduce the cooldown time of Skill 2 by 5%.</t>
  </si>
  <si>
    <t>Land of Wano
Straw Hat Pirates
Zoan
Doctor</t>
  </si>
  <si>
    <t>https://i.postimg.cc/7Zy6cS46/270.png</t>
  </si>
  <si>
    <t>The Pirate King``s Right Arm</t>
  </si>
  <si>
    <t>When you or an ally KOs an enemy: Recover HP by 2%.</t>
  </si>
  <si>
    <t>https://i.postimg.cc/NMxGsFTj/236.png</t>
  </si>
  <si>
    <t>Spider_Spider</t>
  </si>
  <si>
    <t>Land of Wano
Animal Kingdom Pirates
Zoan
Tobi Roppo</t>
  </si>
  <si>
    <t>https://i.postimg.cc/VkB6c5sF/269.png</t>
  </si>
  <si>
    <t>Light Human</t>
  </si>
  <si>
    <t>Sabaody Archipelago / Island of Women
Navy
Logia
Navy Admiral / Former Navy Admiral</t>
  </si>
  <si>
    <t>https://i.postimg.cc/sXzDC7ML/235.png</t>
  </si>
  <si>
    <t>Belo Betty</t>
  </si>
  <si>
    <t>Reverie
Revolutionary Army
Paramecia
Captain of the Revolutionary Army</t>
  </si>
  <si>
    <t>https://i.postimg.cc/Hx1Swj3t/268.png</t>
  </si>
  <si>
    <t>Fake Sniper King</t>
  </si>
  <si>
    <t>When attacking an enemy with a Normal Attack: 30% chance to, Reduce the cooldown time of Skill 2 by 3%.</t>
  </si>
  <si>
    <t>Fake Straw Hat Pirates</t>
  </si>
  <si>
    <t>https://i.postimg.cc/5NxcmX3y/234.png</t>
  </si>
  <si>
    <t>Karasu</t>
  </si>
  <si>
    <t>Reverie
Revolutionary Army
Captain of the Revolutionary Army</t>
  </si>
  <si>
    <t>https://i.postimg.cc/jj7gny65/267.png</t>
  </si>
  <si>
    <t>Wyper
(Young)</t>
  </si>
  <si>
    <t>https://i.postimg.cc/c4Tpkd9m/233.png</t>
  </si>
  <si>
    <t>Inazuma</t>
  </si>
  <si>
    <t>When your allies are near the Treasure area where you are at: Boost the cooldown reduction speed of Skill 2 by 13%.</t>
  </si>
  <si>
    <t>Impel Down
Revolutionary Army
Paramecia
New Kama</t>
  </si>
  <si>
    <t>https://i.postimg.cc/jS93jM7m/266.png</t>
  </si>
  <si>
    <t>Cricket</t>
  </si>
  <si>
    <t>When an enemy begins capturing one of your team`s Treasure Areas: Reduce the cooldown time of Skill 1 by 3%.</t>
  </si>
  <si>
    <t>https://i.postimg.cc/kgpk9fdR/232.png</t>
  </si>
  <si>
    <t>Hack</t>
  </si>
  <si>
    <t>When your HP is 50% or less: Boost the cooldown reduction speed of Skill 2 by 13%.</t>
  </si>
  <si>
    <t>Dressrosa
Revolutionary Army
Fish_Man
Fish_Man Karate</t>
  </si>
  <si>
    <t>https://i.postimg.cc/wj3bHC7D/265.png</t>
  </si>
  <si>
    <t>Pierre</t>
  </si>
  <si>
    <t>When in the area around your captured Treasure: Boost the cooldown reduction speed of Skill 1 by 10%.</t>
  </si>
  <si>
    <t>Sky Island / LRLL
Zoan</t>
  </si>
  <si>
    <t>https://i.postimg.cc/YC9JJTTw/231.png</t>
  </si>
  <si>
    <t>Flying Pan</t>
  </si>
  <si>
    <t>When hit with Knockback by enemy: Recover HP by 3%.</t>
  </si>
  <si>
    <t>https://i.postimg.cc/DyxY9vy2/264.png</t>
  </si>
  <si>
    <t>String Challenge</t>
  </si>
  <si>
    <t>Sky Island / LRLL
God`s Army
Mantra</t>
  </si>
  <si>
    <t>https://i.postimg.cc/1zVbzw9C/230.png</t>
  </si>
  <si>
    <t>Imperial Flame</t>
  </si>
  <si>
    <t>When attacking an enemy whose DEF is boosted: Increase damage dealt by 5%.</t>
  </si>
  <si>
    <t>https://i.postimg.cc/zXzc2bNt/263.png</t>
  </si>
  <si>
    <t>Crocus
(Roger Pirates)</t>
  </si>
  <si>
    <t>When performing a Perfect Dodge: Reduce the cooldown time of Skill 1 by 4%.</t>
  </si>
  <si>
    <t>Doctor
Roger Pirates / Ex_Roger Pirates</t>
  </si>
  <si>
    <t>https://i.postimg.cc/TYDSgS7r/229.png</t>
  </si>
  <si>
    <t>Heliceratops</t>
  </si>
  <si>
    <t>Land of Wano
Animal Kingdom Pirates
Zoan
Tobi Roppo
Fish_Man</t>
  </si>
  <si>
    <t>https://i.postimg.cc/8kBYbd2f/262.png</t>
  </si>
  <si>
    <t>Oden
(Roger Pirates)</t>
  </si>
  <si>
    <t>https://i.postimg.cc/rFcTYn88/228.png</t>
  </si>
  <si>
    <t>Raid Sanji</t>
  </si>
  <si>
    <t>Land of Wano
Straw Hat Pirates
Cook
Royalty / Former Royalty</t>
  </si>
  <si>
    <t>https://i.postimg.cc/D0gYyFrP/261.png</t>
  </si>
  <si>
    <t>Tristan</t>
  </si>
  <si>
    <t>Zou / Whole Cake Island
Minks</t>
  </si>
  <si>
    <t>https://i.postimg.cc/NFvttbmk/227.png</t>
  </si>
  <si>
    <t>Gear Five</t>
  </si>
  <si>
    <t>Land of Wano
Straw Hat Pirates
Zoan
Captain
Worst Generation
Blood Brothers</t>
  </si>
  <si>
    <t>https://i.postimg.cc/7ZQd2xpB/260.png</t>
  </si>
  <si>
    <t>Milky</t>
  </si>
  <si>
    <t>When enemies are inflicted with Shock: Recover HP by 3%.</t>
  </si>
  <si>
    <t>https://i.postimg.cc/KctFfShq/226.png</t>
  </si>
  <si>
    <t>Shanks`` Daughter</t>
  </si>
  <si>
    <t>When attacking an enemy inflicted With Sing_Sing: Increase damage dealt by 5%.</t>
  </si>
  <si>
    <t>https://i.postimg.cc/FzmB41LK/259.png</t>
  </si>
  <si>
    <t>Vista
(Land of Wano Memoir)</t>
  </si>
  <si>
    <t>After KOing an enemy: Reduce the cooldown time of Skill 1 by 6%.</t>
  </si>
  <si>
    <t>Whitebeard Pirates</t>
  </si>
  <si>
    <t>https://i.postimg.cc/x8G21HPD/225.png</t>
  </si>
  <si>
    <t>Raid Killer</t>
  </si>
  <si>
    <t>When Critical occurs: Reduce the cooldown time of Skill 1 by 3%.</t>
  </si>
  <si>
    <t>Land of Wano
Kid Pirates
Combatant
Worst Generation</t>
  </si>
  <si>
    <t>https://i.postimg.cc/MGM40Cwz/258.png</t>
  </si>
  <si>
    <t>Marco
(Land of Wano Memoir)</t>
  </si>
  <si>
    <t>Whitebeard Pirates
Zoan</t>
  </si>
  <si>
    <t>https://i.postimg.cc/3JBhMXR2/224.png</t>
  </si>
  <si>
    <t>Kid &amp; Law</t>
  </si>
  <si>
    <t>Land of Wano
Kid Pirates
Paramecia
Captain
The Seven Warlords of the Sea / Former Warlords of the Sea
Worst Generation
Heart Pirates</t>
  </si>
  <si>
    <t>https://i.postimg.cc/76SWdSbc/257.png</t>
  </si>
  <si>
    <t>Otama
(Post_Onigashima)</t>
  </si>
  <si>
    <t>https://i.postimg.cc/Qdd3jF9w/223.png</t>
  </si>
  <si>
    <t>Shark Pack</t>
  </si>
  <si>
    <t>Fish_Man Island
Captain
Fish_Man
Fish_Man Karate</t>
  </si>
  <si>
    <t>https://i.postimg.cc/7LFRKKP0/256.png</t>
  </si>
  <si>
    <t>Luffy
(Post_Onigashima)</t>
  </si>
  <si>
    <t>When in the Treasure Area: Increase damage dealt by 3%.</t>
  </si>
  <si>
    <t>https://i.postimg.cc/XY10qn9J/222.png</t>
  </si>
  <si>
    <t>Neptune</t>
  </si>
  <si>
    <t>Fish_Man Island
Royalty / Former Royalty</t>
  </si>
  <si>
    <t>https://i.postimg.cc/sg2bxB0Q/255.png</t>
  </si>
  <si>
    <t>Princess Hiyori</t>
  </si>
  <si>
    <t>When your allies are not near the Treasure area where you are at: Boost capture speed by 6%.</t>
  </si>
  <si>
    <t>Land of Wano
Kozuki Clan / Kozuki Clan Servant</t>
  </si>
  <si>
    <t>https://i.postimg.cc/7LCrTjNN/221.png</t>
  </si>
  <si>
    <t>Caribou</t>
  </si>
  <si>
    <t>Fish_Man Island
Logia
Captain</t>
  </si>
  <si>
    <t>https://i.postimg.cc/sDPQ3TwS/254.png</t>
  </si>
  <si>
    <t>Yamato
(Post_Onigashima)</t>
  </si>
  <si>
    <t>When your team has more Treasure secured: Increase damage dealt by 5%.</t>
  </si>
  <si>
    <t>Land of Wano
Zoan</t>
  </si>
  <si>
    <t>https://i.postimg.cc/Jh9V3K6C/220.png</t>
  </si>
  <si>
    <t>Vander Decken IX</t>
  </si>
  <si>
    <t>Fish_Man Island
Flying Pirates
Paramecia
Captain
Fish_Man</t>
  </si>
  <si>
    <t>https://i.postimg.cc/jSsW2yF1/253.png</t>
  </si>
  <si>
    <t>Daifugo</t>
  </si>
  <si>
    <t>When your team has more Treasure secured: Boost the cooldown reduction speed of Skill 1 by 10%.</t>
  </si>
  <si>
    <t>Land of Wano
Animal Kingdom Pirates
Zoan
Headliner</t>
  </si>
  <si>
    <t>https://i.postimg.cc/63nsMRg2/219.png</t>
  </si>
  <si>
    <t>Raid Usopp</t>
  </si>
  <si>
    <t>When your HP is 50% or less: Boost the cooldown reduction speed of Skill 1 by 13%.</t>
  </si>
  <si>
    <t>Land of Wano
Straw Hat Pirates
Sharp Shooter</t>
  </si>
  <si>
    <t>https://i.postimg.cc/HkBryVGk/252.png</t>
  </si>
  <si>
    <t>Speed</t>
  </si>
  <si>
    <t>When your team loses the Treasure: Reduce the cooldown time of Skill 1 by 8%.</t>
  </si>
  <si>
    <t>https://i.postimg.cc/D0T9H03C/218.png</t>
  </si>
  <si>
    <t>Raid Nami</t>
  </si>
  <si>
    <t>Land of Wano
Straw Hat Pirates
Navigator</t>
  </si>
  <si>
    <t>https://i.postimg.cc/g0jnqmdq/251.png</t>
  </si>
  <si>
    <t>Robin
(Onigashima Infiltration)</t>
  </si>
  <si>
    <t>Land of Wano
Straw Hat Pirates
Paramecia
Archaeologist</t>
  </si>
  <si>
    <t>https://i.postimg.cc/v87F9r5C/217.png</t>
  </si>
  <si>
    <t>Namuji Glacier Fang</t>
  </si>
  <si>
    <t>https://i.postimg.cc/k5HDTzgr/250.png</t>
  </si>
  <si>
    <t>Jinbe
(Onigashima Infiltration)</t>
  </si>
  <si>
    <t>Land of Wano
Straw Hat Pirates
Helmsman
Fish_Man
Fish_Man Karate</t>
  </si>
  <si>
    <t>https://i.postimg.cc/T1Jz6xRT/216.png</t>
  </si>
  <si>
    <t>Raid Brook</t>
  </si>
  <si>
    <t>When enemies are inflicted with Freeze: Reduce the cooldown time of Skill 1 by 6%.</t>
  </si>
  <si>
    <t>Land of Wano
Straw Hat Pirates
Paramecia
Musician</t>
  </si>
  <si>
    <t>https://i.postimg.cc/V6bvpgJJ/249.png</t>
  </si>
  <si>
    <t>Page One
(Human_Monster Form)</t>
  </si>
  <si>
    <t>https://i.postimg.cc/VLgJqTsr/215.png</t>
  </si>
  <si>
    <t>Raid Robin</t>
  </si>
  <si>
    <t>https://i.postimg.cc/GtwtCDDq/248.png</t>
  </si>
  <si>
    <t>Ulti
(Human_Monster Form)</t>
  </si>
  <si>
    <t>When your allies are not near the Treasure area where you are at: Boost the cooldown reduction speed of Skill 2 by 13%.</t>
  </si>
  <si>
    <t>https://i.postimg.cc/zGP3Mggq/214.png</t>
  </si>
  <si>
    <t>Ideo</t>
  </si>
  <si>
    <t>Dressrosa
Straw Hat Fleet</t>
  </si>
  <si>
    <t>https://i.postimg.cc/dQrD9WMX/247.png</t>
  </si>
  <si>
    <t>Inventor</t>
  </si>
  <si>
    <t>When your HP is 70% or more: Boost the cooldown reduction speed of Skill 1 by 10%.</t>
  </si>
  <si>
    <t>Reverie
Revolutionary Army
Captain of the Revolutionary Army
Minks</t>
  </si>
  <si>
    <t>https://i.postimg.cc/kg5BfcDj/213.png</t>
  </si>
  <si>
    <t>Elizabello II</t>
  </si>
  <si>
    <t>Dressrosa
Royalty / Former Royalty</t>
  </si>
  <si>
    <t>https://i.postimg.cc/yxmdYNXB/246.png</t>
  </si>
  <si>
    <t>Horm_Horm</t>
  </si>
  <si>
    <t>Reverie
Revolutionary Army
Paramecia
New Kama</t>
  </si>
  <si>
    <t>https://i.postimg.cc/sDsBZyzC/212.png</t>
  </si>
  <si>
    <t>Kung Fu Jugon</t>
  </si>
  <si>
    <t>When attacking an enemy with the same Element: Increase damage dealt by 3%.</t>
  </si>
  <si>
    <t>Alabasta</t>
  </si>
  <si>
    <t>https://i.postimg.cc/WbVzYMT4/245.png</t>
  </si>
  <si>
    <t>Push_Push</t>
  </si>
  <si>
    <t>Reverie
Revolutionary Army
Fish_Man Karate
Captain of the Revolutionary Army</t>
  </si>
  <si>
    <t>https://i.postimg.cc/mZQzDk0S/211.png</t>
  </si>
  <si>
    <t>Hakuba</t>
  </si>
  <si>
    <t>Dressrosa
Beautiful Pirates
Captain
Royalty / Former Royalty
Straw Hat Fleet</t>
  </si>
  <si>
    <t>https://i.postimg.cc/qvMR44tV/244.png</t>
  </si>
  <si>
    <t>Koala
(Reverie)</t>
  </si>
  <si>
    <t>Reverie
Revolutionary Army
Fish_Man Karate</t>
  </si>
  <si>
    <t>https://i.postimg.cc/SR7Jt1WP/210.png</t>
  </si>
  <si>
    <t>Chin Jao</t>
  </si>
  <si>
    <t>https://i.postimg.cc/Wb73Bh1w/243.png</t>
  </si>
  <si>
    <t>Jack
(Human_Monster Form)</t>
  </si>
  <si>
    <t>When there are 60 seconds or less remaining: Boost capture speed by 6%.</t>
  </si>
  <si>
    <t>Land of Wano
Animal Kingdom Pirates
Zoan
Fish_Man
Lead Performer</t>
  </si>
  <si>
    <t>https://i.postimg.cc/brjZgf2b/209.png</t>
  </si>
  <si>
    <t>Oven</t>
  </si>
  <si>
    <t>When attacked by an enemy inflicted with Aflame: Reduce damage recieved by 5%.</t>
  </si>
  <si>
    <t>Zou / Whole Cake Island
Big Mom Pirates
Paramecia
Royalty / Former Royalty
Charlotte Family</t>
  </si>
  <si>
    <t>https://i.postimg.cc/Qd4MMw5B/242.png</t>
  </si>
  <si>
    <t>Kaido
(Human_Monster Form)</t>
  </si>
  <si>
    <t>Land of Wano
Animal Kingdom Pirates
Zoan
Captain
The Four Emperors
Former Rocks Pirates</t>
  </si>
  <si>
    <t>https://i.postimg.cc/9M94yQzC/208.png</t>
  </si>
  <si>
    <t>Leader</t>
  </si>
  <si>
    <t>When enemies are inflicted with Shock: Reduce the cooldown time of Skill 2 by 6%.</t>
  </si>
  <si>
    <t>https://i.postimg.cc/xdX1N5y6/241.png</t>
  </si>
  <si>
    <t>Local Sea Monster</t>
  </si>
  <si>
    <t>East Blue</t>
  </si>
  <si>
    <t>https://i.postimg.cc/7ZBTkRp8/207.png</t>
  </si>
  <si>
    <t>Brulee</t>
  </si>
  <si>
    <t>https://i.postimg.cc/nLNc4m3p/240.png</t>
  </si>
  <si>
    <t>Merry Go</t>
  </si>
  <si>
    <t>https://i.postimg.cc/zf6bLgzx/206.png</t>
  </si>
  <si>
    <t>Cracker</t>
  </si>
  <si>
    <t>Zou / Whole Cake Island
Big Mom Pirates
Paramecia
Royalty / Former Royalty
``Sweet 3`` General
Charlotte Family</t>
  </si>
  <si>
    <t>https://i.postimg.cc/zBWD0fQW/239.png</t>
  </si>
  <si>
    <t>Three Captains Law</t>
  </si>
  <si>
    <t>Land of Wano
Paramecia
Captain
Worst Generation
Heart Pirates</t>
  </si>
  <si>
    <t>https://i.postimg.cc/FHFJwvCV/205.png</t>
  </si>
  <si>
    <t>Mrs. Pudding?</t>
  </si>
  <si>
    <t>Zou / Whole Cake Island
Big Mom Pirates
Paramecia
Cook
Royalty / Former Royalty
Charlotte Family</t>
  </si>
  <si>
    <t>https://i.postimg.cc/sx4jCNsg/238.png</t>
  </si>
  <si>
    <t>Three Captains Kid</t>
  </si>
  <si>
    <t>When Critical occurs: Recover HP by 3%.</t>
  </si>
  <si>
    <t>Land of Wano
Kid Pirates
Paramecia
Captain
Worst Generation</t>
  </si>
  <si>
    <t>https://i.postimg.cc/wB7RTVpt/204.png</t>
  </si>
  <si>
    <t>Who`s_Who</t>
  </si>
  <si>
    <t>Land of Wano
Animal Kingdom Pirates
Zoan
Tobi Roppo
Six Powers</t>
  </si>
  <si>
    <t>https://i.postimg.cc/fWcTdJmQ/237.png</t>
  </si>
  <si>
    <t>Three Captains Luffy</t>
  </si>
  <si>
    <t>Land of Wano
Straw Hat Pirates
Paramecia
Captain
Worst Generation
Blood Brothers</t>
  </si>
  <si>
    <t>https://i.postimg.cc/ncGDdr2L/203.png</t>
  </si>
  <si>
    <t>Raid Jinbe</t>
  </si>
  <si>
    <t>Land of Wano
Straw Hat Pirates
Helmsman
Fish_Man
Fish_Man Karate
The Seven Warlords of the Sea / Former Warlords of the Sea</t>
  </si>
  <si>
    <t>https://i.postimg.cc/WbspwTwF/236.png</t>
  </si>
  <si>
    <t>Gordon</t>
  </si>
  <si>
    <t>FILM RED</t>
  </si>
  <si>
    <t>https://i.postimg.cc/gkWhq8v5/202.png</t>
  </si>
  <si>
    <t>Enma</t>
  </si>
  <si>
    <t>https://i.postimg.cc/4Nwf8qW8/235.png</t>
  </si>
  <si>
    <t>Uta`s Father</t>
  </si>
  <si>
    <t>FILM RED
Red_Haired Pirates
Captain
The Four Emperors
Roger Pirates / Ex_Roger Pirates</t>
  </si>
  <si>
    <t>https://i.postimg.cc/V60t4FZy/201.png</t>
  </si>
  <si>
    <t>Conqueror of Three
Worlds Raganaraku</t>
  </si>
  <si>
    <t>https://i.postimg.cc/MpTWg54z/234.png</t>
  </si>
  <si>
    <t>Purgatory Onigiri</t>
  </si>
  <si>
    <t>https://i.postimg.cc/2STn5yLt/200.png</t>
  </si>
  <si>
    <t>Olin</t>
  </si>
  <si>
    <t>Land of Wano
Big Mom Pirates
Paramecia
Captain
Royalty / Former Royalty
The Four Emperors
Charlotte Family
Former Rocks Pirates</t>
  </si>
  <si>
    <t>https://i.postimg.cc/9QnW2T5Z/233.png</t>
  </si>
  <si>
    <t>Kong Gun</t>
  </si>
  <si>
    <t>https://i.postimg.cc/mkQHWgG8/199.png</t>
  </si>
  <si>
    <t>Adio</t>
  </si>
  <si>
    <t>When in the Treasure Area: Increase Normal Attack damage dealt by 5%.</t>
  </si>
  <si>
    <t>ODYSSEY</t>
  </si>
  <si>
    <t>https://i.postimg.cc/KY3m8zxV/232.png</t>
  </si>
  <si>
    <t>Prometheus
(Land of Wano)</t>
  </si>
  <si>
    <t>When enemies are inflicted with Aflame: Recover HP by 2%.</t>
  </si>
  <si>
    <t>Land of Wano
Big Mom Pirates
Homies</t>
  </si>
  <si>
    <t>https://i.postimg.cc/PqRZm74z/198.png</t>
  </si>
  <si>
    <t>King</t>
  </si>
  <si>
    <t>https://i.postimg.cc/mDxBzsrr/231.png</t>
  </si>
  <si>
    <t>Hera</t>
  </si>
  <si>
    <t>When you are in your team`s Treasure Area and the Trasure Gauge is 80% or more: Boost the cooldown reduction speed of Skill 1 by 13%. and Reduce damage recieved by 5%.</t>
  </si>
  <si>
    <t>https://i.postimg.cc/MHkQLjgn/197.png</t>
  </si>
  <si>
    <t>X Calibur</t>
  </si>
  <si>
    <t>Land of Wano
Navy
Zoan
Worst Generation
``Sword``</t>
  </si>
  <si>
    <t>https://i.postimg.cc/zBn5TcLF/230.png</t>
  </si>
  <si>
    <t>Arlong
(Sun Pirates)</t>
  </si>
  <si>
    <t>Fish_Man
Sun Pirates</t>
  </si>
  <si>
    <t>https://i.postimg.cc/PfZZw28Y/196.png</t>
  </si>
  <si>
    <t>Hyogoro</t>
  </si>
  <si>
    <t>When you are Downed: Reduce the cooldown time of Skill 1 by 4%.</t>
  </si>
  <si>
    <t>Land of Wano</t>
  </si>
  <si>
    <t>https://i.postimg.cc/5ybJgSLd/229.png</t>
  </si>
  <si>
    <t>Fisher Tiger</t>
  </si>
  <si>
    <t>When attacked by an enemy whose ATK is boosted: Reduce damage recieved by 5%.</t>
  </si>
  <si>
    <t>Captain
Fish_Man
Sun Pirates</t>
  </si>
  <si>
    <t>https://i.postimg.cc/0NQDKvpy/195.png</t>
  </si>
  <si>
    <t>Raizo</t>
  </si>
  <si>
    <t>When using Skill 2: SPD Boosted by 6% for 20 second(s).</t>
  </si>
  <si>
    <t>Land of Wano
Paramecia
Kozuki Clan / Kozuki Clan Servant
Ninja</t>
  </si>
  <si>
    <t>https://i.postimg.cc/qqwT56xt/228.png</t>
  </si>
  <si>
    <t>Ankoro</t>
  </si>
  <si>
    <t>Fish_Man Island
Flying Pirates</t>
  </si>
  <si>
    <t>https://i.postimg.cc/sXWm2LjY/194.png</t>
  </si>
  <si>
    <t>Shinobu</t>
  </si>
  <si>
    <t>When your allies are near the Treasure area where you are at: Boost capture speed by 8%.</t>
  </si>
  <si>
    <t>https://i.postimg.cc/wxQgvnY6/227.png</t>
  </si>
  <si>
    <t>Wadatsumi</t>
  </si>
  <si>
    <t>When attacking an enemy inflicted With Stun: Increase damage dealt by 5%.</t>
  </si>
  <si>
    <t>Fish_Man Island
Flying Pirates
Fish_Man</t>
  </si>
  <si>
    <t>https://i.postimg.cc/mkGw1Sk0/193.png</t>
  </si>
  <si>
    <t>Trebol</t>
  </si>
  <si>
    <t>Dressrosa
Paramecia
Trebol Army
Don Quixote Family</t>
  </si>
  <si>
    <t>https://i.postimg.cc/c4DW7YJ2/226.png</t>
  </si>
  <si>
    <t>Komachiyo</t>
  </si>
  <si>
    <t>When performing a Perfect Dodge: Reduce the cooldown time of Skill 2 by 4%.</t>
  </si>
  <si>
    <t>https://i.postimg.cc/BZxN9Rws/192.png</t>
  </si>
  <si>
    <t>Ripple_Ripple</t>
  </si>
  <si>
    <t>Dressrosa
Paramecia
Diamante Army
Don Quixote Family</t>
  </si>
  <si>
    <t>https://i.postimg.cc/8PkDrwTL/225.png</t>
  </si>
  <si>
    <t>Lightning Blast</t>
  </si>
  <si>
    <t>Land of Wano
Homies</t>
  </si>
  <si>
    <t>https://i.postimg.cc/TYf0RQZb/191.png</t>
  </si>
  <si>
    <t>Boing_Boing</t>
  </si>
  <si>
    <t>When your HP is 50% or less: Boost capture speed by 8%.</t>
  </si>
  <si>
    <t>Dressrosa
Paramecia</t>
  </si>
  <si>
    <t>https://i.postimg.cc/K8R20zkz/224.png</t>
  </si>
  <si>
    <t>Moomonosuke
(Dragon)</t>
  </si>
  <si>
    <t>When your HP is 70% or more: Boost capture speed by 6%.</t>
  </si>
  <si>
    <t>Land of Wano
Zoan
Kozuki Clan / Kozuki Clan Servant</t>
  </si>
  <si>
    <t>https://i.postimg.cc/c4hm6wSb/190.png</t>
  </si>
  <si>
    <t>Usopp
(FILM RED)</t>
  </si>
  <si>
    <t>FILM RED
Straw Hat Pirates
Sharp Shooter</t>
  </si>
  <si>
    <t>https://i.postimg.cc/132Z2QwK/223.png</t>
  </si>
  <si>
    <t>Ace
(Izayoizuki)</t>
  </si>
  <si>
    <t>Land of Wano
Logia
Captain
Blood Brothers</t>
  </si>
  <si>
    <t>https://i.postimg.cc/MHDyM2hQ/189.png</t>
  </si>
  <si>
    <t>Yasopp
(FILM RED)</t>
  </si>
  <si>
    <t>FILM RED
Red_Haired Pirates
Sharp Shooter</t>
  </si>
  <si>
    <t>https://i.postimg.cc/3wGHHcZQ/222.png</t>
  </si>
  <si>
    <t>Baby Geezer Chopper</t>
  </si>
  <si>
    <t>When you are in your Enemy`s Treasure Area and the Treasure Gauge is 50% or more: Boost capture speed by 6%.</t>
  </si>
  <si>
    <t>https://i.postimg.cc/sg2JWxfD/188.png</t>
  </si>
  <si>
    <t>Chopper
(FILM RED)</t>
  </si>
  <si>
    <t>When your allies are near the Treasure area where you are at: Boost the cooldown reduction speed of Skill 1 by 13%.</t>
  </si>
  <si>
    <t>FILM RED
Straw Hat Pirates
Zoan
Doctor</t>
  </si>
  <si>
    <t>https://i.postimg.cc/LXBKJg7y/221.png</t>
  </si>
  <si>
    <t>Zoro
(Bandages)</t>
  </si>
  <si>
    <t>https://i.postimg.cc/fRgffsk7/187.png</t>
  </si>
  <si>
    <t>Nami
(FILM RED)</t>
  </si>
  <si>
    <t>FILM RED
Straw Hat Pirates
Navigator</t>
  </si>
  <si>
    <t>https://i.postimg.cc/90J6p5cZ/220.png</t>
  </si>
  <si>
    <t>Strike Back</t>
  </si>
  <si>
    <t>After reciving damage from an enemy which is more than 30% of your max HP: Recover HP by 3%.</t>
  </si>
  <si>
    <t>Alabasta
Straw Hat Pirates
Sharp Shooter</t>
  </si>
  <si>
    <t>https://i.postimg.cc/tgZtrcVK/186.png</t>
  </si>
  <si>
    <t>Beckman
(FILM RED)</t>
  </si>
  <si>
    <t>FILM RED
Red_Haired Pirates</t>
  </si>
  <si>
    <t>https://i.postimg.cc/6qWsn5xB/219.png</t>
  </si>
  <si>
    <t>Hajrudin</t>
  </si>
  <si>
    <t>When your allies are not near the Treasure area where you are at: Reduce damage recieved by 3%.</t>
  </si>
  <si>
    <t>Dressrosa
Captain
Straw Hat Fleet</t>
  </si>
  <si>
    <t>https://i.postimg.cc/R0k12T7N/185.png</t>
  </si>
  <si>
    <t>Shanks
(FILM RED)</t>
  </si>
  <si>
    <t>https://i.postimg.cc/05n1xm7j/218.png</t>
  </si>
  <si>
    <t>Barrier_Barrier</t>
  </si>
  <si>
    <t>https://i.postimg.cc/4dpvGhPw/184.png</t>
  </si>
  <si>
    <t>Luffy
(FILM RED)</t>
  </si>
  <si>
    <t>When Respawned: CRIT Boosted by 90% for 20 second(s).</t>
  </si>
  <si>
    <t>FILM RED
Straw Hat Pirates
Paramecia
Captain
Worst Generation
Blood Brothers</t>
  </si>
  <si>
    <t>https://i.postimg.cc/MKrkfSP8/217.png</t>
  </si>
  <si>
    <t>Mystoms</t>
  </si>
  <si>
    <t>When a damage_dealing Shock infliction has been nullifed: Reduce the cooldown time of Skill 1 by 6%.</t>
  </si>
  <si>
    <t>Zou / Whole Cake Island
Big Mom Pirates
Zoan
Combatant
Minks</t>
  </si>
  <si>
    <t>https://i.postimg.cc/ZnZ85KDm/183.png</t>
  </si>
  <si>
    <t>Uta</t>
  </si>
  <si>
    <t>https://i.postimg.cc/FHfMjB8k/216.png</t>
  </si>
  <si>
    <t>Carrot
(Sulong)</t>
  </si>
  <si>
    <t>When enemies are inflicted with Shock: Reduce the cooldown time of Skill 1 by 6%.</t>
  </si>
  <si>
    <t>https://i.postimg.cc/pVYQ1zpL/182.png</t>
  </si>
  <si>
    <t>Zephyr</t>
  </si>
  <si>
    <t>FILM Z</t>
  </si>
  <si>
    <t>https://i.postimg.cc/8PCQC5bH/215.png</t>
  </si>
  <si>
    <t>Montd``or</t>
  </si>
  <si>
    <t>When you are in your team`s Treasure Area and the Trasure Gauge is 80% or more: Boost the cooldown reduction speed of Skill 1 by 10%. and Boost the cooldown reduction speed of Skill 2 by 10%.</t>
  </si>
  <si>
    <t>Zou / Whole Cake Island
Big Mom Pirates
Paramecia
Charlotte Family</t>
  </si>
  <si>
    <t>https://i.postimg.cc/KvG7XjMr/181.png</t>
  </si>
  <si>
    <t>Tesoro</t>
  </si>
  <si>
    <t>FILM GOLD
Paramecia
Royalty / Former Royalty</t>
  </si>
  <si>
    <t>https://i.postimg.cc/K8ddQ5hq/214.png</t>
  </si>
  <si>
    <t>Mochi_Mochi</t>
  </si>
  <si>
    <t>Zou / Whole Cake Island
Big Mom Pirates
Paramecia
``Sweet 3`` General
Charlotte Family</t>
  </si>
  <si>
    <t>https://i.postimg.cc/3JtX3hjM/180.png</t>
  </si>
  <si>
    <t>Shiki</t>
  </si>
  <si>
    <t>FILM STRONG WORLD
Paramecia
Captain
Former Rocks Pirates</t>
  </si>
  <si>
    <t>https://i.postimg.cc/DzLRNb22/213.png</t>
  </si>
  <si>
    <t>Gourmet Knight</t>
  </si>
  <si>
    <t>When your allies are not near the Treasure area where you are at: Boost the cooldown reduction speed of Skill 2 by 10%.</t>
  </si>
  <si>
    <t>Zou / Whole Cake Island
Big Mom Pirates
Paramecia
Cook</t>
  </si>
  <si>
    <t>https://i.postimg.cc/JztbnFKs/179.png</t>
  </si>
  <si>
    <t>Hancock
(STAMPEDE)</t>
  </si>
  <si>
    <t>When you capture the Treasure: SPD Boosted by 6% for 20 second(s).</t>
  </si>
  <si>
    <t>STAMPEDE
The Seven Warlords of the Sea / Former Warlords of the Sea
Kuja Pirates
Paramecia
Captain
Gorgon Sisters</t>
  </si>
  <si>
    <t>https://i.postimg.cc/1tSb15tD/212.png</t>
  </si>
  <si>
    <t>Lucky Fellow?</t>
  </si>
  <si>
    <t>Zou / Whole Cake Island
Straw Hat Pirates
Cook</t>
  </si>
  <si>
    <t>https://i.postimg.cc/0y37JCHc/178.png</t>
  </si>
  <si>
    <t>Phoenix Brand</t>
  </si>
  <si>
    <t>Land of Wano
Whitebeard Pirates
Zoan
Doctor
Whitebeard Pirates Commander</t>
  </si>
  <si>
    <t>https://i.postimg.cc/RFTyS56y/211.png</t>
  </si>
  <si>
    <t>Rostisserie Strike</t>
  </si>
  <si>
    <t>When your HP is 50% or less: Boost the cooldown reduction speed of Skill 1 by 10%.</t>
  </si>
  <si>
    <t>Land of Wano
Straw Hat Pirates
Cook</t>
  </si>
  <si>
    <t>https://i.postimg.cc/tTGPB4b6/177.png</t>
  </si>
  <si>
    <t>Perospero</t>
  </si>
  <si>
    <t>Land of Wano
Big Mom Pirates
Paramecia
Royalty / Former Royalty
Charlotte Family</t>
  </si>
  <si>
    <t>https://i.postimg.cc/Y0qVjnQ9/210.png</t>
  </si>
  <si>
    <t>Red Roc</t>
  </si>
  <si>
    <t>https://i.postimg.cc/YSWYNm5k/176.png</t>
  </si>
  <si>
    <t>Spinosaurus</t>
  </si>
  <si>
    <t>https://i.postimg.cc/0jW4SYCC/209.png</t>
  </si>
  <si>
    <t>Perospero
(Pirate Alliance)</t>
  </si>
  <si>
    <t>When you are in your team`s Treasure Area and the Trasure Gauge is 80% or more: Increase damage dealt by 3%. and Reduce damage recieved by 3%.</t>
  </si>
  <si>
    <t>Land of Wano
Big Mom Pirates
Paramecia
Charlotte Family</t>
  </si>
  <si>
    <t>https://i.postimg.cc/B65FkfZV/175.png</t>
  </si>
  <si>
    <t>Pachycephalosaurus</t>
  </si>
  <si>
    <t>https://i.postimg.cc/jqZmBTrJ/208.png</t>
  </si>
  <si>
    <t>Smoothie
(Pirate Alliance)</t>
  </si>
  <si>
    <t>When enemies are inflicted with Aflame: Recover HP by 3%.</t>
  </si>
  <si>
    <t>Land of Wano
Big Mom Pirates
Paramecia
``Sweet 3`` General
Charlotte Family</t>
  </si>
  <si>
    <t>https://i.postimg.cc/HnpMCvVs/174.png</t>
  </si>
  <si>
    <t>Wyper</t>
  </si>
  <si>
    <t>When your HP is 70% or more: Increase damage dealt by 3%.</t>
  </si>
  <si>
    <t>https://i.postimg.cc/QxzPxqC8/207.png</t>
  </si>
  <si>
    <t>Sasaki</t>
  </si>
  <si>
    <t>When your allies are not near the Treasure area where you are at: Boost the cooldown reduction speed of Skill 1 by 10%.</t>
  </si>
  <si>
    <t>https://i.postimg.cc/mk8HZ3H3/173.png</t>
  </si>
  <si>
    <t>Franosuke</t>
  </si>
  <si>
    <t>https://i.postimg.cc/HsnRgNpv/206.png</t>
  </si>
  <si>
    <t>Eleph_Eleph</t>
  </si>
  <si>
    <t>Land of Wano
Animal Kingdom Pirates
Zoan
Lead Performer
Fish_Man</t>
  </si>
  <si>
    <t>https://i.postimg.cc/L4TfVSbq/172.png</t>
  </si>
  <si>
    <t>Usohachi</t>
  </si>
  <si>
    <t>https://i.postimg.cc/pdb6KXK3/205.png</t>
  </si>
  <si>
    <t>Dry Penguin</t>
  </si>
  <si>
    <t>When your HP is 50% or more: Increase Normal Attack damage dealt by 3%.</t>
  </si>
  <si>
    <t>https://i.postimg.cc/kXgS1H0T/171.png</t>
  </si>
  <si>
    <t>Shiryu</t>
  </si>
  <si>
    <t>The Paramount War at Marineford
Blackbeard Pirates</t>
  </si>
  <si>
    <t>https://i.postimg.cc/d02S6PB3/204.png</t>
  </si>
  <si>
    <t>Lim</t>
  </si>
  <si>
    <t>https://i.postimg.cc/X71CT834/170.png</t>
  </si>
  <si>
    <t>Jozu</t>
  </si>
  <si>
    <t>The Paramount War at Marineford
Whitebeard Pirates
Paramecia
Whitebeard Pirates Commander</t>
  </si>
  <si>
    <t>https://i.postimg.cc/PxdVF334/203.png</t>
  </si>
  <si>
    <t>Helmeppo
(``Sword``)</t>
  </si>
  <si>
    <t>When in the area around your enemy`s Treasure: Boost the cooldown reduction speed of Skill 2 by 10%.</t>
  </si>
  <si>
    <t>Navy
``Sword``</t>
  </si>
  <si>
    <t>https://i.postimg.cc/2SqZmZ8v/169.png</t>
  </si>
  <si>
    <t>Vista</t>
  </si>
  <si>
    <t>The Paramount War at Marineford
Whitebeard Pirates
Whitebeard Pirates Commander</t>
  </si>
  <si>
    <t>https://i.postimg.cc/fL5q4c1h/202.png</t>
  </si>
  <si>
    <t>Koby
(``Sword``)</t>
  </si>
  <si>
    <t>Navy
Navy Captain
``Sword``</t>
  </si>
  <si>
    <t>https://i.postimg.cc/YCJmSChP/168.png</t>
  </si>
  <si>
    <t>Burgess</t>
  </si>
  <si>
    <t>The Paramount War at Marineford
Helmsman
Blackbeard Pirates</t>
  </si>
  <si>
    <t>https://i.postimg.cc/T1w7TyX5/201.png</t>
  </si>
  <si>
    <t>Denjiro
(The Akazaya Nine)</t>
  </si>
  <si>
    <t>When your allies are near the Treasure area where you are at: Boost the cooldown reduction speed of Skill 1 by 10%.</t>
  </si>
  <si>
    <t>https://i.postimg.cc/zfKHHYhG/167.png</t>
  </si>
  <si>
    <t>Soba Mask</t>
  </si>
  <si>
    <t>Land of Wano
Straw Hat Pirates
Cook
Royalty / Former Royalty
Germa 66</t>
  </si>
  <si>
    <t>https://i.postimg.cc/qq5mqkkb/200.png</t>
  </si>
  <si>
    <t>Kin``emon
(The Akazaya Nine)</t>
  </si>
  <si>
    <t>https://i.postimg.cc/ydKgFphX/166.png</t>
  </si>
  <si>
    <t>Judge</t>
  </si>
  <si>
    <t>https://i.postimg.cc/SQT1DGW6/199.png</t>
  </si>
  <si>
    <t>Ton_Ton</t>
  </si>
  <si>
    <t>https://i.postimg.cc/BbQjz8Vj/165.png</t>
  </si>
  <si>
    <t>Straw Hat</t>
  </si>
  <si>
    <t>Straw Hat Pirates
Paramecia
Captain
Worst Generation
Blood Brothers</t>
  </si>
  <si>
    <t>https://i.postimg.cc/L6JC7ZTr/198.png</t>
  </si>
  <si>
    <t>Glare_Glare</t>
  </si>
  <si>
    <t>https://i.postimg.cc/T17KvRzC/164.png</t>
  </si>
  <si>
    <t>Blast Breath</t>
  </si>
  <si>
    <t>https://i.postimg.cc/RV2szVpq/197.png</t>
  </si>
  <si>
    <t>Art_Art</t>
  </si>
  <si>
    <t>When your team has more Treasure secured: Reduce damage recieved by 3%.</t>
  </si>
  <si>
    <t>https://i.postimg.cc/CL5ZHq8t/163.png</t>
  </si>
  <si>
    <t>Queen</t>
  </si>
  <si>
    <t>https://i.postimg.cc/7Z7BP8j9/196.png</t>
  </si>
  <si>
    <t>Pop_Pop</t>
  </si>
  <si>
    <t>Dressrosa
Paramecia
Pica Army
Don Quixote Family</t>
  </si>
  <si>
    <t>https://i.postimg.cc/vHK4PZLm/162.png</t>
  </si>
  <si>
    <t>Jack</t>
  </si>
  <si>
    <t>https://i.postimg.cc/PqjSPVjj/195.png</t>
  </si>
  <si>
    <t>Rockstar
(FILM RED)</t>
  </si>
  <si>
    <t>https://i.postimg.cc/ht7fNRp1/161.png</t>
  </si>
  <si>
    <t>Kaido`s Son</t>
  </si>
  <si>
    <t>https://i.postimg.cc/7Lnm71HT/194.png</t>
  </si>
  <si>
    <t>Sunny_Kun
(FILM RED)</t>
  </si>
  <si>
    <t>When the equipped character is character type ``Straw Hat Pirates``: Increase Normal Attack damage dealt by 5%.</t>
  </si>
  <si>
    <t>https://i.postimg.cc/25RVD9tR/160.png</t>
  </si>
  <si>
    <t>Izo</t>
  </si>
  <si>
    <t>Land of Wano
Whitebeard Pirates
Kozuki Clan / Kozuki Clan Servant
Whitebeard Pirates Commander</t>
  </si>
  <si>
    <t>https://i.postimg.cc/V6s4FSvZ/193.png</t>
  </si>
  <si>
    <t>Brook
(FILM RED)</t>
  </si>
  <si>
    <t>When your allies are near the Treasure area where you are at: Boost the cooldown reduction speed of Skill 2 by 10%.</t>
  </si>
  <si>
    <t>FILM RED
Straw Hat Pirates
Paramecia
Musician</t>
  </si>
  <si>
    <t>https://i.postimg.cc/25Q38Fpq/159.png</t>
  </si>
  <si>
    <t>Kanjuro</t>
  </si>
  <si>
    <t>https://i.postimg.cc/sXnmHVZj/192.png</t>
  </si>
  <si>
    <t>Franky
(FILM RED)</t>
  </si>
  <si>
    <t>When your allies are near the Treasure area where you are at: Reduce damage recieved by 5%.</t>
  </si>
  <si>
    <t>FILM RED
Straw Hat Pirates
Ship Carpenter</t>
  </si>
  <si>
    <t>https://i.postimg.cc/mDTkczRm/158.png</t>
  </si>
  <si>
    <t>The Dark King</t>
  </si>
  <si>
    <t>https://i.postimg.cc/BbXgddxx/191.png</t>
  </si>
  <si>
    <t>Limejuice
(FILM RED)</t>
  </si>
  <si>
    <t>https://i.postimg.cc/26T6nkSr/157.png</t>
  </si>
  <si>
    <t>Boss</t>
  </si>
  <si>
    <t>Zou / Whole Cake Island
Captain
Fish_Man
Fish_Man Karate
The Seven Warlords of the Sea / Former Warlords of the Sea
Sun Pirates</t>
  </si>
  <si>
    <t>https://i.postimg.cc/BbkgsMgR/190.png</t>
  </si>
  <si>
    <t>Lucky Roux
(FILM RED)</t>
  </si>
  <si>
    <t>https://i.postimg.cc/Gt2pQW4Y/156.png</t>
  </si>
  <si>
    <t>Pudding</t>
  </si>
  <si>
    <t>https://i.postimg.cc/2SpwK93Z/189.png</t>
  </si>
  <si>
    <t>Robin
(FILM RED)</t>
  </si>
  <si>
    <t>FILM RED
Straw Hat Pirates
Paramecia
Archaeologist</t>
  </si>
  <si>
    <t>https://i.postimg.cc/Gt5mSXDf/155.png</t>
  </si>
  <si>
    <t>Soul King</t>
  </si>
  <si>
    <t>Zou / Whole Cake Island
Straw Hat Pirates
Paramecia
Musician</t>
  </si>
  <si>
    <t>https://i.postimg.cc/nhvkbKQw/188.png</t>
  </si>
  <si>
    <t>Jinbe
(FILM RED)</t>
  </si>
  <si>
    <t>FILM RED
Straw Hat Pirates
Helmsman
Fish_Man
Fish_Man Karate</t>
  </si>
  <si>
    <t>https://i.postimg.cc/RCshFZYT/154.png</t>
  </si>
  <si>
    <t>Sorcery Climate Baton</t>
  </si>
  <si>
    <t>Zou / Whole Cake Island
Straw Hat Pirates
Navigator</t>
  </si>
  <si>
    <t>https://i.postimg.cc/rmpCrvZv/187.png</t>
  </si>
  <si>
    <t>Chopper
(FILM Z)</t>
  </si>
  <si>
    <t>FILM Z
Straw Hat Pirates
Zoan
Doctor</t>
  </si>
  <si>
    <t>https://i.postimg.cc/BQj61G9f/153.png</t>
  </si>
  <si>
    <t>Monet</t>
  </si>
  <si>
    <t>Punk Hazard
Logia
Don Quixote Family</t>
  </si>
  <si>
    <t>https://i.postimg.cc/W48wt28G/186.png</t>
  </si>
  <si>
    <t>Zoro
(FILM Z)</t>
  </si>
  <si>
    <t>FILM Z
Straw Hat Pirates
Combatant
Worst Generation</t>
  </si>
  <si>
    <t>https://i.postimg.cc/fT1bcgDt/152.png</t>
  </si>
  <si>
    <t>Bamboo Demon</t>
  </si>
  <si>
    <t>When attacking a character type ``Logia`` enemy: Increase damage dealt by 5%.</t>
  </si>
  <si>
    <t>Punk Hazard
Navy
Vice Admiral
Don Quixote Family</t>
  </si>
  <si>
    <t>https://i.postimg.cc/LX0kBNrh/185.png</t>
  </si>
  <si>
    <t>Sanji
(FILM GOLD)</t>
  </si>
  <si>
    <t>FILM GOLD
Straw Hat Pirates
Cook</t>
  </si>
  <si>
    <t>https://i.postimg.cc/kg8gfFgj/151.png</t>
  </si>
  <si>
    <t>Sugar</t>
  </si>
  <si>
    <t>https://i.postimg.cc/4y768pgP/184.png</t>
  </si>
  <si>
    <t>Usopp
(FILM GOLD)</t>
  </si>
  <si>
    <t>FILM GOLD
Straw Hat Pirates
Sharp Shooter</t>
  </si>
  <si>
    <t>https://i.postimg.cc/5tVNGYHf/150.png</t>
  </si>
  <si>
    <t>Young Master</t>
  </si>
  <si>
    <t>Paramecia
Captain
Don Quixote Family</t>
  </si>
  <si>
    <t>https://i.postimg.cc/PJgm0Nfj/183.png</t>
  </si>
  <si>
    <t>Nami
(FILM STRONG WORLD)</t>
  </si>
  <si>
    <t>FILM STRONG WORLD
Straw Hat Pirates
Navigator</t>
  </si>
  <si>
    <t>https://i.postimg.cc/Xvk70jFd/149.png</t>
  </si>
  <si>
    <t>Hard_Boiled</t>
  </si>
  <si>
    <t>https://i.postimg.cc/WpC6dYGH/182.png</t>
  </si>
  <si>
    <t>Luffy
(FILM STRONG WORLD)</t>
  </si>
  <si>
    <t>FILM STRONG WORLD
Straw Hat Pirates
Paramecia
Captain
Worst Generation
Blood Brothers</t>
  </si>
  <si>
    <t>https://i.postimg.cc/bJYYy7HM/148.png</t>
  </si>
  <si>
    <t>Baby 5</t>
  </si>
  <si>
    <t>https://i.postimg.cc/SKScBB4J/181.png</t>
  </si>
  <si>
    <t>Flampe
(Land of Wano)</t>
  </si>
  <si>
    <t>Land of Wano
Big Mom Pirates
Charlotte Family</t>
  </si>
  <si>
    <t>https://i.postimg.cc/cHDxrFFJ/147.png</t>
  </si>
  <si>
    <t>Sentomaru</t>
  </si>
  <si>
    <t>Sabaody Archipelago / Island of Women
Navy</t>
  </si>
  <si>
    <t>https://i.postimg.cc/VkBjHY3x/180.png</t>
  </si>
  <si>
    <t>Daifuku
(Land of Wano)</t>
  </si>
  <si>
    <t>When you Down an enemy: Reduce the cooldown time of Skill 1 by 4%.</t>
  </si>
  <si>
    <t>https://i.postimg.cc/rsK8W5HN/146.png</t>
  </si>
  <si>
    <t>Koby
(Paramount War)</t>
  </si>
  <si>
    <t>The Paramount War at Marineford
Navy
Master Chief Petty Officer</t>
  </si>
  <si>
    <t>https://i.postimg.cc/YCw634yN/179.png</t>
  </si>
  <si>
    <t>Triceratops</t>
  </si>
  <si>
    <t>https://i.postimg.cc/vTkGvcFF/145.png</t>
  </si>
  <si>
    <t>Fleet Admiral Akainu</t>
  </si>
  <si>
    <t>Navy
Logia
Fleet Admiral
Navy Admiral / Former Navy Admiral</t>
  </si>
  <si>
    <t>https://i.postimg.cc/VNKXmKs4/178.png</t>
  </si>
  <si>
    <t>Saber_Toothed Tiger</t>
  </si>
  <si>
    <t>https://i.postimg.cc/CMQM06ZP/144.png</t>
  </si>
  <si>
    <t>Ice_Burn</t>
  </si>
  <si>
    <t>https://i.postimg.cc/RFqKFwNm/177.png</t>
  </si>
  <si>
    <t>Kalgara</t>
  </si>
  <si>
    <t>When inflicted with Shock by enemies: Reduce the cooldown time of Skill 1 by 6%.</t>
  </si>
  <si>
    <t>https://i.postimg.cc/L8dHYY3j/143.png</t>
  </si>
  <si>
    <t>Delphinium</t>
  </si>
  <si>
    <t>When your team has less Treasure secured: Boost the cooldown reduction speed of Skill 1 by 13%.</t>
  </si>
  <si>
    <t>https://i.postimg.cc/W3KrJtkk/176.png</t>
  </si>
  <si>
    <t>Noland</t>
  </si>
  <si>
    <t>When inflicted with Shock by enemies: Recover HP by 3%.</t>
  </si>
  <si>
    <t>https://i.postimg.cc/FHjhjrT8/142.png</t>
  </si>
  <si>
    <t>Vivi &amp; Karoo</t>
  </si>
  <si>
    <t>Alabasta
Straw Hat Pirates
Royalty / Former Royalty
Alabasta Kingdom</t>
  </si>
  <si>
    <t>https://i.postimg.cc/1XqF0PGY/175.png</t>
  </si>
  <si>
    <t>Kami</t>
  </si>
  <si>
    <t>When your allies are not near the Treasure area where you are at: Reduce damage recieved by 5%.</t>
  </si>
  <si>
    <t>Sky Island / LRLL
God`s Army
Logia
Mantra</t>
  </si>
  <si>
    <t>https://i.postimg.cc/cJ00hpjH/141.png</t>
  </si>
  <si>
    <t>Pell</t>
  </si>
  <si>
    <t>Alabasta
Zoan
Alabasta Kingdom</t>
  </si>
  <si>
    <t>https://i.postimg.cc/7br2mcXP/174.png</t>
  </si>
  <si>
    <t>Savior</t>
  </si>
  <si>
    <t>When the equipped character is character type ``Long_Range Normal Attacks``: Increase Normal Attack damage dealt by 5%.</t>
  </si>
  <si>
    <t>Dressrosa
Straw Hat Pirates
Sharp Shooter</t>
  </si>
  <si>
    <t>https://i.postimg.cc/Jhxm2TVQ/140.png</t>
  </si>
  <si>
    <t>Ms. Goldenweek</t>
  </si>
  <si>
    <t>The Grand Line
Baroque Works
Officer Agent</t>
  </si>
  <si>
    <t>https://i.postimg.cc/zDVkP9wx/173.png</t>
  </si>
  <si>
    <t>Haruta</t>
  </si>
  <si>
    <t>https://i.postimg.cc/sX2ydp3C/139.png</t>
  </si>
  <si>
    <t>Galdino</t>
  </si>
  <si>
    <t>The Grand Line
Baroque Works
Paramecia
Officer Agent</t>
  </si>
  <si>
    <t>https://i.postimg.cc/3JGF3mcp/172.png</t>
  </si>
  <si>
    <t>The Strongest Man in the World</t>
  </si>
  <si>
    <t>The Paramount War at Marineford
Whitebeard Pirates
Paramecia
Captain
The Four Emperors</t>
  </si>
  <si>
    <t>https://i.postimg.cc/pT1v2pdh/138.png</t>
  </si>
  <si>
    <t>Raid Law</t>
  </si>
  <si>
    <t>Land of Wano
Paramecia
Captain
The Seven Warlords of the Sea / Former Warlords of the Sea
Worst Generation
Heart Pirates</t>
  </si>
  <si>
    <t>https://i.postimg.cc/y6tTqvvs/171.png</t>
  </si>
  <si>
    <t>Doc Q</t>
  </si>
  <si>
    <t>When in the area around your enemy`s Treasure: Boost the cooldown reduction speed of Skill 1 by 10%.</t>
  </si>
  <si>
    <t>The Paramount War at Marineford
Doctor
Blackbeard Pirates</t>
  </si>
  <si>
    <t>https://i.postimg.cc/3N4TWYyL/137.png</t>
  </si>
  <si>
    <t>Raid Kid</t>
  </si>
  <si>
    <t>https://i.postimg.cc/vZdLTTJK/170.png</t>
  </si>
  <si>
    <t>Van Ogre</t>
  </si>
  <si>
    <t>When there are 60 seconds or less remaining: Boost the cooldown reduction speed of Skill 1 by 13%.</t>
  </si>
  <si>
    <t>The Paramount War at Marineford
Sharp Shooter
Blackbeard Pirates</t>
  </si>
  <si>
    <t>https://i.postimg.cc/BbrGKkHJ/136.png</t>
  </si>
  <si>
    <t>Memoir of that Summer Day</t>
  </si>
  <si>
    <t>Impel Down
Paramecia
New Kama</t>
  </si>
  <si>
    <t>https://i.postimg.cc/Mpb0Qxxp/169.png</t>
  </si>
  <si>
    <t>Sanji
(Child)</t>
  </si>
  <si>
    <t>Royalty / Former Royalty
Germa 66
Child</t>
  </si>
  <si>
    <t>https://i.postimg.cc/L4wSwY7G/135.png</t>
  </si>
  <si>
    <t>Raid Luffy</t>
  </si>
  <si>
    <t>https://i.postimg.cc/q7JscYMX/168.png</t>
  </si>
  <si>
    <t>Reiju
(Child)</t>
  </si>
  <si>
    <t>When your team has less Treasure secured: Boost capture speed by 8%.</t>
  </si>
  <si>
    <t>https://i.postimg.cc/9F92hXH0/134.png</t>
  </si>
  <si>
    <t>Candula</t>
  </si>
  <si>
    <t>Water 7 / Enies Lobby
Straw Hat Pirates
Paramecia
Archaeologist</t>
  </si>
  <si>
    <t>https://i.postimg.cc/mDh7JH9P/167.png</t>
  </si>
  <si>
    <t>Cat Burglar</t>
  </si>
  <si>
    <t>When you are in your Enemy`s Treasure Area and the Treasure Gauge is 50% or less: Boost capture speed by 6%.</t>
  </si>
  <si>
    <t>Straw Hat Pirates
Navigator</t>
  </si>
  <si>
    <t>https://i.postimg.cc/L8Mp6dmT/133.png</t>
  </si>
  <si>
    <t>Palm</t>
  </si>
  <si>
    <t>Fish_Man Island
Straw Hat Pirates
Zoan
Doctor</t>
  </si>
  <si>
    <t>https://i.postimg.cc/0Q37syGc/166.png</t>
  </si>
  <si>
    <t>Pirate Hunter</t>
  </si>
  <si>
    <t>Straw Hat Pirates
Combatant
Worst Generation</t>
  </si>
  <si>
    <t>https://i.postimg.cc/wjcd1Wvd/132.png</t>
  </si>
  <si>
    <t>Cat Viper</t>
  </si>
  <si>
    <t>When there are 90 seconds or less remaining: Reduce damage recieved by 3%.</t>
  </si>
  <si>
    <t>Land of Wano
Kozuki Clan / Kozuki Clan Servant
Royalty / Former Royalty
Minks</t>
  </si>
  <si>
    <t>https://i.postimg.cc/XqCd76Q3/165.png</t>
  </si>
  <si>
    <t>Black Maria</t>
  </si>
  <si>
    <t>https://i.postimg.cc/N0svm192/131.png</t>
  </si>
  <si>
    <t>Duke Dogstorm</t>
  </si>
  <si>
    <t>For 90 seconds after the battle has started: Increase damage dealt by 3%.</t>
  </si>
  <si>
    <t>https://i.postimg.cc/44Dp2nx3/164.png</t>
  </si>
  <si>
    <t>Wildfire</t>
  </si>
  <si>
    <t>https://i.postimg.cc/6QMJ0ynj/130.png</t>
  </si>
  <si>
    <t>Gaimon</t>
  </si>
  <si>
    <t>https://i.postimg.cc/x1RHdRyk/163.png</t>
  </si>
  <si>
    <t>Page One</t>
  </si>
  <si>
    <t>When Treasure Gauge is recovered to 100%: Reduce the cooldown time of Skill 1 by 6%.</t>
  </si>
  <si>
    <t>https://i.postimg.cc/3RWMbYZK/129.png</t>
  </si>
  <si>
    <t>General Franky</t>
  </si>
  <si>
    <t>Punk Hazard
Straw Hat Pirates
Ship Carpenter</t>
  </si>
  <si>
    <t>https://i.postimg.cc/CxYkYtDT/162.png</t>
  </si>
  <si>
    <t>Ulti</t>
  </si>
  <si>
    <t>https://i.postimg.cc/nzWyygdq/128.png</t>
  </si>
  <si>
    <t>God Usopp</t>
  </si>
  <si>
    <t>https://i.postimg.cc/qBh8G20Y/161.png</t>
  </si>
  <si>
    <t>Otama</t>
  </si>
  <si>
    <t>When an ally is KO`d (not including you): Recover HP by 2%.</t>
  </si>
  <si>
    <t>https://i.postimg.cc/QVGRt5Zt/127.png</t>
  </si>
  <si>
    <t>Assistant Fish_Man
Karate Master</t>
  </si>
  <si>
    <t>When your team has less Treasure secured: Boost the cooldown reduction speed of dodge by 13%.</t>
  </si>
  <si>
    <t>Dressrosa
Revolutionary Army
Fish_Man Karate</t>
  </si>
  <si>
    <t>https://i.postimg.cc/hPVTkgX1/160.png</t>
  </si>
  <si>
    <t>Ace
(Land of Wano)</t>
  </si>
  <si>
    <t>https://i.postimg.cc/pVhrmHtb/126.png</t>
  </si>
  <si>
    <t>Carrot</t>
  </si>
  <si>
    <t>https://i.postimg.cc/GpmDTyqX/159.png</t>
  </si>
  <si>
    <t>Kikunojo
(Child)</t>
  </si>
  <si>
    <t>Land of Wano
Kozuki Clan / Kozuki Clan Servant
Child</t>
  </si>
  <si>
    <t>https://i.postimg.cc/9X6MTnW4/125.png</t>
  </si>
  <si>
    <t>Tremor_Tremor</t>
  </si>
  <si>
    <t>https://i.postimg.cc/tgvx34cp/158.png</t>
  </si>
  <si>
    <t>Izo
(Child)</t>
  </si>
  <si>
    <t>https://i.postimg.cc/4Np31QdW/124.png</t>
  </si>
  <si>
    <t>Hero</t>
  </si>
  <si>
    <t>https://i.postimg.cc/TwZ5sHGs/157.png</t>
  </si>
  <si>
    <t>Buggy
(Child)</t>
  </si>
  <si>
    <t>When performing a Perfect Dodge: CRIT Boosted by 90% for 20 second(s).</t>
  </si>
  <si>
    <t>Paramecia
Child
Roger Pirates / Ex_Roger Pirates</t>
  </si>
  <si>
    <t>https://i.postimg.cc/htgtZQQc/123.png</t>
  </si>
  <si>
    <t>Ashura Doji</t>
  </si>
  <si>
    <t>https://i.postimg.cc/nrB9fYhh/156.png</t>
  </si>
  <si>
    <t>Shanks
(Child)</t>
  </si>
  <si>
    <t>Child
Roger Pirates / Ex_Roger Pirates</t>
  </si>
  <si>
    <t>https://i.postimg.cc/nhkcyVq7/122.png</t>
  </si>
  <si>
    <t>Napping Kyoshiro</t>
  </si>
  <si>
    <t>https://i.postimg.cc/tRxx6yNG/155.png</t>
  </si>
  <si>
    <t>Praline</t>
  </si>
  <si>
    <t>Zou / Whole Cake Island
Charlotte Family
Sun Pirates</t>
  </si>
  <si>
    <t>https://i.postimg.cc/rpwFM69H/121.png</t>
  </si>
  <si>
    <t>Roger</t>
  </si>
  <si>
    <t>https://i.postimg.cc/WbcJ6K5F/154.png</t>
  </si>
  <si>
    <t>Aladdin</t>
  </si>
  <si>
    <t>Zou / Whole Cake Island
Doctor
Sun Pirates</t>
  </si>
  <si>
    <t>https://i.postimg.cc/YSD2SXnC/120.png</t>
  </si>
  <si>
    <t>Chopperemon</t>
  </si>
  <si>
    <t>When you capture the Treasure: Reduce the cooldown time of Skill 1 by 5%.</t>
  </si>
  <si>
    <t>Land of Wano
Straw Hat Pirates
Zoan
Doctor
Ninja</t>
  </si>
  <si>
    <t>https://i.postimg.cc/fT7SHKPH/153.png</t>
  </si>
  <si>
    <t>Pedro
(Whole Cake Island)</t>
  </si>
  <si>
    <t>When inflicted with Shock by enemies: Reduce the cooldown time of Skill 1 by 4%.</t>
  </si>
  <si>
    <t>https://i.postimg.cc/TwZRVKX8/119.png</t>
  </si>
  <si>
    <t>Kawamatsu</t>
  </si>
  <si>
    <t>Land of Wano
Kozuki Clan / Kozuki Clan Servant
Fish_Man</t>
  </si>
  <si>
    <t>https://i.postimg.cc/qvjhr74y/152.png</t>
  </si>
  <si>
    <t>Chopper
(Whole Cake Island)</t>
  </si>
  <si>
    <t>Zou / Whole Cake Island
Straw Hat Pirates
Zoan
Doctor</t>
  </si>
  <si>
    <t>https://i.postimg.cc/FHDNPWQV/118.png</t>
  </si>
  <si>
    <t>Kikunojo</t>
  </si>
  <si>
    <t>https://i.postimg.cc/XvqZY0Yh/151.png</t>
  </si>
  <si>
    <t>Land of the Dead</t>
  </si>
  <si>
    <t>Punk Hazard
Logia</t>
  </si>
  <si>
    <t>https://i.postimg.cc/Dw27PVRz/117.png</t>
  </si>
  <si>
    <t>Kozuki Oden</t>
  </si>
  <si>
    <t>https://i.postimg.cc/pdSm919d/150.png</t>
  </si>
  <si>
    <t>Counter_Shock</t>
  </si>
  <si>
    <t>Punk Hazard
The Seven Warlords of the Sea / Former Warlords of the Sea
Paramecia
Captain
Worst Generation
Heart Pirates</t>
  </si>
  <si>
    <t>https://i.postimg.cc/T1gTCTRK/116.png</t>
  </si>
  <si>
    <t>Cross Fire</t>
  </si>
  <si>
    <t>Whitebeard Pirates
Logia
Whitebeard Pirates Commander
Blood Brothers</t>
  </si>
  <si>
    <t>https://i.postimg.cc/cH8rfMYB/149.png</t>
  </si>
  <si>
    <t>Dellinger</t>
  </si>
  <si>
    <t>When your team loses the Treasure: CRIT Boosted by 90% for 20 second(s).</t>
  </si>
  <si>
    <t>Dressrosa
Diamante Army
Don Quixote Family</t>
  </si>
  <si>
    <t>https://i.postimg.cc/wxmx6Qh9/115.png</t>
  </si>
  <si>
    <t>Sky Walk</t>
  </si>
  <si>
    <t>Zou / Whole Cake Island
Straw Hat Pirates
Cook
Royalty / Former Royalty</t>
  </si>
  <si>
    <t>https://i.postimg.cc/cCRCbxFK/148.png</t>
  </si>
  <si>
    <t>Diamante</t>
  </si>
  <si>
    <t>When Critical occurs: Reduce the cooldown time of Skill 2 by 3%.</t>
  </si>
  <si>
    <t>https://i.postimg.cc/pXMWy5Zz/114.png</t>
  </si>
  <si>
    <t>The Billion_Fold World Trichiliocosm</t>
  </si>
  <si>
    <t>Dressrosa
Straw Hat Pirates
Combatant
Worst Generation</t>
  </si>
  <si>
    <t>https://i.postimg.cc/nVBXz2nH/147.png</t>
  </si>
  <si>
    <t>Buffalo</t>
  </si>
  <si>
    <t>https://i.postimg.cc/dtRqCQHX/113.png</t>
  </si>
  <si>
    <t>Fire_Fist Pistol Red Hawk</t>
  </si>
  <si>
    <t>Dressrosa
Straw Hat Pirates
Paramecia
Captain
Worst Generation
Blood Brothers</t>
  </si>
  <si>
    <t>https://i.postimg.cc/4NGmhc3p/146.png</t>
  </si>
  <si>
    <t>Pica</t>
  </si>
  <si>
    <t>https://i.postimg.cc/fbyZ1czn/112.png</t>
  </si>
  <si>
    <t>Kin``emon</t>
  </si>
  <si>
    <t>https://i.postimg.cc/GmhtX1G2/145.png</t>
  </si>
  <si>
    <t>Izo
(Paramount War)</t>
  </si>
  <si>
    <t>When Respawned: SPD Boosted by 4% for 20 second(s).</t>
  </si>
  <si>
    <t>The Paramount War at Marineford
Whitebeard Pirates</t>
  </si>
  <si>
    <t>https://i.postimg.cc/RFnmZvJg/111.png</t>
  </si>
  <si>
    <t>Pheasant Peck</t>
  </si>
  <si>
    <t>https://i.postimg.cc/Fsx1bKf8/144.png</t>
  </si>
  <si>
    <t>Vista
(Paramount War)</t>
  </si>
  <si>
    <t>After KOing an enemy: CRIT Boosted by 120% for 20 second(s).</t>
  </si>
  <si>
    <t>https://i.postimg.cc/L5KpqGz2/110.png</t>
  </si>
  <si>
    <t>Smoker
(Chambres)</t>
  </si>
  <si>
    <t>Punk Hazard
Navy
Vice Admiral
Chambres</t>
  </si>
  <si>
    <t>https://i.postimg.cc/t4STfmNz/143.png</t>
  </si>
  <si>
    <t>Ronin</t>
  </si>
  <si>
    <t>When an ally is KO`d (not including you): Reduce the cooldown time of Skill 1 by 4%.</t>
  </si>
  <si>
    <t>https://i.postimg.cc/yxmz0nP9/109.png</t>
  </si>
  <si>
    <t>Spiky Shadow Iizard</t>
  </si>
  <si>
    <t>The Paramount War at Marineford
The Seven Warlords of the Sea / Former Warlords of the Sea
Paramecia
Captain
Thriller Bark Pirates</t>
  </si>
  <si>
    <t>https://i.postimg.cc/YSv9wfXB/142.png</t>
  </si>
  <si>
    <t>Soba Cart Cook</t>
  </si>
  <si>
    <t>https://i.postimg.cc/qBy0fMTR/108.png</t>
  </si>
  <si>
    <t>Crescent Cutlass</t>
  </si>
  <si>
    <t>The Paramount War at Marineford
Logia
The Seven Warlords of the Sea / Former Warlords of the Sea</t>
  </si>
  <si>
    <t>https://i.postimg.cc/N0Z0G9V9/141.png</t>
  </si>
  <si>
    <t>Chaka</t>
  </si>
  <si>
    <t>When Critical occurs: Reduce the cooldown time of Skill 1 by 2%.</t>
  </si>
  <si>
    <t>https://i.postimg.cc/4N1gdLnR/107.png</t>
  </si>
  <si>
    <t>Negative Ghost</t>
  </si>
  <si>
    <t>Paramecia
Thriller Bark Pirates</t>
  </si>
  <si>
    <t>https://i.postimg.cc/C1DxRMTv/140.png</t>
  </si>
  <si>
    <t>Cobra</t>
  </si>
  <si>
    <t>Alabasta
Royalty / Former Royalty
Alabasta Kingdom</t>
  </si>
  <si>
    <t>https://i.postimg.cc/65KKBJWh/106.png</t>
  </si>
  <si>
    <t>Perfume Femur</t>
  </si>
  <si>
    <t>Sabaody Archipelago / Island of Women
The Seven Warlords of the Sea / Former Warlords of the Sea
Kuja Pirates
Paramecia
Captain
Gorgon Sisters</t>
  </si>
  <si>
    <t>https://i.postimg.cc/prHXzNPP/139.png</t>
  </si>
  <si>
    <t>Ms. Doublefinger</t>
  </si>
  <si>
    <t>Alabasta
Baroque Works
Paramecia
Officer Agent</t>
  </si>
  <si>
    <t>https://i.postimg.cc/XY70yfyG/105.png</t>
  </si>
  <si>
    <t>The Master Swordman</t>
  </si>
  <si>
    <t>The Seven Warlords of the Sea / Former Warlords of the Sea</t>
  </si>
  <si>
    <t>https://i.postimg.cc/cCB1cDJw/138.png</t>
  </si>
  <si>
    <t>Daz Bonez</t>
  </si>
  <si>
    <t>When your allies are not near the Treasure area where you are at: Increase damage dealt by 5%.</t>
  </si>
  <si>
    <t>Alabasta
Baroque Works
Paramecia
Officer Agent
Bounty Hunter</t>
  </si>
  <si>
    <t>https://i.postimg.cc/x1xVGXKs/104.png</t>
  </si>
  <si>
    <t>Caesar</t>
  </si>
  <si>
    <t>https://i.postimg.cc/jqHjKjh2/137.png</t>
  </si>
  <si>
    <t>Ms. Valentine</t>
  </si>
  <si>
    <t>When your team has less Treasure secured: Boost the cooldown reduction speed of Skill 2 by 10%.</t>
  </si>
  <si>
    <t>https://i.postimg.cc/MGn29z5z/103.png</t>
  </si>
  <si>
    <t>Chop_Chop</t>
  </si>
  <si>
    <t>Buggy`s Delivery
The Seven Warlords of the Sea / Former Warlords of the Sea
Paramecia
Captain
Roger Pirates / Ex_Roger Pirates</t>
  </si>
  <si>
    <t>https://i.postimg.cc/8PTzCVyH/136.png</t>
  </si>
  <si>
    <t>Mr. 5</t>
  </si>
  <si>
    <t>https://i.postimg.cc/43jCMj2V/102.png</t>
  </si>
  <si>
    <t>Buzz Cut Mochi</t>
  </si>
  <si>
    <t>https://i.postimg.cc/SNVN2t3p/135.png</t>
  </si>
  <si>
    <t>Bepo</t>
  </si>
  <si>
    <t>After KOing an enemy: Reduce the cooldown time of Skill 2 by 6%.</t>
  </si>
  <si>
    <t>Land of Wano
Navigator
Minks
Heart Pirates</t>
  </si>
  <si>
    <t>https://i.postimg.cc/MZ7kPP7f/101.png</t>
  </si>
  <si>
    <t>Ikoku Sovereignty</t>
  </si>
  <si>
    <t>Zou / Whole Cake Island
Big Mom Pirates
Paramecia
Captain
Royalty / Former Royalty
The Four Emperors
Charlotte Family
Former Rocks Pirates</t>
  </si>
  <si>
    <t>https://i.postimg.cc/2S6j47NL/134.png</t>
  </si>
  <si>
    <t>Kid`s Partner</t>
  </si>
  <si>
    <t>https://i.postimg.cc/NMThwbZV/100.png</t>
  </si>
  <si>
    <t>Corazon</t>
  </si>
  <si>
    <t>Navy
Paramecia
Don Quixote Family</t>
  </si>
  <si>
    <t>https://i.postimg.cc/MpF6tfzP/133.png</t>
  </si>
  <si>
    <t>Heat_Heat</t>
  </si>
  <si>
    <t>https://i.postimg.cc/WzPBpgv4/099.png</t>
  </si>
  <si>
    <t>Rebecca</t>
  </si>
  <si>
    <t>When performing a Perfect Dodge: Reduce the cooldown time of Skill 2 by 3%.</t>
  </si>
  <si>
    <t>https://i.postimg.cc/nL9HWVzH/132.png</t>
  </si>
  <si>
    <t>Puff_Puff</t>
  </si>
  <si>
    <t>https://i.postimg.cc/Y0fJv0rz/098.png</t>
  </si>
  <si>
    <t>Scalpel</t>
  </si>
  <si>
    <t>Dressrosa
The Seven Warlords of the Sea / Former Warlords of the Sea
Paramecia
Captain
Worst Generation
Heart Pirates</t>
  </si>
  <si>
    <t>https://i.postimg.cc/63s9xs2C/131.png</t>
  </si>
  <si>
    <t>Wanda</t>
  </si>
  <si>
    <t>When enemies are inflicted with Shock: SPD Boosted by 6% for 20 second(s).</t>
  </si>
  <si>
    <t>https://i.postimg.cc/GhdWZFK7/097.png</t>
  </si>
  <si>
    <t>Mamaragan</t>
  </si>
  <si>
    <t>https://i.postimg.cc/J0MMtbQn/130.png</t>
  </si>
  <si>
    <t>Shishilian</t>
  </si>
  <si>
    <t>When attacking an enemy inflicted With Shock: Increase damage dealt by 5%.</t>
  </si>
  <si>
    <t>Zou / Whole Cake Island
Mokomo Dukedom Musketeer
Minks</t>
  </si>
  <si>
    <t>https://i.postimg.cc/9Fb6VDNW/096.png</t>
  </si>
  <si>
    <t>Six King Pistol</t>
  </si>
  <si>
    <t>Reverie
Cipher Pol
Zoan
Intelligence Agent
Six Powers</t>
  </si>
  <si>
    <t>https://i.postimg.cc/DZq72CLH/129.png</t>
  </si>
  <si>
    <t>Robiland</t>
  </si>
  <si>
    <t>When there are 60 seconds or less remaining: Boost the cooldown reduction speed of Skill 2 by 10%.</t>
  </si>
  <si>
    <t>Dressrosa
Straw Hat Pirates
Paramecia
Archaeologist</t>
  </si>
  <si>
    <t>https://i.postimg.cc/HkLfLTfb/095.png</t>
  </si>
  <si>
    <t>Sumo Slap</t>
  </si>
  <si>
    <t>When in the Treasure Area: Increase damage dealt to Defenders by 5%.</t>
  </si>
  <si>
    <t>https://i.postimg.cc/6qcwZyHh/128.png</t>
  </si>
  <si>
    <t>Lucy
(Luffy)</t>
  </si>
  <si>
    <t>https://i.postimg.cc/3xbz4PTV/094.png</t>
  </si>
  <si>
    <t>Ninpo Iightning Blast</t>
  </si>
  <si>
    <t>https://i.postimg.cc/9FXchYMg/127.png</t>
  </si>
  <si>
    <t>Pedro</t>
  </si>
  <si>
    <t>https://i.postimg.cc/KztWWjMh/093.png</t>
  </si>
  <si>
    <t>Drake</t>
  </si>
  <si>
    <t>Land of Wano
Animal Kingdom Pirates
Zoan
Tobi Roppo
Worst Generation</t>
  </si>
  <si>
    <t>https://i.postimg.cc/jq4RmFsJ/126.png</t>
  </si>
  <si>
    <t>Pekoms</t>
  </si>
  <si>
    <t>When your allies are not near the Treasure area where you are at: Boost the cooldown reduction speed of dodge by 13%.</t>
  </si>
  <si>
    <t>https://i.postimg.cc/GpWNzG9j/092.png</t>
  </si>
  <si>
    <t>Repel</t>
  </si>
  <si>
    <t>Kid Pirates
Paramecia
Captain
Worst Generation</t>
  </si>
  <si>
    <t>https://i.postimg.cc/0ybx657p/125.png</t>
  </si>
  <si>
    <t>Vice Admiral Tsuru</t>
  </si>
  <si>
    <t>Navy
Paramecia
Vice Admiral</t>
  </si>
  <si>
    <t>https://i.postimg.cc/2ymtNYQb/091.png</t>
  </si>
  <si>
    <t>Killer</t>
  </si>
  <si>
    <t>Kid Pirates
Combatant
Worst Generation</t>
  </si>
  <si>
    <t>https://i.postimg.cc/pL4vKNB3/124.png</t>
  </si>
  <si>
    <t>Admiral Sengoku</t>
  </si>
  <si>
    <t>When performing a Perfect Dodge: Reduce the cooldown time of Skill 1 by 6%.</t>
  </si>
  <si>
    <t>Navy
Zoan
Navy Admiral / Former Navy Admiral</t>
  </si>
  <si>
    <t>https://i.postimg.cc/ZqB2rVYR/090.png</t>
  </si>
  <si>
    <t>Apoo</t>
  </si>
  <si>
    <t>Paramecia
Captain
Worst Generation</t>
  </si>
  <si>
    <t>https://i.postimg.cc/hGmBrCyv/123.png</t>
  </si>
  <si>
    <t>Veteran Kunoichi</t>
  </si>
  <si>
    <t>Land of Wano
Kozuki Clan / Kozuki Clan Servant
Ninja</t>
  </si>
  <si>
    <t>https://i.postimg.cc/j2XFs1c8/089.png</t>
  </si>
  <si>
    <t>Urouge</t>
  </si>
  <si>
    <t>Captain
Worst Generation</t>
  </si>
  <si>
    <t>https://i.postimg.cc/XJ00Dwm8/122.png</t>
  </si>
  <si>
    <t>Raizo of the Mist</t>
  </si>
  <si>
    <t>https://i.postimg.cc/nVY5Ysxv/088.png</t>
  </si>
  <si>
    <t>Sengoku</t>
  </si>
  <si>
    <t>The Paramount War at Marineford
Navy
Zoan
Fleet Admiral
Navy Admiral / Former Navy Admiral</t>
  </si>
  <si>
    <t>https://i.postimg.cc/Y9fwcvww/121.png</t>
  </si>
  <si>
    <t>The Strongest Creature</t>
  </si>
  <si>
    <t>Land of Wano
Animal Kingdom Pirates
Captain
The Four Emperors</t>
  </si>
  <si>
    <t>https://i.postimg.cc/Fsr6P9Fw/087.png</t>
  </si>
  <si>
    <t>Rayleigh</t>
  </si>
  <si>
    <t>https://i.postimg.cc/mkLWTTb1/120.png</t>
  </si>
  <si>
    <t>Hiyori</t>
  </si>
  <si>
    <t>When you capture the Treasure: Reduce the cooldown time of Skill 2 by 5%.</t>
  </si>
  <si>
    <t>https://i.postimg.cc/9FLnKvr0/086.png</t>
  </si>
  <si>
    <t>King Cobra</t>
  </si>
  <si>
    <t>Zou / Whole Cake Island
Straw Hat Pirates
Paramecia
Captain
Worst Generation
Blood Brothers</t>
  </si>
  <si>
    <t>https://i.postimg.cc/MH92TgTP/119.png</t>
  </si>
  <si>
    <t>Momonosuke</t>
  </si>
  <si>
    <t>https://i.postimg.cc/HkjhgBy2/085.png</t>
  </si>
  <si>
    <t>Ivankov</t>
  </si>
  <si>
    <t>When an ally is KO`d (not including you): Reduce the cooldown time of Skill 1 by 8%.</t>
  </si>
  <si>
    <t>Impel Down
Revolutionary Army
Paramecia
Royalty / Former Royalty
New Kama</t>
  </si>
  <si>
    <t>https://i.postimg.cc/Y2RwbL36/118.png</t>
  </si>
  <si>
    <t>Toad_Oil Salesman</t>
  </si>
  <si>
    <t>https://i.postimg.cc/K8VsvB7y/084.png</t>
  </si>
  <si>
    <t>Magellan</t>
  </si>
  <si>
    <t>Impel Down
Paramecia</t>
  </si>
  <si>
    <t>https://i.postimg.cc/vB80BTVy/117.png</t>
  </si>
  <si>
    <t>Carpenter</t>
  </si>
  <si>
    <t>When performing a Perfect Dodge: CRIT Boosted by 80% for 20 second(s).</t>
  </si>
  <si>
    <t>https://i.postimg.cc/R0Hp3hGJ/083.png</t>
  </si>
  <si>
    <t>Mad Dog of the Navy</t>
  </si>
  <si>
    <t>When there are 60 seconds or less remaining: Increase damage dealt by 5%.</t>
  </si>
  <si>
    <t>Punk Hazard
Navy
Logia
Vice Admiral</t>
  </si>
  <si>
    <t>https://i.postimg.cc/7YQryvjb/116.png</t>
  </si>
  <si>
    <t>Sanji
(Chambres)</t>
  </si>
  <si>
    <t>When Critical occurs: Recover HP by 1%.</t>
  </si>
  <si>
    <t>Punk Hazard
Straw Hat Pirates
Cook
Chambres</t>
  </si>
  <si>
    <t>https://i.postimg.cc/k4P1WCh1/082.png</t>
  </si>
  <si>
    <t>Cutting Mist</t>
  </si>
  <si>
    <t>When your team has less Treasure secured: Boost the cooldown reduction speed of Skill 1 by 10%.</t>
  </si>
  <si>
    <t>Punk Hazard
Navy
Navy Captain</t>
  </si>
  <si>
    <t>https://i.postimg.cc/Nj9qsJwD/115.png</t>
  </si>
  <si>
    <t>Tashigi
(Chambres)</t>
  </si>
  <si>
    <t>Punk Hazard
Navy
Logia
Navy Captain
Chambres</t>
  </si>
  <si>
    <t>https://i.postimg.cc/fL7HKPGw/081.png</t>
  </si>
  <si>
    <t>Hina</t>
  </si>
  <si>
    <t>Reverie
Navy
Paramecia</t>
  </si>
  <si>
    <t>https://i.postimg.cc/Nj3h56sc/114.png</t>
  </si>
  <si>
    <t>Marigold</t>
  </si>
  <si>
    <t>Sabaody Archipelago / Island of Women
Kuja Pirates
Zoan
Gorgon Sisters</t>
  </si>
  <si>
    <t>https://i.postimg.cc/5yxsk3J8/080.png</t>
  </si>
  <si>
    <t>The Demon Heir</t>
  </si>
  <si>
    <t>STAMPEDE
Paramecia
Roger Pirates / Ex_Roger Pirates</t>
  </si>
  <si>
    <t>https://i.postimg.cc/PqYgZCJ8/113.png</t>
  </si>
  <si>
    <t>Sandersonia</t>
  </si>
  <si>
    <t>https://i.postimg.cc/hvp2Fd46/079.png</t>
  </si>
  <si>
    <t>Fire Bird</t>
  </si>
  <si>
    <t>Water 7 / Enies Lobby
Straw Hat Pirates
Sharp Shooter</t>
  </si>
  <si>
    <t>https://i.postimg.cc/G2RZjbTg/112.png</t>
  </si>
  <si>
    <t>Iron Mace</t>
  </si>
  <si>
    <t>Buggy`s Delivery
Paramecia</t>
  </si>
  <si>
    <t>https://i.postimg.cc/5937QZ5g/078.png</t>
  </si>
  <si>
    <t>Kaku</t>
  </si>
  <si>
    <t>When using Skill 1: SPD Boosted by 6% for 20 second(s).</t>
  </si>
  <si>
    <t>https://i.postimg.cc/1X52LMHp/111.png</t>
  </si>
  <si>
    <t>Loan Shark</t>
  </si>
  <si>
    <t>https://i.postimg.cc/pXL0fqqH/077.png</t>
  </si>
  <si>
    <t>Lucci</t>
  </si>
  <si>
    <t>https://i.postimg.cc/9XJvG5m1/110.png</t>
  </si>
  <si>
    <t>Truly Favored Sister</t>
  </si>
  <si>
    <t>Zou / Whole Cake Island
Big Mom Pirates
Charlotte Family</t>
  </si>
  <si>
    <t>https://i.postimg.cc/02XVcDBJ/076.png</t>
  </si>
  <si>
    <t>Flame Dragon King</t>
  </si>
  <si>
    <t>Dressrosa
Revolutionary Army
Logia
Chief of Staff
Blood Brothers</t>
  </si>
  <si>
    <t>https://i.postimg.cc/sDLqNYZh/109.png</t>
  </si>
  <si>
    <t>Mirror_Mirror</t>
  </si>
  <si>
    <t>https://i.postimg.cc/zGL0Mvs2/075.png</t>
  </si>
  <si>
    <t>Fujitora</t>
  </si>
  <si>
    <t>https://i.postimg.cc/5NyDg7jJ/108.png</t>
  </si>
  <si>
    <t>Hobby_Hobby</t>
  </si>
  <si>
    <t>Dressrosa
Paramecia
Don Quixote Family</t>
  </si>
  <si>
    <t>https://i.postimg.cc/DwtBKFFv/074.png</t>
  </si>
  <si>
    <t>Cavendish</t>
  </si>
  <si>
    <t>https://i.postimg.cc/sgZqdMp0/107.png</t>
  </si>
  <si>
    <t>Stick_Stick</t>
  </si>
  <si>
    <t>When an ally is KO`d (not including you): Reduce the cooldown time of Skill 2 by 8%.</t>
  </si>
  <si>
    <t>https://i.postimg.cc/9fZ1mSFG/073.png</t>
  </si>
  <si>
    <t>Bartolomeo</t>
  </si>
  <si>
    <t>https://i.postimg.cc/s2d8V3mf/106.png</t>
  </si>
  <si>
    <t>Former CP9 Director</t>
  </si>
  <si>
    <t>Dressrosa
Cipher Pol
Intelligence Agent</t>
  </si>
  <si>
    <t>https://i.postimg.cc/63Kcy0yF/072.png</t>
  </si>
  <si>
    <t>Jet Rocket</t>
  </si>
  <si>
    <t>The Paramount War at Marineford
Straw Hat Pirates
Paramecia
Captain
Worst Generation
Blood Brothers</t>
  </si>
  <si>
    <t>https://i.postimg.cc/ZRJMdjX1/105.png</t>
  </si>
  <si>
    <t>Queen of the Pleasure District</t>
  </si>
  <si>
    <t>Zou / Whole Cake Island
Cipher Pol
Intelligence Agent
Six Powers</t>
  </si>
  <si>
    <t>https://i.postimg.cc/ydTP9ZRx/071.png</t>
  </si>
  <si>
    <t>Griffon</t>
  </si>
  <si>
    <t>The Paramount War at Marineford
Red_Haired Pirates
Captain
The Four Emperors
Roger Pirates / Ex_Roger Pirates</t>
  </si>
  <si>
    <t>https://i.postimg.cc/ydnrXcHW/104.png</t>
  </si>
  <si>
    <t>Geisha</t>
  </si>
  <si>
    <t>When in the area around your enemy`s Treasure: Reduce damage recieved by 3%.</t>
  </si>
  <si>
    <t>https://i.postimg.cc/j2g43YZr/070.png</t>
  </si>
  <si>
    <t>Teech</t>
  </si>
  <si>
    <t>The Paramount War at Marineford
The Seven Warlords of the Sea / Former Warlords of the Sea
Logia
Captain
Worst Generation
Blackbeard Pirates</t>
  </si>
  <si>
    <t>https://i.postimg.cc/kG4YjGJs/103.png</t>
  </si>
  <si>
    <t>Starving Skeleton</t>
  </si>
  <si>
    <t>https://i.postimg.cc/prXBBLQZ/069.png</t>
  </si>
  <si>
    <t>Garp</t>
  </si>
  <si>
    <t>The Paramount War at Marineford
Navy
Vice Admiral</t>
  </si>
  <si>
    <t>https://i.postimg.cc/Gt576R9C/102.png</t>
  </si>
  <si>
    <t>Conney</t>
  </si>
  <si>
    <t>When your HP is 30% or less: CRIT Boosted by 60% for 20 second(s).</t>
  </si>
  <si>
    <t>Reverie
Bonney Pirates
Paramecia
Captain
Worst Generation</t>
  </si>
  <si>
    <t>https://i.postimg.cc/1RJB3DPY/068.png</t>
  </si>
  <si>
    <t>Marco</t>
  </si>
  <si>
    <t>The Paramount War at Marineford
Whitebeard Pirates
Zoan
Doctor
Whitebeard Pirates Commander</t>
  </si>
  <si>
    <t>https://i.postimg.cc/8P7nM7nP/101.png</t>
  </si>
  <si>
    <t>Straw_Straw</t>
  </si>
  <si>
    <t>Land of Wano
Paramecia
Captain
Worst Generation</t>
  </si>
  <si>
    <t>https://i.postimg.cc/m2kwzhgZ/067.png</t>
  </si>
  <si>
    <t>Flame Emperor</t>
  </si>
  <si>
    <t>When attacked by an enemy: 30% chance to, Nullify Aflame.</t>
  </si>
  <si>
    <t>The Paramount War at Marineford
Whitebeard Pirates
Logia
Whitebeard Pirates Commander
Blood Brothers</t>
  </si>
  <si>
    <t>https://i.postimg.cc/HWZhrwzh/100.png</t>
  </si>
  <si>
    <t>Napoleon</t>
  </si>
  <si>
    <t>Zou / Whole Cake Island
Big Mom Pirates
Homies</t>
  </si>
  <si>
    <t>https://i.postimg.cc/fTPvxZVc/066.png</t>
  </si>
  <si>
    <t>Kaido</t>
  </si>
  <si>
    <t>https://i.postimg.cc/vHC2zGp7/099.png</t>
  </si>
  <si>
    <t>Prometheus</t>
  </si>
  <si>
    <t>https://i.postimg.cc/VkbWgTt3/065.png</t>
  </si>
  <si>
    <t>Cuerpo Fleurs</t>
  </si>
  <si>
    <t>Holy Night
Straw Hat Pirates
Paramecia
Archaeologist</t>
  </si>
  <si>
    <t>https://i.postimg.cc/3xpSfPTs/098.png</t>
  </si>
  <si>
    <t>Zeus</t>
  </si>
  <si>
    <t>When attacked by an enemy: 30% chance to, Nullify Shock.</t>
  </si>
  <si>
    <t>https://i.postimg.cc/DzkdMgdm/064.png</t>
  </si>
  <si>
    <t>Nipple Iight</t>
  </si>
  <si>
    <t>Holy Night
Straw Hat Pirates
Ship Carpenter</t>
  </si>
  <si>
    <t>https://i.postimg.cc/6QXHkY6y/097.png</t>
  </si>
  <si>
    <t>Clank_Clank</t>
  </si>
  <si>
    <t>When your team has more Treasure secured: Boost the cooldown reduction speed of Skill 1 by 13%.</t>
  </si>
  <si>
    <t>https://i.postimg.cc/XvfcSCQL/063.png</t>
  </si>
  <si>
    <t>Snow Creature</t>
  </si>
  <si>
    <t>Holy Night
Straw Hat Pirates
Zoan
Doctor</t>
  </si>
  <si>
    <t>https://i.postimg.cc/257Hrh3T/096.png</t>
  </si>
  <si>
    <t>Law
(STAMPEDE)</t>
  </si>
  <si>
    <t>When inflicted with Tremor by enemies: Reduce the cooldown time of Skill 2 by 6%.</t>
  </si>
  <si>
    <t>STAMPEDE
Paramecia
Captain
Worst Generation
Heart Pirates</t>
  </si>
  <si>
    <t>https://i.postimg.cc/FRhb9H64/062.png</t>
  </si>
  <si>
    <t>Kuma</t>
  </si>
  <si>
    <t>Thriller Bark
The Seven Warlords of the Sea / Former Warlords of the Sea
Revolutionary Army
Paramecia
Royalty / Former Royalty</t>
  </si>
  <si>
    <t>https://i.postimg.cc/DZCBbhrX/095.png</t>
  </si>
  <si>
    <t>Usopp
(STAMPEDE)</t>
  </si>
  <si>
    <t>When there are 60 seconds or less remaining: Boost capture speed by 8%.</t>
  </si>
  <si>
    <t>STAMPEDE
Straw Hat Pirates
Sharp Shooter</t>
  </si>
  <si>
    <t>https://i.postimg.cc/d1n2DKMT/061.png</t>
  </si>
  <si>
    <t>Reiju</t>
  </si>
  <si>
    <t>https://i.postimg.cc/qB51JkMf/094.png</t>
  </si>
  <si>
    <t>Bubble_Bubble</t>
  </si>
  <si>
    <t>https://i.postimg.cc/ZnRrdDZs/060.png</t>
  </si>
  <si>
    <t>Bege</t>
  </si>
  <si>
    <t>Zou / Whole Cake Island
Firetank Pirates
Paramecia
Captain
Worst Generation</t>
  </si>
  <si>
    <t>https://i.postimg.cc/x8h5tPFj/093.png</t>
  </si>
  <si>
    <t>Wolf</t>
  </si>
  <si>
    <t>https://i.postimg.cc/FzB0ggHr/059.png</t>
  </si>
  <si>
    <t>Boeuf Jarret Jarrer</t>
  </si>
  <si>
    <t>https://i.postimg.cc/JzwKXPkP/092.png</t>
  </si>
  <si>
    <t>Happosui Army</t>
  </si>
  <si>
    <t>https://i.postimg.cc/Kcq72Fr6/058.png</t>
  </si>
  <si>
    <t>Jinbe</t>
  </si>
  <si>
    <t>When your team has less Treasure secured: Increase damage dealt by 5%.</t>
  </si>
  <si>
    <t>The Paramount War at Marineford
The Seven Warlords of the Sea / Former Warlords of the Sea
Captain
Fish_Man
Fish_Man Karate
Sun Pirates</t>
  </si>
  <si>
    <t>https://i.postimg.cc/8Pftsqj7/091.png</t>
  </si>
  <si>
    <t>Warrior</t>
  </si>
  <si>
    <t>When your HP is 30% or less: Boost the cooldown reduction speed of Skill 1 by 13%.</t>
  </si>
  <si>
    <t>Dressrosa
Paramecia
Captain
Straw Hat Fleet</t>
  </si>
  <si>
    <t>https://i.postimg.cc/TYKV2Stp/057.png</t>
  </si>
  <si>
    <t>Bride</t>
  </si>
  <si>
    <t>When attacking an enemy: 1% chance to, Inflict Shock for 5 second(s).</t>
  </si>
  <si>
    <t>Thriller Bark
Straw Hat Pirates
Navigator</t>
  </si>
  <si>
    <t>https://i.postimg.cc/sgpm47Py/090.png</t>
  </si>
  <si>
    <t>Champion</t>
  </si>
  <si>
    <t>When there are 60 seconds or less remaining: Reduce damage recieved by 5%.</t>
  </si>
  <si>
    <t>https://i.postimg.cc/bN4QZT5L/056.png</t>
  </si>
  <si>
    <t>Perona</t>
  </si>
  <si>
    <t>Thriller Bark
Paramecia
Thriller Bark Pirates</t>
  </si>
  <si>
    <t>https://i.postimg.cc/JhMq60KX/089.png</t>
  </si>
  <si>
    <t>Rain</t>
  </si>
  <si>
    <t>When Critical occurs: Reduce the cooldown time of Skill 1 by 5%.</t>
  </si>
  <si>
    <t>https://i.postimg.cc/GmYvGDwR/055.png</t>
  </si>
  <si>
    <t>Ryuma</t>
  </si>
  <si>
    <t>Thriller Bark
Zombie
Thriller Bark Pirates</t>
  </si>
  <si>
    <t>https://i.postimg.cc/8C4bqGn0/088.png</t>
  </si>
  <si>
    <t>Pursuer</t>
  </si>
  <si>
    <t>When inflicted with Aflame by enemies: Reduce the cooldown time of Skill 1 by 6%.</t>
  </si>
  <si>
    <t>The Paramount War at Marineford
Red_Haired Pirates
Sharp Shooter</t>
  </si>
  <si>
    <t>https://i.postimg.cc/7Lk0VLw2/054.png</t>
  </si>
  <si>
    <t>Nightmare</t>
  </si>
  <si>
    <t>Thriller Bark
Straw Hat Pirates
Paramecia
Captain
Blood Brothers</t>
  </si>
  <si>
    <t>https://i.postimg.cc/HxLtmNqs/087.png</t>
  </si>
  <si>
    <t>Beckman</t>
  </si>
  <si>
    <t>When inflicted with Freeze by enemies: Recover HP by 5%.</t>
  </si>
  <si>
    <t>The Paramount War at Marineford
Red_Haired Pirates</t>
  </si>
  <si>
    <t>https://i.postimg.cc/cJBY5NL5/053.png</t>
  </si>
  <si>
    <t>Katakuri</t>
  </si>
  <si>
    <t>https://i.postimg.cc/prhYhFVw/086.png</t>
  </si>
  <si>
    <t>Drought</t>
  </si>
  <si>
    <t>https://i.postimg.cc/G23DWSB3/052.png</t>
  </si>
  <si>
    <t>Big Mom</t>
  </si>
  <si>
    <t>https://i.postimg.cc/WzBmM1hh/085.png</t>
  </si>
  <si>
    <t>Plague</t>
  </si>
  <si>
    <t>https://i.postimg.cc/gJMhmqRV/051.png</t>
  </si>
  <si>
    <t>Ultra Tiger Hunt</t>
  </si>
  <si>
    <t>https://i.postimg.cc/NG5W7CKc/084.png</t>
  </si>
  <si>
    <t>Koala</t>
  </si>
  <si>
    <t>When your allies are not near the Treasure area where you are at: Increase damage dealt by 3%.</t>
  </si>
  <si>
    <t>Revolutionary Army
Fish_Man Karate</t>
  </si>
  <si>
    <t>https://i.postimg.cc/yxkZdgXw/050.png</t>
  </si>
  <si>
    <t>Hawkins</t>
  </si>
  <si>
    <t>Land of Wano
Animal Kingdom Pirates
Paramecia
Headliner
Worst Generation</t>
  </si>
  <si>
    <t>https://i.postimg.cc/3rVzLjGD/083.png</t>
  </si>
  <si>
    <t>Miracle Worker</t>
  </si>
  <si>
    <t>Revolutionary Army
Paramecia
New Kama</t>
  </si>
  <si>
    <t>https://i.postimg.cc/fyp00z8k/049.png</t>
  </si>
  <si>
    <t>ROOM</t>
  </si>
  <si>
    <t>https://i.postimg.cc/bNnW4G0V/082.png</t>
  </si>
  <si>
    <t>Chiffon</t>
  </si>
  <si>
    <t>When your team has more Treasure secured: Boost the cooldown reduction speed of Skill 2 by 10%.</t>
  </si>
  <si>
    <t>Zou / Whole Cake Island
Firetank Pirates
Charlotte Family</t>
  </si>
  <si>
    <t>https://i.postimg.cc/PfRD7ydh/048.png</t>
  </si>
  <si>
    <t>Billow_White</t>
  </si>
  <si>
    <t>Dressrosa
The Seven Warlords of the Sea / Former Warlords of the Sea
Paramecia
Captain
Royalty / Former Royalty
Don Quixote Family</t>
  </si>
  <si>
    <t>https://i.postimg.cc/wjdZz60q/081.png</t>
  </si>
  <si>
    <t>Memo_Memo</t>
  </si>
  <si>
    <t>https://i.postimg.cc/MKfBJBGB/047.png</t>
  </si>
  <si>
    <t>King Kong Gun</t>
  </si>
  <si>
    <t>https://i.postimg.cc/9QtSFvnG/080.png</t>
  </si>
  <si>
    <t>Mark_Mark</t>
  </si>
  <si>
    <t>Fish_Man Island
Paramecia
Captain
Fish_Man</t>
  </si>
  <si>
    <t>https://i.postimg.cc/mgxHLrc5/046.png</t>
  </si>
  <si>
    <t>Sabo
(STAMPEDE)</t>
  </si>
  <si>
    <t>When attacking an enemy inflicted With Aflame: Increase damage dealt by 5%.</t>
  </si>
  <si>
    <t>STAMPEDE
Revolutionary Army
Logia
Chief of Staff
Blood Brothers</t>
  </si>
  <si>
    <t>https://i.postimg.cc/jjx1WZpB/079.png</t>
  </si>
  <si>
    <t>Hody</t>
  </si>
  <si>
    <t>Fish_Man Island
Captain
Fish_Man</t>
  </si>
  <si>
    <t>https://i.postimg.cc/x1KbcSMT/045.png</t>
  </si>
  <si>
    <t>Luffy
(STAMPEDE)</t>
  </si>
  <si>
    <t>When your allies are near the Treasure area where you are at: Boost capture speed by 6%.</t>
  </si>
  <si>
    <t>STAMPEDE
Straw Hat Pirates
Paramecia
Captain
Worst Generation
Blood Brothers</t>
  </si>
  <si>
    <t>https://i.postimg.cc/vm0N55MT/078.png</t>
  </si>
  <si>
    <t>Wild Zombie</t>
  </si>
  <si>
    <t>When an ally is KO`d (not including you): Reduce the cooldown time of Skill 1 by 3%.</t>
  </si>
  <si>
    <t>https://i.postimg.cc/jjtnfk46/044.png</t>
  </si>
  <si>
    <t>Smoker
(STAMPEDE)</t>
  </si>
  <si>
    <t>STAMPEDE
Navy
Logia</t>
  </si>
  <si>
    <t>https://i.postimg.cc/W3tf8tbn/077.png</t>
  </si>
  <si>
    <t>Genie</t>
  </si>
  <si>
    <t>https://i.postimg.cc/SKd2f7gB/043.png</t>
  </si>
  <si>
    <t>Fire Pillar</t>
  </si>
  <si>
    <t>https://i.postimg.cc/pT7c6xmt/076.png</t>
  </si>
  <si>
    <t>Bis_Bis</t>
  </si>
  <si>
    <t>https://i.postimg.cc/fLb32tFJ/042.png</t>
  </si>
  <si>
    <t>Sables</t>
  </si>
  <si>
    <t>When attacking an enemy: 1% chance to, Inflict Poison for 14 second(s).</t>
  </si>
  <si>
    <t>Impel Down
Logia
The Seven Warlords of the Sea / Former Warlords of the Sea</t>
  </si>
  <si>
    <t>https://i.postimg.cc/907g3S9w/075.png</t>
  </si>
  <si>
    <t>Wring_Wring</t>
  </si>
  <si>
    <t>https://i.postimg.cc/NMPKWGqb/041.png</t>
  </si>
  <si>
    <t>Bikini Hancock</t>
  </si>
  <si>
    <t>Bikini
The Seven Warlords of the Sea / Former Warlords of the Sea
Kuja Pirates
Paramecia
Captain
Gorgon Sisters</t>
  </si>
  <si>
    <t>https://i.postimg.cc/RCkb1Sr7/074.png</t>
  </si>
  <si>
    <t>Evening Shower</t>
  </si>
  <si>
    <t>When in the area around your enemy`s Treasure: Boost the cooldown reduction speed of dodge by 13%.</t>
  </si>
  <si>
    <t>https://i.postimg.cc/brDZ8XqP/040.png</t>
  </si>
  <si>
    <t>Bikini Nami</t>
  </si>
  <si>
    <t>Bikini
Straw Hat Pirates
Navigator</t>
  </si>
  <si>
    <t>https://i.postimg.cc/3J2fns7P/073.png</t>
  </si>
  <si>
    <t>Foxfire</t>
  </si>
  <si>
    <t>When performing a Perfect Dodge: Reduce the cooldown time of Skill 2 by 6%.</t>
  </si>
  <si>
    <t>https://i.postimg.cc/hvkftCGd/039.png</t>
  </si>
  <si>
    <t>Radical</t>
  </si>
  <si>
    <t>2 Years Later
Straw Hat Pirates
Ship Carpenter</t>
  </si>
  <si>
    <t>https://i.postimg.cc/W1jWK51t/072.png</t>
  </si>
  <si>
    <t>Gas_Gas</t>
  </si>
  <si>
    <t>Dressrosa
Logia</t>
  </si>
  <si>
    <t>https://i.postimg.cc/RCy3d0TZ/038.png</t>
  </si>
  <si>
    <t>Blizzard Slice</t>
  </si>
  <si>
    <t>2 Years Later
Straw Hat Pirates
Paramecia
Musician</t>
  </si>
  <si>
    <t>https://i.postimg.cc/k5gjMD8m/071.png</t>
  </si>
  <si>
    <t>Vergo</t>
  </si>
  <si>
    <t>Dressrosa
Navy
Don Quixote Family</t>
  </si>
  <si>
    <t>https://i.postimg.cc/02SzBqtd/037.png</t>
  </si>
  <si>
    <t>Mille Fleurs</t>
  </si>
  <si>
    <t>2 Years Later
Straw Hat Pirates
Paramecia
Archaeologist</t>
  </si>
  <si>
    <t>https://i.postimg.cc/VNZKJ1Bb/070.png</t>
  </si>
  <si>
    <t>Ann</t>
  </si>
  <si>
    <t>When there are 90 seconds or more remaining: Increase damage dealt by 3%.</t>
  </si>
  <si>
    <t>STAMPEDE
Paramecia</t>
  </si>
  <si>
    <t>https://i.postimg.cc/QdrFLnwL/036.png</t>
  </si>
  <si>
    <t>Bed Rest</t>
  </si>
  <si>
    <t>When your team has less Treasure secured: Reduce damage recieved by 5%.</t>
  </si>
  <si>
    <t>2 Years Later
Straw Hat Pirates
Zoan
Doctor</t>
  </si>
  <si>
    <t>https://i.postimg.cc/QtB05P0Y/069.png</t>
  </si>
  <si>
    <t>Lucci
(STAMPEDE)</t>
  </si>
  <si>
    <t>STAMPEDE
Zoan</t>
  </si>
  <si>
    <t>https://i.postimg.cc/PqSJwfxh/035.png</t>
  </si>
  <si>
    <t>Kizaru</t>
  </si>
  <si>
    <t>When attacked by an enemy: 30% chance to, Nullify Stun.</t>
  </si>
  <si>
    <t>The Paramount War at Marineford
Navy
Logia
Navy Admiral / Former Navy Admiral</t>
  </si>
  <si>
    <t>https://i.postimg.cc/76pXNVRH/068.png</t>
  </si>
  <si>
    <t>Tashigi
(STAMPEDE)</t>
  </si>
  <si>
    <t>When your HP is 30% or less: Reduce damage recieved by 3%.</t>
  </si>
  <si>
    <t>STAMPEDE
Navy
Navy Captain</t>
  </si>
  <si>
    <t>https://i.postimg.cc/xCqCyrJm/034.png</t>
  </si>
  <si>
    <t>Bonney</t>
  </si>
  <si>
    <t>Sabaody Archipelago / Island of Women
Bonney Pirates
Paramecia
Captain
Worst Generation</t>
  </si>
  <si>
    <t>https://i.postimg.cc/cCwhk3qQ/067.png</t>
  </si>
  <si>
    <t>Festa</t>
  </si>
  <si>
    <t>When Respawned: CRIT Boosted by 80% for 20 second(s).</t>
  </si>
  <si>
    <t xml:space="preserve">STAMPEDE
</t>
  </si>
  <si>
    <t>https://i.postimg.cc/N0sLF2Qp/033.png</t>
  </si>
  <si>
    <t>Green Star</t>
  </si>
  <si>
    <t>2 Years Later
Straw Hat Pirates
Sharp Shooter</t>
  </si>
  <si>
    <t>https://i.postimg.cc/FsbGj0Vv/066.png</t>
  </si>
  <si>
    <t>Bullet
(STAMPEDE)</t>
  </si>
  <si>
    <t>When attacked by an enemy: 30% chance to, Nullify Tremor.</t>
  </si>
  <si>
    <t>https://i.postimg.cc/QdkHjJZF/032.png</t>
  </si>
  <si>
    <t>Concasser</t>
  </si>
  <si>
    <t>When your team loses the Treasure: SPD Boosted by 6% for 20 second(s).</t>
  </si>
  <si>
    <t>2 Years Later
Straw Hat Pirates
Cook</t>
  </si>
  <si>
    <t>https://i.postimg.cc/HkB2NHNP/065.png</t>
  </si>
  <si>
    <t>Genius Jester</t>
  </si>
  <si>
    <t>When an ally is KO`d (not including you): Reduce the cooldown time of Skill 2 by 3%.</t>
  </si>
  <si>
    <t>The Seven Warlords of the Sea / Former Warlords of the Sea
Paramecia
Roger Pirates / Ex_Roger Pirates</t>
  </si>
  <si>
    <t>https://i.postimg.cc/LX7sxyLb/031.png</t>
  </si>
  <si>
    <t>Sabo</t>
  </si>
  <si>
    <t>Dressrosa
Revolutionary Army
Chief of Staff
Blood Brothers</t>
  </si>
  <si>
    <t>https://i.postimg.cc/RZMdGqgH/064.png</t>
  </si>
  <si>
    <t>Red Hair</t>
  </si>
  <si>
    <t>Captain
The Four Emperors
Roger Pirates / Ex_Roger Pirates</t>
  </si>
  <si>
    <t>https://i.postimg.cc/QVZd3H6g/030.png</t>
  </si>
  <si>
    <t>Thunder</t>
  </si>
  <si>
    <t>2 Years Later
Straw Hat Pirates
Navigator</t>
  </si>
  <si>
    <t>https://i.postimg.cc/50FSjz2Z/063.png</t>
  </si>
  <si>
    <t>Magician</t>
  </si>
  <si>
    <t>Sabaody Archipelago / Island of Women
Paramecia
Captain
Worst Generation</t>
  </si>
  <si>
    <t>https://i.postimg.cc/nVCTRT6Y/029.png</t>
  </si>
  <si>
    <t>Dragon Quake</t>
  </si>
  <si>
    <t>2 Years Later
Straw Hat Pirates
Combatant
Worst Generation</t>
  </si>
  <si>
    <t>https://i.postimg.cc/nrbYmLsM/062.png</t>
  </si>
  <si>
    <t>Gang</t>
  </si>
  <si>
    <t>https://i.postimg.cc/fTdCZyWV/028.png</t>
  </si>
  <si>
    <t>Vivi</t>
  </si>
  <si>
    <t>Reverie
Royalty / Former Royalty
Alabasta Kingdom</t>
  </si>
  <si>
    <t>https://i.postimg.cc/90dPYjTb/061.png</t>
  </si>
  <si>
    <t>Helmeppo Chief Petty Officer</t>
  </si>
  <si>
    <t>When using Skill 1: Reduce the cooldown time of Skill 2 by 3%.</t>
  </si>
  <si>
    <t>The Paramount War at Marineford
Navy</t>
  </si>
  <si>
    <t>https://i.postimg.cc/gcQsf8p9/027.png</t>
  </si>
  <si>
    <t>Elephant Gatling</t>
  </si>
  <si>
    <t>2 Years Later
Straw Hat Pirates
Paramecia
Captain
Worst Generation
Blood Brothers</t>
  </si>
  <si>
    <t>https://i.postimg.cc/9XZBhyS9/060.png</t>
  </si>
  <si>
    <t>Koby Master Chief Petty Officer</t>
  </si>
  <si>
    <t>When your HP is 30% or less: Boost the cooldown reduction speed of dodge by 13%.</t>
  </si>
  <si>
    <t>https://i.postimg.cc/g2PD0prN/026.png</t>
  </si>
  <si>
    <t>Law</t>
  </si>
  <si>
    <t>Sabaody Archipelago / Island of Women
Paramecia
Captain
Worst Generation
Heart Pirates</t>
  </si>
  <si>
    <t>https://i.postimg.cc/SN4fNJFv/059.png</t>
  </si>
  <si>
    <t>Roar of the Sea</t>
  </si>
  <si>
    <t>Sabaody Archipelago / Island of Women
Captain
Worst Generation</t>
  </si>
  <si>
    <t>https://i.postimg.cc/vm0LX6hN/025.png</t>
  </si>
  <si>
    <t>Kid</t>
  </si>
  <si>
    <t>Sabaody Archipelago / Island of Women
Kid Pirates
Paramecia
Captain
Worst Generation</t>
  </si>
  <si>
    <t>https://i.postimg.cc/Hks0XRL0/058.png</t>
  </si>
  <si>
    <t>Red Flag</t>
  </si>
  <si>
    <t>Sabaody Archipelago / Island of Women
Zoan
Captain
Worst Generation</t>
  </si>
  <si>
    <t>https://i.postimg.cc/mrLyQSY9/024.png</t>
  </si>
  <si>
    <t>Bellamy</t>
  </si>
  <si>
    <t>Sky Island / LRLL
Paramecia
Captain</t>
  </si>
  <si>
    <t>https://i.postimg.cc/28xFqrC8/057.png</t>
  </si>
  <si>
    <t>Ace
(Child)</t>
  </si>
  <si>
    <t>https://i.postimg.cc/T3qcLsDG/023.png</t>
  </si>
  <si>
    <t>Arm Point</t>
  </si>
  <si>
    <t>Sky Island / LRLL
Straw Hat Pirates
Zoan
Doctor</t>
  </si>
  <si>
    <t>https://i.postimg.cc/0yWYfn6T/056.png</t>
  </si>
  <si>
    <t>Sabo
(Child)</t>
  </si>
  <si>
    <t>When performing a Perfect Dodge: CRIT Boosted by 80% for 6 second(s).</t>
  </si>
  <si>
    <t>https://i.postimg.cc/V659hLHL/022.png</t>
  </si>
  <si>
    <t>108 Pound Phoenix</t>
  </si>
  <si>
    <t>When Respawned: SPD Boosted by 6% for 20 second(s).</t>
  </si>
  <si>
    <t>Sky Island / LRLL
Straw Hat Pirates
Combatant</t>
  </si>
  <si>
    <t>https://i.postimg.cc/hGX93mTf/055.png</t>
  </si>
  <si>
    <t>Attendant of Dressrosa</t>
  </si>
  <si>
    <t>Reverie
Royalty / Former Royalty</t>
  </si>
  <si>
    <t>https://i.postimg.cc/63SVxJDV/021.png</t>
  </si>
  <si>
    <t>Moria</t>
  </si>
  <si>
    <t>Thriller Bark
The Seven Warlords of the Sea / Former Warlords of the Sea
Paramecia
Captain
Thriller Bark Pirates</t>
  </si>
  <si>
    <t>https://i.postimg.cc/QMvpLMJS/054.png</t>
  </si>
  <si>
    <t>Mermaid Princess</t>
  </si>
  <si>
    <t>https://i.postimg.cc/j27Hs3bp/020.png</t>
  </si>
  <si>
    <t>Hancock</t>
  </si>
  <si>
    <t>https://i.postimg.cc/B6D2JGh3/053.png</t>
  </si>
  <si>
    <t>Mad Monk</t>
  </si>
  <si>
    <t>https://i.postimg.cc/NG977FHd/019.png</t>
  </si>
  <si>
    <t>Ms. All Sunday</t>
  </si>
  <si>
    <t>Alabasta
Baroque Works
Paramecia</t>
  </si>
  <si>
    <t>https://i.postimg.cc/Wzvg3fKk/052.png</t>
  </si>
  <si>
    <t>Murder Machine</t>
  </si>
  <si>
    <t>Sabaody Archipelago / Island of Women
Kid Pirates
Combatant
Worst Generation</t>
  </si>
  <si>
    <t>https://i.postimg.cc/wxC5Wz5g/018.png</t>
  </si>
  <si>
    <t>Mr. 2</t>
  </si>
  <si>
    <t>Alabasta
Baroque Works
Paramecia
Officer Agent
New Kama</t>
  </si>
  <si>
    <t>https://i.postimg.cc/L53fZ3K0/051.png</t>
  </si>
  <si>
    <t>Swamp Challenge</t>
  </si>
  <si>
    <t>When your HP is 90% or more: Increase damage dealt by 5%.</t>
  </si>
  <si>
    <t>https://i.postimg.cc/8zHhPr2z/017.png</t>
  </si>
  <si>
    <t>Aokiji</t>
  </si>
  <si>
    <t>When attacked by an enemy: 30% chance to, Nullify Freeze.</t>
  </si>
  <si>
    <t>https://i.postimg.cc/66rCSt2L/050.png</t>
  </si>
  <si>
    <t>Iron Challenge</t>
  </si>
  <si>
    <t>https://i.postimg.cc/wTDXZrFJ/016.png</t>
  </si>
  <si>
    <t>Akainu</t>
  </si>
  <si>
    <t>https://i.postimg.cc/Wbs0cC0R/049.png</t>
  </si>
  <si>
    <t>First Son of the Sea</t>
  </si>
  <si>
    <t>The Paramount War at Marineford
The Seven Warlords of the Sea / Former Warlords of the Sea
Captain
Fish_Man</t>
  </si>
  <si>
    <t>https://i.postimg.cc/qv0sTGZF/015.png</t>
  </si>
  <si>
    <t>Fire Fist</t>
  </si>
  <si>
    <t>When there are 60 seconds or less remaining: CRIT Boosted by 120% for 20 second(s).</t>
  </si>
  <si>
    <t>Alabasta
Whitebeard Pirates
Logia
Whitebeard Pirates Commander
Blood Brothers</t>
  </si>
  <si>
    <t>https://i.postimg.cc/vHXfYhv4/048.png</t>
  </si>
  <si>
    <t>Heavenly Demon</t>
  </si>
  <si>
    <t>The Paramount War at Marineford
The Seven Warlords of the Sea / Former Warlords of the Sea
Paramecia
Captain</t>
  </si>
  <si>
    <t>https://i.postimg.cc/Pq51L5Hz/014.png</t>
  </si>
  <si>
    <t>Whitebeard</t>
  </si>
  <si>
    <t>The Paramount War at Marineford
Whitebeard Pirates
Paramecia
Captain
The Four Emperors
Former Rocks Pirates</t>
  </si>
  <si>
    <t>https://i.postimg.cc/2SKWv5Mm/047.png</t>
  </si>
  <si>
    <t>Mr. 3</t>
  </si>
  <si>
    <t>When your allies are not near the Treasure area where you are at: Reduce damage recieved by 6%.</t>
  </si>
  <si>
    <t>https://i.postimg.cc/7Lt0SrYv/013.png</t>
  </si>
  <si>
    <t>Eneru</t>
  </si>
  <si>
    <t>https://i.postimg.cc/L8XfnPyN/046.png</t>
  </si>
  <si>
    <t>Mr. 1</t>
  </si>
  <si>
    <t>Alabasta
Baroque Works
Paramecia
Bounty Hunter</t>
  </si>
  <si>
    <t>https://i.postimg.cc/Y94g3Dhv/012.png</t>
  </si>
  <si>
    <t>Mr. Zero</t>
  </si>
  <si>
    <t>Alabasta
The Seven Warlords of the Sea / Former Warlords of the Sea
Baroque Works
Logia</t>
  </si>
  <si>
    <t>https://i.postimg.cc/d0Zy9YcC/045.png</t>
  </si>
  <si>
    <t>Tsuru</t>
  </si>
  <si>
    <t>When your team loses the Treasure: Reduce the cooldown time of Skill 2 by 9%.</t>
  </si>
  <si>
    <t>The Paramount War at Marineford
Navy
Paramecia</t>
  </si>
  <si>
    <t>https://i.postimg.cc/k4kShNbf/011.png</t>
  </si>
  <si>
    <t>Peacock</t>
  </si>
  <si>
    <t>https://i.postimg.cc/RFrnsDvD/044.png</t>
  </si>
  <si>
    <t>Glint_Glint</t>
  </si>
  <si>
    <t>When an ally is KO`d (not including you): SPD Boosted by 4% for 20 second(s).</t>
  </si>
  <si>
    <t>https://i.postimg.cc/qqyKftc0/010.png</t>
  </si>
  <si>
    <t>Storm</t>
  </si>
  <si>
    <t>Alabasta
Straw Hat Pirates
Paramecia
Captain
Blood Brothers</t>
  </si>
  <si>
    <t>https://i.postimg.cc/zBnH9FBX/043.png</t>
  </si>
  <si>
    <t>Jackal</t>
  </si>
  <si>
    <t>Alabasta
Zoan</t>
  </si>
  <si>
    <t>https://i.postimg.cc/HWyX8NqK/009.png</t>
  </si>
  <si>
    <t>Wapol</t>
  </si>
  <si>
    <t>When your team has more Treasure secured: Boost capture speed by 12%.</t>
  </si>
  <si>
    <t>The Grand Line
Paramecia
Captain
Royalty / Former Royalty</t>
  </si>
  <si>
    <t>https://i.postimg.cc/5ybQ1QY5/042.png</t>
  </si>
  <si>
    <t>Falcon</t>
  </si>
  <si>
    <t>When there are 45 seconds or less remaining: Boost capture speed by 18%.</t>
  </si>
  <si>
    <t>https://i.postimg.cc/dtcd2Bv0/008.png</t>
  </si>
  <si>
    <t>Smoker</t>
  </si>
  <si>
    <t>The Grand Line
Navy
Logia
Navy Captain</t>
  </si>
  <si>
    <t>https://i.postimg.cc/Rhd60CKk/041.png</t>
  </si>
  <si>
    <t>Diamond</t>
  </si>
  <si>
    <t>When your HP is 15% or less: Reduce damage recieved by 6%.</t>
  </si>
  <si>
    <t>The Paramount War at Marineford
Whitebeard Pirates
Paramecia</t>
  </si>
  <si>
    <t>https://i.postimg.cc/bN0n3tN9/007.png</t>
  </si>
  <si>
    <t>Battle_Ax</t>
  </si>
  <si>
    <t>The Grand Line
Straw Hat Pirates
Paramecia
Captain
Blood Brothers</t>
  </si>
  <si>
    <t>https://i.postimg.cc/dQjT66p5/040.png</t>
  </si>
  <si>
    <t>Phoenix</t>
  </si>
  <si>
    <t>The Paramount War at Marineford
Whitebeard Pirates
Zoan
Doctor</t>
  </si>
  <si>
    <t>https://i.postimg.cc/0y8w3yzR/006.png</t>
  </si>
  <si>
    <t>Saw</t>
  </si>
  <si>
    <t>East Blue
Arlong Pirates
Captain
Fish_Man</t>
  </si>
  <si>
    <t>https://i.postimg.cc/bNYSBbjp/039.png</t>
  </si>
  <si>
    <t>Rumble_Rumble</t>
  </si>
  <si>
    <t>When attacked by an enemy: 3% chance to, Inflict Shock for 5 second(s).(Excludes some attacks)</t>
  </si>
  <si>
    <t>https://i.postimg.cc/SxDMpb9X/005.png</t>
  </si>
  <si>
    <t>Hawk_Eye</t>
  </si>
  <si>
    <t>East Blue
The Seven Warlords of the Sea / Former Warlords of the Sea</t>
  </si>
  <si>
    <t>https://i.postimg.cc/bwsDzhJ5/038.png</t>
  </si>
  <si>
    <t>Zoro
(Child)</t>
  </si>
  <si>
    <t>Increase CRIT by 8%.</t>
  </si>
  <si>
    <t>East Blue
Child</t>
  </si>
  <si>
    <t>https://i.postimg.cc/zfvRz2wx/004.png</t>
  </si>
  <si>
    <t>Kaya</t>
  </si>
  <si>
    <t>When there are 60 seconds or less remaining: Boost the cooldown reduction speed of Skill 2 by 13%.</t>
  </si>
  <si>
    <t>https://i.postimg.cc/k5S2bvWF/037.png</t>
  </si>
  <si>
    <t>Luffy
(Child)</t>
  </si>
  <si>
    <t>Increase HP by 8%.</t>
  </si>
  <si>
    <t>https://i.postimg.cc/Pq7vPb2T/003.png</t>
  </si>
  <si>
    <t>Yasopp</t>
  </si>
  <si>
    <t>East Blue
Red_Haired Pirates
Sharp Shooter</t>
  </si>
  <si>
    <t>https://i.postimg.cc/28HLR6zv/036.png</t>
  </si>
  <si>
    <t>Patty</t>
  </si>
  <si>
    <t>Increase ATK by 4%.</t>
  </si>
  <si>
    <t>East Blue
Cook</t>
  </si>
  <si>
    <t>https://i.postimg.cc/tTVZP1MP/002.png</t>
  </si>
  <si>
    <t>Shanks</t>
  </si>
  <si>
    <t>East Blue
Red_Haired Pirates
Captain
Roger Pirates / Ex_Roger Pirates</t>
  </si>
  <si>
    <t>https://i.postimg.cc/FH8fzBkH/035.png</t>
  </si>
  <si>
    <t>Mohji</t>
  </si>
  <si>
    <t>Increase HP by 4%.</t>
  </si>
  <si>
    <t>https://i.postimg.cc/prb9B2wS/001.png</t>
  </si>
  <si>
    <t>Lion Song</t>
  </si>
  <si>
    <t>When your HP is 50% or less: CRIT Boosted by 90% for 20 second(s).</t>
  </si>
  <si>
    <t>Alabasta
Straw Hat Pirates
Combatant</t>
  </si>
  <si>
    <t>https://i.postimg.cc/sXRv9GcF/034.png</t>
  </si>
  <si>
    <t>-</t>
  </si>
  <si>
    <t>Veau</t>
  </si>
  <si>
    <t>When your HP is 10% or less: Increase Treasure Gauge recovery amount.</t>
  </si>
  <si>
    <t>Alabasta
Straw Hat Pirates
Cook</t>
  </si>
  <si>
    <t>https://i.postimg.cc/rmCzhynD/033.png</t>
  </si>
  <si>
    <t>Pound</t>
  </si>
  <si>
    <t>When attacking an enemy inflicted With Stun: Increase damage dealt by 3%.</t>
  </si>
  <si>
    <t>https://i.postimg.cc/x8f8Brht/032.png</t>
  </si>
  <si>
    <t>Climate Baton</t>
  </si>
  <si>
    <t>Alabasta
Straw Hat Pirates
Navigator</t>
  </si>
  <si>
    <t>https://i.postimg.cc/prsrHGtx/031.png</t>
  </si>
  <si>
    <t>Ms. Wednesday</t>
  </si>
  <si>
    <t>The Grand Line
Baroque Works</t>
  </si>
  <si>
    <t>https://i.postimg.cc/2853wD45/028.png</t>
  </si>
  <si>
    <t>Slip_Slip</t>
  </si>
  <si>
    <t>When there are 60 seconds or less remaining: Boost the cooldown reduction speed of Skill 1 by 10%.</t>
  </si>
  <si>
    <t>The Grand Line
The Alvida Pirates
Paramecia
Captain</t>
  </si>
  <si>
    <t>https://i.postimg.cc/xj5cMCN7/030.png</t>
  </si>
  <si>
    <t>Tashigi</t>
  </si>
  <si>
    <t>When you capture the Treasure: SPD Boosted by 4% for 20 second(s).</t>
  </si>
  <si>
    <t>The Grand Line
Navy
Master Chief Petty Officer</t>
  </si>
  <si>
    <t>https://i.postimg.cc/cLgHpBky/029.png</t>
  </si>
  <si>
    <t>Choo</t>
  </si>
  <si>
    <t>After KOing an enemy: CRIT Boosted by 90% for 20 second(s).</t>
  </si>
  <si>
    <t>East Blue
Arlong Pirates
Fish_Man</t>
  </si>
  <si>
    <t>https://i.postimg.cc/vZJBbxC1/026.png</t>
  </si>
  <si>
    <t>Kuroobi</t>
  </si>
  <si>
    <t>East Blue
Arlong Pirates
Fish_Man
Fish_Man Karate</t>
  </si>
  <si>
    <t>https://i.postimg.cc/L605QbT3/027.png</t>
  </si>
  <si>
    <t>Hachi</t>
  </si>
  <si>
    <t>https://i.postimg.cc/63wpGJWt/025.png</t>
  </si>
  <si>
    <t>Don Krieg</t>
  </si>
  <si>
    <t>East Blue
Krieg`s Pirate Armada
Captain</t>
  </si>
  <si>
    <t>https://i.postimg.cc/Xv9vJ70s/024.png</t>
  </si>
  <si>
    <t>Gin</t>
  </si>
  <si>
    <t>East Blue
Krieg`s Pirate Armada
Combatant</t>
  </si>
  <si>
    <t>https://i.postimg.cc/d1Bt2H3d/023.png</t>
  </si>
  <si>
    <t>Zeff</t>
  </si>
  <si>
    <t>When there are 60 seconds or less remaining: CRIT Boosted by 90% for 20 second(s).</t>
  </si>
  <si>
    <t>https://i.postimg.cc/QCdN0QKz/022.png</t>
  </si>
  <si>
    <t>Kuro</t>
  </si>
  <si>
    <t>East Blue
Black Cat Pirates
Captain</t>
  </si>
  <si>
    <t>https://i.postimg.cc/d3NsXh8V/021.png</t>
  </si>
  <si>
    <t>Buggy</t>
  </si>
  <si>
    <t>East Blue
Buggy Pirates
Paramecia
Captain
Roger Pirates / Ex_Roger Pirates</t>
  </si>
  <si>
    <t>https://i.postimg.cc/XNsYXzT6/020.png</t>
  </si>
  <si>
    <t>Johnny</t>
  </si>
  <si>
    <t>When your HP is 30% or less: Boost capture speed by 6%.</t>
  </si>
  <si>
    <t>East Blue
Bounty Hunter</t>
  </si>
  <si>
    <t>https://i.postimg.cc/wT3TNkpy/019.png</t>
  </si>
  <si>
    <t>Yosaku</t>
  </si>
  <si>
    <t>When your HP is 7% or less: Increase Treasure Gauge amount when you capture the Treasure.</t>
  </si>
  <si>
    <t>https://i.postimg.cc/7YcPnTHB/018.png</t>
  </si>
  <si>
    <t>Butchie</t>
  </si>
  <si>
    <t>When your HP is 30% or less: SPD Boosted by 2% for 20 second(s).</t>
  </si>
  <si>
    <t>East Blue
Black Cat Pirates
Combatant</t>
  </si>
  <si>
    <t>https://i.postimg.cc/6pvWj5TB/017.png</t>
  </si>
  <si>
    <t>Django</t>
  </si>
  <si>
    <t>When your HP is 70% or more: Boost the cooldown reduction speed of Skill 1 by 7%.</t>
  </si>
  <si>
    <t>https://i.postimg.cc/ZqzT1typ/016.png</t>
  </si>
  <si>
    <t>Cabaji</t>
  </si>
  <si>
    <t>When your team has more Treasure secured: Boost capture speed by 6%.</t>
  </si>
  <si>
    <t>https://i.postimg.cc/s2PVz6p8/015.png</t>
  </si>
  <si>
    <t>Morgan</t>
  </si>
  <si>
    <t>When there are 60 seconds or less remaining: CRIT Boosted by 40% for 20 second(s).</t>
  </si>
  <si>
    <t>East Blue
Navy
Navy Captain</t>
  </si>
  <si>
    <t>https://i.postimg.cc/9MJCRDgY/014.png</t>
  </si>
  <si>
    <t>Helmeppo</t>
  </si>
  <si>
    <t>When you capture the Treasure: SPD Boosted by 2% for 20 second(s).</t>
  </si>
  <si>
    <t>https://i.postimg.cc/Vvv1jz3Q/013.png</t>
  </si>
  <si>
    <t>Alvida</t>
  </si>
  <si>
    <t>When your HP is 7% or less: Increase Treasure Gauge recovery amount.</t>
  </si>
  <si>
    <t>East Blue
The Alvida Pirates
Captain</t>
  </si>
  <si>
    <t>https://i.postimg.cc/MTWzp75G/012.png</t>
  </si>
  <si>
    <t>Koby</t>
  </si>
  <si>
    <t>https://i.postimg.cc/fyPsC6N3/011.png</t>
  </si>
  <si>
    <t>Higuma</t>
  </si>
  <si>
    <t>When Respawned: SPD Boosted by 2% for 20 second(s).</t>
  </si>
  <si>
    <t>https://i.postimg.cc/28qry8Qn/010.png</t>
  </si>
  <si>
    <t>Brook</t>
  </si>
  <si>
    <t>When attacking an enemy inflicted With Stun: Increase damage dealt by 2%.</t>
  </si>
  <si>
    <t>Thriller Bark
Straw Hat Pirates
Paramecia
Musician</t>
  </si>
  <si>
    <t>https://i.postimg.cc/442XXh9J/009.png</t>
  </si>
  <si>
    <t>Franky</t>
  </si>
  <si>
    <t>When an ally is KO`d (not including you): Reduce the cooldown time of Skill 1 by 2%.</t>
  </si>
  <si>
    <t>Water 7 / Enies Lobby
Straw Hat Pirates
Ship Carpenter</t>
  </si>
  <si>
    <t>https://i.postimg.cc/hPHgdWs6/008.png</t>
  </si>
  <si>
    <t>Robin</t>
  </si>
  <si>
    <t>After KOing an enemy: SPD Boosted by 2% for 20 second(s).</t>
  </si>
  <si>
    <t>Sky Island / LRLL
Straw Hat Pirates
Paramecia
Archaeologist</t>
  </si>
  <si>
    <t>https://i.postimg.cc/rwxTGnYm/007.png</t>
  </si>
  <si>
    <t>Chopper</t>
  </si>
  <si>
    <t>When your team has less Treasure secured: Boost the cooldown reduction speed of Skill 1 by 7%.</t>
  </si>
  <si>
    <t>The Grand Line
Straw Hat Pirates
Zoan
Doctor</t>
  </si>
  <si>
    <t>https://i.postimg.cc/tgbjB3Lz/006.png</t>
  </si>
  <si>
    <t>Sanji</t>
  </si>
  <si>
    <t>After KOing an enemy: Reduce the cooldown time of Skill 1 by 4%.</t>
  </si>
  <si>
    <t>East Blue
Straw Hat Pirates
Cook</t>
  </si>
  <si>
    <t>https://i.postimg.cc/6QhNg7Kx/005.png</t>
  </si>
  <si>
    <t>Usopp</t>
  </si>
  <si>
    <t>East Blue
Straw Hat Pirates
Sharp Shooter</t>
  </si>
  <si>
    <t>https://i.postimg.cc/MTK8SWZM/004.png</t>
  </si>
  <si>
    <t>Nami</t>
  </si>
  <si>
    <t>When you capture the Treasure: Reduce the cooldown time of Skill 1 by 4%.</t>
  </si>
  <si>
    <t>East Blue
Straw Hat Pirates
Navigator</t>
  </si>
  <si>
    <t>https://i.postimg.cc/pTGMVgy0/003.png</t>
  </si>
  <si>
    <t>Zoro</t>
  </si>
  <si>
    <t>When your HP is 30% or less: CRIT Boosted by 40% for 20 second(s).</t>
  </si>
  <si>
    <t>East Blue
Straw Hat Pirates
Combatant</t>
  </si>
  <si>
    <t>https://i.postimg.cc/nrXbX0Dn/002.png</t>
  </si>
  <si>
    <t>Luffy</t>
  </si>
  <si>
    <t>After KOing an enemy: CRIT Boosted by 40% for 20 second(s).</t>
  </si>
  <si>
    <t>East Blue
Straw Hat Pirates
Paramecia
Captain
Blood Brothers</t>
  </si>
  <si>
    <t>https://i.postimg.cc/WzxRggGg/001.png</t>
  </si>
  <si>
    <t>CONDITION</t>
  </si>
  <si>
    <t>EFFECT</t>
  </si>
  <si>
    <t>TAGS</t>
  </si>
  <si>
    <t>Show Tag Effects</t>
  </si>
  <si>
    <t>Sort Tags by Effect</t>
  </si>
  <si>
    <t>Name</t>
  </si>
  <si>
    <t>URL</t>
  </si>
  <si>
    <t>https://i.postimg.cc/0Q9KHw1c/img_icon_medal_310110343.png</t>
  </si>
  <si>
    <t>img_icon_medal_310110343</t>
  </si>
  <si>
    <t>https://ik.imagekit.io/alaaalaa6171/341%20The%20Four%20Emperors%20-%20Marshall%20D.%20Teach%20-%20Medal%20_Black%20Vortex_.png?updatedAt=1770076471293</t>
  </si>
  <si>
    <t>https://ik.imagekit.io/alaaalaa6171/341%20The%20Four%20Emperors%20-%20Marshall%20D.%20Teach%20-%20Medal%20_Black%20Vortex_%20_Colored_.png?updatedAt=1770076471327</t>
  </si>
  <si>
    <t>https://ik.imagekit.io/alaaalaa6171/341%20The%20Four%20Emperors%20-%20Marshall%20D.%20Teach%20-%20Medal%20_Black%20Vortex_%20-%20Piece.png?updatedAt=1770076471358</t>
  </si>
  <si>
    <t>https://ik.imagekit.io/alaaalaa6171/341%20The%20Four%20Emperors%20-%20Marshall%20D.%20Teach%20-%20Medal%20_Black%20Vortex_%20-%20Piece%20_Colored_.png?updatedAt=1770076471257</t>
  </si>
  <si>
    <t>341 The Four Emperors - Marshall D. Teach</t>
  </si>
  <si>
    <t>img_icon_medal_310110001</t>
  </si>
  <si>
    <t>001 - Straw Hat Pirates_Captain ~ Monkey D. Luffy - Medal - Crafted [Colored] -  [Luffy]</t>
  </si>
  <si>
    <t>img_icon_medal_310200309.png</t>
  </si>
  <si>
    <t>https://ik.imagekit.io/alaaalaa6171/Event%20Medals/img_icon_medal_310200309.png?updatedAt=1770125392035</t>
  </si>
  <si>
    <t>307 - Medal [Event] - Crafted - The Four Emperrors Red Hair</t>
  </si>
  <si>
    <t>https://i.postimg.cc/qRp6Z3HD/img_icon_medal_310110342.png</t>
  </si>
  <si>
    <t>img_icon_medal_310110342</t>
  </si>
  <si>
    <t>https://ik.imagekit.io/alaaalaa6171/340%20ASL%20-%20Ace%20&amp;%20Sabo%20&amp;%20Luffy%20-%20Medal%20_ASL%20Ace%20&amp;%20Sabo%20&amp;%20Luffy_.png?updatedAt=1770076471373</t>
  </si>
  <si>
    <t>https://ik.imagekit.io/alaaalaa6171/340%20ASL%20-%20Ace%20&amp;%20Sabo%20&amp;%20Luffy%20-%20Medal%20_ASL%20Ace%20&amp;%20Sabo%20&amp;%20Luffy_%20_Colored_.png?updatedAt=1770076471264</t>
  </si>
  <si>
    <t>https://ik.imagekit.io/alaaalaa6171/340%20ASL%20-%20Ace%20&amp;%20Sabo%20&amp;%20Luffy%20-%20Medal%20_ASL%20Ace%20&amp;%20Sabo%20&amp;%20Luffy_%20-%20Piece.png?updatedAt=1770076471236</t>
  </si>
  <si>
    <t>https://ik.imagekit.io/alaaalaa6171/340%20ASL%20-%20Ace%20&amp;%20Sabo%20&amp;%20Luffy%20-%20Medal%20_ASL%20Ace%20&amp;%20Sabo%20&amp;%20Luffy_%20-%20Piece%20_Colored_.png?updatedAt=1770076471208</t>
  </si>
  <si>
    <t>340 ASL - Ace &amp; Sabo &amp; Luffy</t>
  </si>
  <si>
    <t>img_icon_medal_310110002</t>
  </si>
  <si>
    <t>341 The Four Emperors - Marshall D. Teach - Medal _Black Vortex_.png</t>
  </si>
  <si>
    <t>002 - Straw Hat Pirates_Combatant ~ Roronoa Zoro - Medal - Crafted [Colored] -  [Zoro]</t>
  </si>
  <si>
    <t>img_icon_medal_310200308.png</t>
  </si>
  <si>
    <t>https://ik.imagekit.io/alaaalaa6171/Event%20Medals/img_icon_medal_310200308.png?updatedAt=1770125391927</t>
  </si>
  <si>
    <t>306 - Medal [Event] - Crafted - The Four Emperrors Blackbeard</t>
  </si>
  <si>
    <t>https://i.postimg.cc/9fdqpBK6/img_icon_medal_310110341.png</t>
  </si>
  <si>
    <t>img_icon_medal_310110341</t>
  </si>
  <si>
    <t>https://ik.imagekit.io/alaaalaa6171/339%20Winner%20Island%20-%20Trafalgar%20Law%20-%20Medal%20_Winner%20Island%20Law_.png?updatedAt=1770076471377</t>
  </si>
  <si>
    <t>https://ik.imagekit.io/alaaalaa6171/339%20Winner%20Island%20-%20Trafalgar%20Law%20-%20Medal%20_Winner%20Island%20Law_%20_Colored_.png?updatedAt=1770076471252</t>
  </si>
  <si>
    <t>https://ik.imagekit.io/alaaalaa6171/339%20Winner%20Island%20-%20Trafalgar%20Law%20-%20Medal%20_Winner%20Island%20Law_%20-%20Piece.png?updatedAt=1770076471223</t>
  </si>
  <si>
    <t>https://ik.imagekit.io/alaaalaa6171/339%20Winner%20Island%20-%20Trafalgar%20Law%20-%20Medal%20_Winner%20Island%20Law_%20-%20Piece%20_Colored_.png?updatedAt=1770076471313</t>
  </si>
  <si>
    <t>339 Winner Island - Trafalgar Law</t>
  </si>
  <si>
    <t>img_icon_medal_310110003</t>
  </si>
  <si>
    <t>341 The Four Emperors - Marshall D. Teach - Medal _Black Vortex_ - Piece.png</t>
  </si>
  <si>
    <t>003 - Straw Hat Pirates_Navigator ~ Nami - Medal - Crafted [Colored] -  [Nami]</t>
  </si>
  <si>
    <t>img_icon_medal_310200307.png</t>
  </si>
  <si>
    <t>https://ik.imagekit.io/alaaalaa6171/Event%20Medals/img_icon_medal_310200307.png?updatedAt=1770125391979</t>
  </si>
  <si>
    <t>305 - Medal [Event] - Crafted - ASL Luffy</t>
  </si>
  <si>
    <t>https://i.postimg.cc/yNmSPTtt/img_icon_medal_310110340.png</t>
  </si>
  <si>
    <t>img_icon_medal_310110340</t>
  </si>
  <si>
    <t>https://ik.imagekit.io/alaaalaa6171/338%20Winner%20Island%20-%20Bepo%20-%20Medal%20_Winner%20Island%20Bepo_.png?updatedAt=1770076471247</t>
  </si>
  <si>
    <t>https://ik.imagekit.io/alaaalaa6171/338%20Winner%20Island%20-%20Bepo%20-%20Medal%20_Winner%20Island%20Bepo_%20_Colored_.png?updatedAt=1770076471250</t>
  </si>
  <si>
    <t>https://ik.imagekit.io/alaaalaa6171/338%20Winner%20Island%20-%20Bepo%20-%20Medal%20_Winner%20Island%20Bepo_%20-%20Piece.png?updatedAt=1770076471203</t>
  </si>
  <si>
    <t>https://ik.imagekit.io/alaaalaa6171/338%20Winner%20Island%20-%20Bepo%20-%20Medal%20_Winner%20Island%20Bepo_%20-%20Piece%20_Colored_.png?updatedAt=1770076471188</t>
  </si>
  <si>
    <t>338 Winner Island - Bepo</t>
  </si>
  <si>
    <t>img_icon_medal_310110004</t>
  </si>
  <si>
    <t>341 The Four Emperors - Marshall D. Teach - Medal _Black Vortex_ - Piece _Colored_.png</t>
  </si>
  <si>
    <t>004 - Straw Hat Pirates_Sharp Shooter ~ Usopp - Medal - Crafted [Colored] -  [Usopp]</t>
  </si>
  <si>
    <t>img_icon_medal_310200306.png</t>
  </si>
  <si>
    <t>https://ik.imagekit.io/alaaalaa6171/Event%20Medals/img_icon_medal_310200306.png?updatedAt=1770125392034</t>
  </si>
  <si>
    <t>304 - Medal [Event] - Crafted - ASL Sabo</t>
  </si>
  <si>
    <t>https://i.postimg.cc/5tBF3mTG/img_icon_medal_310110339.png</t>
  </si>
  <si>
    <t>img_icon_medal_310110339</t>
  </si>
  <si>
    <t>https://ik.imagekit.io/alaaalaa6171/337%20Genius%20Scientist%20-%20Vegapunk%20-%20Medal%20_Genius%20Scientist_.png?updatedAt=1770076471222</t>
  </si>
  <si>
    <t>https://ik.imagekit.io/alaaalaa6171/337%20Genius%20Scientist%20-%20Vegapunk%20-%20Medal%20_Genius%20Scientist_%20_Colored_.png?updatedAt=1770076471217</t>
  </si>
  <si>
    <t>https://ik.imagekit.io/alaaalaa6171/337%20Genius%20Scientist%20-%20Vegapunk%20-%20Medal%20_Genius%20Scientist_%20-%20Piece.png?updatedAt=1770076471252</t>
  </si>
  <si>
    <t>https://ik.imagekit.io/alaaalaa6171/337%20Genius%20Scientist%20-%20Vegapunk%20-%20Medal%20_Genius%20Scientist_%20-%20Piece%20_Colored_.png?updatedAt=1770076471172</t>
  </si>
  <si>
    <t>337 Genius Scientist - Vegapunk</t>
  </si>
  <si>
    <t>img_icon_medal_310110005</t>
  </si>
  <si>
    <t>341 The Four Emperors - Marshall D. Teach - Medal _Black Vortex_ _Colored_.png</t>
  </si>
  <si>
    <t>005 - Straw Hat Pirates_Cook ~ Sanji - Medal - Crafted [Colored] -  [Sanji]</t>
  </si>
  <si>
    <t>img_icon_medal_310200305.png</t>
  </si>
  <si>
    <t>https://ik.imagekit.io/alaaalaa6171/Event%20Medals/img_icon_medal_310200305.png?updatedAt=1770125391982</t>
  </si>
  <si>
    <t>303 - Medal [Event] - Crafted - Bepo (Sulong)</t>
  </si>
  <si>
    <t>https://i.postimg.cc/BvT1gCkR/img_icon_medal_310110338.png</t>
  </si>
  <si>
    <t>img_icon_medal_310110338</t>
  </si>
  <si>
    <t>https://ik.imagekit.io/alaaalaa6171/336%20Father%20and%20Daughter%20-%20Kuma%20&amp;%20Bonney%20-%20Medal%20_Kuma%20&amp;%20Bonney_.png?updatedAt=1770076471144</t>
  </si>
  <si>
    <t>https://ik.imagekit.io/alaaalaa6171/336%20Father%20and%20Daughter%20-%20Kuma%20&amp;%20Bonney%20-%20Medal%20_Kuma%20&amp;%20Bonney_%20_Colored_.png?updatedAt=1770076471159</t>
  </si>
  <si>
    <t>https://ik.imagekit.io/alaaalaa6171/336%20Father%20and%20Daughter%20-%20Kuma%20&amp;%20Bonney%20-%20Medal%20_Kuma%20&amp;%20Bonney_%20-%20Piece.png?updatedAt=1770076471181</t>
  </si>
  <si>
    <t>https://ik.imagekit.io/alaaalaa6171/336%20Father%20and%20Daughter%20-%20Kuma%20&amp;%20Bonney%20-%20Medal%20_Kuma%20&amp;%20Bonney_%20-%20Piece%20_Colored_.png?updatedAt=1770076471197</t>
  </si>
  <si>
    <t>336 Father and Daughter - Kuma &amp; Bonney</t>
  </si>
  <si>
    <t>img_icon_medal_310110006</t>
  </si>
  <si>
    <t>340 ASL - Ace &amp; Sabo &amp; Luffy - Medal _ASL Ace &amp; Sabo &amp; Luffy_.png</t>
  </si>
  <si>
    <t>006 - Straw Hat Pirates_Doctor ~ Tony Tony Chopper - Medal - Crafted [Colored] -  [Chopper]</t>
  </si>
  <si>
    <t>img_icon_medal_310200304.png</t>
  </si>
  <si>
    <t>https://ik.imagekit.io/alaaalaa6171/Event%20Medals/img_icon_medal_310200304.png?updatedAt=1770125392001</t>
  </si>
  <si>
    <t>302 - Medal [Event] - Crafted - Winner Takes All</t>
  </si>
  <si>
    <t>https://i.postimg.cc/JhNBqQv2/img_icon_medal_310110337.png</t>
  </si>
  <si>
    <t>img_icon_medal_310110337</t>
  </si>
  <si>
    <t>https://ik.imagekit.io/alaaalaa6171/335%20Egghead%20-%20Jinbe%20-%20Medal%20_Egghead%20Jinbe_.png?updatedAt=1770076471111</t>
  </si>
  <si>
    <t>https://ik.imagekit.io/alaaalaa6171/335%20Egghead%20-%20Jinbe%20-%20Medal%20_Egghead%20Jinbe_%20_Colored_.png?updatedAt=1770076471245</t>
  </si>
  <si>
    <t>https://ik.imagekit.io/alaaalaa6171/335%20Egghead%20-%20Jinbe%20-%20Medal%20_Egghead%20Jinbe_%20-%20Piece.png?updatedAt=1770076471167</t>
  </si>
  <si>
    <t>https://ik.imagekit.io/alaaalaa6171/335%20Egghead%20-%20Jinbe%20-%20Medal%20_Egghead%20Jinbe_%20-%20Piece%20_Colored_.png?updatedAt=1770076471121</t>
  </si>
  <si>
    <t>335 Egghead - Jinbe</t>
  </si>
  <si>
    <t>img_icon_medal_310110007</t>
  </si>
  <si>
    <t>340 ASL - Ace &amp; Sabo &amp; Luffy - Medal _ASL Ace &amp; Sabo &amp; Luffy_ - Piece.png</t>
  </si>
  <si>
    <t>007 - Straw Hat Pirates_Archaeologist ~ Nico Robin - Medal - Crafted [Colored] -  [Robin]</t>
  </si>
  <si>
    <t>img_icon_medal_310200303.png</t>
  </si>
  <si>
    <t>https://ik.imagekit.io/alaaalaa6171/Event%20Medals/img_icon_medal_310200303.png?updatedAt=1770125391971</t>
  </si>
  <si>
    <t>301 - Medal [Event] - Crafted - Sentomaru (Child)</t>
  </si>
  <si>
    <t>https://i.postimg.cc/PqW84M93/img_icon_medal_310110336.png</t>
  </si>
  <si>
    <t>img_icon_medal_310110336</t>
  </si>
  <si>
    <t>https://ik.imagekit.io/alaaalaa6171/334%20Egghead%20-%20Franky%20-%20Medal%20_Egghead%20Franky_.png?updatedAt=1770076471169</t>
  </si>
  <si>
    <t>https://ik.imagekit.io/alaaalaa6171/334%20Egghead%20-%20Franky%20-%20Medal%20_Egghead%20Franky_%20_Colored_.png?updatedAt=1770076470679</t>
  </si>
  <si>
    <t>https://ik.imagekit.io/alaaalaa6171/334%20Egghead%20-%20Franky%20-%20Medal%20_Egghead%20Franky_%20-%20Piece.png?updatedAt=1770076470677</t>
  </si>
  <si>
    <t>https://ik.imagekit.io/alaaalaa6171/334%20Egghead%20-%20Franky%20-%20Medal%20_Egghead%20Franky_%20-%20Piece%20_Colored_.png?updatedAt=1770076470396</t>
  </si>
  <si>
    <t>334 Egghead - Franky</t>
  </si>
  <si>
    <t>img_icon_medal_310110008</t>
  </si>
  <si>
    <t>340 ASL - Ace &amp; Sabo &amp; Luffy - Medal _ASL Ace &amp; Sabo &amp; Luffy_ - Piece _Colored_.png</t>
  </si>
  <si>
    <t>008 - Straw Hat Pirates_Ship Carpenter ~ Franky - Medal - Crafted [Colored] -  [Franky]</t>
  </si>
  <si>
    <t>img_icon_medal_310200302.png</t>
  </si>
  <si>
    <t>https://ik.imagekit.io/alaaalaa6171/Event%20Medals/img_icon_medal_310200302.png?updatedAt=1770125391994</t>
  </si>
  <si>
    <t>300 - Medal [Event] - Crafted - Ginny (Child)</t>
  </si>
  <si>
    <t>https://i.postimg.cc/zfCRjk6d/img_icon_medal_310110335.png</t>
  </si>
  <si>
    <t>img_icon_medal_310110335</t>
  </si>
  <si>
    <t>https://ik.imagekit.io/alaaalaa6171/333%20The%20Five%20Elders%20-%20St.%20Jaygarcia%20Saturn%20-%20Medal%20_St.%20Jaygarcia%20Saturn_.png?updatedAt=1770076469811</t>
  </si>
  <si>
    <t>https://ik.imagekit.io/alaaalaa6171/333%20The%20Five%20Elders%20-%20St.%20Jaygarcia%20Saturn%20-%20Medal%20_St.%20Jaygarcia%20Saturn_%20_Colored_.png?updatedAt=1770076469585</t>
  </si>
  <si>
    <t>https://ik.imagekit.io/alaaalaa6171/333%20The%20Five%20Elders%20-%20St.%20Jaygarcia%20Saturn%20-%20Medal%20_St.%20Jaygarcia%20Saturn_%20-%20Piece.png?updatedAt=1770076468018</t>
  </si>
  <si>
    <t>https://ik.imagekit.io/alaaalaa6171/333%20The%20Five%20Elders%20-%20St.%20Jaygarcia%20Saturn%20-%20Medal%20_St.%20Jaygarcia%20Saturn_%20-%20Piece%20_Colored_.png?updatedAt=1770076467170</t>
  </si>
  <si>
    <t>333 The Five Elders - St. Jaygarcia Saturn</t>
  </si>
  <si>
    <t>img_icon_medal_310110009</t>
  </si>
  <si>
    <t>340 ASL - Ace &amp; Sabo &amp; Luffy - Medal _ASL Ace &amp; Sabo &amp; Luffy_ _Colored_.png</t>
  </si>
  <si>
    <t>009 - Straw Hat Pirates_Musician ~ Brook - Medal - Crafted [Colored] -  [Brook]</t>
  </si>
  <si>
    <t>img_icon_medal_310200301.png</t>
  </si>
  <si>
    <t>https://ik.imagekit.io/alaaalaa6171/Event%20Medals/img_icon_medal_310200301.png?updatedAt=1770125391974</t>
  </si>
  <si>
    <t>299 - Medal [Event] - Crafted - King (Bandaged)</t>
  </si>
  <si>
    <t>https://i.postimg.cc/CKGfN4Xc/img_icon_medal_310110334.png</t>
  </si>
  <si>
    <t>img_icon_medal_310110334</t>
  </si>
  <si>
    <t>https://ik.imagekit.io/alaaalaa6171/332%20Egghead%20-%20Nico%20Robin%20-%20Medal%20_Egghead%20Robin_.png?updatedAt=1770076467237</t>
  </si>
  <si>
    <t>https://ik.imagekit.io/alaaalaa6171/332%20Egghead%20-%20Nico%20Robin%20-%20Medal%20_Egghead%20Robin_%20_Colored_.png?updatedAt=1770076467098</t>
  </si>
  <si>
    <t>https://ik.imagekit.io/alaaalaa6171/332%20Egghead%20-%20Nico%20Robin%20-%20Medal%20_Egghead%20Robin_%20-%20Piece.png?updatedAt=1770076467007</t>
  </si>
  <si>
    <t>https://ik.imagekit.io/alaaalaa6171/332%20Egghead%20-%20Nico%20Robin%20-%20Medal%20_Egghead%20Robin_%20-%20Piece%20_Colored_.png?updatedAt=1770076467037</t>
  </si>
  <si>
    <t>332 Egghead - Nico Robin</t>
  </si>
  <si>
    <t>img_icon_medal_310110010</t>
  </si>
  <si>
    <t>339 Winner Island - Trafalgar Law - Medal _Winner Island Law_.png</t>
  </si>
  <si>
    <t>010 - Mountain Bandits_Leader ~ Higuma the Bear - Medal - Crafted [Colored] -  [Higuma]</t>
  </si>
  <si>
    <t>img_icon_medal_310200300.png</t>
  </si>
  <si>
    <t>https://ik.imagekit.io/alaaalaa6171/Event%20Medals/img_icon_medal_310200300.png?updatedAt=1770125391830</t>
  </si>
  <si>
    <t>298 - Medal [Event] - Crafted - Zoro (Feast)</t>
  </si>
  <si>
    <t>https://i.postimg.cc/N06r4xSC/img_icon_medal_310110333.png</t>
  </si>
  <si>
    <t>img_icon_medal_310110333</t>
  </si>
  <si>
    <t>https://ik.imagekit.io/alaaalaa6171/331%20Egghead%20-%20Tony%20Tony%20Chopper%20-%20Medal%20_Egghead%20Chopper_.png?updatedAt=1770076467252</t>
  </si>
  <si>
    <t>https://ik.imagekit.io/alaaalaa6171/331%20Egghead%20-%20Tony%20Tony%20Chopper%20-%20Medal%20_Egghead%20Chopper_%20_Colored_.png?updatedAt=1770076466599</t>
  </si>
  <si>
    <t>https://ik.imagekit.io/alaaalaa6171/331%20Egghead%20-%20Tony%20Tony%20Chopper%20-%20Medal%20_Egghead%20Chopper_%20-%20Piece.png?updatedAt=1770076466579</t>
  </si>
  <si>
    <t>https://ik.imagekit.io/alaaalaa6171/331%20Egghead%20-%20Tony%20Tony%20Chopper%20-%20Medal%20_Egghead%20Chopper_%20-%20Piece%20_Colored_.png?updatedAt=1770076466641</t>
  </si>
  <si>
    <t>331 Egghead - Tony Tony Chopper</t>
  </si>
  <si>
    <t>img_icon_medal_310110011</t>
  </si>
  <si>
    <t>339 Winner Island - Trafalgar Law - Medal _Winner Island Law_ - Piece.png</t>
  </si>
  <si>
    <t>011 - Chore Boy ~ Koby - Medal - Crafted [Colored] -  [Koby]</t>
  </si>
  <si>
    <t>img_icon_medal_310200299.png</t>
  </si>
  <si>
    <t>https://ik.imagekit.io/alaaalaa6171/Event%20Medals/img_icon_medal_310200299.png?updatedAt=1770125391970</t>
  </si>
  <si>
    <t>297 - Medal [Event] - Crafted - Warrior God of Agriculture</t>
  </si>
  <si>
    <t>https://i.postimg.cc/jjHJXhmv/img_icon_medal_310110332.png</t>
  </si>
  <si>
    <t>img_icon_medal_310110332</t>
  </si>
  <si>
    <t>https://ik.imagekit.io/alaaalaa6171/330%20Egghead%20-%20Brook%20-%20Medal%20_Egghead%20Brook_.png?updatedAt=1770076466599</t>
  </si>
  <si>
    <t>https://ik.imagekit.io/alaaalaa6171/330%20Egghead%20-%20Brook%20-%20Medal%20_Egghead%20Brook_%20_Colored_.png?updatedAt=1770076466593</t>
  </si>
  <si>
    <t>https://ik.imagekit.io/alaaalaa6171/330%20Egghead%20-%20Brook%20-%20Medal%20_Egghead%20Brook_%20-%20Piece.png?updatedAt=1770076466561</t>
  </si>
  <si>
    <t>https://ik.imagekit.io/alaaalaa6171/330%20Egghead%20-%20Brook%20-%20Medal%20_Egghead%20Brook_%20-%20Piece%20_Colored_.png?updatedAt=1770076466239</t>
  </si>
  <si>
    <t>330 Egghead - Brook</t>
  </si>
  <si>
    <t>img_icon_medal_310110012</t>
  </si>
  <si>
    <t>339 Winner Island - Trafalgar Law - Medal _Winner Island Law_ - Piece _Colored_.png</t>
  </si>
  <si>
    <t>012 - Alvida Pirates_Captain ~ Alvida - Medal - Crafted [Colored] -  [Alvida]</t>
  </si>
  <si>
    <t>img_icon_medal_310200298.png</t>
  </si>
  <si>
    <t>https://ik.imagekit.io/alaaalaa6171/Event%20Medals/img_icon_medal_310200298.png?updatedAt=1770125391945</t>
  </si>
  <si>
    <t>296 - Medal [Event] - Crafted - Warrior God of Justice</t>
  </si>
  <si>
    <t>https://i.postimg.cc/3wXDBZVZ/img_icon_medal_310110331.png</t>
  </si>
  <si>
    <t>img_icon_medal_310110331</t>
  </si>
  <si>
    <t>https://ik.imagekit.io/alaaalaa6171/329%20The%20Four%20Emperors%20-%20Monkey%20D.%20Luffy%20-%20Medal%20_Star%20Gun_.png?updatedAt=1770076466221</t>
  </si>
  <si>
    <t>https://ik.imagekit.io/alaaalaa6171/329%20The%20Four%20Emperors%20-%20Monkey%20D.%20Luffy%20-%20Medal%20_Star%20Gun_%20_Colored_.png?updatedAt=1770076466245</t>
  </si>
  <si>
    <t>https://ik.imagekit.io/alaaalaa6171/329%20The%20Four%20Emperors%20-%20Monkey%20D.%20Luffy%20-%20Medal%20_Star%20Gun_%20-%20Piece.png?updatedAt=1770076466252</t>
  </si>
  <si>
    <t>https://ik.imagekit.io/alaaalaa6171/329%20The%20Four%20Emperors%20-%20Monkey%20D.%20Luffy%20-%20Medal%20_Star%20Gun_%20-%20Piece%20_Colored_.png?updatedAt=1770076466225</t>
  </si>
  <si>
    <t>329 The Four Emperors - Monkey D. Luffy</t>
  </si>
  <si>
    <t>img_icon_medal_310110013</t>
  </si>
  <si>
    <t>339 Winner Island - Trafalgar Law - Medal _Winner Island Law_ _Colored_.png</t>
  </si>
  <si>
    <t>013 - The Idiot Son ~ Helmeppo - Medal - Crafted [Colored] -  [Helmeppo]</t>
  </si>
  <si>
    <t>img_icon_medal_310200297.png</t>
  </si>
  <si>
    <t>https://ik.imagekit.io/alaaalaa6171/Event%20Medals/img_icon_medal_310200297.png?updatedAt=1770125391963</t>
  </si>
  <si>
    <t>295 - Medal [Event] - Crafted - Jinbe (Future Outfit)</t>
  </si>
  <si>
    <t>https://i.postimg.cc/xdvbRPh3/img_icon_medal_310110330.png</t>
  </si>
  <si>
    <t>img_icon_medal_310110330</t>
  </si>
  <si>
    <t>https://ik.imagekit.io/alaaalaa6171/328%20Egghead%20-%20Usopp%20-%20Medal%20_Egghead%20Usopp_.png?updatedAt=1770076466237</t>
  </si>
  <si>
    <t>https://ik.imagekit.io/alaaalaa6171/328%20Egghead%20-%20Usopp%20-%20Medal%20_Egghead%20Usopp_%20_Colored_.png?updatedAt=1770076466267</t>
  </si>
  <si>
    <t>https://ik.imagekit.io/alaaalaa6171/328%20Egghead%20-%20Usopp%20-%20Medal%20_Egghead%20Usopp_%20-%20Piece.png?updatedAt=1770076466210</t>
  </si>
  <si>
    <t>https://ik.imagekit.io/alaaalaa6171/328%20Egghead%20-%20Usopp%20-%20Medal%20_Egghead%20Usopp_%20-%20Piece%20_Colored_.png?updatedAt=1770076466239</t>
  </si>
  <si>
    <t>328 Egghead - Usopp</t>
  </si>
  <si>
    <t>img_icon_medal_310110014</t>
  </si>
  <si>
    <t>338 Winner Island - Bepo - Medal _Winner Island Bepo_.png</t>
  </si>
  <si>
    <t>014 - Navy Captain ~ Morgan - Medal - Crafted [Colored] -  [Morgan]</t>
  </si>
  <si>
    <t>img_icon_medal_310200296.png</t>
  </si>
  <si>
    <t>https://ik.imagekit.io/alaaalaa6171/Event%20Medals/img_icon_medal_310200296.png?updatedAt=1770125391928</t>
  </si>
  <si>
    <t>294 - Medal [Event] - Crafted - Zoro &amp; Kaku</t>
  </si>
  <si>
    <t>https://i.postimg.cc/rp1tJ93C/img_icon_medal_310110329.png</t>
  </si>
  <si>
    <t>img_icon_medal_310110329</t>
  </si>
  <si>
    <t>https://ik.imagekit.io/alaaalaa6171/327%20Egghead%20-%20Nami%20-%20Medal%20_Egghead%20Nami_.png?updatedAt=1770076466216</t>
  </si>
  <si>
    <t>https://ik.imagekit.io/alaaalaa6171/327%20Egghead%20-%20Nami%20-%20Medal%20_Egghead%20Nami_%20_Colored_.png?updatedAt=1770076466206</t>
  </si>
  <si>
    <t>https://ik.imagekit.io/alaaalaa6171/327%20Egghead%20-%20Nami%20-%20Medal%20_Egghead%20Nami_%20-%20Piece.png?updatedAt=1770076466260</t>
  </si>
  <si>
    <t>https://ik.imagekit.io/alaaalaa6171/327%20Egghead%20-%20Nami%20-%20Medal%20_Egghead%20Nami_%20-%20Piece%20_Colored_.png?updatedAt=1770076466207</t>
  </si>
  <si>
    <t>327 Egghead - Nami</t>
  </si>
  <si>
    <t>img_icon_medal_310110015</t>
  </si>
  <si>
    <t>338 Winner Island - Bepo - Medal _Winner Island Bepo_ - Piece.png</t>
  </si>
  <si>
    <t>015 - Buggy Pirates_Chief of Staff ~ Cabaji - Medal - Crafted [Colored] -  [Cabaji]</t>
  </si>
  <si>
    <t>img_icon_medal_310200295.png</t>
  </si>
  <si>
    <t>https://ik.imagekit.io/alaaalaa6171/Event%20Medals/img_icon_medal_310200295.png?updatedAt=1770125391976</t>
  </si>
  <si>
    <t>293 - Medal [Event] - Crafted - Franky (Future Outfit)</t>
  </si>
  <si>
    <t>https://i.postimg.cc/1zGNHK2D/img_icon_medal_310110328.png</t>
  </si>
  <si>
    <t>img_icon_medal_310110328</t>
  </si>
  <si>
    <t>https://ik.imagekit.io/alaaalaa6171/326%20Blind%20Swordsman%20Fujitora%20-%20_Issho_%20-%20Medal%20_Issho_.png?updatedAt=1770076466191</t>
  </si>
  <si>
    <t>https://ik.imagekit.io/alaaalaa6171/326%20Blind%20Swordsman%20Fujitora%20-%20_Issho_%20-%20Medal%20_Issho_%20_Colored_.png?updatedAt=1770076466224</t>
  </si>
  <si>
    <t>https://ik.imagekit.io/alaaalaa6171/326%20Blind%20Swordsman%20Fujitora%20-%20_Issho_%20-%20Medal%20_Issho_%20-%20Piece.png?updatedAt=1770076466244</t>
  </si>
  <si>
    <t>https://ik.imagekit.io/alaaalaa6171/326%20Blind%20Swordsman%20Fujitora%20-%20_Issho_%20-%20Medal%20_Issho_%20-%20Piece%20_Colored_.png?updatedAt=1770076465769</t>
  </si>
  <si>
    <t>326 Blind Swordsman Fujitora - [Issho]</t>
  </si>
  <si>
    <t>img_icon_medal_310110016</t>
  </si>
  <si>
    <t>338 Winner Island - Bepo - Medal _Winner Island Bepo_ - Piece _Colored_.png</t>
  </si>
  <si>
    <t>016 - Black Cat Pirates_Captain ~ Django - Medal - Crafted [Colored] -  [Django]</t>
  </si>
  <si>
    <t>img_icon_medal_310200294.png</t>
  </si>
  <si>
    <t>https://ik.imagekit.io/alaaalaa6171/Event%20Medals/img_icon_medal_310200294.png?updatedAt=1770125391959</t>
  </si>
  <si>
    <t>292 - Medal [Event] - Crafted - Usopp (Future Outfit)</t>
  </si>
  <si>
    <t>https://i.postimg.cc/QMQWbqw1/img_icon_medal_310110327.png</t>
  </si>
  <si>
    <t>img_icon_medal_310110327</t>
  </si>
  <si>
    <t>https://ik.imagekit.io/alaaalaa6171/325%20Groves%20of%20Wrath%20Ryokugyu%20-%20_Aramaki_%20-%20Medal%20_Aramaki_.png?updatedAt=1770076466199</t>
  </si>
  <si>
    <t>https://ik.imagekit.io/alaaalaa6171/325%20Groves%20of%20Wrath%20Ryokugyu%20-%20_Aramaki_%20-%20Medal%20_Aramaki_%20_Colored_.png?updatedAt=1770076466251</t>
  </si>
  <si>
    <t>https://ik.imagekit.io/alaaalaa6171/325%20Groves%20of%20Wrath%20Ryokugyu%20-%20_Aramaki_%20-%20Medal%20_Aramaki_%20-%20Piece.png?updatedAt=1770076466214</t>
  </si>
  <si>
    <t>https://ik.imagekit.io/alaaalaa6171/325%20Groves%20of%20Wrath%20Ryokugyu%20-%20_Aramaki_%20-%20Medal%20_Aramaki_%20-%20Piece%20_Colored_.png?updatedAt=1770076466241</t>
  </si>
  <si>
    <t>325 Groves of Wrath Ryokugyu - [Aramaki]</t>
  </si>
  <si>
    <t>img_icon_medal_310110017</t>
  </si>
  <si>
    <t>338 Winner Island - Bepo - Medal _Winner Island Bepo_ _Colored_.png</t>
  </si>
  <si>
    <t>017 - Black Cat Pirates_Guard ~ Butchie - Medal - Crafted [Colored] -  [Butchie]</t>
  </si>
  <si>
    <t>img_icon_medal_310200293.png</t>
  </si>
  <si>
    <t>https://ik.imagekit.io/alaaalaa6171/Event%20Medals/img_icon_medal_310200293.png?updatedAt=1770125391872</t>
  </si>
  <si>
    <t>291 - Medal [Event] - Crafted - Sanji (Future Outfit)</t>
  </si>
  <si>
    <t>https://i.postimg.cc/xdvbRPhH/img_icon_medal_310110326.png</t>
  </si>
  <si>
    <t>img_icon_medal_310110326</t>
  </si>
  <si>
    <t>https://ik.imagekit.io/alaaalaa6171/324%20Ama%20no%20Murakumo%20Sword%20Kizaru%20-%20_Borsalino_%20-%20Medal%20_Borsalino_.png?updatedAt=1770076466200</t>
  </si>
  <si>
    <t>https://ik.imagekit.io/alaaalaa6171/324%20Ama%20no%20Murakumo%20Sword%20Kizaru%20-%20_Borsalino_%20-%20Medal%20_Borsalino_%20_Colored_.png?updatedAt=1770076466232</t>
  </si>
  <si>
    <t>https://ik.imagekit.io/alaaalaa6171/324%20Ama%20no%20Murakumo%20Sword%20Kizaru%20-%20_Borsalino_%20-%20Medal%20_Borsalino_%20-%20Piece.png?updatedAt=1770076466160</t>
  </si>
  <si>
    <t>https://ik.imagekit.io/alaaalaa6171/324%20Ama%20no%20Murakumo%20Sword%20Kizaru%20-%20_Borsalino_%20-%20Medal%20_Borsalino_%20-%20Piece%20_Colored_.png?updatedAt=1770076466191</t>
  </si>
  <si>
    <t>324 Ama no Murakumo Sword Kizaru - [Borsalino]</t>
  </si>
  <si>
    <t>img_icon_medal_310110018</t>
  </si>
  <si>
    <t>337 Genius Scientist - Vegapunk - Medal _Genius Scientist_.png</t>
  </si>
  <si>
    <t>018 - Bounty Hunter ~ Yosaku - Medal - Crafted [Colored] -  [Yosaku]</t>
  </si>
  <si>
    <t>img_icon_medal_310200292.png</t>
  </si>
  <si>
    <t>https://ik.imagekit.io/alaaalaa6171/Event%20Medals/img_icon_medal_310200292.png?updatedAt=1770125391922</t>
  </si>
  <si>
    <t>290 - Medal [Event] - Crafted - A Hundred Times Stronger</t>
  </si>
  <si>
    <t>https://i.postimg.cc/SK6zrG3W/img_icon_medal_310110325.png</t>
  </si>
  <si>
    <t>img_icon_medal_310110325</t>
  </si>
  <si>
    <t>https://ik.imagekit.io/alaaalaa6171/323%20Davy%20Back%20Fight%20-%20Sanji%201%20-%20Medal%20_Arm%C3%A9e%20de%20l_Air%20Power%20Shoot_.png?updatedAt=1770076466244</t>
  </si>
  <si>
    <t>https://ik.imagekit.io/alaaalaa6171/323%20Davy%20Back%20Fight%20-%20Sanji%201%20-%20Medal%20_Arm%C3%A9e%20de%20l_Air%20Power%20Shoot_%20_Colored_.png?updatedAt=1770076466219</t>
  </si>
  <si>
    <t>https://ik.imagekit.io/alaaalaa6171/323%20Davy%20Back%20Fight%20-%20Sanji%201%20-%20Medal%20_Arm%C3%A9e%20de%20l_Air%20Power%20Shoot_%20-%20Piece.png?updatedAt=1770076466185</t>
  </si>
  <si>
    <t>https://ik.imagekit.io/alaaalaa6171/323%20Davy%20Back%20Fight%20-%20Sanji%201%20-%20Medal%20_Arm%C3%A9e%20de%20l_Air%20Power%20Shoot_%20-%20Piece%20_Colored_.png?updatedAt=1770076466143</t>
  </si>
  <si>
    <t>323 Davy Back Fight - Sanji 1</t>
  </si>
  <si>
    <t>img_icon_medal_310110019</t>
  </si>
  <si>
    <t>337 Genius Scientist - Vegapunk - Medal _Genius Scientist_ - Piece.png</t>
  </si>
  <si>
    <t>019 - Bounty Hunter ~ Johnny - Medal - Crafted [Colored] -  [Johnny]</t>
  </si>
  <si>
    <t>img_icon_medal_310200291.png</t>
  </si>
  <si>
    <t>https://ik.imagekit.io/alaaalaa6171/Event%20Medals/img_icon_medal_310200291.png?updatedAt=1770125391909</t>
  </si>
  <si>
    <t>289 - Medal [Event] - Crafted - Atlas (Order)</t>
  </si>
  <si>
    <t>https://i.postimg.cc/Zn2RZ9X9/img_icon_medal_310110324.png</t>
  </si>
  <si>
    <t>img_icon_medal_310110324</t>
  </si>
  <si>
    <t>https://ik.imagekit.io/alaaalaa6171/322%20Foxy%20Pirates_Captain%20-%20Foxy%20-%20Medal%20_Foxy_.png?updatedAt=1770076466187</t>
  </si>
  <si>
    <t>https://ik.imagekit.io/alaaalaa6171/322%20Foxy%20Pirates_Captain%20-%20Foxy%20-%20Medal%20_Foxy_%20_Colored_.png?updatedAt=1770076466152</t>
  </si>
  <si>
    <t>https://ik.imagekit.io/alaaalaa6171/322%20Foxy%20Pirates_Captain%20-%20Foxy%20-%20Medal%20_Foxy_%20-%20Piece.png?updatedAt=1770076466132</t>
  </si>
  <si>
    <t>https://ik.imagekit.io/alaaalaa6171/322%20Foxy%20Pirates_Captain%20-%20Foxy%20-%20Medal%20_Foxy_%20-%20Piece%20_Colored_.png?updatedAt=1770076466148</t>
  </si>
  <si>
    <t>322 Foxy Pirates / Captain - Foxy</t>
  </si>
  <si>
    <t>img_icon_medal_310110020</t>
  </si>
  <si>
    <t>337 Genius Scientist - Vegapunk - Medal _Genius Scientist_ - Piece _Colored_.png</t>
  </si>
  <si>
    <t>020 - Buggy Pirates_Captain ~ Buggy - Medal - Crafted [Colored] -  [Buggy]</t>
  </si>
  <si>
    <t>img_icon_medal_310200290.png</t>
  </si>
  <si>
    <t>https://ik.imagekit.io/alaaalaa6171/Event%20Medals/img_icon_medal_310200290.png?updatedAt=1770125391893</t>
  </si>
  <si>
    <t>288 - Medal [Event] - Crafted - Edison (Bandaged)</t>
  </si>
  <si>
    <t>https://i.postimg.cc/hv6jgJNh/img_icon_medal_310110323.png</t>
  </si>
  <si>
    <t>img_icon_medal_310110323</t>
  </si>
  <si>
    <t>https://ik.imagekit.io/alaaalaa6171/321%20Davy%20Back%20Fight%20-%20Monkey%20D.%20Luffy%20-%20Medal%20_Flail_.png?updatedAt=1770076466119</t>
  </si>
  <si>
    <t>https://ik.imagekit.io/alaaalaa6171/321%20Davy%20Back%20Fight%20-%20Monkey%20D.%20Luffy%20-%20Medal%20_Flail_%20_Colored_.png?updatedAt=1770076466178</t>
  </si>
  <si>
    <t>https://ik.imagekit.io/alaaalaa6171/321%20Davy%20Back%20Fight%20-%20Monkey%20D.%20Luffy%20-%20Medal%20_Flail_%20-%20Piece.png?updatedAt=1770076466104</t>
  </si>
  <si>
    <t>https://ik.imagekit.io/alaaalaa6171/321%20Davy%20Back%20Fight%20-%20Monkey%20D.%20Luffy%20-%20Medal%20_Flail_%20-%20Piece%20_Colored_.png?updatedAt=1770076466140</t>
  </si>
  <si>
    <t>321 Davy Back Fight - Monkey D. Luffy</t>
  </si>
  <si>
    <t>img_icon_medal_310110021</t>
  </si>
  <si>
    <t>337 Genius Scientist - Vegapunk - Medal _Genius Scientist_ _Colored_.png</t>
  </si>
  <si>
    <t>021 - Black Cat Pirates_Former Captain ~ Captain Kuro - Medal - Crafted [Colored] -  [Kuro]</t>
  </si>
  <si>
    <t>img_icon_medal_310200289.png</t>
  </si>
  <si>
    <t>https://ik.imagekit.io/alaaalaa6171/Event%20Medals/img_icon_medal_310200289.png?updatedAt=1770125391859</t>
  </si>
  <si>
    <t>287 - Medal [Event] - Crafted - Kuzan (FILM Z)</t>
  </si>
  <si>
    <t>https://i.postimg.cc/gjQJdw1J/img_icon_medal_310110322.png</t>
  </si>
  <si>
    <t>img_icon_medal_310110322</t>
  </si>
  <si>
    <t>https://ik.imagekit.io/alaaalaa6171/320%20Happosui%20Army_13th%20Chief%20-%20Sai%20-%20Medal%20_Sai_.png?updatedAt=1770076466137</t>
  </si>
  <si>
    <t>https://ik.imagekit.io/alaaalaa6171/320%20Happosui%20Army_13th%20Chief%20-%20Sai%20-%20Medal%20_Sai_%20_Colored_.png?updatedAt=1770076466125</t>
  </si>
  <si>
    <t>https://ik.imagekit.io/alaaalaa6171/320%20Happosui%20Army_13th%20Chief%20-%20Sai%20-%20Medal%20_Sai_%20-%20Piece.png?updatedAt=1770076466212</t>
  </si>
  <si>
    <t>https://ik.imagekit.io/alaaalaa6171/320%20Happosui%20Army_13th%20Chief%20-%20Sai%20-%20Medal%20_Sai_%20-%20Piece%20_Colored_.png?updatedAt=1770076466102</t>
  </si>
  <si>
    <t>320 Happosui Army / 13th Chief - Sai</t>
  </si>
  <si>
    <t>img_icon_medal_310110022</t>
  </si>
  <si>
    <t>336 Father and Daughter - Kuma &amp; Bonney - Medal _Kuma &amp; Bonney_.png</t>
  </si>
  <si>
    <t>022 - Baratie_Head Chef ~ Zeff - Medal - Crafted [Colored] -  [Zeff]</t>
  </si>
  <si>
    <t>img_icon_medal_310200288.png</t>
  </si>
  <si>
    <t>https://ik.imagekit.io/alaaalaa6171/Event%20Medals/img_icon_medal_310200288.png?updatedAt=1770125391986</t>
  </si>
  <si>
    <t>286 - Medal [Event] - Crafted - Admiral Zephyr</t>
  </si>
  <si>
    <t>https://i.postimg.cc/GtV2rB6t/img_icon_medal_310110321.png</t>
  </si>
  <si>
    <t>img_icon_medal_310110321</t>
  </si>
  <si>
    <t>https://ik.imagekit.io/alaaalaa6171/319%20Tontatta%20Pirates_Captain%20-%20Leo%20-%20Medal%20_Leo_.png?updatedAt=1770076466107</t>
  </si>
  <si>
    <t>https://ik.imagekit.io/alaaalaa6171/319%20Tontatta%20Pirates_Captain%20-%20Leo%20-%20Medal%20_Leo_%20_Colored_.png?updatedAt=1770076466058</t>
  </si>
  <si>
    <t>https://ik.imagekit.io/alaaalaa6171/319%20Tontatta%20Pirates_Captain%20-%20Leo%20-%20Medal%20_Leo_%20-%20Piece.png?updatedAt=1770076466075</t>
  </si>
  <si>
    <t>https://ik.imagekit.io/alaaalaa6171/319%20Tontatta%20Pirates_Captain%20-%20Leo%20-%20Medal%20_Leo_%20-%20Piece%20_Colored_.png?updatedAt=1770076466076</t>
  </si>
  <si>
    <t>319 Tontatta Pirates / Captain - Leo</t>
  </si>
  <si>
    <t>img_icon_medal_310110023</t>
  </si>
  <si>
    <t>336 Father and Daughter - Kuma &amp; Bonney - Medal _Kuma &amp; Bonney_ - Piece.png</t>
  </si>
  <si>
    <t>023 - Krieg`s Pirate Armada_Battle Commander ~ Gin - Medal - Crafted [Colored] -  [Gin]</t>
  </si>
  <si>
    <t>img_icon_medal_310200287.png</t>
  </si>
  <si>
    <t>https://ik.imagekit.io/alaaalaa6171/Event%20Medals/img_icon_medal_310200287.png?updatedAt=1770125391982</t>
  </si>
  <si>
    <t>285 - Medal [Event] - Crafted - Bluegrass</t>
  </si>
  <si>
    <t>https://i.postimg.cc/Y0Z9k4TS/img_icon_medal_310110320.png</t>
  </si>
  <si>
    <t>img_icon_medal_310110320</t>
  </si>
  <si>
    <t>https://ik.imagekit.io/alaaalaa6171/318%20Celestial%20Dragon%20-%20St.%20Charlos%20-%20Medal%20_St.%20Charlos_.png?updatedAt=1770076466036</t>
  </si>
  <si>
    <t>https://ik.imagekit.io/alaaalaa6171/318%20Celestial%20Dragon%20-%20St.%20Charlos%20-%20Medal%20_St.%20Charlos_%20_Colored_.png?updatedAt=1770076466069</t>
  </si>
  <si>
    <t>https://ik.imagekit.io/alaaalaa6171/318%20Celestial%20Dragon%20-%20St.%20Charlos%20-%20Medal%20_St.%20Charlos_%20-%20Piece.png?updatedAt=1770076466080</t>
  </si>
  <si>
    <t>https://ik.imagekit.io/alaaalaa6171/318%20Celestial%20Dragon%20-%20St.%20Charlos%20-%20Medal%20_St.%20Charlos_%20-%20Piece%20_Colored_.png?updatedAt=1770076466063</t>
  </si>
  <si>
    <t>318 Celestial Dragon - St. Charlos</t>
  </si>
  <si>
    <t>img_icon_medal_310110024</t>
  </si>
  <si>
    <t>336 Father and Daughter - Kuma &amp; Bonney - Medal _Kuma &amp; Bonney_ - Piece _Colored_.png</t>
  </si>
  <si>
    <t>024 - Krieg`s Pirate Armada_Admiral ~ Don Krieg - Medal - Crafted [Colored] -  [Don Krieg]</t>
  </si>
  <si>
    <t>img_icon_medal_310200286.png</t>
  </si>
  <si>
    <t>https://ik.imagekit.io/alaaalaa6171/Event%20Medals/img_icon_medal_310200286.png?updatedAt=1770125391946</t>
  </si>
  <si>
    <t>284 - Medal [Event] - Crafted - Doll</t>
  </si>
  <si>
    <t>https://i.postimg.cc/RhyF932Z/img_icon_medal_310110318.png</t>
  </si>
  <si>
    <t>img_icon_medal_310110318</t>
  </si>
  <si>
    <t>https://ik.imagekit.io/alaaalaa6171/317%20Clear-Clear%20Fruit%20-%20Shiryu%20-%20Medal%20_Invisible%20Strike_.png?updatedAt=1770076466063</t>
  </si>
  <si>
    <t>https://ik.imagekit.io/alaaalaa6171/317%20Clear-Clear%20Fruit%20-%20Shiryu%20-%20Medal%20_Invisible%20Strike_%20_Colored_.png?updatedAt=1770076466036</t>
  </si>
  <si>
    <t>https://ik.imagekit.io/alaaalaa6171/317%20Clear-Clear%20Fruit%20-%20Shiryu%20-%20Medal%20_Invisible%20Strike_%20-%20Piece.png?updatedAt=1770076466064</t>
  </si>
  <si>
    <t>https://ik.imagekit.io/alaaalaa6171/317%20Clear-Clear%20Fruit%20-%20Shiryu%20-%20Medal%20_Invisible%20Strike_%20-%20Piece%20_Colored_.png?updatedAt=1770076466083</t>
  </si>
  <si>
    <t>317 Clear-Clear Fruit - Shiryu</t>
  </si>
  <si>
    <t>img_icon_medal_310110025</t>
  </si>
  <si>
    <t>336 Father and Daughter - Kuma &amp; Bonney - Medal _Kuma &amp; Bonney_ _Colored_.png</t>
  </si>
  <si>
    <t>025 - Arlong Pirates_Officer ~ Hatchan - Medal - Crafted [Colored] -  [Hachi]</t>
  </si>
  <si>
    <t>img_icon_medal_310200285.png</t>
  </si>
  <si>
    <t>https://ik.imagekit.io/alaaalaa6171/Event%20Medals/img_icon_medal_310200285.png?updatedAt=1770125391777</t>
  </si>
  <si>
    <t>283 - Medal [Event] - Crafted - Usopp (Cornerman)</t>
  </si>
  <si>
    <t>https://i.postimg.cc/mkJDRcK2/img_icon_medal_310110319.png</t>
  </si>
  <si>
    <t>img_icon_medal_310110319</t>
  </si>
  <si>
    <t>https://ik.imagekit.io/alaaalaa6171/316%20Strong-Strong%20Fruit%20-%20Jesus%20Burgess%20-%20Medal%20_Gallion%20Lariat_.png?updatedAt=1770076466057</t>
  </si>
  <si>
    <t>https://ik.imagekit.io/alaaalaa6171/316%20Strong-Strong%20Fruit%20-%20Jesus%20Burgess%20-%20Medal%20_Gallion%20Lariat_%20_Colored_.png?updatedAt=1770076466068</t>
  </si>
  <si>
    <t>https://ik.imagekit.io/alaaalaa6171/316%20Strong-Strong%20Fruit%20-%20Jesus%20Burgess%20-%20Medal%20_Gallion%20Lariat_%20-%20Piece.png?updatedAt=1770076466025</t>
  </si>
  <si>
    <t>https://ik.imagekit.io/alaaalaa6171/316%20Strong-Strong%20Fruit%20-%20Jesus%20Burgess%20-%20Medal%20_Gallion%20Lariat_%20-%20Piece%20_Colored_.png?updatedAt=1770076465992</t>
  </si>
  <si>
    <t>316 Strong-Strong Fruit - Jesus Burgess</t>
  </si>
  <si>
    <t>img_icon_medal_310110026</t>
  </si>
  <si>
    <t>335 Egghead - Jinbe - Medal _Egghead Jinbe_.png</t>
  </si>
  <si>
    <t>026 - Arlong Pirates_Officer ~ Choo - Medal - Crafted [Colored] -  [Kuroobi]</t>
  </si>
  <si>
    <t>img_icon_medal_310200284.png</t>
  </si>
  <si>
    <t>https://ik.imagekit.io/alaaalaa6171/Event%20Medals/img_icon_medal_310200284.png?updatedAt=1770125391849</t>
  </si>
  <si>
    <t>282 - Medal [Event] - Crafted - Chappy</t>
  </si>
  <si>
    <t>https://i.postimg.cc/8c95DFxp/img_icon_medal_310110317.png</t>
  </si>
  <si>
    <t>img_icon_medal_310110317</t>
  </si>
  <si>
    <t>https://ik.imagekit.io/alaaalaa6171/315%20Germa%2066%20-%20Vinsmoke%20Yonji%20-%20Medal%20_Yonji_.png?updatedAt=1770076466059</t>
  </si>
  <si>
    <t>https://ik.imagekit.io/alaaalaa6171/315%20Germa%2066%20-%20Vinsmoke%20Yonji%20-%20Medal%20_Yonji_%20_Colored_.png?updatedAt=1770076466096</t>
  </si>
  <si>
    <t>https://ik.imagekit.io/alaaalaa6171/315%20Germa%2066%20-%20Vinsmoke%20Yonji%20-%20Medal%20_Yonji_%20-%20Piece.png?updatedAt=1770076466026</t>
  </si>
  <si>
    <t>https://ik.imagekit.io/alaaalaa6171/315%20Germa%2066%20-%20Vinsmoke%20Yonji%20-%20Medal%20_Yonji_%20-%20Piece%20_Colored_.png?updatedAt=1770076466050</t>
  </si>
  <si>
    <t>315 Germa 66 - Vinsmoke Yonji</t>
  </si>
  <si>
    <t>img_icon_medal_310110027</t>
  </si>
  <si>
    <t>335 Egghead - Jinbe - Medal _Egghead Jinbe_ - Piece.png</t>
  </si>
  <si>
    <t>027 - Arlong Pirates_Officer ~ Kuroobi - Medal - Crafted [Colored] -  [Choo]</t>
  </si>
  <si>
    <t>img_icon_medal_310200283.png</t>
  </si>
  <si>
    <t>https://ik.imagekit.io/alaaalaa6171/Event%20Medals/img_icon_medal_310200283.png?updatedAt=1770125391820</t>
  </si>
  <si>
    <t>281 - Medal [Event] - Crafted - Hamburg</t>
  </si>
  <si>
    <t>https://i.postimg.cc/tJwTy18X/img_icon_medal_310110316.png</t>
  </si>
  <si>
    <t>img_icon_medal_310110316</t>
  </si>
  <si>
    <t>https://ik.imagekit.io/alaaalaa6171/314%20Germa%2066%20-%20Vinsmoke%20Neji%20-%20Medal%20_Neji_.png?updatedAt=1770076466018</t>
  </si>
  <si>
    <t>https://ik.imagekit.io/alaaalaa6171/314%20Germa%2066%20-%20Vinsmoke%20Neji%20-%20Medal%20_Neji_%20_Colored_.png?updatedAt=1770076466062</t>
  </si>
  <si>
    <t>https://ik.imagekit.io/alaaalaa6171/314%20Germa%2066%20-%20Vinsmoke%20Neji%20-%20Medal%20_Neji_%20-%20Piece.png?updatedAt=1770076466067</t>
  </si>
  <si>
    <t>https://ik.imagekit.io/alaaalaa6171/314%20Germa%2066%20-%20Vinsmoke%20Neji%20-%20Medal%20_Neji_%20-%20Piece%20_Colored_.png?updatedAt=1770076466049</t>
  </si>
  <si>
    <t>314 Germa 66 - Vinsmoke Neji</t>
  </si>
  <si>
    <t>img_icon_medal_310110028</t>
  </si>
  <si>
    <t>335 Egghead - Jinbe - Medal _Egghead Jinbe_ - Piece _Colored_.png</t>
  </si>
  <si>
    <t>028 - Slip-Slip Fruit ~ Alvida - Medal - Crafted [Colored] -  [Tashigi]</t>
  </si>
  <si>
    <t>img_icon_medal_310200282.png</t>
  </si>
  <si>
    <t>https://ik.imagekit.io/alaaalaa6171/Event%20Medals/img_icon_medal_310200282.png?updatedAt=1770125391805</t>
  </si>
  <si>
    <t>280 - Medal [Event] - Crafted - Porche</t>
  </si>
  <si>
    <t>https://i.postimg.cc/Y0Z9k4TM/img_icon_medal_310110315.png</t>
  </si>
  <si>
    <t>img_icon_medal_310110315</t>
  </si>
  <si>
    <t>https://ik.imagekit.io/alaaalaa6171/313%20Germa%2066%20-%20Vinsmoke%20Ichiji%20-%20Medal%20_Ichiji_.png?updatedAt=1770076466031</t>
  </si>
  <si>
    <t>https://ik.imagekit.io/alaaalaa6171/313%20Germa%2066%20-%20Vinsmoke%20Ichiji%20-%20Medal%20_Ichiji_%20_Colored_.png?updatedAt=1770076466012</t>
  </si>
  <si>
    <t>https://ik.imagekit.io/alaaalaa6171/313%20Germa%2066%20-%20Vinsmoke%20Ichiji%20-%20Medal%20_Ichiji_%20-%20Piece.png?updatedAt=1770076466029</t>
  </si>
  <si>
    <t>https://ik.imagekit.io/alaaalaa6171/313%20Germa%2066%20-%20Vinsmoke%20Ichiji%20-%20Medal%20_Ichiji_%20-%20Piece%20_Colored_.png?updatedAt=1770076466014</t>
  </si>
  <si>
    <t>313 Germa 66 - Vinsmoke Ichiji</t>
  </si>
  <si>
    <t>img_icon_medal_310110029</t>
  </si>
  <si>
    <t>335 Egghead - Jinbe - Medal _Egghead Jinbe_ _Colored_.png</t>
  </si>
  <si>
    <t>029 - Baroque Works_Frontier Agents ~ Ms. Wednesday - Medal - Crafted [Colored] -  [Slip_Slip]</t>
  </si>
  <si>
    <t>img_icon_medal_310200281.png</t>
  </si>
  <si>
    <t>https://ik.imagekit.io/alaaalaa6171/Event%20Medals/img_icon_medal_310200281.png?updatedAt=1770125391897</t>
  </si>
  <si>
    <t>279 - Medal [Event] - Crafted - Bartolomeo (Straw Hat Fleet)</t>
  </si>
  <si>
    <t>https://i.postimg.cc/HnRxHJFT/img_icon_medal_310110314.png</t>
  </si>
  <si>
    <t>img_icon_medal_310110314</t>
  </si>
  <si>
    <t>https://ik.imagekit.io/alaaalaa6171/312%20Flame%20Emperor%20-%20Sabo%20-%20Medal%20_Rock%20Check_.png?updatedAt=1770076465972</t>
  </si>
  <si>
    <t>https://ik.imagekit.io/alaaalaa6171/312%20Flame%20Emperor%20-%20Sabo%20-%20Medal%20_Rock%20Check_%20_Colored_.png?updatedAt=1770076465997</t>
  </si>
  <si>
    <t>https://ik.imagekit.io/alaaalaa6171/312%20Flame%20Emperor%20-%20Sabo%20-%20Medal%20_Rock%20Check_%20-%20Piece.png?updatedAt=1770076465958</t>
  </si>
  <si>
    <t>https://ik.imagekit.io/alaaalaa6171/312%20Flame%20Emperor%20-%20Sabo%20-%20Medal%20_Rock%20Check_%20-%20Piece%20_Colored_.png?updatedAt=1770076465943</t>
  </si>
  <si>
    <t>312 Flame Emperor - Sabo</t>
  </si>
  <si>
    <t>img_icon_medal_310110030</t>
  </si>
  <si>
    <t>334 Egghead - Franky - Medal _Egghead Franky_.png</t>
  </si>
  <si>
    <t>030 - Navy HQ_Master Chief Petty Officer ~ Tashigi - Medal - Crafted [Colored] -  [Ms. Wednesday]</t>
  </si>
  <si>
    <t>img_icon_medal_310200280.png</t>
  </si>
  <si>
    <t>https://ik.imagekit.io/alaaalaa6171/Event%20Medals/img_icon_medal_310200280.png?updatedAt=1770125391966</t>
  </si>
  <si>
    <t>278 - Medal [Event] - Crafted - Hajrudin (Straw Hat Fleet)</t>
  </si>
  <si>
    <t>https://i.postimg.cc/T1FwGyBG/img_icon_medal_310110313.png</t>
  </si>
  <si>
    <t>img_icon_medal_310110313</t>
  </si>
  <si>
    <t>https://ik.imagekit.io/alaaalaa6171/311%20Assistant%20Fish-Man%20Karate%20Master%20-%20Koala%20-%20Medal%20_Revolutionary%20Army%20Female%20Solider_.png?updatedAt=1770076465977</t>
  </si>
  <si>
    <t>https://ik.imagekit.io/alaaalaa6171/311%20Assistant%20Fish-Man%20Karate%20Master%20-%20Koala%20-%20Medal%20_Revolutionary%20Army%20Female%20Solider_%20_Colored_.png?updatedAt=1770076465984</t>
  </si>
  <si>
    <t>https://ik.imagekit.io/alaaalaa6171/311%20Assistant%20Fish-Man%20Karate%20Master%20-%20Koala%20-%20Medal%20_Revolutionary%20Army%20Female%20Solider_%20-%20Piece.png?updatedAt=1770076465941</t>
  </si>
  <si>
    <t>https://ik.imagekit.io/alaaalaa6171/311%20Assistant%20Fish-Man%20Karate%20Master%20-%20Koala%20-%20Medal%20_Revolutionary%20Army%20Female%20Solider_%20-%20Piece%20_Colored_.png?updatedAt=1770076466044</t>
  </si>
  <si>
    <t>311 Assistant Fish-Man Karate Master - Koala</t>
  </si>
  <si>
    <t>img_icon_medal_310110031</t>
  </si>
  <si>
    <t>334 Egghead - Franky - Medal _Egghead Franky_ - Piece.png</t>
  </si>
  <si>
    <t>031 - Climate Baton ~ Nami - Medal - Crafted [Colored] -  [Climate Baton]</t>
  </si>
  <si>
    <t>img_icon_medal_310200279.png</t>
  </si>
  <si>
    <t>https://ik.imagekit.io/alaaalaa6171/Event%20Medals/img_icon_medal_310200279.png?updatedAt=1770125391762</t>
  </si>
  <si>
    <t>277 - Medal [Event] - Crafted - Kuma`s Daughter</t>
  </si>
  <si>
    <t>https://i.postimg.cc/2yM6mqgY/img_icon_medal_310110312.png</t>
  </si>
  <si>
    <t>img_icon_medal_310110312</t>
  </si>
  <si>
    <t>https://ik.imagekit.io/alaaalaa6171/310%20Blackbeard%20Pirates%20-%20Kuzan%20-%20Medal%20_Former%20Senior%20Apprentice_.png?updatedAt=1770076465941</t>
  </si>
  <si>
    <t>https://ik.imagekit.io/alaaalaa6171/310%20Blackbeard%20Pirates%20-%20Kuzan%20-%20Medal%20_Former%20Senior%20Apprentice_%20_Colored_.png?updatedAt=1770076466012</t>
  </si>
  <si>
    <t>https://ik.imagekit.io/alaaalaa6171/310%20Blackbeard%20Pirates%20-%20Kuzan%20-%20Medal%20_Former%20Senior%20Apprentice_%20-%20Piece.png?updatedAt=1770076466042</t>
  </si>
  <si>
    <t>https://ik.imagekit.io/alaaalaa6171/310%20Blackbeard%20Pirates%20-%20Kuzan%20-%20Medal%20_Former%20Senior%20Apprentice_%20-%20Piece%20_Colored_.png?updatedAt=1770076465921</t>
  </si>
  <si>
    <t>310 Blackbeard Pirates - Kuzan</t>
  </si>
  <si>
    <t>img_icon_medal_310110032</t>
  </si>
  <si>
    <t>334 Egghead - Franky - Medal _Egghead Franky_ - Piece _Colored_.png</t>
  </si>
  <si>
    <t>032 - 5t Hammer ~ Usopp - Medal - Crafted [Colored] -  [Pound]</t>
  </si>
  <si>
    <t>img_icon_medal_310200278.png</t>
  </si>
  <si>
    <t>https://ik.imagekit.io/alaaalaa6171/Event%20Medals/img_icon_medal_310200278.png?updatedAt=1770125391710</t>
  </si>
  <si>
    <t>276 - Medal [Event] - Crafted - Free Form</t>
  </si>
  <si>
    <t>https://i.postimg.cc/KjwzFKCS/img_icon_medal_310110311.png</t>
  </si>
  <si>
    <t>img_icon_medal_310110311</t>
  </si>
  <si>
    <t>https://ik.imagekit.io/alaaalaa6171/309%20Navy%20HQ_Captain%20-%20Koby%20-%20Medal%20_The%20Future%20of%20the%20Navy_.png?updatedAt=1770076466022</t>
  </si>
  <si>
    <t>https://ik.imagekit.io/alaaalaa6171/309%20Navy%20HQ_Captain%20-%20Koby%20-%20Medal%20_The%20Future%20of%20the%20Navy_%20_Colored_.png?updatedAt=1770076465976</t>
  </si>
  <si>
    <t>https://ik.imagekit.io/alaaalaa6171/309%20Navy%20HQ_Captain%20-%20Koby%20-%20Medal%20_The%20Future%20of%20the%20Navy_%20-%20Piece.png?updatedAt=1770076465909</t>
  </si>
  <si>
    <t>https://ik.imagekit.io/alaaalaa6171/309%20Navy%20HQ_Captain%20-%20Koby%20-%20Medal%20_The%20Future%20of%20the%20Navy_%20-%20Piece%20_Colored_.png?updatedAt=1770076465911</t>
  </si>
  <si>
    <t>309 Navy HQ / Captain - Koby</t>
  </si>
  <si>
    <t>img_icon_medal_310110033</t>
  </si>
  <si>
    <t>334 Egghead - Franky - Medal _Egghead Franky_ _Colored_.png</t>
  </si>
  <si>
    <t>033 - Veau Vengeance ~ Sanji - Medal - Crafted [Colored] -  [Veau]</t>
  </si>
  <si>
    <t>img_icon_medal_310200277.png</t>
  </si>
  <si>
    <t>https://ik.imagekit.io/alaaalaa6171/Event%20Medals/img_icon_medal_310200277.png?updatedAt=1770125391759</t>
  </si>
  <si>
    <t>275 - Medal [Event] - Crafted - St. Roswald</t>
  </si>
  <si>
    <t>https://i.postimg.cc/XqmJ3ZmR/img_icon_medal_310110310.png</t>
  </si>
  <si>
    <t>img_icon_medal_310110310</t>
  </si>
  <si>
    <t>https://ik.imagekit.io/alaaalaa6171/308%20Legendary%20Hero%20-%20Monkey%20D.%20Garp%20-%20Medal%20_Galaxy%20Impact_.png?updatedAt=1770076465913</t>
  </si>
  <si>
    <t>https://ik.imagekit.io/alaaalaa6171/308%20Legendary%20Hero%20-%20Monkey%20D.%20Garp%20-%20Medal%20_Galaxy%20Impact_%20_Colored_.png?updatedAt=1770076465908</t>
  </si>
  <si>
    <t>https://ik.imagekit.io/alaaalaa6171/308%20Legendary%20Hero%20-%20Monkey%20D.%20Garp%20-%20Medal%20_Galaxy%20Impact_%20-%20Piece.png?updatedAt=1770076465549</t>
  </si>
  <si>
    <t>https://ik.imagekit.io/alaaalaa6171/308%20Legendary%20Hero%20-%20Monkey%20D.%20Garp%20-%20Medal%20_Galaxy%20Impact_%20-%20Piece%20_Colored_.png?updatedAt=1770076465495</t>
  </si>
  <si>
    <t>308 Legendary Hero - Monkey D. Garp</t>
  </si>
  <si>
    <t>img_icon_medal_310110034</t>
  </si>
  <si>
    <t>333 The Five Elders - St. Jaygarcia Saturn - Medal _St. Jaygarcia Saturn_.png</t>
  </si>
  <si>
    <t>034 - Obe-Sword Style Iai Lion Song ~ Roronoa Zoro - Medal - Crafted [Colored] -  [Lion Song]</t>
  </si>
  <si>
    <t>img_icon_medal_310200276.png</t>
  </si>
  <si>
    <t>https://ik.imagekit.io/alaaalaa6171/Event%20Medals/img_icon_medal_310200276.png?updatedAt=1770125391764</t>
  </si>
  <si>
    <t>274 - Medal [Event] - Crafted - Buggyjiro</t>
  </si>
  <si>
    <t>https://i.postimg.cc/Vvd639ZL/img_icon_medal_310110309.png</t>
  </si>
  <si>
    <t>img_icon_medal_310110309</t>
  </si>
  <si>
    <t>https://ik.imagekit.io/alaaalaa6171/307%20Navy%20HQ_Lt.%20Commander%20-%20Helmeppo%20-%20Medal%20_Lt.%20Commander%20Helmeppo_.png?updatedAt=1770076465944</t>
  </si>
  <si>
    <t>https://ik.imagekit.io/alaaalaa6171/307%20Navy%20HQ_Lt.%20Commander%20-%20Helmeppo%20-%20Medal%20_Lt.%20Commander%20Helmeppo_%20_Colored_.png?updatedAt=1770076465504</t>
  </si>
  <si>
    <t>https://ik.imagekit.io/alaaalaa6171/307%20Navy%20HQ_Lt.%20Commander%20-%20Helmeppo%20-%20Medal%20_Lt.%20Commander%20Helmeppo_%20-%20Piece.png?updatedAt=1770076465479</t>
  </si>
  <si>
    <t>https://ik.imagekit.io/alaaalaa6171/307%20Navy%20HQ_Lt.%20Commander%20-%20Helmeppo%20-%20Medal%20_Lt.%20Commander%20Helmeppo_%20-%20Piece%20_Colored_.png?updatedAt=1770076465476</t>
  </si>
  <si>
    <t>307 Navy HQ / Lt. Commander - Helmeppo</t>
  </si>
  <si>
    <t>img_icon_medal_310110035</t>
  </si>
  <si>
    <t>333 The Five Elders - St. Jaygarcia Saturn - Medal _St. Jaygarcia Saturn_ - Piece.png</t>
  </si>
  <si>
    <t>035 - Red-Haired Pirates_Captain ~ Shanks - Medal - Crafted [Colored] -  [Shanks]</t>
  </si>
  <si>
    <t>img_icon_medal_310200275.png</t>
  </si>
  <si>
    <t>https://ik.imagekit.io/alaaalaa6171/Event%20Medals/img_icon_medal_310200275.png?updatedAt=1770125391705</t>
  </si>
  <si>
    <t>273 - Medal [Event] - Crafted - Redtaro</t>
  </si>
  <si>
    <t>https://i.postimg.cc/HnRxHJFG/img_icon_medal_310110308.png</t>
  </si>
  <si>
    <t>img_icon_medal_310110308</t>
  </si>
  <si>
    <t>https://ik.imagekit.io/alaaalaa6171/306%20Egghead%20-%20Jewelry%20Bonney%20-%20Medal%20_Egghead%20Bonney_.png?updatedAt=1770076465190</t>
  </si>
  <si>
    <t>https://ik.imagekit.io/alaaalaa6171/306%20Egghead%20-%20Jewelry%20Bonney%20-%20Medal%20_Egghead%20Bonney_%20_Colored_.png?updatedAt=1770076464545</t>
  </si>
  <si>
    <t>https://ik.imagekit.io/alaaalaa6171/306%20Egghead%20-%20Jewelry%20Bonney%20-%20Medal%20_Egghead%20Bonney_%20-%20Piece.png?updatedAt=1770076464038</t>
  </si>
  <si>
    <t>https://ik.imagekit.io/alaaalaa6171/306%20Egghead%20-%20Jewelry%20Bonney%20-%20Medal%20_Egghead%20Bonney_%20-%20Piece%20_Colored_.png?updatedAt=1770076462885</t>
  </si>
  <si>
    <t>306 Egghead - Jewelry Bonney</t>
  </si>
  <si>
    <t>img_icon_medal_310110036</t>
  </si>
  <si>
    <t>333 The Five Elders - St. Jaygarcia Saturn - Medal _St. Jaygarcia Saturn_ - Piece _Colored_.png</t>
  </si>
  <si>
    <t>036 - Red-Haired Pirates_Sharp Shooter ~ Yasopp - Medal - Crafted [Colored] -  [Yasopp]</t>
  </si>
  <si>
    <t>img_icon_medal_310200274.png</t>
  </si>
  <si>
    <t>https://ik.imagekit.io/alaaalaa6171/Event%20Medals/img_icon_medal_310200274.png?updatedAt=1770125391890</t>
  </si>
  <si>
    <t>272 - Medal [Event] - Crafted - Vice Captain of the Eastern Forces</t>
  </si>
  <si>
    <t>https://i.postimg.cc/Vvd639Zf/img_icon_medal_310110307.png</t>
  </si>
  <si>
    <t>img_icon_medal_310110307</t>
  </si>
  <si>
    <t>https://ik.imagekit.io/alaaalaa6171/305%20Egghead%20-%20Sanji%20-%20Medal%20_Egghead%20Sanji_.png?updatedAt=1770076462759</t>
  </si>
  <si>
    <t>https://ik.imagekit.io/alaaalaa6171/305%20Egghead%20-%20Sanji%20-%20Medal%20_Egghead%20Sanji_%20_Colored_.png?updatedAt=1770076462039</t>
  </si>
  <si>
    <t>https://ik.imagekit.io/alaaalaa6171/305%20Egghead%20-%20Sanji%20-%20Medal%20_Egghead%20Sanji_%20-%20Piece.png?updatedAt=1770076458913</t>
  </si>
  <si>
    <t>https://ik.imagekit.io/alaaalaa6171/305%20Egghead%20-%20Sanji%20-%20Medal%20_Egghead%20Sanji_%20-%20Piece%20_Colored_.png?updatedAt=1770076458780</t>
  </si>
  <si>
    <t>305 Egghead - Sanji</t>
  </si>
  <si>
    <t>img_icon_medal_310110037</t>
  </si>
  <si>
    <t>333 The Five Elders - St. Jaygarcia Saturn - Medal _St. Jaygarcia Saturn_ _Colored_.png</t>
  </si>
  <si>
    <t>037 - Girl from Syrub Village ~ Kaya - Medal - Crafted [Colored] -  [Kaya]</t>
  </si>
  <si>
    <t>img_icon_medal_310200273.png</t>
  </si>
  <si>
    <t>https://ik.imagekit.io/alaaalaa6171/Event%20Medals/img_icon_medal_310200273.png?updatedAt=1770125391839</t>
  </si>
  <si>
    <t>271 - Medal [Event] - Crafted - Captain of the Eastern Forces</t>
  </si>
  <si>
    <t>https://i.postimg.cc/yxkdwhpV/img_icon_medal_310110306.png</t>
  </si>
  <si>
    <t>img_icon_medal_310110306</t>
  </si>
  <si>
    <t>https://ik.imagekit.io/alaaalaa6171/304%20Seraphim%20-%20S-Shark%20-%20Medal%20_S_Shark_.png?updatedAt=1770076459135</t>
  </si>
  <si>
    <t>https://ik.imagekit.io/alaaalaa6171/304%20Seraphim%20-%20S-Shark%20-%20Medal%20_S_Shark_%20_Colored_.png?updatedAt=1770076458761</t>
  </si>
  <si>
    <t>https://ik.imagekit.io/alaaalaa6171/304%20Seraphim%20-%20S-Shark%20-%20Medal%20_S_Shark_%20-%20Piece.png?updatedAt=1770076459097</t>
  </si>
  <si>
    <t>https://ik.imagekit.io/alaaalaa6171/304%20Seraphim%20-%20S-Shark%20-%20Medal%20_S_Shark_%20-%20Piece%20_Colored_.png?updatedAt=1770076458765</t>
  </si>
  <si>
    <t>304 Seraphim - S-Shark</t>
  </si>
  <si>
    <t>img_icon_medal_310110038</t>
  </si>
  <si>
    <t>332 Egghead - Nico Robin - Medal _Egghead Robin_.png</t>
  </si>
  <si>
    <t>038 - The Seven Warlords of the Sea ~ Dracule Mihawk - Medal - Crafted [Colored] -  [Hawk_Eye]</t>
  </si>
  <si>
    <t>img_icon_medal_310200272.png</t>
  </si>
  <si>
    <t>https://ik.imagekit.io/alaaalaa6171/Event%20Medals/img_icon_medal_310200272.png?updatedAt=1770125391756</t>
  </si>
  <si>
    <t>270 - Medal [Event] - Crafted - Helmeppo (Fullalead)</t>
  </si>
  <si>
    <t>https://i.postimg.cc/Vvd639Zz/img_icon_medal_310110305.png</t>
  </si>
  <si>
    <t>img_icon_medal_310110305</t>
  </si>
  <si>
    <t>https://ik.imagekit.io/alaaalaa6171/303%20Punk-06%20-%20York%20-%20Medal%20_Punk_06_.png?updatedAt=1770076458727</t>
  </si>
  <si>
    <t>https://ik.imagekit.io/alaaalaa6171/303%20Punk-06%20-%20York%20-%20Medal%20_Punk_06_%20_Colored_.png?updatedAt=1770076459183</t>
  </si>
  <si>
    <t>https://ik.imagekit.io/alaaalaa6171/303%20Punk-06%20-%20York%20-%20Medal%20_Punk_06_%20-%20Piece.png?updatedAt=1770076459108</t>
  </si>
  <si>
    <t>https://ik.imagekit.io/alaaalaa6171/303%20Punk-06%20-%20York%20-%20Medal%20_Punk_06_%20-%20Piece%20_Colored_.png?updatedAt=1770076458691</t>
  </si>
  <si>
    <t>303 Punk-06 - York</t>
  </si>
  <si>
    <t>img_icon_medal_310110039</t>
  </si>
  <si>
    <t>332 Egghead - Nico Robin - Medal _Egghead Robin_ - Piece.png</t>
  </si>
  <si>
    <t>039 - Arlong Pirates_Captain ~ Arlong - Medal - Crafted [Colored] -  [Saw]</t>
  </si>
  <si>
    <t>img_icon_medal_310200271.png</t>
  </si>
  <si>
    <t>https://ik.imagekit.io/alaaalaa6171/Event%20Medals/img_icon_medal_310200271.png?updatedAt=1770125391755</t>
  </si>
  <si>
    <t>269 - Medal [Event] - Crafted - Garp (Fullalead)</t>
  </si>
  <si>
    <t>https://i.postimg.cc/yxkdwhps/img_icon_medal_310110304.png</t>
  </si>
  <si>
    <t>img_icon_medal_310110304</t>
  </si>
  <si>
    <t>https://ik.imagekit.io/alaaalaa6171/302%20Punk-05%20-%20Atlas%20-%20Medal%20_Punk_05_.png?updatedAt=1770076458752</t>
  </si>
  <si>
    <t>https://ik.imagekit.io/alaaalaa6171/302%20Punk-05%20-%20Atlas%20-%20Medal%20_Punk_05_%20_Colored_.png?updatedAt=1770076458670</t>
  </si>
  <si>
    <t>https://ik.imagekit.io/alaaalaa6171/302%20Punk-05%20-%20Atlas%20-%20Medal%20_Punk_05_%20-%20Piece.png?updatedAt=1770076458775</t>
  </si>
  <si>
    <t>https://ik.imagekit.io/alaaalaa6171/302%20Punk-05%20-%20Atlas%20-%20Medal%20_Punk_05_%20-%20Piece%20_Colored_.png?updatedAt=1770076458694</t>
  </si>
  <si>
    <t>302 Punk-05 - Atlas</t>
  </si>
  <si>
    <t>img_icon_medal_310110040</t>
  </si>
  <si>
    <t>332 Egghead - Nico Robin - Medal _Egghead Robin_ - Piece _Colored_.png</t>
  </si>
  <si>
    <t>040 - 30 Million Berry Bounty ~ Monkey D. Luffy - Medal - Crafted [Colored] -  [Battle_Ax]</t>
  </si>
  <si>
    <t>img_icon_medal_310200270.png</t>
  </si>
  <si>
    <t>https://ik.imagekit.io/alaaalaa6171/Event%20Medals/img_icon_medal_310200270.png?updatedAt=1770125391751</t>
  </si>
  <si>
    <t>268 - Medal [Event] - Crafted - Hibari (Fullalead)</t>
  </si>
  <si>
    <t>https://i.postimg.cc/D08ZtQpF/img_icon_medal_310110303.png</t>
  </si>
  <si>
    <t>img_icon_medal_310110303</t>
  </si>
  <si>
    <t>https://ik.imagekit.io/alaaalaa6171/301%20Seraphim%20-%20S-Bear%20-%20Medal%20_S_Bear_.png?updatedAt=1770076458714</t>
  </si>
  <si>
    <t>https://ik.imagekit.io/alaaalaa6171/301%20Seraphim%20-%20S-Bear%20-%20Medal%20_S_Bear_%20_Colored_.png?updatedAt=1770076458725</t>
  </si>
  <si>
    <t>https://ik.imagekit.io/alaaalaa6171/301%20Seraphim%20-%20S-Bear%20-%20Medal%20_S_Bear_%20-%20Piece.png?updatedAt=1770076458691</t>
  </si>
  <si>
    <t>https://ik.imagekit.io/alaaalaa6171/301%20Seraphim%20-%20S-Bear%20-%20Medal%20_S_Bear_%20-%20Piece%20_Colored_.png?updatedAt=1770076458694</t>
  </si>
  <si>
    <t>301 Seraphim - S-Bear</t>
  </si>
  <si>
    <t>img_icon_medal_310110041</t>
  </si>
  <si>
    <t>332 Egghead - Nico Robin - Medal _Egghead Robin_ _Colored_.png</t>
  </si>
  <si>
    <t>041 - Navy HQ_Captain ~ Smoker - Medal - Crafted [Colored] -  [Smoker]</t>
  </si>
  <si>
    <t>img_icon_medal_310200269.png</t>
  </si>
  <si>
    <t>https://ik.imagekit.io/alaaalaa6171/Event%20Medals/img_icon_medal_310200269.png?updatedAt=1770125391705</t>
  </si>
  <si>
    <t>267 - Medal [Event] - Crafted - Prince Grus (Fullalead)</t>
  </si>
  <si>
    <t>https://i.postimg.cc/x8cCWGpQ/img_icon_medal_310110302.png</t>
  </si>
  <si>
    <t>img_icon_medal_310110302</t>
  </si>
  <si>
    <t>https://ik.imagekit.io/alaaalaa6171/300%20Punk-02%20-%20Lilith%20-%20Medal%20_Punk_02_.png?updatedAt=1770076458652</t>
  </si>
  <si>
    <t>https://ik.imagekit.io/alaaalaa6171/300%20Punk-02%20-%20Lilith%20-%20Medal%20_Punk_02_%20_Colored_.png?updatedAt=1770076458782</t>
  </si>
  <si>
    <t>https://ik.imagekit.io/alaaalaa6171/300%20Punk-02%20-%20Lilith%20-%20Medal%20_Punk_02_%20-%20Piece.png?updatedAt=1770076458722</t>
  </si>
  <si>
    <t>https://ik.imagekit.io/alaaalaa6171/300%20Punk-02%20-%20Lilith%20-%20Medal%20_Punk_02_%20-%20Piece%20_Colored_.png?updatedAt=1770076458720</t>
  </si>
  <si>
    <t>300 Punk-02 - Lilith</t>
  </si>
  <si>
    <t>img_icon_medal_310110042</t>
  </si>
  <si>
    <t>331 Egghead - Tony Tony Chopper - Medal _Egghead Chopper_.png</t>
  </si>
  <si>
    <t>042 - Drum Kingdom_Former Ruler ~ Wapol - Medal - Crafted [Colored] -  [Wapol]</t>
  </si>
  <si>
    <t>img_icon_medal_310200268.png</t>
  </si>
  <si>
    <t>https://ik.imagekit.io/alaaalaa6171/Event%20Medals/img_icon_medal_310200268.png?updatedAt=1770125391711</t>
  </si>
  <si>
    <t>266 - Medal [Event] - Crafted - Tashigi (Fullalead)</t>
  </si>
  <si>
    <t>https://i.postimg.cc/hvfjH8ZB/img_icon_medal_310110301.png</t>
  </si>
  <si>
    <t>img_icon_medal_310110301</t>
  </si>
  <si>
    <t>https://ik.imagekit.io/alaaalaa6171/299%20Happy%20Halloween%20-%20Uta%20-%20Medal%20_Halloween%20Uta_.png?updatedAt=1770076458641</t>
  </si>
  <si>
    <t>https://ik.imagekit.io/alaaalaa6171/299%20Happy%20Halloween%20-%20Uta%20-%20Medal%20_Halloween%20Uta_%20_Colored_.png?updatedAt=1770076458634</t>
  </si>
  <si>
    <t>https://ik.imagekit.io/alaaalaa6171/299%20Happy%20Halloween%20-%20Uta%20-%20Medal%20_Halloween%20Uta_%20-%20Piece.png?updatedAt=1770076458660</t>
  </si>
  <si>
    <t>https://ik.imagekit.io/alaaalaa6171/299%20Happy%20Halloween%20-%20Uta%20-%20Medal%20_Halloween%20Uta_%20-%20Piece%20_Colored_.png?updatedAt=1770076458644</t>
  </si>
  <si>
    <t>299 Happy Halloween - Uta</t>
  </si>
  <si>
    <t>img_icon_medal_310110043</t>
  </si>
  <si>
    <t>331 Egghead - Tony Tony Chopper - Medal _Egghead Chopper_ - Piece.png</t>
  </si>
  <si>
    <t>043 - Gum-Gum Storm ~ Monkey D. Luffy - Medal - Crafted [Colored] -  [Storm]</t>
  </si>
  <si>
    <t>img_icon_medal_310200267.png</t>
  </si>
  <si>
    <t>https://ik.imagekit.io/alaaalaa6171/Event%20Medals/img_icon_medal_310200267.png?updatedAt=1770125391837</t>
  </si>
  <si>
    <t>265 - Medal [Event] - Crafted - Peacook (Fullalead)</t>
  </si>
  <si>
    <t>https://i.postimg.cc/C5z1WCrV/img_icon_medal_310110300.png</t>
  </si>
  <si>
    <t>img_icon_medal_310110300</t>
  </si>
  <si>
    <t>https://ik.imagekit.io/alaaalaa6171/298%20The%20Red%20-%20Broggy%20-%20Medal%20_Broggy_.png?updatedAt=1770076458628</t>
  </si>
  <si>
    <t>https://ik.imagekit.io/alaaalaa6171/298%20The%20Red%20-%20Broggy%20-%20Medal%20_Broggy_%20_Colored_.png?updatedAt=1770076458639</t>
  </si>
  <si>
    <t>https://ik.imagekit.io/alaaalaa6171/298%20The%20Red%20-%20Broggy%20-%20Medal%20_Broggy_%20-%20Piece.png?updatedAt=1770076458609</t>
  </si>
  <si>
    <t>https://ik.imagekit.io/alaaalaa6171/298%20The%20Red%20-%20Broggy%20-%20Medal%20_Broggy_%20-%20Piece%20_Colored_.png?updatedAt=1770076458683</t>
  </si>
  <si>
    <t>298 The Red - Broggy</t>
  </si>
  <si>
    <t>img_icon_medal_310110044</t>
  </si>
  <si>
    <t>331 Egghead - Tony Tony Chopper - Medal _Egghead Chopper_ - Piece _Colored_.png</t>
  </si>
  <si>
    <t>044 - Peacock Slasher ~ Nefeltari Vivi - Medal - Crafted [Colored] -  [Peacock]</t>
  </si>
  <si>
    <t>img_icon_medal_310200266.png</t>
  </si>
  <si>
    <t>https://ik.imagekit.io/alaaalaa6171/Event%20Medals/img_icon_medal_310200266.png?updatedAt=1770125391846</t>
  </si>
  <si>
    <t>264 - Medal [Event] - Crafted - Nami (Future Outfit)</t>
  </si>
  <si>
    <t>https://i.postimg.cc/fyJL67qn/img_icon_medal_310110299.png</t>
  </si>
  <si>
    <t>img_icon_medal_310110299</t>
  </si>
  <si>
    <t>https://ik.imagekit.io/alaaalaa6171/297%20The%20Blue%20-%20Dorry%20-%20Medal%20_Dorry_.png?updatedAt=1770076458662</t>
  </si>
  <si>
    <t>https://ik.imagekit.io/alaaalaa6171/297%20The%20Blue%20-%20Dorry%20-%20Medal%20_Dorry_%20_Colored_.png?updatedAt=1770076458670</t>
  </si>
  <si>
    <t>https://ik.imagekit.io/alaaalaa6171/297%20The%20Blue%20-%20Dorry%20-%20Medal%20_Dorry_%20-%20Piece.png?updatedAt=1770076458602</t>
  </si>
  <si>
    <t>https://ik.imagekit.io/alaaalaa6171/297%20The%20Blue%20-%20Dorry%20-%20Medal%20_Dorry_%20-%20Piece%20_Colored_.png?updatedAt=1770076458610</t>
  </si>
  <si>
    <t>297 The Blue - Dorry</t>
  </si>
  <si>
    <t>img_icon_medal_310110046</t>
  </si>
  <si>
    <t>331 Egghead - Tony Tony Chopper - Medal _Egghead Chopper_ _Colored_.png</t>
  </si>
  <si>
    <t>045 - The Seven Warlords of the Sea ~ Crocodile - Medal - Crafted [Colored] -  [Mr. Zero]</t>
  </si>
  <si>
    <t>img_icon_medal_310200265.png</t>
  </si>
  <si>
    <t>https://ik.imagekit.io/alaaalaa6171/Event%20Medals/img_icon_medal_310200265.png?updatedAt=1770125391698</t>
  </si>
  <si>
    <t>263 - Medal [Event] - Crafted - Robin (Future Outfit)</t>
  </si>
  <si>
    <t>https://i.postimg.cc/cCrHV7kG/img_icon_medal_310110298.png</t>
  </si>
  <si>
    <t>img_icon_medal_310110298</t>
  </si>
  <si>
    <t>https://ik.imagekit.io/alaaalaa6171/296%20Divine%20Departure%20-%20Shanks%20-%20Medal%20_Red_Haired%20Divine%20Departure_.png?updatedAt=1770076458635</t>
  </si>
  <si>
    <t>https://ik.imagekit.io/alaaalaa6171/296%20Divine%20Departure%20-%20Shanks%20-%20Medal%20_Red_Haired%20Divine%20Departure_%20_Colored_.png?updatedAt=1770076458639</t>
  </si>
  <si>
    <t>https://ik.imagekit.io/alaaalaa6171/296%20Divine%20Departure%20-%20Shanks%20-%20Medal%20_Red_Haired%20Divine%20Departure_%20-%20Piece.png?updatedAt=1770076458607</t>
  </si>
  <si>
    <t>https://ik.imagekit.io/alaaalaa6171/296%20Divine%20Departure%20-%20Shanks%20-%20Medal%20_Red_Haired%20Divine%20Departure_%20-%20Piece%20_Colored_.png?updatedAt=1770076458595</t>
  </si>
  <si>
    <t>296 Divine Departure - Shanks</t>
  </si>
  <si>
    <t>img_icon_medal_310110047</t>
  </si>
  <si>
    <t>330 Egghead - Brook - Medal _Egghead Brook_.png</t>
  </si>
  <si>
    <t>046 - Kami ~ Eneru - Medal - Crafted [Colored] -  [Eneru]</t>
  </si>
  <si>
    <t>img_icon_medal_310200264.png</t>
  </si>
  <si>
    <t>https://ik.imagekit.io/alaaalaa6171/Event%20Medals/img_icon_medal_310200264.png?updatedAt=1770125391691</t>
  </si>
  <si>
    <t>262 - Medal [Event] - Crafted - Chopper (Future Outfit)</t>
  </si>
  <si>
    <t>https://i.postimg.cc/x8cCWGpr/img_icon_medal_310110297.png</t>
  </si>
  <si>
    <t>img_icon_medal_310110297</t>
  </si>
  <si>
    <t>https://ik.imagekit.io/alaaalaa6171/295%20Vegapunk's%20Spy%20-%20Stussy%20-%20Medal%20_Vegapunk%60s%20Spy_.png?updatedAt=1770076458577</t>
  </si>
  <si>
    <t>https://ik.imagekit.io/alaaalaa6171/295%20Vegapunk's%20Spy%20-%20Stussy%20-%20Medal%20_Vegapunk%60s%20Spy_%20_Colored_.png?updatedAt=1770076458579</t>
  </si>
  <si>
    <t>https://ik.imagekit.io/alaaalaa6171/295%20Vegapunk's%20Spy%20-%20Stussy%20-%20Medal%20_Vegapunk%60s%20Spy_%20-%20Piece.png?updatedAt=1770076458600</t>
  </si>
  <si>
    <t>https://ik.imagekit.io/alaaalaa6171/295%20Vegapunk's%20Spy%20-%20Stussy%20-%20Medal%20_Vegapunk%60s%20Spy_%20-%20Piece%20_Colored_.png?updatedAt=1770076458591</t>
  </si>
  <si>
    <t>295 Vegapunk's Spy - Stussy</t>
  </si>
  <si>
    <t>img_icon_medal_310110048</t>
  </si>
  <si>
    <t>330 Egghead - Brook - Medal _Egghead Brook_ - Piece.png</t>
  </si>
  <si>
    <t>047 - Whitebeard Pirates_Captain Whitebeard ~ Edward Newgate - Medal - Crafted [Colored] -  [Whitebeard]</t>
  </si>
  <si>
    <t>img_icon_medal_310200263.png</t>
  </si>
  <si>
    <t>https://ik.imagekit.io/alaaalaa6171/Event%20Medals/img_icon_medal_310200263.png?updatedAt=1770125391740</t>
  </si>
  <si>
    <t>261 - Medal [Event] - Crafted - Brook (Future Outfit)</t>
  </si>
  <si>
    <t>https://i.postimg.cc/BbX6d5YR/img_icon_medal_310110295.png</t>
  </si>
  <si>
    <t>img_icon_medal_310110295</t>
  </si>
  <si>
    <t>https://ik.imagekit.io/alaaalaa6171/294%20Awakened%20Form%20-%20Kaku%20-%20Medal%20_Nose%20Pistol_.png?updatedAt=1770076458574</t>
  </si>
  <si>
    <t>https://ik.imagekit.io/alaaalaa6171/294%20Awakened%20Form%20-%20Kaku%20-%20Medal%20_Nose%20Pistol_%20_Colored_.png?updatedAt=1770076458602</t>
  </si>
  <si>
    <t>https://ik.imagekit.io/alaaalaa6171/294%20Awakened%20Form%20-%20Kaku%20-%20Medal%20_Nose%20Pistol_%20-%20Piece.png?updatedAt=1770076458530</t>
  </si>
  <si>
    <t>https://ik.imagekit.io/alaaalaa6171/294%20Awakened%20Form%20-%20Kaku%20-%20Medal%20_Nose%20Pistol_%20-%20Piece%20_Colored_.png?updatedAt=1770076458514</t>
  </si>
  <si>
    <t>294 Awakened Form - Kaku</t>
  </si>
  <si>
    <t>img_icon_medal_310110049</t>
  </si>
  <si>
    <t>330 Egghead - Brook - Medal _Egghead Brook_ - Piece _Colored_.png</t>
  </si>
  <si>
    <t>048 - Whitebeard Pirates_2nd Division Commander ~ Portgaz D. Ace - Medal - Crafted [Colored] -  [Fire Fist]</t>
  </si>
  <si>
    <t>img_icon_medal_310200262.png</t>
  </si>
  <si>
    <t>https://ik.imagekit.io/alaaalaa6171/Event%20Medals/img_icon_medal_310200262.png?updatedAt=1770125391758</t>
  </si>
  <si>
    <t>260 - Medal [Event] - Crafted - Bonney`s Father</t>
  </si>
  <si>
    <t>https://i.postimg.cc/ZnCR1P7G/img_icon_medal_310110296.png</t>
  </si>
  <si>
    <t>img_icon_medal_310110296</t>
  </si>
  <si>
    <t>https://ik.imagekit.io/alaaalaa6171/293%20Awakened%20Form%20-%20Rob%20Lucci%20-%20Medal%20_Hand%20Pistol_.png?updatedAt=1770076458502</t>
  </si>
  <si>
    <t>https://ik.imagekit.io/alaaalaa6171/293%20Awakened%20Form%20-%20Rob%20Lucci%20-%20Medal%20_Hand%20Pistol_%20_Colored_.png?updatedAt=1770076458564</t>
  </si>
  <si>
    <t>https://ik.imagekit.io/alaaalaa6171/293%20Awakened%20Form%20-%20Rob%20Lucci%20-%20Medal%20_Hand%20Pistol_%20-%20Piece.png?updatedAt=1770076458504</t>
  </si>
  <si>
    <t>https://ik.imagekit.io/alaaalaa6171/293%20Awakened%20Form%20-%20Rob%20Lucci%20-%20Medal%20_Hand%20Pistol_%20-%20Piece%20_Colored_.png?updatedAt=1770076458506</t>
  </si>
  <si>
    <t>293 Awakened Form - Rob Lucci</t>
  </si>
  <si>
    <t>img_icon_medal_310110050</t>
  </si>
  <si>
    <t>330 Egghead - Brook - Medal _Egghead Brook_ _Colored_.png</t>
  </si>
  <si>
    <t>049 - Navy HQ_Admiral Akainu ~ [Sakazuki] - Medal - Crafted [Colored] -  [Akainu]</t>
  </si>
  <si>
    <t>img_icon_medal_310200261.png</t>
  </si>
  <si>
    <t>https://ik.imagekit.io/alaaalaa6171/Event%20Medals/img_icon_medal_310200261.png?updatedAt=1770125391736</t>
  </si>
  <si>
    <t>259 - Medal [Event] - Crafted - Luffy &amp; Lucci</t>
  </si>
  <si>
    <t>https://i.postimg.cc/gjnJfySQ/img_icon_medal_310110294.png</t>
  </si>
  <si>
    <t>img_icon_medal_310110294</t>
  </si>
  <si>
    <t>https://ik.imagekit.io/alaaalaa6171/292%20CP9%20-%20Jabra%20-%20Medal%20_Jabra_.png?updatedAt=1770076458489</t>
  </si>
  <si>
    <t>https://ik.imagekit.io/alaaalaa6171/292%20CP9%20-%20Jabra%20-%20Medal%20_Jabra_%20_Colored_.png?updatedAt=1770076458480</t>
  </si>
  <si>
    <t>https://ik.imagekit.io/alaaalaa6171/292%20CP9%20-%20Jabra%20-%20Medal%20_Jabra_%20-%20Piece.png?updatedAt=1770076458490</t>
  </si>
  <si>
    <t>https://ik.imagekit.io/alaaalaa6171/292%20CP9%20-%20Jabra%20-%20Medal%20_Jabra_%20-%20Piece%20_Colored_.png?updatedAt=1770076458495</t>
  </si>
  <si>
    <t>292 CP9 - Jabra</t>
  </si>
  <si>
    <t>img_icon_medal_310110051</t>
  </si>
  <si>
    <t>329 The Four Emperors - Monkey D. Luffy - Medal _Star Gun_.png</t>
  </si>
  <si>
    <t>050 - Navy HQ_Admiral Aokiji ~ [Kuzan] - Medal - Crafted [Colored] -  [Aokiji]</t>
  </si>
  <si>
    <t>img_icon_medal_310200260.png</t>
  </si>
  <si>
    <t>https://ik.imagekit.io/alaaalaa6171/Event%20Medals/img_icon_medal_310200260.png?updatedAt=1770125391967</t>
  </si>
  <si>
    <t>258 - Medal [Event] - Crafted - Pythagores</t>
  </si>
  <si>
    <t>https://i.postimg.cc/8cj5qdK3/img_icon_medal_310110293.png</t>
  </si>
  <si>
    <t>img_icon_medal_310110293</t>
  </si>
  <si>
    <t>https://ik.imagekit.io/alaaalaa6171/291%20CP9%20-%20Blueno%20-%20Medal%20_Blueno_.png?updatedAt=1770076458507</t>
  </si>
  <si>
    <t>https://ik.imagekit.io/alaaalaa6171/291%20CP9%20-%20Blueno%20-%20Medal%20_Blueno_%20_Colored_.png?updatedAt=1770076458497</t>
  </si>
  <si>
    <t>https://ik.imagekit.io/alaaalaa6171/291%20CP9%20-%20Blueno%20-%20Medal%20_Blueno_%20-%20Piece.png?updatedAt=1770076458419</t>
  </si>
  <si>
    <t>https://ik.imagekit.io/alaaalaa6171/291%20CP9%20-%20Blueno%20-%20Medal%20_Blueno_%20-%20Piece%20_Colored_.png?updatedAt=1770076458421</t>
  </si>
  <si>
    <t>291 CP9 - Blueno</t>
  </si>
  <si>
    <t>img_icon_medal_310110052</t>
  </si>
  <si>
    <t>329 The Four Emperors - Monkey D. Luffy - Medal _Star Gun_ - Piece.png</t>
  </si>
  <si>
    <t>051 - Baroque Works_Officer Agent ~ Bon Clay, aka Mr. 2 - Medal - Crafted [Colored] -  [Mr. 2]</t>
  </si>
  <si>
    <t>img_icon_medal_310200259.png</t>
  </si>
  <si>
    <t>https://ik.imagekit.io/alaaalaa6171/Event%20Medals/img_icon_medal_310200259.png?updatedAt=1770125391825</t>
  </si>
  <si>
    <t>257 - Medal [Event] - Crafted - Vegaforce_01</t>
  </si>
  <si>
    <t>https://i.postimg.cc/qqzR9cbF/img_icon_medal_310110292.png</t>
  </si>
  <si>
    <t>img_icon_medal_310110292</t>
  </si>
  <si>
    <t>https://ik.imagekit.io/alaaalaa6171/290%20Seraphim%20-%20S-Hawk%20-%20Medal%20_S_Hawk_.png?updatedAt=1770076458427</t>
  </si>
  <si>
    <t>https://ik.imagekit.io/alaaalaa6171/290%20Seraphim%20-%20S-Hawk%20-%20Medal%20_S_Hawk_%20_Colored_.png?updatedAt=1770076458405</t>
  </si>
  <si>
    <t>https://ik.imagekit.io/alaaalaa6171/290%20Seraphim%20-%20S-Hawk%20-%20Medal%20_S_Hawk_%20-%20Piece.png?updatedAt=1770076458421</t>
  </si>
  <si>
    <t>https://ik.imagekit.io/alaaalaa6171/290%20Seraphim%20-%20S-Hawk%20-%20Medal%20_S_Hawk_%20-%20Piece%20_Colored_.png?updatedAt=1770076458419</t>
  </si>
  <si>
    <t>290 Seraphim - S-Hawk</t>
  </si>
  <si>
    <t>img_icon_medal_310110053</t>
  </si>
  <si>
    <t>329 The Four Emperors - Monkey D. Luffy - Medal _Star Gun_ - Piece _Colored_.png</t>
  </si>
  <si>
    <t>052 - Baroque Works_Vice President ~ Ms. All Sunday - Medal - Crafted [Colored] -  [Ms. All Sunday]</t>
  </si>
  <si>
    <t>img_icon_medal_310200258.png</t>
  </si>
  <si>
    <t>https://ik.imagekit.io/alaaalaa6171/Event%20Medals/img_icon_medal_310200258.png?updatedAt=1770125391672</t>
  </si>
  <si>
    <t>256 - Medal [Event] - Crafted - Kashii</t>
  </si>
  <si>
    <t>https://i.postimg.cc/Y0h9JNny/img_icon_medal_310110291.png</t>
  </si>
  <si>
    <t>img_icon_medal_310110291</t>
  </si>
  <si>
    <t>https://ik.imagekit.io/alaaalaa6171/289%20Egghead%20-%20Roronoa%20Zoro%20-%20Medal%20_Egghead%20Zoro_.png?updatedAt=1770076458362</t>
  </si>
  <si>
    <t>https://ik.imagekit.io/alaaalaa6171/289%20Egghead%20-%20Roronoa%20Zoro%20-%20Medal%20_Egghead%20Zoro_%20_Colored_.png?updatedAt=1770076458360</t>
  </si>
  <si>
    <t>https://ik.imagekit.io/alaaalaa6171/289%20Egghead%20-%20Roronoa%20Zoro%20-%20Medal%20_Egghead%20Zoro_%20-%20Piece.png?updatedAt=1770076458363</t>
  </si>
  <si>
    <t>https://ik.imagekit.io/alaaalaa6171/289%20Egghead%20-%20Roronoa%20Zoro%20-%20Medal%20_Egghead%20Zoro_%20-%20Piece%20_Colored_.png?updatedAt=1770076458351</t>
  </si>
  <si>
    <t>289 Egghead - Roronoa Zoro</t>
  </si>
  <si>
    <t>img_icon_medal_310110054</t>
  </si>
  <si>
    <t>329 The Four Emperors - Monkey D. Luffy - Medal _Star Gun_ _Colored_.png</t>
  </si>
  <si>
    <t>053 - The Seven Warlords of the Sea ~ Hancock - Medal - Crafted [Colored] -  [Hancock]</t>
  </si>
  <si>
    <t>img_icon_medal_310200257.png</t>
  </si>
  <si>
    <t>https://ik.imagekit.io/alaaalaa6171/Event%20Medals/img_icon_medal_310200257.png?updatedAt=1770125391726</t>
  </si>
  <si>
    <t>255 - Medal [Event] - Crafted - Oimo</t>
  </si>
  <si>
    <t>https://i.postimg.cc/8cj5qdKX/img_icon_medal_310110290.png</t>
  </si>
  <si>
    <t>img_icon_medal_310110290</t>
  </si>
  <si>
    <t>https://ik.imagekit.io/alaaalaa6171/288%20Seraphim%20-%20S-Snake%20-%20Medal%20_S_Snake_.png?updatedAt=1770076458346</t>
  </si>
  <si>
    <t>https://ik.imagekit.io/alaaalaa6171/288%20Seraphim%20-%20S-Snake%20-%20Medal%20_S_Snake_%20_Colored_.png?updatedAt=1770076458379</t>
  </si>
  <si>
    <t>https://ik.imagekit.io/alaaalaa6171/288%20Seraphim%20-%20S-Snake%20-%20Medal%20_S_Snake_%20-%20Piece.png?updatedAt=1770076458349</t>
  </si>
  <si>
    <t>https://ik.imagekit.io/alaaalaa6171/288%20Seraphim%20-%20S-Snake%20-%20Medal%20_S_Snake_%20-%20Piece%20_Colored_.png?updatedAt=1770076458299</t>
  </si>
  <si>
    <t>288 Seraphim - S-Snake</t>
  </si>
  <si>
    <t>img_icon_medal_310110055</t>
  </si>
  <si>
    <t>328 Egghead - Usopp - Medal _Egghead Usopp_.png</t>
  </si>
  <si>
    <t>054 - The Seven Warlords of the Sea ~ Gecko Moria - Medal - Crafted [Colored] -  [Moria]</t>
  </si>
  <si>
    <t>img_icon_medal_310200256.png</t>
  </si>
  <si>
    <t>https://ik.imagekit.io/alaaalaa6171/Event%20Medals/img_icon_medal_310200256.png?updatedAt=1770125391678</t>
  </si>
  <si>
    <t>254 - Medal [Event] - Crafted - Izo (Young)</t>
  </si>
  <si>
    <t>https://i.postimg.cc/x8cCWGxx/img_icon_medal_310110289.png</t>
  </si>
  <si>
    <t>img_icon_medal_310110289</t>
  </si>
  <si>
    <t>https://ik.imagekit.io/alaaalaa6171/287%20Egghead%20-%20Monkey%20D.%20Luffy%20-%20Medal%20_Egghead%20Luffy_.png?updatedAt=1770076458320</t>
  </si>
  <si>
    <t>https://ik.imagekit.io/alaaalaa6171/287%20Egghead%20-%20Monkey%20D.%20Luffy%20-%20Medal%20_Egghead%20Luffy_%20_Colored_.png?updatedAt=1770076458309</t>
  </si>
  <si>
    <t>https://ik.imagekit.io/alaaalaa6171/287%20Egghead%20-%20Monkey%20D.%20Luffy%20-%20Medal%20_Egghead%20Luffy_%20-%20Piece.png?updatedAt=1770076458304</t>
  </si>
  <si>
    <t>https://ik.imagekit.io/alaaalaa6171/287%20Egghead%20-%20Monkey%20D.%20Luffy%20-%20Medal%20_Egghead%20Luffy_%20-%20Piece%20_Colored_.png?updatedAt=1770076458289</t>
  </si>
  <si>
    <t>287 Egghead - Monkey D. Luffy</t>
  </si>
  <si>
    <t>img_icon_medal_310110056</t>
  </si>
  <si>
    <t>328 Egghead - Usopp - Medal _Egghead Usopp_ - Piece.png</t>
  </si>
  <si>
    <t>055 - 108 Pound Phoenix ~ Roronoa Zoro - Medal - Crafted [Colored] -  [108 Pound Phoenix]</t>
  </si>
  <si>
    <t>img_icon_medal_310200255.png</t>
  </si>
  <si>
    <t>https://ik.imagekit.io/alaaalaa6171/Event%20Medals/img_icon_medal_310200255.png?updatedAt=1770125391711</t>
  </si>
  <si>
    <t>253 - Medal [Event] - Crafted - Oden (2nd Division Commander)</t>
  </si>
  <si>
    <t>https://i.postimg.cc/XqpJTKH2/img_icon_medal_310110288.png</t>
  </si>
  <si>
    <t>img_icon_medal_310110288</t>
  </si>
  <si>
    <t>https://ik.imagekit.io/alaaalaa6171/286%20The%20Navy's%20Human%20Weapon%20-%20Pacifista%20-%20Medal%20_Pacifista_.png?updatedAt=1770076458266</t>
  </si>
  <si>
    <t>https://ik.imagekit.io/alaaalaa6171/286%20The%20Navy's%20Human%20Weapon%20-%20Pacifista%20-%20Medal%20_Pacifista_%20_Colored_.png?updatedAt=1770076458280</t>
  </si>
  <si>
    <t>https://ik.imagekit.io/alaaalaa6171/286%20The%20Navy's%20Human%20Weapon%20-%20Pacifista%20-%20Medal%20_Pacifista_%20-%20Piece.png?updatedAt=1770076458263</t>
  </si>
  <si>
    <t>https://ik.imagekit.io/alaaalaa6171/286%20The%20Navy's%20Human%20Weapon%20-%20Pacifista%20-%20Medal%20_Pacifista_%20-%20Piece%20_Colored_.png?updatedAt=1770076458298</t>
  </si>
  <si>
    <t>286 The Navy's Human Weapon - Pacifista</t>
  </si>
  <si>
    <t>img_icon_medal_310110057</t>
  </si>
  <si>
    <t>328 Egghead - Usopp - Medal _Egghead Usopp_ - Piece _Colored_.png</t>
  </si>
  <si>
    <t>056 - Arm Point ~ Tony Tony Chopper - Medal - Crafted [Colored] -  [Arm Point]</t>
  </si>
  <si>
    <t>img_icon_medal_310200254.png</t>
  </si>
  <si>
    <t>https://ik.imagekit.io/alaaalaa6171/Event%20Medals/img_icon_medal_310200254.png?updatedAt=1770125391632</t>
  </si>
  <si>
    <t>252 - Medal [Event] - Crafted - Rayleigh (First Mate)</t>
  </si>
  <si>
    <t>https://i.postimg.cc/hvfjH8yp/img_icon_medal_310110287.png</t>
  </si>
  <si>
    <t>img_icon_medal_310110287</t>
  </si>
  <si>
    <t>https://ik.imagekit.io/alaaalaa6171/285%20The%20Most%20Defensive%20Man%20in%20the%20World%20-%20Sentomaru%20-%20Medal%20_Axe_.png?updatedAt=1770076458258</t>
  </si>
  <si>
    <t>https://ik.imagekit.io/alaaalaa6171/285%20The%20Most%20Defensive%20Man%20in%20the%20World%20-%20Sentomaru%20-%20Medal%20_Axe_%20_Colored_.png?updatedAt=1770076458270</t>
  </si>
  <si>
    <t>https://ik.imagekit.io/alaaalaa6171/285%20The%20Most%20Defensive%20Man%20in%20the%20World%20-%20Sentomaru%20-%20Medal%20_Axe_%20-%20Piece.png?updatedAt=1770076458260</t>
  </si>
  <si>
    <t>https://ik.imagekit.io/alaaalaa6171/285%20The%20Most%20Defensive%20Man%20in%20the%20World%20-%20Sentomaru%20-%20Medal%20_Axe_%20-%20Piece%20_Colored_.png?updatedAt=1770076458216</t>
  </si>
  <si>
    <t>285 The Most Defensive Man in the World - Sentomaru</t>
  </si>
  <si>
    <t>img_icon_medal_310110058</t>
  </si>
  <si>
    <t>328 Egghead - Usopp - Medal _Egghead Usopp_ _Colored_.png</t>
  </si>
  <si>
    <t>057 - Bellamy Pirates_Captain ~ Bellamy - Medal - Crafted [Colored] -  [Bellamy]</t>
  </si>
  <si>
    <t>img_icon_medal_310200253.png</t>
  </si>
  <si>
    <t>https://ik.imagekit.io/alaaalaa6171/Event%20Medals/img_icon_medal_310200253.png?updatedAt=1770125391741</t>
  </si>
  <si>
    <t>251 - Medal [Event] - Crafted - Roger (Captain)</t>
  </si>
  <si>
    <t>https://i.postimg.cc/vTcBp7qX/img_icon_medal_310110286.png</t>
  </si>
  <si>
    <t>img_icon_medal_310110286</t>
  </si>
  <si>
    <t>https://ik.imagekit.io/alaaalaa6171/284%20Fake%20Straw%20Hat%20Pirates_Captain%20-%20Demaro%20Black%20-%20Medal%20_Demaro%20Black_.png?updatedAt=1770076458227</t>
  </si>
  <si>
    <t>https://ik.imagekit.io/alaaalaa6171/284%20Fake%20Straw%20Hat%20Pirates_Captain%20-%20Demaro%20Black%20-%20Medal%20_Demaro%20Black_%20_Colored_.png?updatedAt=1770076458233</t>
  </si>
  <si>
    <t>https://ik.imagekit.io/alaaalaa6171/284%20Fake%20Straw%20Hat%20Pirates_Captain%20-%20Demaro%20Black%20-%20Medal%20_Demaro%20Black_%20-%20Piece.png?updatedAt=1770076458222</t>
  </si>
  <si>
    <t>https://ik.imagekit.io/alaaalaa6171/284%20Fake%20Straw%20Hat%20Pirates_Captain%20-%20Demaro%20Black%20-%20Medal%20_Demaro%20Black_%20-%20Piece%20_Colored_.png?updatedAt=1770076458205</t>
  </si>
  <si>
    <t>284 Fake Straw Hat Pirates / Captain - Demaro Black</t>
  </si>
  <si>
    <t>img_icon_medal_310110059</t>
  </si>
  <si>
    <t>327 Egghead - Nami - Medal _Egghead Nami_.png</t>
  </si>
  <si>
    <t>058 - Kid Pirates_Captain ~ Eustass Kid - Medal - Crafted [Colored] -  [Kid]</t>
  </si>
  <si>
    <t>img_icon_medal_310200252.png</t>
  </si>
  <si>
    <t>https://ik.imagekit.io/alaaalaa6171/Event%20Medals/img_icon_medal_310200252.png?updatedAt=1770125391672</t>
  </si>
  <si>
    <t>250 - Medal [Event] - Crafted - Edison</t>
  </si>
  <si>
    <t>https://i.postimg.cc/QCHtRg4q/img_icon_medal_310110285.png</t>
  </si>
  <si>
    <t>img_icon_medal_310110285</t>
  </si>
  <si>
    <t>https://ik.imagekit.io/alaaalaa6171/283%20Lvneel%20Kingdom_Exploration%20Ship%20Admiral%20-%20Mont%20Blanc%20Noland%20-%20Medal%20_Shandia%60s%20Savior_.png?updatedAt=1770076458281</t>
  </si>
  <si>
    <t>https://ik.imagekit.io/alaaalaa6171/283%20Lvneel%20Kingdom_Exploration%20Ship%20Admiral%20-%20Mont%20Blanc%20Noland%20-%20Medal%20_Shandia%60s%20Savior_%20_Colored_.png?updatedAt=1770076458250</t>
  </si>
  <si>
    <t>https://ik.imagekit.io/alaaalaa6171/283%20Lvneel%20Kingdom_Exploration%20Ship%20Admiral%20-%20Mont%20Blanc%20Noland%20-%20Medal%20_Shandia%60s%20Savior_%20-%20Piece.png?updatedAt=1770076458275</t>
  </si>
  <si>
    <t>https://ik.imagekit.io/alaaalaa6171/283%20Lvneel%20Kingdom_Exploration%20Ship%20Admiral%20-%20Mont%20Blanc%20Noland%20-%20Medal%20_Shandia%60s%20Savior_%20-%20Piece%20_Colored_.png?updatedAt=1770076458280</t>
  </si>
  <si>
    <t>283 Lvneel Kingdom / Exploration Ship Admiral - Mont Blanc Noland</t>
  </si>
  <si>
    <t>img_icon_medal_310110060</t>
  </si>
  <si>
    <t>327 Egghead - Nami - Medal _Egghead Nami_ - Piece.png</t>
  </si>
  <si>
    <t>059 - Heart Pirates_Captain ~ Trafalger Law - Medal - Crafted [Colored] -  [Law]</t>
  </si>
  <si>
    <t>img_icon_medal_310200251.png</t>
  </si>
  <si>
    <t>https://ik.imagekit.io/alaaalaa6171/Event%20Medals/img_icon_medal_310200251.png?updatedAt=1770125391589</t>
  </si>
  <si>
    <t>249 - Medal [Event] - Crafted - Shaka</t>
  </si>
  <si>
    <t>https://i.postimg.cc/yxkdwhQy/img_icon_medal_310110284.png</t>
  </si>
  <si>
    <t>img_icon_medal_310110284</t>
  </si>
  <si>
    <t>https://ik.imagekit.io/alaaalaa6171/282%20The%20Great%20Warrior%20of%20Shandora%20-%20Kalgara%20-%20Medal%20_The%20Great%20Warrior%20Kalgara_.png?updatedAt=1770076458260</t>
  </si>
  <si>
    <t>https://ik.imagekit.io/alaaalaa6171/282%20The%20Great%20Warrior%20of%20Shandora%20-%20Kalgara%20-%20Medal%20_The%20Great%20Warrior%20Kalgara_%20_Colored_.png?updatedAt=1770076458271</t>
  </si>
  <si>
    <t>https://ik.imagekit.io/alaaalaa6171/282%20The%20Great%20Warrior%20of%20Shandora%20-%20Kalgara%20-%20Medal%20_The%20Great%20Warrior%20Kalgara_%20-%20Piece.png?updatedAt=1770076458248</t>
  </si>
  <si>
    <t>https://ik.imagekit.io/alaaalaa6171/282%20The%20Great%20Warrior%20of%20Shandora%20-%20Kalgara%20-%20Medal%20_The%20Great%20Warrior%20Kalgara_%20-%20Piece%20_Colored_.png?updatedAt=1770076458198</t>
  </si>
  <si>
    <t>282 The Great Warrior of Shandora - Kalgara</t>
  </si>
  <si>
    <t>img_icon_medal_310110061</t>
  </si>
  <si>
    <t>327 Egghead - Nami - Medal _Egghead Nami_ - Piece _Colored_.png</t>
  </si>
  <si>
    <t>060 - 2 Years Later_Captain ~ Monkey D. Luffy - Medal - Crafted [Colored] -  [Elephant Gatling]</t>
  </si>
  <si>
    <t>img_icon_medal_310200250.png</t>
  </si>
  <si>
    <t>https://ik.imagekit.io/alaaalaa6171/Event%20Medals/img_icon_medal_310200250.png?updatedAt=1770125391672</t>
  </si>
  <si>
    <t>248 - Medal [Event] - Crafted - Hattori (CP0)</t>
  </si>
  <si>
    <t>https://i.postimg.cc/6qy3DVjL/img_icon_medal_310110283.png</t>
  </si>
  <si>
    <t>img_icon_medal_310110283</t>
  </si>
  <si>
    <t>https://ik.imagekit.io/alaaalaa6171/281%20The%20Sky%20Knight%20-%20Ganfor%20-%20Medal%20_Ganfor_.png?updatedAt=1770076458219</t>
  </si>
  <si>
    <t>https://ik.imagekit.io/alaaalaa6171/281%20The%20Sky%20Knight%20-%20Ganfor%20-%20Medal%20_Ganfor_%20_Colored_.png?updatedAt=1770076458184</t>
  </si>
  <si>
    <t>https://ik.imagekit.io/alaaalaa6171/281%20The%20Sky%20Knight%20-%20Ganfor%20-%20Medal%20_Ganfor_%20-%20Piece.png?updatedAt=1770076458170</t>
  </si>
  <si>
    <t>https://ik.imagekit.io/alaaalaa6171/281%20The%20Sky%20Knight%20-%20Ganfor%20-%20Medal%20_Ganfor_%20-%20Piece%20_Colored_.png?updatedAt=1770076458187</t>
  </si>
  <si>
    <t>281 The Sky Knight - Ganfor</t>
  </si>
  <si>
    <t>img_icon_medal_310110062</t>
  </si>
  <si>
    <t>327 Egghead - Nami - Medal _Egghead Nami_ _Colored_.png</t>
  </si>
  <si>
    <t>061 - Alabasta_Princess ~ Nefeltari Vivi - Medal - Crafted [Colored] -  [Vivi]</t>
  </si>
  <si>
    <t>img_icon_medal_310200249.png</t>
  </si>
  <si>
    <t>https://ik.imagekit.io/alaaalaa6171/Event%20Medals/img_icon_medal_310200249.png?updatedAt=1770125391671</t>
  </si>
  <si>
    <t>247 - Medal [Event] - Crafted - Stussy (CP0)</t>
  </si>
  <si>
    <t>https://i.postimg.cc/L5nXrkCk/img_icon_medal_310110282.png</t>
  </si>
  <si>
    <t>img_icon_medal_310110282</t>
  </si>
  <si>
    <t>https://ik.imagekit.io/alaaalaa6171/280%20Ex-Roger%20Pirates_First%20Mate%20-%20Silvers%20Rayleigh%20-%20Medal%20_The%20Dark%20King%60s%20Flash_.png?updatedAt=1770076458183</t>
  </si>
  <si>
    <t>https://ik.imagekit.io/alaaalaa6171/280%20Ex-Roger%20Pirates_First%20Mate%20-%20Silvers%20Rayleigh%20-%20Medal%20_The%20Dark%20King%60s%20Flash_%20_Colored_.png?updatedAt=1770076458180</t>
  </si>
  <si>
    <t>https://ik.imagekit.io/alaaalaa6171/280%20Ex-Roger%20Pirates_First%20Mate%20-%20Silvers%20Rayleigh%20-%20Medal%20_The%20Dark%20King%60s%20Flash_%20-%20Piece.png?updatedAt=1770076457048</t>
  </si>
  <si>
    <t>https://ik.imagekit.io/alaaalaa6171/280%20Ex-Roger%20Pirates_First%20Mate%20-%20Silvers%20Rayleigh%20-%20Medal%20_The%20Dark%20King%60s%20Flash_%20-%20Piece%20_Colored_.png?updatedAt=1770076456526</t>
  </si>
  <si>
    <t>280 Ex-Roger Pirates / First Mate - Silvers Rayleigh</t>
  </si>
  <si>
    <t>img_icon_medal_310110063</t>
  </si>
  <si>
    <t>326 Blind Swordsman Fujitora - _Issho_ - Medal _Issho_.png</t>
  </si>
  <si>
    <t>062 - 2 Years Later_Combatant ~ Roronoa Zoro - Medal - Crafted [Colored] -  [Dragon Quake]</t>
  </si>
  <si>
    <t>img_icon_medal_310200248.png</t>
  </si>
  <si>
    <t>https://ik.imagekit.io/alaaalaa6171/Event%20Medals/img_icon_medal_310200248.png?updatedAt=1770125391566</t>
  </si>
  <si>
    <t>246 - Medal [Event] - Crafted - Zoro (Future Outfit)</t>
  </si>
  <si>
    <t>https://i.postimg.cc/9Mx08gpn/img_icon_medal_310110281.png</t>
  </si>
  <si>
    <t>img_icon_medal_310110281</t>
  </si>
  <si>
    <t>https://ik.imagekit.io/alaaalaa6171/279%20Great%20Pirate%20-%20Gol%20D.%20Roger%20-%20Medal%20_The%20Man%20Who%20Had%20Everything_.png?updatedAt=1770076456023</t>
  </si>
  <si>
    <t>https://ik.imagekit.io/alaaalaa6171/279%20Great%20Pirate%20-%20Gol%20D.%20Roger%20-%20Medal%20_The%20Man%20Who%20Had%20Everything_%20_Colored_.png?updatedAt=1770076455786</t>
  </si>
  <si>
    <t>https://ik.imagekit.io/alaaalaa6171/279%20Great%20Pirate%20-%20Gol%20D.%20Roger%20-%20Medal%20_The%20Man%20Who%20Had%20Everything_%20-%20Piece.png?updatedAt=1770076455512</t>
  </si>
  <si>
    <t>https://ik.imagekit.io/alaaalaa6171/279%20Great%20Pirate%20-%20Gol%20D.%20Roger%20-%20Medal%20_The%20Man%20Who%20Had%20Everything_%20-%20Piece%20_Colored_.png?updatedAt=1770076455302</t>
  </si>
  <si>
    <t>279 Great Pirate - Gol D. Roger</t>
  </si>
  <si>
    <t>img_icon_medal_310110064</t>
  </si>
  <si>
    <t>326 Blind Swordsman Fujitora - _Issho_ - Medal _Issho_ - Piece.png</t>
  </si>
  <si>
    <t>063 - 2 Years Later_Navigator ~ Nami - Medal - Crafted [Colored] -  [Thunder]</t>
  </si>
  <si>
    <t>img_icon_medal_310200247.png</t>
  </si>
  <si>
    <t>https://ik.imagekit.io/alaaalaa6171/Event%20Medals/img_icon_medal_310200247.png?updatedAt=1770125391516</t>
  </si>
  <si>
    <t>245 - Medal [Event] - Crafted - Luffy (Future Outfit)</t>
  </si>
  <si>
    <t>https://i.postimg.cc/JnT06Yq6/img_icon_medal_310110280.png</t>
  </si>
  <si>
    <t>img_icon_medal_310110280</t>
  </si>
  <si>
    <t>https://ik.imagekit.io/alaaalaa6171/278%20Whole%20Cake%20Island%20-%20Carrot%20-%20Medal%20_Carrot%20(Whole%20Cake%20Island)_.png?updatedAt=1770076454778</t>
  </si>
  <si>
    <t>https://ik.imagekit.io/alaaalaa6171/278%20Whole%20Cake%20Island%20-%20Carrot%20-%20Medal%20_Carrot%20(Whole%20Cake%20Island)_%20_Colored_.png?updatedAt=1770076454662</t>
  </si>
  <si>
    <t>https://ik.imagekit.io/alaaalaa6171/278%20Whole%20Cake%20Island%20-%20Carrot%20-%20Medal%20_Carrot%20(Whole%20Cake%20Island)_%20-%20Piece.png?updatedAt=1770076453614</t>
  </si>
  <si>
    <t>https://ik.imagekit.io/alaaalaa6171/278%20Whole%20Cake%20Island%20-%20Carrot%20-%20Medal%20_Carrot%20(Whole%20Cake%20Island)_%20-%20Piece%20_Colored_.png?updatedAt=1770076453340</t>
  </si>
  <si>
    <t>278 Whole Cake Island - Carrot</t>
  </si>
  <si>
    <t>img_icon_medal_310110065</t>
  </si>
  <si>
    <t>326 Blind Swordsman Fujitora - _Issho_ - Medal _Issho_ - Piece _Colored_.png</t>
  </si>
  <si>
    <t>064 - Revolutoonary Army_Chief of Staff ~ Sabo - Medal - Crafted [Colored] -  [Sabo]</t>
  </si>
  <si>
    <t>img_icon_medal_310200246.png</t>
  </si>
  <si>
    <t>https://ik.imagekit.io/alaaalaa6171/Event%20Medals/img_icon_medal_310200246.png?updatedAt=1770125391658</t>
  </si>
  <si>
    <t>244 - Medal [Event] - Crafted - Kumadori</t>
  </si>
  <si>
    <t>https://i.postimg.cc/Kz9jqpNp/img_icon_medal_310110279.png</t>
  </si>
  <si>
    <t>img_icon_medal_310110279</t>
  </si>
  <si>
    <t>https://ik.imagekit.io/alaaalaa6171/277%20Heir%20to%20the%20Shogun%20of%20Wano%20-%20Kozuki%20Oden%20-%20Medal%20_Paradise%20Waterfall_.png?updatedAt=1770076453333</t>
  </si>
  <si>
    <t>https://ik.imagekit.io/alaaalaa6171/277%20Heir%20to%20the%20Shogun%20of%20Wano%20-%20Kozuki%20Oden%20-%20Medal%20_Paradise%20Waterfall_%20_Colored_.png?updatedAt=1770076453323</t>
  </si>
  <si>
    <t>https://ik.imagekit.io/alaaalaa6171/277%20Heir%20to%20the%20Shogun%20of%20Wano%20-%20Kozuki%20Oden%20-%20Medal%20_Paradise%20Waterfall_%20-%20Piece.png?updatedAt=1770076453343</t>
  </si>
  <si>
    <t>https://ik.imagekit.io/alaaalaa6171/277%20Heir%20to%20the%20Shogun%20of%20Wano%20-%20Kozuki%20Oden%20-%20Medal%20_Paradise%20Waterfall_%20-%20Piece%20_Colored_.png?updatedAt=1770076453555</t>
  </si>
  <si>
    <t>277 Heir to the Shogun of Wano - Kozuki Oden</t>
  </si>
  <si>
    <t>img_icon_medal_310110066</t>
  </si>
  <si>
    <t>326 Blind Swordsman Fujitora - _Issho_ - Medal _Issho_ _Colored_.png</t>
  </si>
  <si>
    <t>065 - 2 Years Later_Cook ~ Sanji - Medal - Crafted [Colored] -  [Concasser]</t>
  </si>
  <si>
    <t>img_icon_medal_310200245.png</t>
  </si>
  <si>
    <t>https://ik.imagekit.io/alaaalaa6171/Event%20Medals/img_icon_medal_310200245.png?updatedAt=1770125391663</t>
  </si>
  <si>
    <t>243 - Medal [Event] - Crafted - Fukuro</t>
  </si>
  <si>
    <t>https://i.postimg.cc/DZC0jpgC/img_icon_medal_310110278.png</t>
  </si>
  <si>
    <t>img_icon_medal_310110278</t>
  </si>
  <si>
    <t>https://ik.imagekit.io/alaaalaa6171/276%20Great%20Pirate%20-%20Edward%20Newgate%20-%20Medal%20_The%20Man%20Who%20Shook%20the%20World_.png?updatedAt=1770076453305</t>
  </si>
  <si>
    <t>https://ik.imagekit.io/alaaalaa6171/276%20Great%20Pirate%20-%20Edward%20Newgate%20-%20Medal%20_The%20Man%20Who%20Shook%20the%20World_%20_Colored_.png?updatedAt=1770076453337</t>
  </si>
  <si>
    <t>https://ik.imagekit.io/alaaalaa6171/276%20Great%20Pirate%20-%20Edward%20Newgate%20-%20Medal%20_The%20Man%20Who%20Shook%20the%20World_%20-%20Piece.png?updatedAt=1770076453292</t>
  </si>
  <si>
    <t>https://ik.imagekit.io/alaaalaa6171/276%20Great%20Pirate%20-%20Edward%20Newgate%20-%20Medal%20_The%20Man%20Who%20Shook%20the%20World_%20-%20Piece%20_Colored_.png?updatedAt=1770076453202</t>
  </si>
  <si>
    <t>276 Great Pirate - Edward Newgate</t>
  </si>
  <si>
    <t>img_icon_medal_310110067</t>
  </si>
  <si>
    <t>325 Groves of Wrath Ryokugyu - _Aramaki_ - Medal _Aramaki_.png</t>
  </si>
  <si>
    <t>066 - 2 Years Later_Sharp Shooter ~ Usopp - Medal - Crafted [Colored] -  [Green Star]</t>
  </si>
  <si>
    <t>img_icon_medal_310200244.png</t>
  </si>
  <si>
    <t>https://ik.imagekit.io/alaaalaa6171/Event%20Medals/img_icon_medal_310200244.png?updatedAt=1770125391596</t>
  </si>
  <si>
    <t>242 - Medal [Event] - Crafted - Mini_Merry</t>
  </si>
  <si>
    <t>https://i.postimg.cc/9Mx08gpJ/img_icon_medal_310110277.png</t>
  </si>
  <si>
    <t>img_icon_medal_310110277</t>
  </si>
  <si>
    <t>https://ik.imagekit.io/alaaalaa6171/275%20Fire%20Fist%20Ogre%20Princess%20-%20Ace%20&amp;%20Yamato%20-%20Medal%20_Ace%20&amp;%20Yamato_.png?updatedAt=1770076453216</t>
  </si>
  <si>
    <t>https://ik.imagekit.io/alaaalaa6171/275%20Fire%20Fist%20Ogre%20Princess%20-%20Ace%20&amp;%20Yamato%20-%20Medal%20_Ace%20&amp;%20Yamato_%20_Colored_.png?updatedAt=1770076453265</t>
  </si>
  <si>
    <t>https://ik.imagekit.io/alaaalaa6171/275%20Fire%20Fist%20Ogre%20Princess%20-%20Ace%20&amp;%20Yamato%20-%20Medal%20_Ace%20&amp;%20Yamato_%20-%20Piece.png?updatedAt=1770076453229</t>
  </si>
  <si>
    <t>https://ik.imagekit.io/alaaalaa6171/275%20Fire%20Fist%20Ogre%20Princess%20-%20Ace%20&amp;%20Yamato%20-%20Medal%20_Ace%20&amp;%20Yamato_%20-%20Piece%20_Colored_.png?updatedAt=1770076453214</t>
  </si>
  <si>
    <t>275 Fire Fist Ogre Princess - Ace &amp; Yamato</t>
  </si>
  <si>
    <t>img_icon_medal_310110068</t>
  </si>
  <si>
    <t>325 Groves of Wrath Ryokugyu - _Aramaki_ - Medal _Aramaki_ - Piece.png</t>
  </si>
  <si>
    <t>067 - Bonney Pirates_Captain ~ Jewelry Bonney - Medal - Crafted [Colored] -  [Bonney]</t>
  </si>
  <si>
    <t>img_icon_medal_310200243.png</t>
  </si>
  <si>
    <t>https://ik.imagekit.io/alaaalaa6171/Event%20Medals/img_icon_medal_310200243.png?updatedAt=1770125391502</t>
  </si>
  <si>
    <t>241 - Medal [Event] - Crafted - Thousand Sunny</t>
  </si>
  <si>
    <t>https://i.postimg.cc/j582g3Xv/img_icon_medal_310110276.png</t>
  </si>
  <si>
    <t>img_icon_medal_310110276</t>
  </si>
  <si>
    <t>https://ik.imagekit.io/alaaalaa6171/274%20Shogun%20of%20Wano%20-%20Kozuki%20Momonosuke%20-%20Medal%20_Shogun%20of%20Wano_.png?updatedAt=1770076453235</t>
  </si>
  <si>
    <t>https://ik.imagekit.io/alaaalaa6171/274%20Shogun%20of%20Wano%20-%20Kozuki%20Momonosuke%20-%20Medal%20_Shogun%20of%20Wano_%20_Colored_.png?updatedAt=1770076453286</t>
  </si>
  <si>
    <t>https://ik.imagekit.io/alaaalaa6171/274%20Shogun%20of%20Wano%20-%20Kozuki%20Momonosuke%20-%20Medal%20_Shogun%20of%20Wano_%20-%20Piece.png?updatedAt=1770076453260</t>
  </si>
  <si>
    <t>https://ik.imagekit.io/alaaalaa6171/274%20Shogun%20of%20Wano%20-%20Kozuki%20Momonosuke%20-%20Medal%20_Shogun%20of%20Wano_%20-%20Piece%20_Colored_.png?updatedAt=1770076453209</t>
  </si>
  <si>
    <t>274 Shogun of Wano - Kozuki Momonosuke</t>
  </si>
  <si>
    <t>img_icon_medal_310110069</t>
  </si>
  <si>
    <t>325 Groves of Wrath Ryokugyu - _Aramaki_ - Medal _Aramaki_ - Piece _Colored_.png</t>
  </si>
  <si>
    <t>068 - Navy HQ_Admiral Kizaru ~ [Borsalino] - Medal - Crafted [Colored] -  [Kizaru]</t>
  </si>
  <si>
    <t>img_icon_medal_310200242.png</t>
  </si>
  <si>
    <t>https://ik.imagekit.io/alaaalaa6171/Event%20Medals/img_icon_medal_310200242.png?updatedAt=1770125391528</t>
  </si>
  <si>
    <t>240 - Medal [Event] - Crafted - Dr. Vegapunk</t>
  </si>
  <si>
    <t>https://i.postimg.cc/76BhstVV/img_icon_medal_310110275.png</t>
  </si>
  <si>
    <t>img_icon_medal_310110275</t>
  </si>
  <si>
    <t>https://ik.imagekit.io/alaaalaa6171/273%20Navy%20HQ_Admiral%20Ryokugyu%20-%20_Aramaki_%20-%20Medal%20_Ryokugyu_.png?updatedAt=1770076453208</t>
  </si>
  <si>
    <t>https://ik.imagekit.io/alaaalaa6171/273%20Navy%20HQ_Admiral%20Ryokugyu%20-%20_Aramaki_%20-%20Medal%20_Ryokugyu_%20_Colored_.png?updatedAt=1770076453198</t>
  </si>
  <si>
    <t>https://ik.imagekit.io/alaaalaa6171/273%20Navy%20HQ_Admiral%20Ryokugyu%20-%20_Aramaki_%20-%20Medal%20_Ryokugyu_%20-%20Piece.png?updatedAt=1770076453225</t>
  </si>
  <si>
    <t>https://ik.imagekit.io/alaaalaa6171/273%20Navy%20HQ_Admiral%20Ryokugyu%20-%20_Aramaki_%20-%20Medal%20_Ryokugyu_%20-%20Piece%20_Colored_.png?updatedAt=1770076453241</t>
  </si>
  <si>
    <t>273 Navy HQ / Admiral Ryokugyu - [Aramaki]</t>
  </si>
  <si>
    <t>img_icon_medal_310110070</t>
  </si>
  <si>
    <t>325 Groves of Wrath Ryokugyu - _Aramaki_ - Medal _Aramaki_ _Colored_.png</t>
  </si>
  <si>
    <t>069 - 2 Years Later_Doctor ~ Tony Tony Chopper - Medal - Crafted [Colored] -  [Bed Rest]</t>
  </si>
  <si>
    <t>img_icon_medal_310200241.png</t>
  </si>
  <si>
    <t>https://ik.imagekit.io/alaaalaa6171/Event%20Medals/img_icon_medal_310200241.png?updatedAt=1770125391558</t>
  </si>
  <si>
    <t>239 - Medal [Event] - Crafted - Slave Arrow</t>
  </si>
  <si>
    <t>https://i.postimg.cc/Qt6C4Ybq/img_icon_medal_310110274.png</t>
  </si>
  <si>
    <t>img_icon_medal_310110274</t>
  </si>
  <si>
    <t>https://ik.imagekit.io/alaaalaa6171/272%20Land%20of%20Wano%20-%20Otama%20&amp;%20Komachiyo%20-%20Medal%20_Otama%20&amp;%20Komachiyo_.png?updatedAt=1770076453268</t>
  </si>
  <si>
    <t>https://ik.imagekit.io/alaaalaa6171/272%20Land%20of%20Wano%20-%20Otama%20&amp;%20Komachiyo%20-%20Medal%20_Otama%20&amp;%20Komachiyo_%20_Colored_.png?updatedAt=1770076453205</t>
  </si>
  <si>
    <t>https://ik.imagekit.io/alaaalaa6171/272%20Land%20of%20Wano%20-%20Otama%20&amp;%20Komachiyo%20-%20Medal%20_Otama%20&amp;%20Komachiyo_%20-%20Piece.png?updatedAt=1770076453169</t>
  </si>
  <si>
    <t>https://ik.imagekit.io/alaaalaa6171/272%20Land%20of%20Wano%20-%20Otama%20&amp;%20Komachiyo%20-%20Medal%20_Otama%20&amp;%20Komachiyo_%20-%20Piece%20_Colored_.png?updatedAt=1770076453256</t>
  </si>
  <si>
    <t>272 Land of Wano - Otama &amp; Komachiyo</t>
  </si>
  <si>
    <t>img_icon_medal_310110071</t>
  </si>
  <si>
    <t>324 Ama no Murakumo Sword Kizaru - _Borsalino_ - Medal _Borsalino_.png</t>
  </si>
  <si>
    <t>070 - 2 Years Later_Archaeologist ~ Nico Robin - Medal - Crafted [Colored] -  [Mille Fleurs]</t>
  </si>
  <si>
    <t>img_icon_medal_310200240.png</t>
  </si>
  <si>
    <t>https://ik.imagekit.io/alaaalaa6171/Event%20Medals/img_icon_medal_310200240.png?updatedAt=1770125391567</t>
  </si>
  <si>
    <t>238 - Medal [Event] - Crafted - Lilith</t>
  </si>
  <si>
    <t>https://i.postimg.cc/Kz9jqpNr/img_icon_medal_310110273.png</t>
  </si>
  <si>
    <t>img_icon_medal_310110273</t>
  </si>
  <si>
    <t>https://ik.imagekit.io/alaaalaa6171/271%20Raid%20on%20Onigashima%20-%20Franky%20-%20Medal%20_Raid%20Franky_.png?updatedAt=1770076453222</t>
  </si>
  <si>
    <t>https://ik.imagekit.io/alaaalaa6171/271%20Raid%20on%20Onigashima%20-%20Franky%20-%20Medal%20_Raid%20Franky_%20_Colored_.png?updatedAt=1770076453203</t>
  </si>
  <si>
    <t>https://ik.imagekit.io/alaaalaa6171/271%20Raid%20on%20Onigashima%20-%20Franky%20-%20Medal%20_Raid%20Franky_%20-%20Piece.png?updatedAt=1770076453137</t>
  </si>
  <si>
    <t>https://ik.imagekit.io/alaaalaa6171/271%20Raid%20on%20Onigashima%20-%20Franky%20-%20Medal%20_Raid%20Franky_%20-%20Piece%20_Colored_.png?updatedAt=1770076453279</t>
  </si>
  <si>
    <t>271 Raid on Onigashima - Franky</t>
  </si>
  <si>
    <t>img_icon_medal_310110072</t>
  </si>
  <si>
    <t>324 Ama no Murakumo Sword Kizaru - _Borsalino_ - Medal _Borsalino_ - Piece.png</t>
  </si>
  <si>
    <t>071 - 2 Years Later_Musician ~ Brook - Medal - Crafted [Colored] -  [Blizzard Slice]</t>
  </si>
  <si>
    <t>img_icon_medal_310200239.png</t>
  </si>
  <si>
    <t>https://ik.imagekit.io/alaaalaa6171/Event%20Medals/img_icon_medal_310200239.png?updatedAt=1770125391650</t>
  </si>
  <si>
    <t>237 - Medal [Event] - Crafted - Bonney (Kid)</t>
  </si>
  <si>
    <t>https://i.postimg.cc/qRmqbDLs/img_icon_medal_310110272.png</t>
  </si>
  <si>
    <t>img_icon_medal_310110272</t>
  </si>
  <si>
    <t>https://ik.imagekit.io/alaaalaa6171/270%20Raid%20on%20Onigashima%20-%20Tony%20Tony%20Chopper%20-%20Medal%20_Raid%20Chopper_.png?updatedAt=1770076453227</t>
  </si>
  <si>
    <t>https://ik.imagekit.io/alaaalaa6171/270%20Raid%20on%20Onigashima%20-%20Tony%20Tony%20Chopper%20-%20Medal%20_Raid%20Chopper_%20_Colored_.png?updatedAt=1770076453165</t>
  </si>
  <si>
    <t>https://ik.imagekit.io/alaaalaa6171/270%20Raid%20on%20Onigashima%20-%20Tony%20Tony%20Chopper%20-%20Medal%20_Raid%20Chopper_%20-%20Piece.png?updatedAt=1770076453239</t>
  </si>
  <si>
    <t>https://ik.imagekit.io/alaaalaa6171/270%20Raid%20on%20Onigashima%20-%20Tony%20Tony%20Chopper%20-%20Medal%20_Raid%20Chopper_%20-%20Piece%20_Colored_.png?updatedAt=1770076453205</t>
  </si>
  <si>
    <t>270 Raid on Onigashima - Tony Tony Chopper</t>
  </si>
  <si>
    <t>img_icon_medal_310110073</t>
  </si>
  <si>
    <t>324 Ama no Murakumo Sword Kizaru - _Borsalino_ - Medal _Borsalino_ - Piece _Colored_.png</t>
  </si>
  <si>
    <t>072 - 2 Years Later_Ship Carpenter ~ Franky - Medal - Crafted [Colored] -  [Radical]</t>
  </si>
  <si>
    <t>img_icon_medal_310200238.png</t>
  </si>
  <si>
    <t>https://ik.imagekit.io/alaaalaa6171/Event%20Medals/img_icon_medal_310200238.png?updatedAt=1770125391680</t>
  </si>
  <si>
    <t>236 - Medal [Event] - Crafted - The Pirate King``s Right Arm</t>
  </si>
  <si>
    <t>https://i.postimg.cc/vBPTq2zt/img_icon_medal_310110271.png</t>
  </si>
  <si>
    <t>img_icon_medal_310110271</t>
  </si>
  <si>
    <t>https://ik.imagekit.io/alaaalaa6171/269%20Animal%20Kingdom%20Pirates_Tobi%20Roppo%20-%20Black%20Maria%20-%20Medal%20_Spider_Spider_.png?updatedAt=1770076453191</t>
  </si>
  <si>
    <t>https://ik.imagekit.io/alaaalaa6171/269%20Animal%20Kingdom%20Pirates_Tobi%20Roppo%20-%20Black%20Maria%20-%20Medal%20_Spider_Spider_%20_Colored_.png?updatedAt=1770076453212</t>
  </si>
  <si>
    <t>https://ik.imagekit.io/alaaalaa6171/269%20Animal%20Kingdom%20Pirates_Tobi%20Roppo%20-%20Black%20Maria%20-%20Medal%20_Spider_Spider_%20-%20Piece.png?updatedAt=1770076453165</t>
  </si>
  <si>
    <t>https://ik.imagekit.io/alaaalaa6171/269%20Animal%20Kingdom%20Pirates_Tobi%20Roppo%20-%20Black%20Maria%20-%20Medal%20_Spider_Spider_%20-%20Piece%20_Colored_.png?updatedAt=1770076453131</t>
  </si>
  <si>
    <t>269 Animal Kingdom Pirates / Tobi Roppo - Black Maria</t>
  </si>
  <si>
    <t>img_icon_medal_310110074</t>
  </si>
  <si>
    <t>324 Ama no Murakumo Sword Kizaru - _Borsalino_ - Medal _Borsalino_ _Colored_.png</t>
  </si>
  <si>
    <t>073 - Bikini ~ Nami - Medal - Crafted [Colored] -  [Bikini Nami]</t>
  </si>
  <si>
    <t>img_icon_medal_310200237.png</t>
  </si>
  <si>
    <t>https://ik.imagekit.io/alaaalaa6171/Event%20Medals/img_icon_medal_310200237.png?updatedAt=1770125391511</t>
  </si>
  <si>
    <t>235 - Medal [Event] - Crafted - Light Human</t>
  </si>
  <si>
    <t>https://i.postimg.cc/Twk17N9n/img_icon_medal_310110270.png</t>
  </si>
  <si>
    <t>img_icon_medal_310110270</t>
  </si>
  <si>
    <t>https://ik.imagekit.io/alaaalaa6171/268%20Revolutionary%20Army_Captain%20of%20the%20Eastern%20Forces%20-%20Belo%20Betty%20-%20Medal%20_Belo%20Betty_.png?updatedAt=1770076453149</t>
  </si>
  <si>
    <t>https://ik.imagekit.io/alaaalaa6171/268%20Revolutionary%20Army_Captain%20of%20the%20Eastern%20Forces%20-%20Belo%20Betty%20-%20Medal%20_Belo%20Betty_%20_Colored_.png?updatedAt=1770076453235</t>
  </si>
  <si>
    <t>https://ik.imagekit.io/alaaalaa6171/268%20Revolutionary%20Army_Captain%20of%20the%20Eastern%20Forces%20-%20Belo%20Betty%20-%20Medal%20_Belo%20Betty_%20-%20Piece.png?updatedAt=1770076453176</t>
  </si>
  <si>
    <t>https://ik.imagekit.io/alaaalaa6171/268%20Revolutionary%20Army_Captain%20of%20the%20Eastern%20Forces%20-%20Belo%20Betty%20-%20Medal%20_Belo%20Betty_%20-%20Piece%20_Colored_.png?updatedAt=1770076453167</t>
  </si>
  <si>
    <t>268 Revolutionary Army / Captain of the Eastern Forces - Belo Betty</t>
  </si>
  <si>
    <t>img_icon_medal_310110075</t>
  </si>
  <si>
    <t>323 Davy Back Fight - Sanji 1 - Medal _Armée de l_Air Power Shoot_.png</t>
  </si>
  <si>
    <t>074 - Bikini ~ Boa Hancock - Medal - Crafted [Colored] -  [Bikini Hancock]</t>
  </si>
  <si>
    <t>img_icon_medal_310200236.png</t>
  </si>
  <si>
    <t>https://ik.imagekit.io/alaaalaa6171/Event%20Medals/img_icon_medal_310200236.png?updatedAt=1770125391548</t>
  </si>
  <si>
    <t>234 - Medal [Event] - Crafted - Fake Sniper King</t>
  </si>
  <si>
    <t>https://i.postimg.cc/4d8yL259/img_icon_medal_310110269.png</t>
  </si>
  <si>
    <t>img_icon_medal_310110269</t>
  </si>
  <si>
    <t>https://ik.imagekit.io/alaaalaa6171/267%20Revolutionary%20Army_Captain%20of%20the%20Northern%20Forces%20-%20Karasu%20-%20Medal%20_Karasu_.png?updatedAt=1770076453189</t>
  </si>
  <si>
    <t>https://ik.imagekit.io/alaaalaa6171/267%20Revolutionary%20Army_Captain%20of%20the%20Northern%20Forces%20-%20Karasu%20-%20Medal%20_Karasu_%20_Colored_.png?updatedAt=1770076453096</t>
  </si>
  <si>
    <t>https://ik.imagekit.io/alaaalaa6171/267%20Revolutionary%20Army_Captain%20of%20the%20Northern%20Forces%20-%20Karasu%20-%20Medal%20_Karasu_%20-%20Piece.png?updatedAt=1770076453121</t>
  </si>
  <si>
    <t>https://ik.imagekit.io/alaaalaa6171/267%20Revolutionary%20Army_Captain%20of%20the%20Northern%20Forces%20-%20Karasu%20-%20Medal%20_Karasu_%20-%20Piece%20_Colored_.png?updatedAt=1770076453098</t>
  </si>
  <si>
    <t>267 Revolutionary Army / Captain of the Northern Forces - Karasu</t>
  </si>
  <si>
    <t>img_icon_medal_310110076</t>
  </si>
  <si>
    <t>Luffy (STAMPEDE)</t>
  </si>
  <si>
    <t>323 Davy Back Fight - Sanji 1 - Medal _Armée de l_Air Power Shoot_ - Piece.png</t>
  </si>
  <si>
    <t>075 - Impel Down_Prisoner ~ Crocodile - Medal - Crafted [Colored] -  [Sables]</t>
  </si>
  <si>
    <t>img_icon_medal_310200235.png</t>
  </si>
  <si>
    <t>https://ik.imagekit.io/alaaalaa6171/Event%20Medals/img_icon_medal_310200235.png?updatedAt=1770125391483</t>
  </si>
  <si>
    <t>233 - Medal [Event] - Crafted - Wyper (Young)</t>
  </si>
  <si>
    <t>https://i.postimg.cc/rmhsnZJt/img_icon_medal_310110268.png</t>
  </si>
  <si>
    <t>img_icon_medal_310110268</t>
  </si>
  <si>
    <t>https://ik.imagekit.io/alaaalaa6171/266%20Revolutionary%20Army_Officer%20-%20Inazuma%20-%20Medal%20_Inazuma_.png?updatedAt=1770076453132</t>
  </si>
  <si>
    <t>https://ik.imagekit.io/alaaalaa6171/266%20Revolutionary%20Army_Officer%20-%20Inazuma%20-%20Medal%20_Inazuma_%20_Colored_.png?updatedAt=1770076453148</t>
  </si>
  <si>
    <t>https://ik.imagekit.io/alaaalaa6171/266%20Revolutionary%20Army_Officer%20-%20Inazuma%20-%20Medal%20_Inazuma_%20-%20Piece.png?updatedAt=1770076453139</t>
  </si>
  <si>
    <t>https://ik.imagekit.io/alaaalaa6171/266%20Revolutionary%20Army_Officer%20-%20Inazuma%20-%20Medal%20_Inazuma_%20-%20Piece%20_Colored_.png?updatedAt=1770076453161</t>
  </si>
  <si>
    <t>266 Revolutionary Army / Officer - Inazuma</t>
  </si>
  <si>
    <t>img_icon_medal_310110077</t>
  </si>
  <si>
    <t>Smoker (STAMPEDE)</t>
  </si>
  <si>
    <t>323 Davy Back Fight - Sanji 1 - Medal _Armée de l_Air Power Shoot_ - Piece _Colored_.png</t>
  </si>
  <si>
    <t>076 - Navy Infiltrator ~ Portgaz D. Ace - Medal - Crafted [Colored] -  [Fire Pillar]</t>
  </si>
  <si>
    <t>img_icon_medal_310200234.png</t>
  </si>
  <si>
    <t>https://ik.imagekit.io/alaaalaa6171/Event%20Medals/img_icon_medal_310200234.png?updatedAt=1770125391471</t>
  </si>
  <si>
    <t>232 - Medal [Event] - Crafted - Cricket</t>
  </si>
  <si>
    <t>https://i.postimg.cc/26Hyc9wL/img_icon_medal_310110267.png</t>
  </si>
  <si>
    <t>img_icon_medal_310110267</t>
  </si>
  <si>
    <t>https://ik.imagekit.io/alaaalaa6171/265%20Revolutionary%20Army_Solider%20-%20Hack%20-%20Medal%20_Hack_.png?updatedAt=1770076453104</t>
  </si>
  <si>
    <t>https://ik.imagekit.io/alaaalaa6171/265%20Revolutionary%20Army_Solider%20-%20Hack%20-%20Medal%20_Hack_%20_Colored_.png?updatedAt=1770076453039</t>
  </si>
  <si>
    <t>https://ik.imagekit.io/alaaalaa6171/265%20Revolutionary%20Army_Solider%20-%20Hack%20-%20Medal%20_Hack_%20-%20Piece.png?updatedAt=1770076453077</t>
  </si>
  <si>
    <t>https://ik.imagekit.io/alaaalaa6171/265%20Revolutionary%20Army_Solider%20-%20Hack%20-%20Medal%20_Hack_%20-%20Piece%20_Colored_.png?updatedAt=1770076453071</t>
  </si>
  <si>
    <t>265 Revolutionary Army / Solider - Hack</t>
  </si>
  <si>
    <t>img_icon_medal_310110078</t>
  </si>
  <si>
    <t>323 Davy Back Fight - Sanji 1 - Medal _Armée de l_Air Power Shoot_ _Colored_.png</t>
  </si>
  <si>
    <t>077 - STAMPEDE ~ Smoker - Medal - Crafted [Colored] -  [Smoker (STAMPEDE)]</t>
  </si>
  <si>
    <t>img_icon_medal_310200233.png</t>
  </si>
  <si>
    <t>https://ik.imagekit.io/alaaalaa6171/Event%20Medals/img_icon_medal_310200233.png?updatedAt=1770125391472</t>
  </si>
  <si>
    <t>231 - Medal [Event] - Crafted - Pierre</t>
  </si>
  <si>
    <t>https://i.postimg.cc/JnT06YqD/img_icon_medal_310110266.png</t>
  </si>
  <si>
    <t>img_icon_medal_310110266</t>
  </si>
  <si>
    <t>https://ik.imagekit.io/alaaalaa6171/264%20Cyborg%20-%20Queen%20-%20Medal%20_Flying%20Pan_.png?updatedAt=1770076453125</t>
  </si>
  <si>
    <t>https://ik.imagekit.io/alaaalaa6171/264%20Cyborg%20-%20Queen%20-%20Medal%20_Flying%20Pan_%20_Colored_.png?updatedAt=1770076453054</t>
  </si>
  <si>
    <t>https://ik.imagekit.io/alaaalaa6171/264%20Cyborg%20-%20Queen%20-%20Medal%20_Flying%20Pan_%20-%20Piece.png?updatedAt=1770076453184</t>
  </si>
  <si>
    <t>https://ik.imagekit.io/alaaalaa6171/264%20Cyborg%20-%20Queen%20-%20Medal%20_Flying%20Pan_%20-%20Piece%20_Colored_.png?updatedAt=1770076453019</t>
  </si>
  <si>
    <t>264 Cyborg - Queen</t>
  </si>
  <si>
    <t>img_icon_medal_310110079</t>
  </si>
  <si>
    <t>322 Foxy Pirates_Captain - Foxy - Medal _Foxy_.png</t>
  </si>
  <si>
    <t>078 - STAMPEDE ~ Monkey D. Luffy - Medal - Crafted [Colored] -  [Luffy (STAMPEDE)]</t>
  </si>
  <si>
    <t>img_icon_medal_310200232.png</t>
  </si>
  <si>
    <t>https://ik.imagekit.io/alaaalaa6171/Event%20Medals/img_icon_medal_310200232.png?updatedAt=1770125391157</t>
  </si>
  <si>
    <t>230 - Medal [Event] - Crafted - String Challenge</t>
  </si>
  <si>
    <t>https://i.postimg.cc/1tWXC7Hg/img_icon_medal_310110265.png</t>
  </si>
  <si>
    <t>img_icon_medal_310110265</t>
  </si>
  <si>
    <t>https://ik.imagekit.io/alaaalaa6171/263%20Lunarian%20-%20Alber%20-%20Medal%20_Imperial%20Flame_.png?updatedAt=1770076453065</t>
  </si>
  <si>
    <t>https://ik.imagekit.io/alaaalaa6171/263%20Lunarian%20-%20Alber%20-%20Medal%20_Imperial%20Flame_%20_Colored_.png?updatedAt=1770076453137</t>
  </si>
  <si>
    <t>https://ik.imagekit.io/alaaalaa6171/263%20Lunarian%20-%20Alber%20-%20Medal%20_Imperial%20Flame_%20-%20Piece.png?updatedAt=1770076453066</t>
  </si>
  <si>
    <t>https://ik.imagekit.io/alaaalaa6171/263%20Lunarian%20-%20Alber%20-%20Medal%20_Imperial%20Flame_%20-%20Piece%20_Colored_.png?updatedAt=1770076453143</t>
  </si>
  <si>
    <t>263 Lunarian - Alber</t>
  </si>
  <si>
    <t>img_icon_medal_310110080</t>
  </si>
  <si>
    <t>Sabo (STAMPEDE)</t>
  </si>
  <si>
    <t>322 Foxy Pirates_Captain - Foxy - Medal _Foxy_ - Piece.png</t>
  </si>
  <si>
    <t>079 - STAMPEDE ~ Sabo - Medal - Crafted [Colored] -  [Sabo (STAMPEDE)]</t>
  </si>
  <si>
    <t>img_icon_medal_310200231.png</t>
  </si>
  <si>
    <t>https://ik.imagekit.io/alaaalaa6171/Event%20Medals/img_icon_medal_310200231.png?updatedAt=1770125391655</t>
  </si>
  <si>
    <t>229 - Medal [Event] - Crafted - Crocus (Roger Pirates)</t>
  </si>
  <si>
    <t>https://i.postimg.cc/Kz9jqpNR/img_icon_medal_310110264.png</t>
  </si>
  <si>
    <t>img_icon_medal_310110264</t>
  </si>
  <si>
    <t>https://ik.imagekit.io/alaaalaa6171/262%20Animal%20Kingdom%20Pirates_Tobi%20Roppo%20-%20Sasaki%20-%20Medal%20_Heliceratops_.png?updatedAt=1770076453135</t>
  </si>
  <si>
    <t>https://ik.imagekit.io/alaaalaa6171/262%20Animal%20Kingdom%20Pirates_Tobi%20Roppo%20-%20Sasaki%20-%20Medal%20_Heliceratops_%20_Colored_.png?updatedAt=1770076453024</t>
  </si>
  <si>
    <t>https://ik.imagekit.io/alaaalaa6171/262%20Animal%20Kingdom%20Pirates_Tobi%20Roppo%20-%20Sasaki%20-%20Medal%20_Heliceratops_%20-%20Piece.png?updatedAt=1770076453048</t>
  </si>
  <si>
    <t>https://ik.imagekit.io/alaaalaa6171/262%20Animal%20Kingdom%20Pirates_Tobi%20Roppo%20-%20Sasaki%20-%20Medal%20_Heliceratops_%20-%20Piece%20_Colored_.png?updatedAt=1770076453065</t>
  </si>
  <si>
    <t>262 Animal Kingdom Pirates / Tobi Roppo - Sasaki</t>
  </si>
  <si>
    <t>img_icon_medal_310110081</t>
  </si>
  <si>
    <t>322 Foxy Pirates_Captain - Foxy - Medal _Foxy_ - Piece _Colored_.png</t>
  </si>
  <si>
    <t>080 - Gear Four_Bounceman ~ Monkey D. Luffy - Medal - Crafted [Colored] -  [King Kong Gun]</t>
  </si>
  <si>
    <t>img_icon_medal_310200230.png</t>
  </si>
  <si>
    <t>https://ik.imagekit.io/alaaalaa6171/Event%20Medals/img_icon_medal_310200230.png?updatedAt=1770125391201</t>
  </si>
  <si>
    <t>228 - Medal [Event] - Crafted - Oden (Roger Pirates)</t>
  </si>
  <si>
    <t>https://i.postimg.cc/26Hyc9w1/img_icon_medal_310110263.png</t>
  </si>
  <si>
    <t>img_icon_medal_310110263</t>
  </si>
  <si>
    <t>https://ik.imagekit.io/alaaalaa6171/261%20Raid%20on%20Onigashima%20-%20Sanji%20-%20Medal%20_Raid%20Sanji_.png?updatedAt=1770076453076</t>
  </si>
  <si>
    <t>https://ik.imagekit.io/alaaalaa6171/261%20Raid%20on%20Onigashima%20-%20Sanji%20-%20Medal%20_Raid%20Sanji_%20_Colored_.png?updatedAt=1770076453080</t>
  </si>
  <si>
    <t>https://ik.imagekit.io/alaaalaa6171/261%20Raid%20on%20Onigashima%20-%20Sanji%20-%20Medal%20_Raid%20Sanji_%20-%20Piece.png?updatedAt=1770076453000</t>
  </si>
  <si>
    <t>https://ik.imagekit.io/alaaalaa6171/261%20Raid%20on%20Onigashima%20-%20Sanji%20-%20Medal%20_Raid%20Sanji_%20-%20Piece%20_Colored_.png?updatedAt=1770076453097</t>
  </si>
  <si>
    <t>261 Raid on Onigashima - Sanji</t>
  </si>
  <si>
    <t>img_icon_medal_310110082</t>
  </si>
  <si>
    <t>322 Foxy Pirates_Captain - Foxy - Medal _Foxy_ _Colored_.png</t>
  </si>
  <si>
    <t>081 - The Seven Warlords of the Sea ~ Don Quixote Doflamingo - Medal - Crafted [Colored] -  [Billow_White]</t>
  </si>
  <si>
    <t>img_icon_medal_310200229.png</t>
  </si>
  <si>
    <t>https://ik.imagekit.io/alaaalaa6171/Event%20Medals/img_icon_medal_310200229.png?updatedAt=1770125391128</t>
  </si>
  <si>
    <t>227 - Medal [Event] - Crafted - Tristan</t>
  </si>
  <si>
    <t>https://i.postimg.cc/0QtjWXfr/img_icon_medal_310110262.png</t>
  </si>
  <si>
    <t>img_icon_medal_310110262</t>
  </si>
  <si>
    <t>https://ik.imagekit.io/alaaalaa6171/260%20Gear%20Five%20-%20Monkey%20D.%20Luffy%20-%20Medal%20_Gear%20Five_.png?updatedAt=1770076453180</t>
  </si>
  <si>
    <t>https://ik.imagekit.io/alaaalaa6171/260%20Gear%20Five%20-%20Monkey%20D.%20Luffy%20-%20Medal%20_Gear%20Five_%20_Colored_.png?updatedAt=1770076452990</t>
  </si>
  <si>
    <t>https://ik.imagekit.io/alaaalaa6171/260%20Gear%20Five%20-%20Monkey%20D.%20Luffy%20-%20Medal%20_Gear%20Five_%20-%20Piece.png?updatedAt=1770076452990</t>
  </si>
  <si>
    <t>https://ik.imagekit.io/alaaalaa6171/260%20Gear%20Five%20-%20Monkey%20D.%20Luffy%20-%20Medal%20_Gear%20Five_%20-%20Piece%20_Colored_.png?updatedAt=1770076453042</t>
  </si>
  <si>
    <t>260 Gear Five - Monkey D. Luffy</t>
  </si>
  <si>
    <t>img_icon_medal_310110083</t>
  </si>
  <si>
    <t>321 Davy Back Fight - Monkey D. Luffy - Medal _Flail_.png</t>
  </si>
  <si>
    <t>082 - Land of Wano ~ Trafalgar Law - Medal - Crafted [Colored] -  [ROOM]</t>
  </si>
  <si>
    <t>img_icon_medal_310200228.png</t>
  </si>
  <si>
    <t>https://ik.imagekit.io/alaaalaa6171/Event%20Medals/img_icon_medal_310200228.png?updatedAt=1770125391202</t>
  </si>
  <si>
    <t>226 - Medal [Event] - Crafted - Milky</t>
  </si>
  <si>
    <t>https://i.postimg.cc/DZC0jpgz/img_icon_medal_310110261.png</t>
  </si>
  <si>
    <t>img_icon_medal_310110261</t>
  </si>
  <si>
    <t>https://ik.imagekit.io/alaaalaa6171/259%20Singer%20of%20the%20New%20Genesis%20-%20Uta%20-%20Medal%20_Shanks%60%60%20Daughter_.png?updatedAt=1770076452993</t>
  </si>
  <si>
    <t>https://ik.imagekit.io/alaaalaa6171/259%20Singer%20of%20the%20New%20Genesis%20-%20Uta%20-%20Medal%20_Shanks%60%60%20Daughter_%20_Colored_.png?updatedAt=1770076452975</t>
  </si>
  <si>
    <t>https://ik.imagekit.io/alaaalaa6171/259%20Singer%20of%20the%20New%20Genesis%20-%20Uta%20-%20Medal%20_Shanks%60%60%20Daughter_%20-%20Piece.png?updatedAt=1770076452996</t>
  </si>
  <si>
    <t>https://ik.imagekit.io/alaaalaa6171/259%20Singer%20of%20the%20New%20Genesis%20-%20Uta%20-%20Medal%20_Shanks%60%60%20Daughter_%20-%20Piece%20_Colored_.png?updatedAt=1770076452988</t>
  </si>
  <si>
    <t>259 Singer of the New Genesis - Uta</t>
  </si>
  <si>
    <t>img_icon_medal_310110084</t>
  </si>
  <si>
    <t>321 Davy Back Fight - Monkey D. Luffy - Medal _Flail_ - Piece.png</t>
  </si>
  <si>
    <t>083 - Land of Wano ~ Basil Hawkins - Medal - Crafted [Colored] -  [Hawkins]</t>
  </si>
  <si>
    <t>img_icon_medal_310200227.png</t>
  </si>
  <si>
    <t>https://ik.imagekit.io/alaaalaa6171/Event%20Medals/img_icon_medal_310200227.png?updatedAt=1770125391470</t>
  </si>
  <si>
    <t>225 - Medal [Event] - Crafted - Vista (Land of Wano Memoir)</t>
  </si>
  <si>
    <t>https://i.postimg.cc/fLHy2qKR/img_icon_medal_310110259.png</t>
  </si>
  <si>
    <t>img_icon_medal_310110259</t>
  </si>
  <si>
    <t>https://ik.imagekit.io/alaaalaa6171/258%20Raid%20on%20Onigashima%20-%20Killer%20-%20Medal%20_Raid%20Killer_.png?updatedAt=1770076452978</t>
  </si>
  <si>
    <t>https://ik.imagekit.io/alaaalaa6171/258%20Raid%20on%20Onigashima%20-%20Killer%20-%20Medal%20_Raid%20Killer_%20_Colored_.png?updatedAt=1770076452966</t>
  </si>
  <si>
    <t>https://ik.imagekit.io/alaaalaa6171/258%20Raid%20on%20Onigashima%20-%20Killer%20-%20Medal%20_Raid%20Killer_%20-%20Piece.png?updatedAt=1770076452962</t>
  </si>
  <si>
    <t>https://ik.imagekit.io/alaaalaa6171/258%20Raid%20on%20Onigashima%20-%20Killer%20-%20Medal%20_Raid%20Killer_%20-%20Piece%20_Colored_.png?updatedAt=1770076452974</t>
  </si>
  <si>
    <t>258 Raid on Onigashima - Killer</t>
  </si>
  <si>
    <t>img_icon_medal_310110085</t>
  </si>
  <si>
    <t>321 Davy Back Fight - Monkey D. Luffy - Medal _Flail_ - Piece _Colored_.png</t>
  </si>
  <si>
    <t>084 - Land of Wano ~ Zorojuro - Medal - Crafted [Colored] -  [Ultra Tiger Hunt]</t>
  </si>
  <si>
    <t>img_icon_medal_310200226.png</t>
  </si>
  <si>
    <t>https://ik.imagekit.io/alaaalaa6171/Event%20Medals/img_icon_medal_310200226.png?updatedAt=1770125391153</t>
  </si>
  <si>
    <t>224 - Medal [Event] - Crafted - Marco (Land of Wano Memoir)</t>
  </si>
  <si>
    <t>https://i.postimg.cc/PxfNMnmD/img_icon_medal_310110260.png</t>
  </si>
  <si>
    <t>img_icon_medal_310110260</t>
  </si>
  <si>
    <t>https://ik.imagekit.io/alaaalaa6171/257%20Battle%20of%20Monsters%20on%20Onigashima%20-%20Kid%20&amp;%20Law%20-%20Medal%20_Kid%20&amp;%20Law_.png?updatedAt=1770076453018</t>
  </si>
  <si>
    <t>https://ik.imagekit.io/alaaalaa6171/257%20Battle%20of%20Monsters%20on%20Onigashima%20-%20Kid%20&amp;%20Law%20-%20Medal%20_Kid%20&amp;%20Law_%20_Colored_.png?updatedAt=1770076452952</t>
  </si>
  <si>
    <t>https://ik.imagekit.io/alaaalaa6171/257%20Battle%20of%20Monsters%20on%20Onigashima%20-%20Kid%20&amp;%20Law%20-%20Medal%20_Kid%20&amp;%20Law_%20-%20Piece.png?updatedAt=1770076452939</t>
  </si>
  <si>
    <t>https://ik.imagekit.io/alaaalaa6171/257%20Battle%20of%20Monsters%20on%20Onigashima%20-%20Kid%20&amp;%20Law%20-%20Medal%20_Kid%20&amp;%20Law_%20-%20Piece%20_Colored_.png?updatedAt=1770076452936</t>
  </si>
  <si>
    <t>257 Battle of Monsters on Onigashima - Kid &amp; Law</t>
  </si>
  <si>
    <t>img_icon_medal_310110086</t>
  </si>
  <si>
    <t>321 Davy Back Fight - Monkey D. Luffy - Medal _Flail_ _Colored_.png</t>
  </si>
  <si>
    <t>085 - Big Mom Pirates_Captain ~ Charlotte Linlin - Medal - Crafted [Colored] -  [Big Mom]</t>
  </si>
  <si>
    <t>img_icon_medal_310200225.png</t>
  </si>
  <si>
    <t>https://ik.imagekit.io/alaaalaa6171/Event%20Medals/img_icon_medal_310200225.png?updatedAt=1770125391208</t>
  </si>
  <si>
    <t>223 - Medal [Event] - Crafted - Otama (Post_Onigashima)</t>
  </si>
  <si>
    <t>https://i.postimg.cc/V6s5FPjb/img_icon_medal_310110257.png</t>
  </si>
  <si>
    <t>img_icon_medal_310110257</t>
  </si>
  <si>
    <t>https://ik.imagekit.io/alaaalaa6171/256%20New%20Fish-Man%20Pirates_Captain%20-%20Hody%20Jones%20-%20Medal%20_Shark%20Pack_.png?updatedAt=1770076452936</t>
  </si>
  <si>
    <t>https://ik.imagekit.io/alaaalaa6171/256%20New%20Fish-Man%20Pirates_Captain%20-%20Hody%20Jones%20-%20Medal%20_Shark%20Pack_%20_Colored_.png?updatedAt=1770076452934</t>
  </si>
  <si>
    <t>https://ik.imagekit.io/alaaalaa6171/256%20New%20Fish-Man%20Pirates_Captain%20-%20Hody%20Jones%20-%20Medal%20_Shark%20Pack_%20-%20Piece.png?updatedAt=1770076452931</t>
  </si>
  <si>
    <t>https://ik.imagekit.io/alaaalaa6171/256%20New%20Fish-Man%20Pirates_Captain%20-%20Hody%20Jones%20-%20Medal%20_Shark%20Pack_%20-%20Piece%20_Colored_.png?updatedAt=1770076452951</t>
  </si>
  <si>
    <t>256 New Fish-Man Pirates / Captain - Hody Jones</t>
  </si>
  <si>
    <t>img_icon_medal_310110087</t>
  </si>
  <si>
    <t>320 Happosui Army_13th Chief - Sai - Medal _Sai_.png</t>
  </si>
  <si>
    <t>086 - Big Mom Pirates_'Sweet 3' General ~ Charlotte Katakuri - Medal - Crafted [Colored] -  [Katakuri]</t>
  </si>
  <si>
    <t>img_icon_medal_310200224.png</t>
  </si>
  <si>
    <t>https://ik.imagekit.io/alaaalaa6171/Event%20Medals/img_icon_medal_310200224.png?updatedAt=1770125391442</t>
  </si>
  <si>
    <t>222 - Medal [Event] - Crafted - Luffy (Post_Onigashima)</t>
  </si>
  <si>
    <t>https://i.postimg.cc/Y9X0nD3q/img_icon_medal_310110258.png</t>
  </si>
  <si>
    <t>img_icon_medal_310110258</t>
  </si>
  <si>
    <t>https://ik.imagekit.io/alaaalaa6171/255%20Ryugu%20Kingdom_King%20-%20Neptune%20-%20Medal%20_Neptune_.png?updatedAt=1770076452926</t>
  </si>
  <si>
    <t>https://ik.imagekit.io/alaaalaa6171/255%20Ryugu%20Kingdom_King%20-%20Neptune%20-%20Medal%20_Neptune_%20_Colored_.png?updatedAt=1770076452983</t>
  </si>
  <si>
    <t>https://ik.imagekit.io/alaaalaa6171/255%20Ryugu%20Kingdom_King%20-%20Neptune%20-%20Medal%20_Neptune_%20-%20Piece.png?updatedAt=1770076452729</t>
  </si>
  <si>
    <t>https://ik.imagekit.io/alaaalaa6171/255%20Ryugu%20Kingdom_King%20-%20Neptune%20-%20Medal%20_Neptune_%20-%20Piece%20_Colored_.png?updatedAt=1770076452756</t>
  </si>
  <si>
    <t>255 Ryugu Kingdom / King - Neptune</t>
  </si>
  <si>
    <t>img_icon_medal_310110088</t>
  </si>
  <si>
    <t>320 Happosui Army_13th Chief - Sai - Medal _Sai_ - Piece.png</t>
  </si>
  <si>
    <t>087 - Ray of Hope ~ Nightmare Luffy - Medal - Crafted [Colored] -  [Nightmare]</t>
  </si>
  <si>
    <t>img_icon_medal_310200223.png</t>
  </si>
  <si>
    <t>https://ik.imagekit.io/alaaalaa6171/Event%20Medals/img_icon_medal_310200223.png?updatedAt=1770125391551</t>
  </si>
  <si>
    <t>221 - Medal [Event] - Crafted - Princess Hiyori</t>
  </si>
  <si>
    <t>https://i.postimg.cc/Tw2hcvrL/img_icon_medal_310110256.png</t>
  </si>
  <si>
    <t>img_icon_medal_310110256</t>
  </si>
  <si>
    <t>https://ik.imagekit.io/alaaalaa6171/254%20Caribou%20Pirates_Captain%20-%20Caribou%20-%20Medal%20_Caribou_.png?updatedAt=1770076452725</t>
  </si>
  <si>
    <t>https://ik.imagekit.io/alaaalaa6171/254%20Caribou%20Pirates_Captain%20-%20Caribou%20-%20Medal%20_Caribou_%20_Colored_.png?updatedAt=1770076452753</t>
  </si>
  <si>
    <t>https://ik.imagekit.io/alaaalaa6171/254%20Caribou%20Pirates_Captain%20-%20Caribou%20-%20Medal%20_Caribou_%20-%20Piece.png?updatedAt=1770076452737</t>
  </si>
  <si>
    <t>https://ik.imagekit.io/alaaalaa6171/254%20Caribou%20Pirates_Captain%20-%20Caribou%20-%20Medal%20_Caribou_%20-%20Piece%20_Colored_.png?updatedAt=1770076452720</t>
  </si>
  <si>
    <t>254 Caribou Pirates / Captain - Caribou</t>
  </si>
  <si>
    <t>img_icon_medal_310110089</t>
  </si>
  <si>
    <t>320 Happosui Army_13th Chief - Sai - Medal _Sai_ - Piece _Colored_.png</t>
  </si>
  <si>
    <t>088 - Legendary Samurai Zombie ~ Ryuma - Medal - Crafted [Colored] -  [Ryuma]</t>
  </si>
  <si>
    <t>img_icon_medal_310200222.png</t>
  </si>
  <si>
    <t>https://ik.imagekit.io/alaaalaa6171/Event%20Medals/img_icon_medal_310200222.png?updatedAt=1770125387989</t>
  </si>
  <si>
    <t>220 - Medal [Event] - Crafted - Yamato (Post_Onigashima)</t>
  </si>
  <si>
    <t>https://i.postimg.cc/XJNXg6wZ/img_icon_medal_310110255.png</t>
  </si>
  <si>
    <t>img_icon_medal_310110255</t>
  </si>
  <si>
    <t>https://ik.imagekit.io/alaaalaa6171/253%20Flying%20Pirates_Captain%20-%20Vander%20Decken%20IX%20-%20Medal%20_Vander%20Decken%20IX_.png?updatedAt=1770076452705</t>
  </si>
  <si>
    <t>https://ik.imagekit.io/alaaalaa6171/253%20Flying%20Pirates_Captain%20-%20Vander%20Decken%20IX%20-%20Medal%20_Vander%20Decken%20IX_%20_Colored_.png?updatedAt=1770076452704</t>
  </si>
  <si>
    <t>https://ik.imagekit.io/alaaalaa6171/253%20Flying%20Pirates_Captain%20-%20Vander%20Decken%20IX%20-%20Medal%20_Vander%20Decken%20IX_%20-%20Piece.png?updatedAt=1770076452099</t>
  </si>
  <si>
    <t>https://ik.imagekit.io/alaaalaa6171/253%20Flying%20Pirates_Captain%20-%20Vander%20Decken%20IX%20-%20Medal%20_Vander%20Decken%20IX_%20-%20Piece%20_Colored_.png?updatedAt=1770076451280</t>
  </si>
  <si>
    <t>253 Flying Pirates / Captain - Vander Decken IX</t>
  </si>
  <si>
    <t>img_icon_medal_310110090</t>
  </si>
  <si>
    <t>320 Happosui Army_13th Chief - Sai - Medal _Sai_ _Colored_.png</t>
  </si>
  <si>
    <t>089 - Thriller Park Pirates_Mysterious Four ~ Perona - Medal - Crafted [Colored] -  [Perona]</t>
  </si>
  <si>
    <t>img_icon_medal_310200221.png</t>
  </si>
  <si>
    <t>https://ik.imagekit.io/alaaalaa6171/Event%20Medals/img_icon_medal_310200221.png?updatedAt=1770125387254</t>
  </si>
  <si>
    <t>219 - Medal [Event] - Crafted - Daifugo</t>
  </si>
  <si>
    <t>https://i.postimg.cc/QtNVqZpK/img_icon_medal_310110254.png</t>
  </si>
  <si>
    <t>img_icon_medal_310110254</t>
  </si>
  <si>
    <t>https://ik.imagekit.io/alaaalaa6171/252%20Raid%20on%20Onigashima%20-%20Usopp%20-%20Medal%20_Raid%20Usopp_.png?updatedAt=1770076450763</t>
  </si>
  <si>
    <t>https://ik.imagekit.io/alaaalaa6171/252%20Raid%20on%20Onigashima%20-%20Usopp%20-%20Medal%20_Raid%20Usopp_%20_Colored_.png?updatedAt=1770076448937</t>
  </si>
  <si>
    <t>https://ik.imagekit.io/alaaalaa6171/252%20Raid%20on%20Onigashima%20-%20Usopp%20-%20Medal%20_Raid%20Usopp_%20-%20Piece.png?updatedAt=1770076448947</t>
  </si>
  <si>
    <t>https://ik.imagekit.io/alaaalaa6171/252%20Raid%20on%20Onigashima%20-%20Usopp%20-%20Medal%20_Raid%20Usopp_%20-%20Piece%20_Colored_.png?updatedAt=1770076448127</t>
  </si>
  <si>
    <t>252 Raid on Onigashima - Usopp</t>
  </si>
  <si>
    <t>img_icon_medal_310110091</t>
  </si>
  <si>
    <t>319 Tontatta Pirates_Captain - Leo - Medal _Leo_.png</t>
  </si>
  <si>
    <t>090 - Imprisoned Bride ~ Nami - Medal - Crafted [Colored] -  [Bride]</t>
  </si>
  <si>
    <t>img_icon_medal_310200220.png</t>
  </si>
  <si>
    <t>https://ik.imagekit.io/alaaalaa6171/Event%20Medals/img_icon_medal_310200220.png?updatedAt=1770125386786</t>
  </si>
  <si>
    <t>218 - Medal [Event] - Crafted - Speed</t>
  </si>
  <si>
    <t>https://i.postimg.cc/wvx3kYh3/img_icon_medal_310110253.png</t>
  </si>
  <si>
    <t>img_icon_medal_310110253</t>
  </si>
  <si>
    <t>https://ik.imagekit.io/alaaalaa6171/251%20Raid%20on%20Onigashima%20-%20Nami%20-%20Medal%20_Raid%20Nami_.png?updatedAt=1770076447975</t>
  </si>
  <si>
    <t>https://ik.imagekit.io/alaaalaa6171/251%20Raid%20on%20Onigashima%20-%20Nami%20-%20Medal%20_Raid%20Nami_%20_Colored_.png?updatedAt=1770076448380</t>
  </si>
  <si>
    <t>https://ik.imagekit.io/alaaalaa6171/251%20Raid%20on%20Onigashima%20-%20Nami%20-%20Medal%20_Raid%20Nami_%20-%20Piece.png?updatedAt=1770076448266</t>
  </si>
  <si>
    <t>https://ik.imagekit.io/alaaalaa6171/251%20Raid%20on%20Onigashima%20-%20Nami%20-%20Medal%20_Raid%20Nami_%20-%20Piece%20_Colored_.png?updatedAt=1770076448267</t>
  </si>
  <si>
    <t>251 Raid on Onigashima - Nami</t>
  </si>
  <si>
    <t>img_icon_medal_310110092</t>
  </si>
  <si>
    <t>319 Tontatta Pirates_Captain - Leo - Medal _Leo_ - Piece.png</t>
  </si>
  <si>
    <t>091 - The Seven Warlords of the Sea ~ Jinbe - Medal - Crafted [Colored] -  [Jinbe]</t>
  </si>
  <si>
    <t>img_icon_medal_310200219.png</t>
  </si>
  <si>
    <t>https://ik.imagekit.io/alaaalaa6171/Event%20Medals/img_icon_medal_310200219.png?updatedAt=1770125386213</t>
  </si>
  <si>
    <t>217 - Medal [Event] - Crafted - Robin (Onigashima Infiltration)</t>
  </si>
  <si>
    <t>https://i.postimg.cc/qRBgGH8R/img_icon_medal_310110252.png</t>
  </si>
  <si>
    <t>img_icon_medal_310110252</t>
  </si>
  <si>
    <t>https://ik.imagekit.io/alaaalaa6171/250%20Okuchi-no-Makami%20-%20Yamato%20-%20Medal%20_Namuji%20Glacier%20Fang_.png?updatedAt=1770076447919</t>
  </si>
  <si>
    <t>https://ik.imagekit.io/alaaalaa6171/250%20Okuchi-no-Makami%20-%20Yamato%20-%20Medal%20_Namuji%20Glacier%20Fang_%20_Colored_.png?updatedAt=1770076447915</t>
  </si>
  <si>
    <t>https://ik.imagekit.io/alaaalaa6171/250%20Okuchi-no-Makami%20-%20Yamato%20-%20Medal%20_Namuji%20Glacier%20Fang_%20-%20Piece.png?updatedAt=1770076447906</t>
  </si>
  <si>
    <t>https://ik.imagekit.io/alaaalaa6171/250%20Okuchi-no-Makami%20-%20Yamato%20-%20Medal%20_Namuji%20Glacier%20Fang_%20-%20Piece%20_Colored_.png?updatedAt=1770076448303</t>
  </si>
  <si>
    <t>250 Okuchi-no-Makami - Yamato</t>
  </si>
  <si>
    <t>img_icon_medal_310110093</t>
  </si>
  <si>
    <t>319 Tontatta Pirates_Captain - Leo - Medal _Leo_ - Piece _Colored_.png</t>
  </si>
  <si>
    <t>092 - Whole Cake Island ~ Sanji - Medal - Crafted [Colored] -  [Boeuf Jarret Jarrer]</t>
  </si>
  <si>
    <t>img_icon_medal_310200218.png</t>
  </si>
  <si>
    <t>https://ik.imagekit.io/alaaalaa6171/Event%20Medals/img_icon_medal_310200218.png?updatedAt=1770125385876</t>
  </si>
  <si>
    <t>216 - Medal [Event] - Crafted - Jinbe (Onigashima Infiltration)</t>
  </si>
  <si>
    <t>https://i.postimg.cc/MTZXYJyH/img_icon_medal_310110251.png</t>
  </si>
  <si>
    <t>img_icon_medal_310110251</t>
  </si>
  <si>
    <t>https://ik.imagekit.io/alaaalaa6171/249%20Raid%20on%20Onigashima%20-%20Brook%20-%20Medal%20_Raid%20Brook_.png?updatedAt=1770076447851</t>
  </si>
  <si>
    <t>https://ik.imagekit.io/alaaalaa6171/249%20Raid%20on%20Onigashima%20-%20Brook%20-%20Medal%20_Raid%20Brook_%20_Colored_.png?updatedAt=1770076447847</t>
  </si>
  <si>
    <t>https://ik.imagekit.io/alaaalaa6171/249%20Raid%20on%20Onigashima%20-%20Brook%20-%20Medal%20_Raid%20Brook_%20-%20Piece.png?updatedAt=1770076447868</t>
  </si>
  <si>
    <t>https://ik.imagekit.io/alaaalaa6171/249%20Raid%20on%20Onigashima%20-%20Brook%20-%20Medal%20_Raid%20Brook_%20-%20Piece%20_Colored_.png?updatedAt=1770076447908</t>
  </si>
  <si>
    <t>249 Raid on Onigashima - Brook</t>
  </si>
  <si>
    <t>img_icon_medal_310110094</t>
  </si>
  <si>
    <t>319 Tontatta Pirates_Captain - Leo - Medal _Leo_ _Colored_.png</t>
  </si>
  <si>
    <t>093 - Firetank Pirates_Godfather ~ Capone Bege - Medal - Crafted [Colored] -  [Bege]</t>
  </si>
  <si>
    <t>img_icon_medal_310200217.png</t>
  </si>
  <si>
    <t>https://ik.imagekit.io/alaaalaa6171/Event%20Medals/img_icon_medal_310200217.png?updatedAt=1770125385843</t>
  </si>
  <si>
    <t>215 - Medal [Event] - Crafted - Page One (Human_Monster Form)</t>
  </si>
  <si>
    <t>https://i.postimg.cc/tTR7zGhY/img_icon_medal_310110250.png</t>
  </si>
  <si>
    <t>img_icon_medal_310110250</t>
  </si>
  <si>
    <t>https://ik.imagekit.io/alaaalaa6171/248%20Raid%20on%20Onigashima%20-%20Nico%20Robin%20-%20Medal%20_Raid%20Robin_.png?updatedAt=1770076447874</t>
  </si>
  <si>
    <t>https://ik.imagekit.io/alaaalaa6171/248%20Raid%20on%20Onigashima%20-%20Nico%20Robin%20-%20Medal%20_Raid%20Robin_%20_Colored_.png?updatedAt=1770076447913</t>
  </si>
  <si>
    <t>https://ik.imagekit.io/alaaalaa6171/248%20Raid%20on%20Onigashima%20-%20Nico%20Robin%20-%20Medal%20_Raid%20Robin_%20-%20Piece.png?updatedAt=1770076447918</t>
  </si>
  <si>
    <t>https://ik.imagekit.io/alaaalaa6171/248%20Raid%20on%20Onigashima%20-%20Nico%20Robin%20-%20Medal%20_Raid%20Robin_%20-%20Piece%20_Colored_.png?updatedAt=1770076447827</t>
  </si>
  <si>
    <t>248 Raid on Onigashima - Nico Robin</t>
  </si>
  <si>
    <t>img_icon_medal_310110095</t>
  </si>
  <si>
    <t>318 Celestial Dragon - St. Charlos - Medal _St. Charlos_.png</t>
  </si>
  <si>
    <t>094 - Germa 66 ~ Vinsmoke Reiju - Medal - Crafted [Colored] -  [Reiju]</t>
  </si>
  <si>
    <t>img_icon_medal_310200216.png</t>
  </si>
  <si>
    <t>https://ik.imagekit.io/alaaalaa6171/Event%20Medals/img_icon_medal_310200216.png?updatedAt=1770125385791</t>
  </si>
  <si>
    <t>214 - Medal [Event] - Crafted - Ulti (Human_Monster Form)</t>
  </si>
  <si>
    <t>https://i.postimg.cc/MTZXYJyZ/img_icon_medal_310110249.png</t>
  </si>
  <si>
    <t>img_icon_medal_310110249</t>
  </si>
  <si>
    <t>https://ik.imagekit.io/alaaalaa6171/247%20Triple-X-Level%20Boxer%20-%20Ideo%20-%20Medal%20_Ideo_.png?updatedAt=1770076447825</t>
  </si>
  <si>
    <t>https://ik.imagekit.io/alaaalaa6171/247%20Triple-X-Level%20Boxer%20-%20Ideo%20-%20Medal%20_Ideo_%20_Colored_.png?updatedAt=1770076447861</t>
  </si>
  <si>
    <t>https://ik.imagekit.io/alaaalaa6171/247%20Triple-X-Level%20Boxer%20-%20Ideo%20-%20Medal%20_Ideo_%20-%20Piece.png?updatedAt=1770076447897</t>
  </si>
  <si>
    <t>https://ik.imagekit.io/alaaalaa6171/247%20Triple-X-Level%20Boxer%20-%20Ideo%20-%20Medal%20_Ideo_%20-%20Piece%20_Colored_.png?updatedAt=1770076447908</t>
  </si>
  <si>
    <t>247 Triple-X-Level Boxer - Ideo</t>
  </si>
  <si>
    <t>img_icon_medal_310110096</t>
  </si>
  <si>
    <t>318 Celestial Dragon - St. Charlos - Medal _St. Charlos_ - Piece.png</t>
  </si>
  <si>
    <t>095 - The Seven Warlords of the Sea ~ Bartholomew Kuma - Medal - Crafted [Colored] -  [Kuma]</t>
  </si>
  <si>
    <t>img_icon_medal_310200215.png</t>
  </si>
  <si>
    <t>https://ik.imagekit.io/alaaalaa6171/Event%20Medals/img_icon_medal_310200215.png?updatedAt=1770125384080</t>
  </si>
  <si>
    <t>213 - Medal [Event] - Crafted - Inventor</t>
  </si>
  <si>
    <t>https://i.postimg.cc/636ThxdW/img_icon_medal_310110248.png</t>
  </si>
  <si>
    <t>img_icon_medal_310110248</t>
  </si>
  <si>
    <t>https://ik.imagekit.io/alaaalaa6171/246%20The%20Kingdom%20of%20Prodence_King%20-%20Elizabello%20II%20-%20Medal%20_Elizabello%20II_.png?updatedAt=1770076447898</t>
  </si>
  <si>
    <t>https://ik.imagekit.io/alaaalaa6171/246%20The%20Kingdom%20of%20Prodence_King%20-%20Elizabello%20II%20-%20Medal%20_Elizabello%20II_%20_Colored_.png?updatedAt=1770076447808</t>
  </si>
  <si>
    <t>https://ik.imagekit.io/alaaalaa6171/246%20The%20Kingdom%20of%20Prodence_King%20-%20Elizabello%20II%20-%20Medal%20_Elizabello%20II_%20-%20Piece.png?updatedAt=1770076447818</t>
  </si>
  <si>
    <t>https://ik.imagekit.io/alaaalaa6171/246%20The%20Kingdom%20of%20Prodence_King%20-%20Elizabello%20II%20-%20Medal%20_Elizabello%20II_%20-%20Piece%20_Colored_.png?updatedAt=1770076447821</t>
  </si>
  <si>
    <t>246 The Kingdom of Prodence / King - Elizabello II</t>
  </si>
  <si>
    <t>img_icon_medal_310110097</t>
  </si>
  <si>
    <t>318 Celestial Dragon - St. Charlos - Medal _St. Charlos_ - Piece _Colored_.png</t>
  </si>
  <si>
    <t>096 - Happy Holiday ~ Tony Tony Chopper - Medal - Crafted [Colored] -  [Snow Creature]</t>
  </si>
  <si>
    <t>img_icon_medal_310200214.png</t>
  </si>
  <si>
    <t>https://ik.imagekit.io/alaaalaa6171/Event%20Medals/img_icon_medal_310200214.png?updatedAt=1770125384389</t>
  </si>
  <si>
    <t>212 - Medal [Event] - Crafted - Horm_Horm</t>
  </si>
  <si>
    <t>https://i.postimg.cc/rmyz92S8/img_icon_medal_310110247.png</t>
  </si>
  <si>
    <t>img_icon_medal_310110247</t>
  </si>
  <si>
    <t>https://ik.imagekit.io/alaaalaa6171/245%20Disciple%20of%20the%20Martial%20Arts%20-%20Kung%20Fu%20Jugon%20-%20Medal%20_Kung%20Fu%20Jugon_.png?updatedAt=1770076447852</t>
  </si>
  <si>
    <t>https://ik.imagekit.io/alaaalaa6171/245%20Disciple%20of%20the%20Martial%20Arts%20-%20Kung%20Fu%20Jugon%20-%20Medal%20_Kung%20Fu%20Jugon_%20_Colored_.png?updatedAt=1770076447883</t>
  </si>
  <si>
    <t>https://ik.imagekit.io/alaaalaa6171/245%20Disciple%20of%20the%20Martial%20Arts%20-%20Kung%20Fu%20Jugon%20-%20Medal%20_Kung%20Fu%20Jugon_%20-%20Piece.png?updatedAt=1770076447903</t>
  </si>
  <si>
    <t>https://ik.imagekit.io/alaaalaa6171/245%20Disciple%20of%20the%20Martial%20Arts%20-%20Kung%20Fu%20Jugon%20-%20Medal%20_Kung%20Fu%20Jugon_%20-%20Piece%20_Colored_.png?updatedAt=1770076447829</t>
  </si>
  <si>
    <t>245 Disciple of the Martial Arts - Kung Fu Jugon</t>
  </si>
  <si>
    <t>img_icon_medal_310110098</t>
  </si>
  <si>
    <t>318 Celestial Dragon - St. Charlos - Medal _St. Charlos_ _Colored_.png</t>
  </si>
  <si>
    <t>097 - Happy Holiday ~ Franky - Medal - Crafted [Colored] -  [Nipple Iight]</t>
  </si>
  <si>
    <t>img_icon_medal_310200213.png</t>
  </si>
  <si>
    <t>https://ik.imagekit.io/alaaalaa6171/Event%20Medals/img_icon_medal_310200213.png?updatedAt=1770125384210</t>
  </si>
  <si>
    <t>211 - Medal [Event] - Crafted - Push_Push</t>
  </si>
  <si>
    <t>https://i.postimg.cc/fLWkvQxD/img_icon_medal_310110245.png</t>
  </si>
  <si>
    <t>img_icon_medal_310110245</t>
  </si>
  <si>
    <t>https://ik.imagekit.io/alaaalaa6171/244%20Slicing%20Winds%20of%20Rommel%20-%20Hakuba%20-%20Medal%20_Hakuba_.png?updatedAt=1770076447854</t>
  </si>
  <si>
    <t>https://ik.imagekit.io/alaaalaa6171/244%20Slicing%20Winds%20of%20Rommel%20-%20Hakuba%20-%20Medal%20_Hakuba_%20_Colored_.png?updatedAt=1770076447821</t>
  </si>
  <si>
    <t>https://ik.imagekit.io/alaaalaa6171/244%20Slicing%20Winds%20of%20Rommel%20-%20Hakuba%20-%20Medal%20_Hakuba_%20-%20Piece.png?updatedAt=1770076447807</t>
  </si>
  <si>
    <t>https://ik.imagekit.io/alaaalaa6171/244%20Slicing%20Winds%20of%20Rommel%20-%20Hakuba%20-%20Medal%20_Hakuba_%20-%20Piece%20_Colored_.png?updatedAt=1770076447839</t>
  </si>
  <si>
    <t>244 Slicing Winds of Rommel - Hakuba</t>
  </si>
  <si>
    <t>img_icon_medal_310110099</t>
  </si>
  <si>
    <t>317 Clear-Clear Fruit - Shiryu - Medal _Invisible Strike_.png</t>
  </si>
  <si>
    <t>098 - Happy Holiday ~ Nico Robin - Medal - Crafted [Colored] -  [Cuerpo Fleurs]</t>
  </si>
  <si>
    <t>img_icon_medal_310200212.png</t>
  </si>
  <si>
    <t>https://ik.imagekit.io/alaaalaa6171/Event%20Medals/img_icon_medal_310200212.png?updatedAt=1770125384108</t>
  </si>
  <si>
    <t>210 - Medal [Event] - Crafted - Koala (Reverie)</t>
  </si>
  <si>
    <t>https://i.postimg.cc/Y92jxB1t/img_icon_medal_310110246.png</t>
  </si>
  <si>
    <t>img_icon_medal_310110246</t>
  </si>
  <si>
    <t>https://ik.imagekit.io/alaaalaa6171/243%20Former%20Happosui%20Army_12th%20Chief%20-%20Chin%20Jao%20-%20Medal%20_Chin%20Jao_.png?updatedAt=1770076447876</t>
  </si>
  <si>
    <t>https://ik.imagekit.io/alaaalaa6171/243%20Former%20Happosui%20Army_12th%20Chief%20-%20Chin%20Jao%20-%20Medal%20_Chin%20Jao_%20_Colored_.png?updatedAt=1770076447824</t>
  </si>
  <si>
    <t>https://ik.imagekit.io/alaaalaa6171/243%20Former%20Happosui%20Army_12th%20Chief%20-%20Chin%20Jao%20-%20Medal%20_Chin%20Jao_%20-%20Piece.png?updatedAt=1770076447822</t>
  </si>
  <si>
    <t>https://ik.imagekit.io/alaaalaa6171/243%20Former%20Happosui%20Army_12th%20Chief%20-%20Chin%20Jao%20-%20Medal%20_Chin%20Jao_%20-%20Piece%20_Colored_.png?updatedAt=1770076447789</t>
  </si>
  <si>
    <t>243 Former Happosui Army / 12th Chief - Chin Jao</t>
  </si>
  <si>
    <t>img_icon_medal_310110100</t>
  </si>
  <si>
    <t>317 Clear-Clear Fruit - Shiryu - Medal _Invisible Strike_ - Piece.png</t>
  </si>
  <si>
    <t>099 - Animal Kingdom Pirates_Supreme Commander ~ Kaido - Medal - Crafted [Colored] -  [Kaido]</t>
  </si>
  <si>
    <t>img_icon_medal_310200211.png</t>
  </si>
  <si>
    <t>https://ik.imagekit.io/alaaalaa6171/Event%20Medals/img_icon_medal_310200211.png?updatedAt=1770125384272</t>
  </si>
  <si>
    <t>209 - Medal [Event] - Crafted - Jack (Human_Monster Form)</t>
  </si>
  <si>
    <t>https://i.postimg.cc/tTR7zGhb/img_icon_medal_310110244.png</t>
  </si>
  <si>
    <t>img_icon_medal_310110244</t>
  </si>
  <si>
    <t>https://ik.imagekit.io/alaaalaa6171/242%20Big%20Mom%20Pirates_Crewmate%20-%20Charoltte%20Oven%20-%20Medal%20_Oven_.png?updatedAt=1770076447751</t>
  </si>
  <si>
    <t>https://ik.imagekit.io/alaaalaa6171/242%20Big%20Mom%20Pirates_Crewmate%20-%20Charoltte%20Oven%20-%20Medal%20_Oven_%20_Colored_.png?updatedAt=1770076447763</t>
  </si>
  <si>
    <t>https://ik.imagekit.io/alaaalaa6171/242%20Big%20Mom%20Pirates_Crewmate%20-%20Charoltte%20Oven%20-%20Medal%20_Oven_%20-%20Piece.png?updatedAt=1770076447815</t>
  </si>
  <si>
    <t>https://ik.imagekit.io/alaaalaa6171/242%20Big%20Mom%20Pirates_Crewmate%20-%20Charoltte%20Oven%20-%20Medal%20_Oven_%20-%20Piece%20_Colored_.png?updatedAt=1770076447773</t>
  </si>
  <si>
    <t>242 Big Mom Pirates / Crewmate - Charoltte Oven</t>
  </si>
  <si>
    <t>img_icon_medal_310110101</t>
  </si>
  <si>
    <t>317 Clear-Clear Fruit - Shiryu - Medal _Invisible Strike_ - Piece _Colored_.png</t>
  </si>
  <si>
    <t>100 - Son of the King of the Pirates ~ Portgaz D. Ace - Medal - Crafted [Colored] -  [Flame Emperor]</t>
  </si>
  <si>
    <t>img_icon_medal_310200210.png</t>
  </si>
  <si>
    <t>https://ik.imagekit.io/alaaalaa6171/Event%20Medals/img_icon_medal_310200210.png?updatedAt=1770125384144</t>
  </si>
  <si>
    <t>208 - Medal [Event] - Crafted - Kaido (Human_Monster Form)</t>
  </si>
  <si>
    <t>https://i.postimg.cc/ZRY0LzrZ/img_icon_medal_310110243.png</t>
  </si>
  <si>
    <t>img_icon_medal_310110243</t>
  </si>
  <si>
    <t>https://ik.imagekit.io/alaaalaa6171/241%20Leader%20of%20the%20Whale%20Forest%20Guardians%20-%20Pedro%20-%20Medal%20_Leader_.png?updatedAt=1770076447791</t>
  </si>
  <si>
    <t>https://ik.imagekit.io/alaaalaa6171/241%20Leader%20of%20the%20Whale%20Forest%20Guardians%20-%20Pedro%20-%20Medal%20_Leader_%20_Colored_.png?updatedAt=1770076447792</t>
  </si>
  <si>
    <t>https://ik.imagekit.io/alaaalaa6171/241%20Leader%20of%20the%20Whale%20Forest%20Guardians%20-%20Pedro%20-%20Medal%20_Leader_%20-%20Piece.png?updatedAt=1770076447765</t>
  </si>
  <si>
    <t>https://ik.imagekit.io/alaaalaa6171/241%20Leader%20of%20the%20Whale%20Forest%20Guardians%20-%20Pedro%20-%20Medal%20_Leader_%20-%20Piece%20_Colored_.png?updatedAt=1770076447764</t>
  </si>
  <si>
    <t>241 Leader of the Whale Forest Guardians - Pedro</t>
  </si>
  <si>
    <t>img_icon_medal_310110102</t>
  </si>
  <si>
    <t>317 Clear-Clear Fruit - Shiryu - Medal _Invisible Strike_ _Colored_.png</t>
  </si>
  <si>
    <t>101 - Whitebeard Pirates_1st Division Commander ~ Marco - Medal - Crafted [Colored] -  [Marco]</t>
  </si>
  <si>
    <t>img_icon_medal_310200209.png</t>
  </si>
  <si>
    <t>https://ik.imagekit.io/alaaalaa6171/Event%20Medals/img_icon_medal_310200209.png?updatedAt=1770125384107</t>
  </si>
  <si>
    <t>207 - Medal [Event] - Crafted - Local Sea Monster</t>
  </si>
  <si>
    <t>https://i.postimg.cc/fLWkvQY6/img_icon_medal_310110241.png</t>
  </si>
  <si>
    <t>img_icon_medal_310110241</t>
  </si>
  <si>
    <t>https://ik.imagekit.io/alaaalaa6171/240%20Big%20Mom%20Pirates_Crewmate%20-%20Charlotte%20Brulee%20-%20Medal%20_Brulee_.png?updatedAt=1770076447747</t>
  </si>
  <si>
    <t>https://ik.imagekit.io/alaaalaa6171/240%20Big%20Mom%20Pirates_Crewmate%20-%20Charlotte%20Brulee%20-%20Medal%20_Brulee_%20_Colored_.png?updatedAt=1770076447790</t>
  </si>
  <si>
    <t>https://ik.imagekit.io/alaaalaa6171/240%20Big%20Mom%20Pirates_Crewmate%20-%20Charlotte%20Brulee%20-%20Medal%20_Brulee_%20-%20Piece.png?updatedAt=1770076447767</t>
  </si>
  <si>
    <t>https://ik.imagekit.io/alaaalaa6171/240%20Big%20Mom%20Pirates_Crewmate%20-%20Charlotte%20Brulee%20-%20Medal%20_Brulee_%20-%20Piece%20_Colored_.png?updatedAt=1770076447785</t>
  </si>
  <si>
    <t>240 Big Mom Pirates / Crewmate - Charlotte Brulee</t>
  </si>
  <si>
    <t>img_icon_medal_310110103</t>
  </si>
  <si>
    <t>316 Strong-Strong Fruit - Jesus Burgess - Medal _Gallion Lariat_.png</t>
  </si>
  <si>
    <t>102 - Navy HQ_Vice Admiral ~ Monkey D. Garb - Medal - Crafted [Colored] -  [Garp]</t>
  </si>
  <si>
    <t>img_icon_medal_310200208.png</t>
  </si>
  <si>
    <t>https://ik.imagekit.io/alaaalaa6171/Event%20Medals/img_icon_medal_310200208.png?updatedAt=1770125384347</t>
  </si>
  <si>
    <t>206 - Medal [Event] - Crafted - Merry Go</t>
  </si>
  <si>
    <t>https://i.postimg.cc/wvx3kYhd/img_icon_medal_310110242.png</t>
  </si>
  <si>
    <t>img_icon_medal_310110242</t>
  </si>
  <si>
    <t>https://ik.imagekit.io/alaaalaa6171/239%20Big%20Mom%20Pirates_'Sweet%203'%20General%20-%20Charlotte%20Cracker%20-%20Medal%20_Cracker_.png?updatedAt=1770076447770</t>
  </si>
  <si>
    <t>https://ik.imagekit.io/alaaalaa6171/239%20Big%20Mom%20Pirates_'Sweet%203'%20General%20-%20Charlotte%20Cracker%20-%20Medal%20_Cracker_%20_Colored_.png?updatedAt=1770076447784</t>
  </si>
  <si>
    <t>https://ik.imagekit.io/alaaalaa6171/239%20Big%20Mom%20Pirates_'Sweet%203'%20General%20-%20Charlotte%20Cracker%20-%20Medal%20_Cracker_%20-%20Piece.png?updatedAt=1770076447703</t>
  </si>
  <si>
    <t>https://ik.imagekit.io/alaaalaa6171/239%20Big%20Mom%20Pirates_'Sweet%203'%20General%20-%20Charlotte%20Cracker%20-%20Medal%20_Cracker_%20-%20Piece%20_Colored_.png?updatedAt=1770076447703</t>
  </si>
  <si>
    <t>239 Big Mom Pirates / "Sweet 3" General - Charlotte Cracker</t>
  </si>
  <si>
    <t>img_icon_medal_310110104</t>
  </si>
  <si>
    <t>316 Strong-Strong Fruit - Jesus Burgess - Medal _Gallion Lariat_ - Piece.png</t>
  </si>
  <si>
    <t>103 - The Seven Warlords of the Sea ~ Marshall D. Teach - Medal - Crafted [Colored] -  [Teech]</t>
  </si>
  <si>
    <t>img_icon_medal_310200207.png</t>
  </si>
  <si>
    <t>https://ik.imagekit.io/alaaalaa6171/Event%20Medals/img_icon_medal_310200207.png?updatedAt=1770125384319</t>
  </si>
  <si>
    <t>205 - Medal [Event] - Crafted - Three Captains Law</t>
  </si>
  <si>
    <t>https://i.postimg.cc/0Q5rC17T/img_icon_medal_310110240.png</t>
  </si>
  <si>
    <t>img_icon_medal_310110240</t>
  </si>
  <si>
    <t>https://ik.imagekit.io/alaaalaa6171/238%20First%20Act%20as%20a%20Married%20Couple%20-%20Charlotte%20Pudding%20-%20Medal%20_Mrs.%20Pudding_.png?updatedAt=1770076447819</t>
  </si>
  <si>
    <t>https://ik.imagekit.io/alaaalaa6171/238%20First%20Act%20as%20a%20Married%20Couple%20-%20Charlotte%20Pudding%20-%20Medal%20_Mrs.%20Pudding_%20_Colored_.png?updatedAt=1770076447763</t>
  </si>
  <si>
    <t>https://ik.imagekit.io/alaaalaa6171/238%20First%20Act%20as%20a%20Married%20Couple%20-%20Charlotte%20Pudding%20-%20Medal%20_Mrs.%20Pudding_%20-%20Piece.png?updatedAt=1770076447769</t>
  </si>
  <si>
    <t>https://ik.imagekit.io/alaaalaa6171/238%20First%20Act%20as%20a%20Married%20Couple%20-%20Charlotte%20Pudding%20-%20Medal%20_Mrs.%20Pudding_%20-%20Piece%20_Colored_.png?updatedAt=1770076447748</t>
  </si>
  <si>
    <t>238 First Act as a Married Couple - Charlotte Pudding</t>
  </si>
  <si>
    <t>img_icon_medal_310110105</t>
  </si>
  <si>
    <t>316 Strong-Strong Fruit - Jesus Burgess - Medal _Gallion Lariat_ - Piece _Colored_.png</t>
  </si>
  <si>
    <t>104 - The Four Emperors ~ Shanks - Medal - Crafted [Colored] -  [Griffon]</t>
  </si>
  <si>
    <t>img_icon_medal_310200206.png</t>
  </si>
  <si>
    <t>https://ik.imagekit.io/alaaalaa6171/Event%20Medals/img_icon_medal_310200206.png?updatedAt=1770125384133</t>
  </si>
  <si>
    <t>204 - Medal [Event] - Crafted - Three Captains Kid</t>
  </si>
  <si>
    <t>https://i.postimg.cc/Y92jxB1K/img_icon_medal_310110238.png</t>
  </si>
  <si>
    <t>img_icon_medal_310110238</t>
  </si>
  <si>
    <t>https://ik.imagekit.io/alaaalaa6171/237%20Animal%20Kingdom%20Pirates_Tobi%20Roppo%20-%20Who%60s-Who%20-%20Medal%20_Who%60s_Who_.png?updatedAt=1770076447726</t>
  </si>
  <si>
    <t>https://ik.imagekit.io/alaaalaa6171/237%20Animal%20Kingdom%20Pirates_Tobi%20Roppo%20-%20Who%60s-Who%20-%20Medal%20_Who%60s_Who_%20_Colored_.png?updatedAt=1770076447690</t>
  </si>
  <si>
    <t>https://ik.imagekit.io/alaaalaa6171/237%20Animal%20Kingdom%20Pirates_Tobi%20Roppo%20-%20Who%60s-Who%20-%20Medal%20_Who%60s_Who_%20-%20Piece.png?updatedAt=1770076447708</t>
  </si>
  <si>
    <t>https://ik.imagekit.io/alaaalaa6171/237%20Animal%20Kingdom%20Pirates_Tobi%20Roppo%20-%20Who%60s-Who%20-%20Medal%20_Who%60s_Who_%20-%20Piece%20_Colored_.png?updatedAt=1770076447665</t>
  </si>
  <si>
    <t>237 Animal Kingdom Pirates / Tobi Roppo - Who`s-Who</t>
  </si>
  <si>
    <t>img_icon_medal_310110106</t>
  </si>
  <si>
    <t>316 Strong-Strong Fruit - Jesus Burgess - Medal _Gallion Lariat_ _Colored_.png</t>
  </si>
  <si>
    <t>105 - The Parmount War ~ Monkey D. Luffy 1 - Medal - Crafted [Colored] -  [Jet Rocket]</t>
  </si>
  <si>
    <t>img_icon_medal_310200205.png</t>
  </si>
  <si>
    <t>https://ik.imagekit.io/alaaalaa6171/Event%20Medals/img_icon_medal_310200205.png?updatedAt=1770125384056</t>
  </si>
  <si>
    <t>203 - Medal [Event] - Crafted - Three Captains Luffy</t>
  </si>
  <si>
    <t>https://i.postimg.cc/0Q5rC17h/img_icon_medal_310110239.png</t>
  </si>
  <si>
    <t>img_icon_medal_310110239</t>
  </si>
  <si>
    <t>https://ik.imagekit.io/alaaalaa6171/236%20Raid%20on%20Onigashima%20-%20Jinbe%20-%20Medal%20_Raid%20Jinbe_.png?updatedAt=1770076447748</t>
  </si>
  <si>
    <t>https://ik.imagekit.io/alaaalaa6171/236%20Raid%20on%20Onigashima%20-%20Jinbe%20-%20Medal%20_Raid%20Jinbe_%20_Colored_.png?updatedAt=1770076447741</t>
  </si>
  <si>
    <t>https://ik.imagekit.io/alaaalaa6171/236%20Raid%20on%20Onigashima%20-%20Jinbe%20-%20Medal%20_Raid%20Jinbe_%20-%20Piece.png?updatedAt=1770076447685</t>
  </si>
  <si>
    <t>https://ik.imagekit.io/alaaalaa6171/236%20Raid%20on%20Onigashima%20-%20Jinbe%20-%20Medal%20_Raid%20Jinbe_%20-%20Piece%20_Colored_.png?updatedAt=1770076447734</t>
  </si>
  <si>
    <t>236 Raid on Onigashima - Jinbe</t>
  </si>
  <si>
    <t>img_icon_medal_310110107</t>
  </si>
  <si>
    <t>315 Germa 66 - Vinsmoke Yonji - Medal _Yonji_.png</t>
  </si>
  <si>
    <t>106 - Barto Club_Captain ~ Bartolomeo - Medal - Crafted [Colored] -  [Bartolomeo]</t>
  </si>
  <si>
    <t>img_icon_medal_310200204.png</t>
  </si>
  <si>
    <t>https://ik.imagekit.io/alaaalaa6171/Event%20Medals/img_icon_medal_310200204.png?updatedAt=1770125384247</t>
  </si>
  <si>
    <t>202 - Medal [Event] - Crafted - Gordon</t>
  </si>
  <si>
    <t>https://i.postimg.cc/MTZXYJ14/img_icon_medal_310110237.png</t>
  </si>
  <si>
    <t>img_icon_medal_310110237</t>
  </si>
  <si>
    <t>https://ik.imagekit.io/alaaalaa6171/235%20Raid%20on%20Onigashima%20-%20Roronoa%20Zoro%20-%20Medal%20_Enma_.png?updatedAt=1770076447670</t>
  </si>
  <si>
    <t>https://ik.imagekit.io/alaaalaa6171/235%20Raid%20on%20Onigashima%20-%20Roronoa%20Zoro%20-%20Medal%20_Enma_%20_Colored_.png?updatedAt=1770076447639</t>
  </si>
  <si>
    <t>https://ik.imagekit.io/alaaalaa6171/235%20Raid%20on%20Onigashima%20-%20Roronoa%20Zoro%20-%20Medal%20_Enma_%20-%20Piece.png?updatedAt=1770076447693</t>
  </si>
  <si>
    <t>https://ik.imagekit.io/alaaalaa6171/235%20Raid%20on%20Onigashima%20-%20Roronoa%20Zoro%20-%20Medal%20_Enma_%20-%20Piece%20_Colored_.png?updatedAt=1770076447644</t>
  </si>
  <si>
    <t>235 Raid on Onigashima - Roronoa Zoro</t>
  </si>
  <si>
    <t>img_icon_medal_310110108</t>
  </si>
  <si>
    <t>315 Germa 66 - Vinsmoke Yonji - Medal _Yonji_ - Piece.png</t>
  </si>
  <si>
    <t>107 - Beautiful Pirates_Captain ~ Cavendish - Medal - Crafted [Colored] -  [Cavendish]</t>
  </si>
  <si>
    <t>img_icon_medal_310200203.png</t>
  </si>
  <si>
    <t>https://ik.imagekit.io/alaaalaa6171/Event%20Medals/img_icon_medal_310200203.png?updatedAt=1770125384356</t>
  </si>
  <si>
    <t>201 - Medal [Event] - Crafted - Uta`s Father</t>
  </si>
  <si>
    <t>https://i.postimg.cc/mDZhSW7n/img_icon_medal_310110236.png</t>
  </si>
  <si>
    <t>img_icon_medal_310110236</t>
  </si>
  <si>
    <t>https://ik.imagekit.io/alaaalaa6171/234%20Battle%20of%20Monsters%20on%20Onigashima%20-%20Kaido%20-%20Medal%20_Conqueror%20of%20Three%20Worlds%20Raganaraku_.png?updatedAt=1770076447690</t>
  </si>
  <si>
    <t>https://ik.imagekit.io/alaaalaa6171/234%20Battle%20of%20Monsters%20on%20Onigashima%20-%20Kaido%20-%20Medal%20_Conqueror%20of%20Three%20Worlds%20Raganaraku_%20_Colored_.png?updatedAt=1770076447669</t>
  </si>
  <si>
    <t>https://ik.imagekit.io/alaaalaa6171/234%20Battle%20of%20Monsters%20on%20Onigashima%20-%20Kaido%20-%20Medal%20_Conqueror%20of%20Three%20Worlds%20Raganaraku_%20-%20Piece.png?updatedAt=1770076447670</t>
  </si>
  <si>
    <t>https://ik.imagekit.io/alaaalaa6171/234%20Battle%20of%20Monsters%20on%20Onigashima%20-%20Kaido%20-%20Medal%20_Conqueror%20of%20Three%20Worlds%20Raganaraku_%20-%20Piece%20_Colored_.png?updatedAt=1770076447628</t>
  </si>
  <si>
    <t>234 Battle of Monsters on Onigashima - Kaido</t>
  </si>
  <si>
    <t>img_icon_medal_310110109</t>
  </si>
  <si>
    <t>315 Germa 66 - Vinsmoke Yonji - Medal _Yonji_ - Piece _Colored_.png</t>
  </si>
  <si>
    <t>108 - Navy HQ_Admiral Fujitora ~ [Issho] - Medal - Crafted [Colored] -  [Fujitora]</t>
  </si>
  <si>
    <t>img_icon_medal_310200202.png</t>
  </si>
  <si>
    <t>https://ik.imagekit.io/alaaalaa6171/Event%20Medals/img_icon_medal_310200202.png?updatedAt=1770125384096</t>
  </si>
  <si>
    <t>200 - Medal [Event] - Crafted - Purgatory Onigiri</t>
  </si>
  <si>
    <t>https://i.postimg.cc/KYDRL8gF/img_icon_medal_310110235.png</t>
  </si>
  <si>
    <t>img_icon_medal_310110235</t>
  </si>
  <si>
    <t>https://ik.imagekit.io/alaaalaa6171/233%20Battle%20of%20Monsters%20on%20Onigashima%20-%20Olin%20the%20Oiran%20-%20Medal%20_Olin_.png?updatedAt=1770076447697</t>
  </si>
  <si>
    <t>https://ik.imagekit.io/alaaalaa6171/233%20Battle%20of%20Monsters%20on%20Onigashima%20-%20Olin%20the%20Oiran%20-%20Medal%20_Olin_%20_Colored_.png?updatedAt=1770076447640</t>
  </si>
  <si>
    <t>https://ik.imagekit.io/alaaalaa6171/233%20Battle%20of%20Monsters%20on%20Onigashima%20-%20Olin%20the%20Oiran%20-%20Medal%20_Olin_%20-%20Piece.png?updatedAt=1770076447687</t>
  </si>
  <si>
    <t>https://ik.imagekit.io/alaaalaa6171/233%20Battle%20of%20Monsters%20on%20Onigashima%20-%20Olin%20the%20Oiran%20-%20Medal%20_Olin_%20-%20Piece%20_Colored_.png?updatedAt=1770076447655</t>
  </si>
  <si>
    <t>233 Battle of Monsters on Onigashima - Olin the Oiran</t>
  </si>
  <si>
    <t>img_icon_medal_310110110</t>
  </si>
  <si>
    <t>315 Germa 66 - Vinsmoke Yonji - Medal _Yonji_ _Colored_.png</t>
  </si>
  <si>
    <t>109 - Luffy`s Brother ~ Sabo - Medal - Crafted [Colored] -  [Flame Dragon King]</t>
  </si>
  <si>
    <t>img_icon_medal_310200201.png</t>
  </si>
  <si>
    <t>https://ik.imagekit.io/alaaalaa6171/Event%20Medals/img_icon_medal_310200201.png?updatedAt=1770125384036</t>
  </si>
  <si>
    <t>199 - Medal [Event] - Crafted - Kong Gun</t>
  </si>
  <si>
    <t>https://i.postimg.cc/zfFVWGRN/img_icon_medal_310110233.png</t>
  </si>
  <si>
    <t>img_icon_medal_310110233</t>
  </si>
  <si>
    <t>https://ik.imagekit.io/alaaalaa6171/232%20ODYSSEY%20-%20Adio%20Suerte%20-%20Medal%20_Adio_.png?updatedAt=1770076447661</t>
  </si>
  <si>
    <t>https://ik.imagekit.io/alaaalaa6171/232%20ODYSSEY%20-%20Adio%20Suerte%20-%20Medal%20_Adio_%20_Colored_.png?updatedAt=1770076447647</t>
  </si>
  <si>
    <t>https://ik.imagekit.io/alaaalaa6171/232%20ODYSSEY%20-%20Adio%20Suerte%20-%20Medal%20_Adio_%20-%20Piece.png?updatedAt=1770076447618</t>
  </si>
  <si>
    <t>https://ik.imagekit.io/alaaalaa6171/232%20ODYSSEY%20-%20Adio%20Suerte%20-%20Medal%20_Adio_%20-%20Piece%20_Colored_.png?updatedAt=1770076447617</t>
  </si>
  <si>
    <t>232 ODYSSEY - Adio Suerte</t>
  </si>
  <si>
    <t>img_icon_medal_310110111</t>
  </si>
  <si>
    <t>314 Germa 66 - Vinsmoke Neji - Medal _Neji_.png</t>
  </si>
  <si>
    <t>110 - CP9 ~ Rob Lucci - Medal - Crafted [Colored] -  [Lucci]</t>
  </si>
  <si>
    <t>img_icon_medal_310200200.png</t>
  </si>
  <si>
    <t>https://ik.imagekit.io/alaaalaa6171/Event%20Medals/img_icon_medal_310200200.png?updatedAt=1770125384326</t>
  </si>
  <si>
    <t>198 - Medal [Event] - Crafted - Prometheus (Land of Wano)</t>
  </si>
  <si>
    <t>https://i.postimg.cc/4d4n1RpS/img_icon_medal_310110234.png</t>
  </si>
  <si>
    <t>img_icon_medal_310110234</t>
  </si>
  <si>
    <t>https://ik.imagekit.io/alaaalaa6171/231%20Animal%20Kingdom%20Pirates_Lead%20Performer%20-%20King%20-%20Medal%20_King_.png?updatedAt=1770076447601</t>
  </si>
  <si>
    <t>https://ik.imagekit.io/alaaalaa6171/231%20Animal%20Kingdom%20Pirates_Lead%20Performer%20-%20King%20-%20Medal%20_King_%20_Colored_.png?updatedAt=1770076447601</t>
  </si>
  <si>
    <t>https://ik.imagekit.io/alaaalaa6171/231%20Animal%20Kingdom%20Pirates_Lead%20Performer%20-%20King%20-%20Medal%20_King_%20-%20Piece.png?updatedAt=1770076447648</t>
  </si>
  <si>
    <t>https://ik.imagekit.io/alaaalaa6171/231%20Animal%20Kingdom%20Pirates_Lead%20Performer%20-%20King%20-%20Medal%20_King_%20-%20Piece%20_Colored_.png?updatedAt=1770076447651</t>
  </si>
  <si>
    <t>231 Animal Kingdom Pirates / Lead Performer - King</t>
  </si>
  <si>
    <t>img_icon_medal_310110112</t>
  </si>
  <si>
    <t>314 Germa 66 - Vinsmoke Neji - Medal _Neji_ - Piece.png</t>
  </si>
  <si>
    <t>111 - CP9 ~ Kaku - Medal - Crafted [Colored] -  [Kaku]</t>
  </si>
  <si>
    <t>img_icon_medal_310200199.png</t>
  </si>
  <si>
    <t>https://ik.imagekit.io/alaaalaa6171/Event%20Medals/img_icon_medal_310200199.png?updatedAt=1770125384061</t>
  </si>
  <si>
    <t>197 - Medal [Event] - Crafted - Hera</t>
  </si>
  <si>
    <t>https://i.postimg.cc/TPJpm3W6/img_icon_medal_310110232.png</t>
  </si>
  <si>
    <t>img_icon_medal_310110232</t>
  </si>
  <si>
    <t>https://ik.imagekit.io/alaaalaa6171/230%20Top%20Secret%20Special%20Force%20Captain%20of%20'Sword'%20-%20X.%20Drake%20-%20Medal%20_X%20Calibur_.png?updatedAt=1770076447667</t>
  </si>
  <si>
    <t>https://ik.imagekit.io/alaaalaa6171/230%20Top%20Secret%20Special%20Force%20Captain%20of%20'Sword'%20-%20X.%20Drake%20-%20Medal%20_X%20Calibur_%20_Colored_.png?updatedAt=1770076447578</t>
  </si>
  <si>
    <t>https://ik.imagekit.io/alaaalaa6171/230%20Top%20Secret%20Special%20Force%20Captain%20of%20'Sword'%20-%20X.%20Drake%20-%20Medal%20_X%20Calibur_%20-%20Piece.png?updatedAt=1770076447571</t>
  </si>
  <si>
    <t>https://ik.imagekit.io/alaaalaa6171/230%20Top%20Secret%20Special%20Force%20Captain%20of%20'Sword'%20-%20X.%20Drake%20-%20Medal%20_X%20Calibur_%20-%20Piece%20_Colored_.png?updatedAt=1770076447577</t>
  </si>
  <si>
    <t>230 Top Secret Special Force Captain of "Sword" - X. Drake</t>
  </si>
  <si>
    <t>img_icon_medal_310110113</t>
  </si>
  <si>
    <t>314 Germa 66 - Vinsmoke Neji - Medal _Neji_ - Piece _Colored_.png</t>
  </si>
  <si>
    <t>112 - The King of the Snipers ~ Sniper King - Medal - Crafted [Colored] -  [Fire Bird]</t>
  </si>
  <si>
    <t>img_icon_medal_310200198.png</t>
  </si>
  <si>
    <t>https://ik.imagekit.io/alaaalaa6171/Event%20Medals/img_icon_medal_310200198.png?updatedAt=1770125384076</t>
  </si>
  <si>
    <t>196 - Medal [Event] - Crafted - Arlong (Sun Pirates)</t>
  </si>
  <si>
    <t>https://i.postimg.cc/vmtc9Z6w/img_icon_medal_310110231.png</t>
  </si>
  <si>
    <t>img_icon_medal_310110231</t>
  </si>
  <si>
    <t>https://ik.imagekit.io/alaaalaa6171/229%20Hyogoro%20Family_Big%20Boss%20-%20Hyogoro%20-%20Medal%20_Hyogoro_.png?updatedAt=1770076447674</t>
  </si>
  <si>
    <t>https://ik.imagekit.io/alaaalaa6171/229%20Hyogoro%20Family_Big%20Boss%20-%20Hyogoro%20-%20Medal%20_Hyogoro_%20_Colored_.png?updatedAt=1770076447621</t>
  </si>
  <si>
    <t>https://ik.imagekit.io/alaaalaa6171/229%20Hyogoro%20Family_Big%20Boss%20-%20Hyogoro%20-%20Medal%20_Hyogoro_%20-%20Piece.png?updatedAt=1770076447639</t>
  </si>
  <si>
    <t>https://ik.imagekit.io/alaaalaa6171/229%20Hyogoro%20Family_Big%20Boss%20-%20Hyogoro%20-%20Medal%20_Hyogoro_%20-%20Piece%20_Colored_.png?updatedAt=1770076447571</t>
  </si>
  <si>
    <t>229 Hyogoro Family / Big Boss - Hyogoro</t>
  </si>
  <si>
    <t>img_icon_medal_310110114</t>
  </si>
  <si>
    <t>314 Germa 66 - Vinsmoke Neji - Medal _Neji_ _Colored_.png</t>
  </si>
  <si>
    <t>113 - STAMPEDE ~ Douglas Bullet - Medal - Crafted [Colored] -  [The Demon Heir]</t>
  </si>
  <si>
    <t>img_icon_medal_310200197.png</t>
  </si>
  <si>
    <t>https://ik.imagekit.io/alaaalaa6171/Event%20Medals/img_icon_medal_310200197.png?updatedAt=1770125384119</t>
  </si>
  <si>
    <t>195 - Medal [Event] - Crafted - Fisher Tiger</t>
  </si>
  <si>
    <t>https://i.postimg.cc/6QfyRpGJ/img_icon_medal_310110230.png</t>
  </si>
  <si>
    <t>img_icon_medal_310110230</t>
  </si>
  <si>
    <t>https://ik.imagekit.io/alaaalaa6171/228%20Kozuki%20Clan_Servant%20-%20Raizo%20-%20Medal%20_Raizo_.png?updatedAt=1770076447552</t>
  </si>
  <si>
    <t>https://ik.imagekit.io/alaaalaa6171/228%20Kozuki%20Clan_Servant%20-%20Raizo%20-%20Medal%20_Raizo_%20_Colored_.png?updatedAt=1770076447549</t>
  </si>
  <si>
    <t>https://ik.imagekit.io/alaaalaa6171/228%20Kozuki%20Clan_Servant%20-%20Raizo%20-%20Medal%20_Raizo_%20-%20Piece.png?updatedAt=1770076447504</t>
  </si>
  <si>
    <t>https://ik.imagekit.io/alaaalaa6171/228%20Kozuki%20Clan_Servant%20-%20Raizo%20-%20Medal%20_Raizo_%20-%20Piece%20_Colored_.png?updatedAt=1770076447499</t>
  </si>
  <si>
    <t>228 Kozuki Clan / Servant - Raizo</t>
  </si>
  <si>
    <t>img_icon_medal_310110115</t>
  </si>
  <si>
    <t>313 Germa 66 - Vinsmoke Ichiji - Medal _Ichiji_.png</t>
  </si>
  <si>
    <t>114 - Navy HQ_Rear Admiral ~ Hina - Medal - Crafted [Colored] -  [Hina]</t>
  </si>
  <si>
    <t>img_icon_medal_310200196.png</t>
  </si>
  <si>
    <t>https://ik.imagekit.io/alaaalaa6171/Event%20Medals/img_icon_medal_310200196.png?updatedAt=1770125384044</t>
  </si>
  <si>
    <t>194 - Medal [Event] - Crafted - Ankoro</t>
  </si>
  <si>
    <t>https://i.postimg.cc/BvBXDn1W/img_icon_medal_310110229.png</t>
  </si>
  <si>
    <t>img_icon_medal_310110229</t>
  </si>
  <si>
    <t>https://ik.imagekit.io/alaaalaa6171/227%20Veteran%20Kunoichi%20-%20Shinobu%20-%20Medal%20_Shinobu_.png?updatedAt=1770076447506</t>
  </si>
  <si>
    <t>https://ik.imagekit.io/alaaalaa6171/227%20Veteran%20Kunoichi%20-%20Shinobu%20-%20Medal%20_Shinobu_%20_Colored_.png?updatedAt=1770076447297</t>
  </si>
  <si>
    <t>https://ik.imagekit.io/alaaalaa6171/227%20Veteran%20Kunoichi%20-%20Shinobu%20-%20Medal%20_Shinobu_%20-%20Piece.png?updatedAt=1770076447258</t>
  </si>
  <si>
    <t>https://ik.imagekit.io/alaaalaa6171/227%20Veteran%20Kunoichi%20-%20Shinobu%20-%20Medal%20_Shinobu_%20-%20Piece%20_Colored_.png?updatedAt=1770076446591</t>
  </si>
  <si>
    <t>227 Veteran Kunoichi - Shinobu</t>
  </si>
  <si>
    <t>img_icon_medal_310110116</t>
  </si>
  <si>
    <t>313 Germa 66 - Vinsmoke Ichiji - Medal _Ichiji_ - Piece.png</t>
  </si>
  <si>
    <t>115 - Grand Line Naval Base 5_Captain ~ Tashigi - Medal - Crafted [Colored] -  [Cutting Mist]</t>
  </si>
  <si>
    <t>img_icon_medal_310200195.png</t>
  </si>
  <si>
    <t>https://ik.imagekit.io/alaaalaa6171/Event%20Medals/img_icon_medal_310200195.png?updatedAt=1770125384027</t>
  </si>
  <si>
    <t>193 - Medal [Event] - Crafted - Wadatsumi</t>
  </si>
  <si>
    <t>https://i.postimg.cc/43QmtxHr/img_icon_medal_310110228.png</t>
  </si>
  <si>
    <t>img_icon_medal_310110228</t>
  </si>
  <si>
    <t>https://ik.imagekit.io/alaaalaa6171/226%20Don%20Quixote%20Pirates_Supreme%20Officer%20-%20Trebol%20-%20Medal%20_Trebol_.png?updatedAt=1770076446120</t>
  </si>
  <si>
    <t>https://ik.imagekit.io/alaaalaa6171/226%20Don%20Quixote%20Pirates_Supreme%20Officer%20-%20Trebol%20-%20Medal%20_Trebol_%20_Colored_.png?updatedAt=1770076445991</t>
  </si>
  <si>
    <t>https://ik.imagekit.io/alaaalaa6171/226%20Don%20Quixote%20Pirates_Supreme%20Officer%20-%20Trebol%20-%20Medal%20_Trebol_%20-%20Piece.png?updatedAt=1770076443782</t>
  </si>
  <si>
    <t>https://ik.imagekit.io/alaaalaa6171/226%20Don%20Quixote%20Pirates_Supreme%20Officer%20-%20Trebol%20-%20Medal%20_Trebol_%20-%20Piece%20_Colored_.png?updatedAt=1770076443647</t>
  </si>
  <si>
    <t>226 Don Quixote Pirates / Supreme Officer - Trebol</t>
  </si>
  <si>
    <t>img_icon_medal_310110117</t>
  </si>
  <si>
    <t>313 Germa 66 - Vinsmoke Ichiji - Medal _Ichiji_ - Piece _Colored_.png</t>
  </si>
  <si>
    <t>116 - Gerand Line Navel Base 5_Vice Admiral ~ Smoker 1 - Medal - Crafted [Colored] -  [Mad Dog of the Navy]</t>
  </si>
  <si>
    <t>img_icon_medal_310200194.png</t>
  </si>
  <si>
    <t>https://ik.imagekit.io/alaaalaa6171/Event%20Medals/img_icon_medal_310200194.png?updatedAt=1770125384365</t>
  </si>
  <si>
    <t>192 - Medal [Event] - Crafted - Komachiyo</t>
  </si>
  <si>
    <t>https://i.postimg.cc/W4whr1qx/img_icon_medal_310110227.png</t>
  </si>
  <si>
    <t>img_icon_medal_310110227</t>
  </si>
  <si>
    <t>https://ik.imagekit.io/alaaalaa6171/225%20Don%20Quixote%20Pirates_Supreme%20Officer%20-%20Diamante%20-%20Medal%20_Ripple_Ripple_.png?updatedAt=1770076443544</t>
  </si>
  <si>
    <t>https://ik.imagekit.io/alaaalaa6171/225%20Don%20Quixote%20Pirates_Supreme%20Officer%20-%20Diamante%20-%20Medal%20_Ripple_Ripple_%20_Colored_.png?updatedAt=1770076443447</t>
  </si>
  <si>
    <t>https://ik.imagekit.io/alaaalaa6171/225%20Don%20Quixote%20Pirates_Supreme%20Officer%20-%20Diamante%20-%20Medal%20_Ripple_Ripple_%20-%20Piece.png?updatedAt=1770076443389</t>
  </si>
  <si>
    <t>https://ik.imagekit.io/alaaalaa6171/225%20Don%20Quixote%20Pirates_Supreme%20Officer%20-%20Diamante%20-%20Medal%20_Ripple_Ripple_%20-%20Piece%20_Colored_.png?updatedAt=1770076443312</t>
  </si>
  <si>
    <t>225 Don Quixote Pirates / Supreme Officer - Diamante</t>
  </si>
  <si>
    <t>img_icon_medal_310110118</t>
  </si>
  <si>
    <t>313 Germa 66 - Vinsmoke Ichiji - Medal _Ichiji_ _Colored_.png</t>
  </si>
  <si>
    <t>117 - Impel Down_Warden ~ Magellan - Medal - Crafted [Colored] -  [Magellan]</t>
  </si>
  <si>
    <t>img_icon_medal_310200193.png</t>
  </si>
  <si>
    <t>https://ik.imagekit.io/alaaalaa6171/Event%20Medals/img_icon_medal_310200193.png?updatedAt=1770125384151</t>
  </si>
  <si>
    <t>191 - Medal [Event] - Crafted - Lightning Blast</t>
  </si>
  <si>
    <t>https://i.postimg.cc/bv9sbwSM/img_icon_medal_310110226.png</t>
  </si>
  <si>
    <t>img_icon_medal_310110226</t>
  </si>
  <si>
    <t>https://ik.imagekit.io/alaaalaa6171/224%20The%20Bullet%20of%20Dressrosa%20-%20Bellamy%20-%20Medal%20_Boing_Boing_.png?updatedAt=1770076442631</t>
  </si>
  <si>
    <t>https://ik.imagekit.io/alaaalaa6171/224%20The%20Bullet%20of%20Dressrosa%20-%20Bellamy%20-%20Medal%20_Boing_Boing_%20_Colored_.png?updatedAt=1770076442548</t>
  </si>
  <si>
    <t>https://ik.imagekit.io/alaaalaa6171/224%20The%20Bullet%20of%20Dressrosa%20-%20Bellamy%20-%20Medal%20_Boing_Boing_%20-%20Piece.png?updatedAt=1770076442543</t>
  </si>
  <si>
    <t>https://ik.imagekit.io/alaaalaa6171/224%20The%20Bullet%20of%20Dressrosa%20-%20Bellamy%20-%20Medal%20_Boing_Boing_%20-%20Piece%20_Colored_.png?updatedAt=1770076442506</t>
  </si>
  <si>
    <t>224 The Bullet of Dressrosa - Bellamy</t>
  </si>
  <si>
    <t>img_icon_medal_310110119</t>
  </si>
  <si>
    <t>312 Flame Emperor - Sabo - Medal _Rock Check_.png</t>
  </si>
  <si>
    <t>118 - Revolutoonary Army ~ Emporio Ivankov - Medal - Crafted [Colored] -  [Ivankov]</t>
  </si>
  <si>
    <t>img_icon_medal_310200192.png</t>
  </si>
  <si>
    <t>https://ik.imagekit.io/alaaalaa6171/Event%20Medals/img_icon_medal_310200192.png?updatedAt=1770125384089</t>
  </si>
  <si>
    <t>190 - Medal [Event] - Crafted - Moomonosuke (Dragon)</t>
  </si>
  <si>
    <t>https://i.postimg.cc/43QmtxH2/img_icon_medal_310110224.png</t>
  </si>
  <si>
    <t>img_icon_medal_310110224</t>
  </si>
  <si>
    <t>https://ik.imagekit.io/alaaalaa6171/223%20FILM%20RED%20-%20Usopp%20-%20Medal%20_Usopp%20(FILM%20RED)_.png?updatedAt=1770076442495</t>
  </si>
  <si>
    <t>https://ik.imagekit.io/alaaalaa6171/223%20FILM%20RED%20-%20Usopp%20-%20Medal%20_Usopp%20(FILM%20RED)_%20_Colored_.png?updatedAt=1770076442478</t>
  </si>
  <si>
    <t>https://ik.imagekit.io/alaaalaa6171/223%20FILM%20RED%20-%20Usopp%20-%20Medal%20_Usopp%20(FILM%20RED)_%20-%20Piece.png?updatedAt=1770076442564</t>
  </si>
  <si>
    <t>https://ik.imagekit.io/alaaalaa6171/223%20FILM%20RED%20-%20Usopp%20-%20Medal%20_Usopp%20(FILM%20RED)_%20-%20Piece%20_Colored_.png?updatedAt=1770076442554</t>
  </si>
  <si>
    <t>223 FILM RED - Usopp</t>
  </si>
  <si>
    <t>img_icon_medal_310110120</t>
  </si>
  <si>
    <t>312 Flame Emperor - Sabo - Medal _Rock Check_ - Piece.png</t>
  </si>
  <si>
    <t>119 - Gear Four_Snakeman ~ Monkey D. Luffy - Medal - Crafted [Colored] -  [King Cobra]</t>
  </si>
  <si>
    <t>img_icon_medal_310200191.png</t>
  </si>
  <si>
    <t>https://ik.imagekit.io/alaaalaa6171/Event%20Medals/img_icon_medal_310200191.png?updatedAt=1770125384019</t>
  </si>
  <si>
    <t>189 - Medal [Event] - Crafted - Ace (Izayoizuki)</t>
  </si>
  <si>
    <t>https://i.postimg.cc/MGmvRpfF/img_icon_medal_310110225.png</t>
  </si>
  <si>
    <t>img_icon_medal_310110225</t>
  </si>
  <si>
    <t>https://ik.imagekit.io/alaaalaa6171/222%20FILM%20RED%20-%20Yasopp%20-%20Medal%20_Yasopp%20(FILM%20RED)_.png?updatedAt=1770076442516</t>
  </si>
  <si>
    <t>https://ik.imagekit.io/alaaalaa6171/222%20FILM%20RED%20-%20Yasopp%20-%20Medal%20_Yasopp%20(FILM%20RED)_%20_Colored_.png?updatedAt=1770076442544</t>
  </si>
  <si>
    <t>https://ik.imagekit.io/alaaalaa6171/222%20FILM%20RED%20-%20Yasopp%20-%20Medal%20_Yasopp%20(FILM%20RED)_%20-%20Piece.png?updatedAt=1770076442461</t>
  </si>
  <si>
    <t>https://ik.imagekit.io/alaaalaa6171/222%20FILM%20RED%20-%20Yasopp%20-%20Medal%20_Yasopp%20(FILM%20RED)_%20-%20Piece%20_Colored_.png?updatedAt=1770076442515</t>
  </si>
  <si>
    <t>222 FILM RED - Yasopp</t>
  </si>
  <si>
    <t>img_icon_medal_310110122</t>
  </si>
  <si>
    <t>312 Flame Emperor - Sabo - Medal _Rock Check_ - Piece _Colored_.png</t>
  </si>
  <si>
    <t>120 - The Pirate King`s Right Arm The Dark King ~ Silvers Rayleigh - Medal - Crafted [Colored] -  [Rayleigh]</t>
  </si>
  <si>
    <t>img_icon_medal_310200190.png</t>
  </si>
  <si>
    <t>https://ik.imagekit.io/alaaalaa6171/Event%20Medals/img_icon_medal_310200190.png?updatedAt=1770125384259</t>
  </si>
  <si>
    <t>188 - Medal [Event] - Crafted - Baby Geezer Chopper</t>
  </si>
  <si>
    <t>https://i.postimg.cc/BvBXDnPY/img_icon_medal_310110223.png</t>
  </si>
  <si>
    <t>img_icon_medal_310110223</t>
  </si>
  <si>
    <t>https://ik.imagekit.io/alaaalaa6171/221%20FILM%20RED%20-%20Tony%20Tony%20Chopper%20-%20Medal%20_Chopper%20(FILM%20RED)_.png?updatedAt=1770076442558</t>
  </si>
  <si>
    <t>https://ik.imagekit.io/alaaalaa6171/221%20FILM%20RED%20-%20Tony%20Tony%20Chopper%20-%20Medal%20_Chopper%20(FILM%20RED)_%20_Colored_.png?updatedAt=1770076442501</t>
  </si>
  <si>
    <t>https://ik.imagekit.io/alaaalaa6171/221%20FILM%20RED%20-%20Tony%20Tony%20Chopper%20-%20Medal%20_Chopper%20(FILM%20RED)_%20-%20Piece.png?updatedAt=1770076442556</t>
  </si>
  <si>
    <t>https://ik.imagekit.io/alaaalaa6171/221%20FILM%20RED%20-%20Tony%20Tony%20Chopper%20-%20Medal%20_Chopper%20(FILM%20RED)_%20-%20Piece%20_Colored_.png?updatedAt=1770076442562</t>
  </si>
  <si>
    <t>221 FILM RED - Tony Tony Chopper</t>
  </si>
  <si>
    <t>img_icon_medal_310110123</t>
  </si>
  <si>
    <t>312 Flame Emperor - Sabo - Medal _Rock Check_ _Colored_.png</t>
  </si>
  <si>
    <t>121 - Navy HQ_Fleet Admiral ~ Sengoku - Medal - Crafted [Colored] -  [Sengoku]</t>
  </si>
  <si>
    <t>img_icon_medal_310200189.png</t>
  </si>
  <si>
    <t>https://ik.imagekit.io/alaaalaa6171/Event%20Medals/img_icon_medal_310200189.png?updatedAt=1770125384088</t>
  </si>
  <si>
    <t>187 - Medal [Event] - Crafted - Zoro (Bandages)</t>
  </si>
  <si>
    <t>https://i.postimg.cc/FKV7cHkP/img_icon_medal_310110222.png</t>
  </si>
  <si>
    <t>img_icon_medal_310110222</t>
  </si>
  <si>
    <t>https://ik.imagekit.io/alaaalaa6171/220%20FILM%20RED%20-%20Nami%20-%20Medal%20_Nami%20(FILM%20RED)_.png?updatedAt=1770076442552</t>
  </si>
  <si>
    <t>https://ik.imagekit.io/alaaalaa6171/220%20FILM%20RED%20-%20Nami%20-%20Medal%20_Nami%20(FILM%20RED)_%20_Colored_.png?updatedAt=1770076442547</t>
  </si>
  <si>
    <t>https://ik.imagekit.io/alaaalaa6171/220%20FILM%20RED%20-%20Nami%20-%20Medal%20_Nami%20(FILM%20RED)_%20-%20Piece.png?updatedAt=1770076442510</t>
  </si>
  <si>
    <t>https://ik.imagekit.io/alaaalaa6171/220%20FILM%20RED%20-%20Nami%20-%20Medal%20_Nami%20(FILM%20RED)_%20-%20Piece%20_Colored_.png?updatedAt=1770076442503</t>
  </si>
  <si>
    <t>220 FILM RED - Nami</t>
  </si>
  <si>
    <t>img_icon_medal_310110124</t>
  </si>
  <si>
    <t>311 Assistant Fish-Man Karate Master - Koala - Medal _Revolutionary Army Female Solider_.png</t>
  </si>
  <si>
    <t>122 - Fallen Monk Pirates_Captain 'Mad Monk' ~ Urouge - Medal - Crafted [Colored] -  [Urouge]</t>
  </si>
  <si>
    <t>img_icon_medal_310200188.png</t>
  </si>
  <si>
    <t>https://ik.imagekit.io/alaaalaa6171/Event%20Medals/img_icon_medal_310200188.png?updatedAt=1770125384101</t>
  </si>
  <si>
    <t>186 - Medal [Event] - Crafted - Strike Back</t>
  </si>
  <si>
    <t>https://i.postimg.cc/YSzhgCL8/img_icon_medal_310110220.png</t>
  </si>
  <si>
    <t>img_icon_medal_310110220</t>
  </si>
  <si>
    <t>https://ik.imagekit.io/alaaalaa6171/219%20FILM%20RED%20-%20Ben%20Beckman%20-%20Medal%20_Beckman%20(FILM%20RED)_.png?updatedAt=1770076442450</t>
  </si>
  <si>
    <t>https://ik.imagekit.io/alaaalaa6171/219%20FILM%20RED%20-%20Ben%20Beckman%20-%20Medal%20_Beckman%20(FILM%20RED)_%20_Colored_.png?updatedAt=1770076442567</t>
  </si>
  <si>
    <t>https://ik.imagekit.io/alaaalaa6171/219%20FILM%20RED%20-%20Ben%20Beckman%20-%20Medal%20_Beckman%20(FILM%20RED)_%20-%20Piece.png?updatedAt=1770076442550</t>
  </si>
  <si>
    <t>https://ik.imagekit.io/alaaalaa6171/219%20FILM%20RED%20-%20Ben%20Beckman%20-%20Medal%20_Beckman%20(FILM%20RED)_%20-%20Piece%20_Colored_.png?updatedAt=1770076442556</t>
  </si>
  <si>
    <t>219 FILM RED - Ben Beckman</t>
  </si>
  <si>
    <t>img_icon_medal_310110125</t>
  </si>
  <si>
    <t>311 Assistant Fish-Man Karate Master - Koala - Medal _Revolutionary Army Female Solider_ - Piece.png</t>
  </si>
  <si>
    <t>123 - On-Air Pirates_Captain ~ Scratchmen Apoo - Medal - Crafted [Colored] -  [Apoo]</t>
  </si>
  <si>
    <t>img_icon_medal_310200187.png</t>
  </si>
  <si>
    <t>https://ik.imagekit.io/alaaalaa6171/Event%20Medals/img_icon_medal_310200187.png?updatedAt=1770125384337</t>
  </si>
  <si>
    <t>185 - Medal [Event] - Crafted - Hajrudin</t>
  </si>
  <si>
    <t>https://i.postimg.cc/FKV7cHkT/img_icon_medal_310110221.png</t>
  </si>
  <si>
    <t>img_icon_medal_310110221</t>
  </si>
  <si>
    <t>https://ik.imagekit.io/alaaalaa6171/218%20FILM%20RED%20-%20Shanks%20-%20Medal%20_Shanks%20(FILM%20RED)_.png?updatedAt=1770076442539</t>
  </si>
  <si>
    <t>https://ik.imagekit.io/alaaalaa6171/218%20FILM%20RED%20-%20Shanks%20-%20Medal%20_Shanks%20(FILM%20RED)_%20_Colored_.png?updatedAt=1770076442493</t>
  </si>
  <si>
    <t>https://ik.imagekit.io/alaaalaa6171/218%20FILM%20RED%20-%20Shanks%20-%20Medal%20_Shanks%20(FILM%20RED)_%20-%20Piece.png?updatedAt=1770076442410</t>
  </si>
  <si>
    <t>https://ik.imagekit.io/alaaalaa6171/218%20FILM%20RED%20-%20Shanks%20-%20Medal%20_Shanks%20(FILM%20RED)_%20-%20Piece%20_Colored_.png?updatedAt=1770076442396</t>
  </si>
  <si>
    <t>218 FILM RED - Shanks</t>
  </si>
  <si>
    <t>img_icon_medal_310110126</t>
  </si>
  <si>
    <t>311 Assistant Fish-Man Karate Master - Koala - Medal _Revolutionary Army Female Solider_ - Piece _Colored_.png</t>
  </si>
  <si>
    <t>124 - Kid Pirates_Fighter ~ Killer - Medal - Crafted [Colored] -  [Killer]</t>
  </si>
  <si>
    <t>img_icon_medal_310200186.png</t>
  </si>
  <si>
    <t>https://ik.imagekit.io/alaaalaa6171/Event%20Medals/img_icon_medal_310200186.png?updatedAt=1770125384309</t>
  </si>
  <si>
    <t>184 - Medal [Event] - Crafted - Barrier_Barrier</t>
  </si>
  <si>
    <t>https://i.postimg.cc/0N0bmyKf/img_icon_medal_310110218.png</t>
  </si>
  <si>
    <t>img_icon_medal_310110218</t>
  </si>
  <si>
    <t>https://ik.imagekit.io/alaaalaa6171/217%20FILM%20RED%20-%20Monkey%20D.%20Luffy%20-%20Medal%20_Luffy%20(FILM%20RED)_.png?updatedAt=1770076442551</t>
  </si>
  <si>
    <t>https://ik.imagekit.io/alaaalaa6171/217%20FILM%20RED%20-%20Monkey%20D.%20Luffy%20-%20Medal%20_Luffy%20(FILM%20RED)_%20_Colored_.png?updatedAt=1770076442444</t>
  </si>
  <si>
    <t>https://ik.imagekit.io/alaaalaa6171/217%20FILM%20RED%20-%20Monkey%20D.%20Luffy%20-%20Medal%20_Luffy%20(FILM%20RED)_%20-%20Piece.png?updatedAt=1770076442430</t>
  </si>
  <si>
    <t>https://ik.imagekit.io/alaaalaa6171/217%20FILM%20RED%20-%20Monkey%20D.%20Luffy%20-%20Medal%20_Luffy%20(FILM%20RED)_%20-%20Piece%20_Colored_.png?updatedAt=1770076442437</t>
  </si>
  <si>
    <t>217 FILM RED - Monkey D. Luffy</t>
  </si>
  <si>
    <t>img_icon_medal_310110127</t>
  </si>
  <si>
    <t>311 Assistant Fish-Man Karate Master - Koala - Medal _Revolutionary Army Female Solider_ _Colored_.png</t>
  </si>
  <si>
    <t>125 - New World ~ Eustass Kid - Medal - Crafted [Colored] -  [Repel]</t>
  </si>
  <si>
    <t>img_icon_medal_310200185.png</t>
  </si>
  <si>
    <t>https://ik.imagekit.io/alaaalaa6171/Event%20Medals/img_icon_medal_310200185.png?updatedAt=1770125383989</t>
  </si>
  <si>
    <t>183 - Medal [Event] - Crafted - Mystoms</t>
  </si>
  <si>
    <t>https://i.postimg.cc/QMJH5dKm/img_icon_medal_310110219.png</t>
  </si>
  <si>
    <t>img_icon_medal_310110219</t>
  </si>
  <si>
    <t>https://ik.imagekit.io/alaaalaa6171/216%20FILM%20RED%20-%20Uta%20-%20Medal%20_Uta_.png?updatedAt=1770076442383</t>
  </si>
  <si>
    <t>https://ik.imagekit.io/alaaalaa6171/216%20FILM%20RED%20-%20Uta%20-%20Medal%20_Uta_%20_Colored_.png?updatedAt=1770076442367</t>
  </si>
  <si>
    <t>https://ik.imagekit.io/alaaalaa6171/216%20FILM%20RED%20-%20Uta%20-%20Medal%20_Uta_%20-%20Piece.png?updatedAt=1770076442537</t>
  </si>
  <si>
    <t>https://ik.imagekit.io/alaaalaa6171/216%20FILM%20RED%20-%20Uta%20-%20Medal%20_Uta_%20-%20Piece%20_Colored_.png?updatedAt=1770076442435</t>
  </si>
  <si>
    <t>216 FILM RED - Uta</t>
  </si>
  <si>
    <t>img_icon_medal_310110128</t>
  </si>
  <si>
    <t>310 Blackbeard Pirates - Kuzan - Medal _Former Senior Apprentice_.png</t>
  </si>
  <si>
    <t>126 - Land of Wano ~ X.Drake - Medal - Crafted [Colored] -  [Drake]</t>
  </si>
  <si>
    <t>img_icon_medal_310200184.png</t>
  </si>
  <si>
    <t>https://ik.imagekit.io/alaaalaa6171/Event%20Medals/img_icon_medal_310200184.png?updatedAt=1770125383992</t>
  </si>
  <si>
    <t>182 - Medal [Event] - Crafted - Carrot (Sulong)</t>
  </si>
  <si>
    <t>https://i.postimg.cc/5tS6v2Qm/img_icon_medal_310110217.png</t>
  </si>
  <si>
    <t>img_icon_medal_310110217</t>
  </si>
  <si>
    <t>https://ik.imagekit.io/alaaalaa6171/215%20FILM%20Z%20-%20Zephyr%20-%20Medal%20_Zephyr_.png?updatedAt=1770076442424</t>
  </si>
  <si>
    <t>https://ik.imagekit.io/alaaalaa6171/215%20FILM%20Z%20-%20Zephyr%20-%20Medal%20_Zephyr_%20_Colored_.png?updatedAt=1770076442432</t>
  </si>
  <si>
    <t>https://ik.imagekit.io/alaaalaa6171/215%20FILM%20Z%20-%20Zephyr%20-%20Medal%20_Zephyr_%20-%20Piece.png?updatedAt=1770076442356</t>
  </si>
  <si>
    <t>https://ik.imagekit.io/alaaalaa6171/215%20FILM%20Z%20-%20Zephyr%20-%20Medal%20_Zephyr_%20-%20Piece%20_Colored_.png?updatedAt=1770076442354</t>
  </si>
  <si>
    <t>215 FILM Z - Zephyr</t>
  </si>
  <si>
    <t>img_icon_medal_310110129</t>
  </si>
  <si>
    <t>310 Blackbeard Pirates - Kuzan - Medal _Former Senior Apprentice_ - Piece.png</t>
  </si>
  <si>
    <t>127 - Land of Wano ~ Onami - Medal - Crafted [Colored] -  [Ninpo Iightning Blast]</t>
  </si>
  <si>
    <t>img_icon_medal_310200183.png</t>
  </si>
  <si>
    <t>https://ik.imagekit.io/alaaalaa6171/Event%20Medals/img_icon_medal_310200183.png?updatedAt=1770125384026</t>
  </si>
  <si>
    <t>181 - Medal [Event] - Crafted - Montd``or</t>
  </si>
  <si>
    <t>https://i.postimg.cc/Ls3nf8g3/img_icon_medal_310110216.png</t>
  </si>
  <si>
    <t>img_icon_medal_310110216</t>
  </si>
  <si>
    <t>https://ik.imagekit.io/alaaalaa6171/214%20FILM%20GOLD%20-%20Gild%20Tesoro%20-%20Medal%20_Tesoro_.png?updatedAt=1770076442377</t>
  </si>
  <si>
    <t>https://ik.imagekit.io/alaaalaa6171/214%20FILM%20GOLD%20-%20Gild%20Tesoro%20-%20Medal%20_Tesoro_%20_Colored_.png?updatedAt=1770076442531</t>
  </si>
  <si>
    <t>https://ik.imagekit.io/alaaalaa6171/214%20FILM%20GOLD%20-%20Gild%20Tesoro%20-%20Medal%20_Tesoro_%20-%20Piece.png?updatedAt=1770076442430</t>
  </si>
  <si>
    <t>https://ik.imagekit.io/alaaalaa6171/214%20FILM%20GOLD%20-%20Gild%20Tesoro%20-%20Medal%20_Tesoro_%20-%20Piece%20_Colored_.png?updatedAt=1770076442415</t>
  </si>
  <si>
    <t>214 FILM GOLD - Gild Tesoro</t>
  </si>
  <si>
    <t>img_icon_medal_310110130</t>
  </si>
  <si>
    <t>310 Blackbeard Pirates - Kuzan - Medal _Former Senior Apprentice_ - Piece _Colored_.png</t>
  </si>
  <si>
    <t>128 - Land of Wano ~ Luffytaro - Medal - Crafted [Colored] -  [Sumo Slap]</t>
  </si>
  <si>
    <t>img_icon_medal_310200182.png</t>
  </si>
  <si>
    <t>https://ik.imagekit.io/alaaalaa6171/Event%20Medals/img_icon_medal_310200182.png?updatedAt=1770125383720</t>
  </si>
  <si>
    <t>180 - Medal [Event] - Crafted - Mochi_Mochi</t>
  </si>
  <si>
    <t>https://i.postimg.cc/6QfyRp4L/img_icon_medal_310110215.png</t>
  </si>
  <si>
    <t>img_icon_medal_310110215</t>
  </si>
  <si>
    <t>https://ik.imagekit.io/alaaalaa6171/213%20FILM%20STRONG%20WORLD%20-%20Shiki%20-%20Medal%20_Shiki_.png?updatedAt=1770076442425</t>
  </si>
  <si>
    <t>https://ik.imagekit.io/alaaalaa6171/213%20FILM%20STRONG%20WORLD%20-%20Shiki%20-%20Medal%20_Shiki_%20_Colored_.png?updatedAt=1770076442346</t>
  </si>
  <si>
    <t>https://ik.imagekit.io/alaaalaa6171/213%20FILM%20STRONG%20WORLD%20-%20Shiki%20-%20Medal%20_Shiki_%20-%20Piece.png?updatedAt=1770076442383</t>
  </si>
  <si>
    <t>https://ik.imagekit.io/alaaalaa6171/213%20FILM%20STRONG%20WORLD%20-%20Shiki%20-%20Medal%20_Shiki_%20-%20Piece%20_Colored_.png?updatedAt=1770076442357</t>
  </si>
  <si>
    <t>213 FILM STRONG WORLD - Shiki</t>
  </si>
  <si>
    <t>img_icon_medal_310110131</t>
  </si>
  <si>
    <t>310 Blackbeard Pirates - Kuzan - Medal _Former Senior Apprentice_ _Colored_.png</t>
  </si>
  <si>
    <t>129 - CP0 ~ Rob Lucci - Medal - Crafted [Colored] -  [Six King Pistol]</t>
  </si>
  <si>
    <t>img_icon_medal_310200181.png</t>
  </si>
  <si>
    <t>https://ik.imagekit.io/alaaalaa6171/Event%20Medals/img_icon_medal_310200181.png?updatedAt=1770125383780</t>
  </si>
  <si>
    <t>179 - Medal [Event] - Crafted - Gourmet Knight</t>
  </si>
  <si>
    <t>https://i.postimg.cc/XvkpFYBK/img_icon_medal_310110214.png</t>
  </si>
  <si>
    <t>img_icon_medal_310110214</t>
  </si>
  <si>
    <t>https://ik.imagekit.io/alaaalaa6171/212%20STAMPEDE%20-%20Boa%20Hancock%20-%20Medal%20_Hancock%20(STAMPEDE)_.png?updatedAt=1770076442439</t>
  </si>
  <si>
    <t>https://ik.imagekit.io/alaaalaa6171/212%20STAMPEDE%20-%20Boa%20Hancock%20-%20Medal%20_Hancock%20(STAMPEDE)_%20_Colored_.png?updatedAt=1770076442374</t>
  </si>
  <si>
    <t>https://ik.imagekit.io/alaaalaa6171/212%20STAMPEDE%20-%20Boa%20Hancock%20-%20Medal%20_Hancock%20(STAMPEDE)_%20-%20Piece.png?updatedAt=1770076442527</t>
  </si>
  <si>
    <t>https://ik.imagekit.io/alaaalaa6171/212%20STAMPEDE%20-%20Boa%20Hancock%20-%20Medal%20_Hancock%20(STAMPEDE)_%20-%20Piece%20_Colored_.png?updatedAt=1770076442379</t>
  </si>
  <si>
    <t>212 STAMPEDE - Boa Hancock</t>
  </si>
  <si>
    <t>img_icon_medal_310110132</t>
  </si>
  <si>
    <t>309 Navy HQ_Captain - Koby - Medal _The Future of the Navy_.png</t>
  </si>
  <si>
    <t>130 - Amaru ~ Eneru - Medal - Crafted [Colored] -  [Mamaragan]</t>
  </si>
  <si>
    <t>img_icon_medal_310200180.png</t>
  </si>
  <si>
    <t>https://ik.imagekit.io/alaaalaa6171/Event%20Medals/img_icon_medal_310200180.png?updatedAt=1770125383783</t>
  </si>
  <si>
    <t>178 - Medal [Event] - Crafted - Lucky Fellow?</t>
  </si>
  <si>
    <t>https://i.postimg.cc/QMJH5dKp/img_icon_medal_310110212.png</t>
  </si>
  <si>
    <t>img_icon_medal_310110212</t>
  </si>
  <si>
    <t>https://ik.imagekit.io/alaaalaa6171/211%20Land%20of%20Wano%20-%20Marco%20-%20Medal%20_Phoenix%20Brand_.png?updatedAt=1770076442418</t>
  </si>
  <si>
    <t>https://ik.imagekit.io/alaaalaa6171/211%20Land%20of%20Wano%20-%20Marco%20-%20Medal%20_Phoenix%20Brand_%20_Colored_.png?updatedAt=1770076442313</t>
  </si>
  <si>
    <t>https://ik.imagekit.io/alaaalaa6171/211%20Land%20of%20Wano%20-%20Marco%20-%20Medal%20_Phoenix%20Brand_%20-%20Piece.png?updatedAt=1770076442319</t>
  </si>
  <si>
    <t>https://ik.imagekit.io/alaaalaa6171/211%20Land%20of%20Wano%20-%20Marco%20-%20Medal%20_Phoenix%20Brand_%20-%20Piece%20_Colored_.png?updatedAt=1770076442324</t>
  </si>
  <si>
    <t>211 Land of Wano - Marco</t>
  </si>
  <si>
    <t>img_icon_medal_310110133</t>
  </si>
  <si>
    <t>309 Navy HQ_Captain - Koby - Medal _The Future of the Navy_ - Piece.png</t>
  </si>
  <si>
    <t>131 - Surgeon of Death ~ Trafalger Law - Medal - Crafted [Colored] -  [Scalpel]</t>
  </si>
  <si>
    <t>img_icon_medal_310200179.png</t>
  </si>
  <si>
    <t>https://ik.imagekit.io/alaaalaa6171/Event%20Medals/img_icon_medal_310200179.png?updatedAt=1770125383804</t>
  </si>
  <si>
    <t>177 - Medal [Event] - Crafted - Rostisserie Strike</t>
  </si>
  <si>
    <t>https://i.postimg.cc/xd3cH1Nv/img_icon_medal_310110213.png</t>
  </si>
  <si>
    <t>img_icon_medal_310110213</t>
  </si>
  <si>
    <t>https://ik.imagekit.io/alaaalaa6171/210%20Big%20Mom%20Pirates_Crewmate%20-%20Charlotte%20Perospero%20-%20Medal%20_Perospero_.png?updatedAt=1770076442499</t>
  </si>
  <si>
    <t>https://ik.imagekit.io/alaaalaa6171/210%20Big%20Mom%20Pirates_Crewmate%20-%20Charlotte%20Perospero%20-%20Medal%20_Perospero_%20_Colored_.png?updatedAt=1770076442346</t>
  </si>
  <si>
    <t>https://ik.imagekit.io/alaaalaa6171/210%20Big%20Mom%20Pirates_Crewmate%20-%20Charlotte%20Perospero%20-%20Medal%20_Perospero_%20-%20Piece.png?updatedAt=1770076442348</t>
  </si>
  <si>
    <t>https://ik.imagekit.io/alaaalaa6171/210%20Big%20Mom%20Pirates_Crewmate%20-%20Charlotte%20Perospero%20-%20Medal%20_Perospero_%20-%20Piece%20_Colored_.png?updatedAt=1770076442381</t>
  </si>
  <si>
    <t>210 Big Mom Pirates / Crewmate - Charlotte Perospero</t>
  </si>
  <si>
    <t>img_icon_medal_310110134</t>
  </si>
  <si>
    <t>309 Navy HQ_Captain - Koby - Medal _The Future of the Navy_ - Piece _Colored_.png</t>
  </si>
  <si>
    <t>132 - The Undefeated Woman ~ Rebecca - Medal - Crafted [Colored] -  [Rebecca]</t>
  </si>
  <si>
    <t>img_icon_medal_310200178.png</t>
  </si>
  <si>
    <t>https://ik.imagekit.io/alaaalaa6171/Event%20Medals/img_icon_medal_310200178.png?updatedAt=1770125383622</t>
  </si>
  <si>
    <t>176 - Medal [Event] - Crafted - Red Roc</t>
  </si>
  <si>
    <t>https://i.postimg.cc/fbfJXRSX/img_icon_medal_310110210.png</t>
  </si>
  <si>
    <t>img_icon_medal_310110210</t>
  </si>
  <si>
    <t>https://ik.imagekit.io/alaaalaa6171/209%20Animal%20Kingdom%20Pirates_Tobi%20Roppo%20-%20Ulti%20-%20Medal%20_Spinosaurus_.png?updatedAt=1770076442313</t>
  </si>
  <si>
    <t>https://ik.imagekit.io/alaaalaa6171/209%20Animal%20Kingdom%20Pirates_Tobi%20Roppo%20-%20Ulti%20-%20Medal%20_Spinosaurus_%20_Colored_.png?updatedAt=1770076442288</t>
  </si>
  <si>
    <t>https://ik.imagekit.io/alaaalaa6171/209%20Animal%20Kingdom%20Pirates_Tobi%20Roppo%20-%20Ulti%20-%20Medal%20_Spinosaurus_%20-%20Piece.png?updatedAt=1770076442268</t>
  </si>
  <si>
    <t>https://ik.imagekit.io/alaaalaa6171/209%20Animal%20Kingdom%20Pirates_Tobi%20Roppo%20-%20Ulti%20-%20Medal%20_Spinosaurus_%20-%20Piece%20_Colored_.png?updatedAt=1770076442494</t>
  </si>
  <si>
    <t>209 Animal Kingdom Pirates / Tobi Roppo - Ulti</t>
  </si>
  <si>
    <t>img_icon_medal_310110135</t>
  </si>
  <si>
    <t>309 Navy HQ_Captain - Koby - Medal _The Future of the Navy_ _Colored_.png</t>
  </si>
  <si>
    <t>133 - Don Quixote Family_Officer ~ Corazon - Medal - Crafted [Colored] -  [Corazon]</t>
  </si>
  <si>
    <t>img_icon_medal_310200177.png</t>
  </si>
  <si>
    <t>https://ik.imagekit.io/alaaalaa6171/Event%20Medals/img_icon_medal_310200177.png?updatedAt=1770125383698</t>
  </si>
  <si>
    <t>175 - Medal [Event] - Crafted - Perospero (Pirate Alliance)</t>
  </si>
  <si>
    <t>https://i.postimg.cc/N0k5Tj2R/img_icon_medal_310110211.png</t>
  </si>
  <si>
    <t>img_icon_medal_310110211</t>
  </si>
  <si>
    <t>https://ik.imagekit.io/alaaalaa6171/208%20Animal%20Kingdom%20Pirates_Tobi%20Roppo%20-%20Page%20One%20-%20Medal%20_Pachycephalosaurus_.png?updatedAt=1770076442329</t>
  </si>
  <si>
    <t>https://ik.imagekit.io/alaaalaa6171/208%20Animal%20Kingdom%20Pirates_Tobi%20Roppo%20-%20Page%20One%20-%20Medal%20_Pachycephalosaurus_%20_Colored_.png?updatedAt=1770076442322</t>
  </si>
  <si>
    <t>https://ik.imagekit.io/alaaalaa6171/208%20Animal%20Kingdom%20Pirates_Tobi%20Roppo%20-%20Page%20One%20-%20Medal%20_Pachycephalosaurus_%20-%20Piece.png?updatedAt=1770076442353</t>
  </si>
  <si>
    <t>https://ik.imagekit.io/alaaalaa6171/208%20Animal%20Kingdom%20Pirates_Tobi%20Roppo%20-%20Page%20One%20-%20Medal%20_Pachycephalosaurus_%20-%20Piece%20_Colored_.png?updatedAt=1770076442266</t>
  </si>
  <si>
    <t>208 Animal Kingdom Pirates / Tobi Roppo - Page One</t>
  </si>
  <si>
    <t>img_icon_medal_310110136</t>
  </si>
  <si>
    <t>308 Legendary Hero - Monkey D. Garp - Medal _Galaxy Impact_.png</t>
  </si>
  <si>
    <t>134 - Hunger Pangs ~ Charlotte Linlin - Medal - Crafted [Colored] -  [Ikoku Sovereignty]</t>
  </si>
  <si>
    <t>img_icon_medal_310200176.png</t>
  </si>
  <si>
    <t>https://ik.imagekit.io/alaaalaa6171/Event%20Medals/img_icon_medal_310200176.png?updatedAt=1770125383840</t>
  </si>
  <si>
    <t>174 - Medal [Event] - Crafted - Smoothie (Pirate Alliance)</t>
  </si>
  <si>
    <t>https://i.postimg.cc/k5vB8gRS/img_icon_medal_310110209.png</t>
  </si>
  <si>
    <t>img_icon_medal_310110209</t>
  </si>
  <si>
    <t>https://ik.imagekit.io/alaaalaa6171/207%20Shandian%20Warrior%20-%20Wyper%20-%20Medal%20_Wyper_.png?updatedAt=1770076442267</t>
  </si>
  <si>
    <t>https://ik.imagekit.io/alaaalaa6171/207%20Shandian%20Warrior%20-%20Wyper%20-%20Medal%20_Wyper_%20_Colored_.png?updatedAt=1770076442286</t>
  </si>
  <si>
    <t>https://ik.imagekit.io/alaaalaa6171/207%20Shandian%20Warrior%20-%20Wyper%20-%20Medal%20_Wyper_%20-%20Piece.png?updatedAt=1770076442468</t>
  </si>
  <si>
    <t>https://ik.imagekit.io/alaaalaa6171/207%20Shandian%20Warrior%20-%20Wyper%20-%20Medal%20_Wyper_%20-%20Piece%20_Colored_.png?updatedAt=1770076442323</t>
  </si>
  <si>
    <t>207 Shandian Warrior - Wyper</t>
  </si>
  <si>
    <t>img_icon_medal_310110137</t>
  </si>
  <si>
    <t>308 Legendary Hero - Monkey D. Garp - Medal _Galaxy Impact_ - Piece.png</t>
  </si>
  <si>
    <t>135 - Superhuman ~ Charlotte Katakuri - Medal - Crafted [Colored] -  [Buzz Cut Mochi]</t>
  </si>
  <si>
    <t>img_icon_medal_310200175.png</t>
  </si>
  <si>
    <t>https://ik.imagekit.io/alaaalaa6171/Event%20Medals/img_icon_medal_310200175.png?updatedAt=1770125383859</t>
  </si>
  <si>
    <t>173 - Medal [Event] - Crafted - Sasaki</t>
  </si>
  <si>
    <t>https://i.postimg.cc/d0YhLy36/img_icon_medal_310110208.png</t>
  </si>
  <si>
    <t>img_icon_medal_310110208</t>
  </si>
  <si>
    <t>https://ik.imagekit.io/alaaalaa6171/206%20Land%20of%20Wano%20-%20Franosuke%20-%20Medal%20_Franosuke_.png?updatedAt=1770076442291</t>
  </si>
  <si>
    <t>https://ik.imagekit.io/alaaalaa6171/206%20Land%20of%20Wano%20-%20Franosuke%20-%20Medal%20_Franosuke_%20_Colored_.png?updatedAt=1770076442359</t>
  </si>
  <si>
    <t>https://ik.imagekit.io/alaaalaa6171/206%20Land%20of%20Wano%20-%20Franosuke%20-%20Medal%20_Franosuke_%20-%20Piece.png?updatedAt=1770076442252</t>
  </si>
  <si>
    <t>https://ik.imagekit.io/alaaalaa6171/206%20Land%20of%20Wano%20-%20Franosuke%20-%20Medal%20_Franosuke_%20-%20Piece%20_Colored_.png?updatedAt=1770076442244</t>
  </si>
  <si>
    <t>206 Land of Wano - Franosuke</t>
  </si>
  <si>
    <t>img_icon_medal_310110138</t>
  </si>
  <si>
    <t>308 Legendary Hero - Monkey D. Garp - Medal _Galaxy Impact_ - Piece _Colored_.png</t>
  </si>
  <si>
    <t>136 - The Seven Warlords of the Sea ~ Buggy - Medal - Crafted [Colored] -  [Chop_Chop]</t>
  </si>
  <si>
    <t>img_icon_medal_310200174.png</t>
  </si>
  <si>
    <t>https://ik.imagekit.io/alaaalaa6171/Event%20Medals/img_icon_medal_310200174.png?updatedAt=1770125383870</t>
  </si>
  <si>
    <t>172 - Medal [Event] - Crafted - Eleph_Eleph</t>
  </si>
  <si>
    <t>https://i.postimg.cc/GpC4HytQ/img_icon_medal_310110207.png</t>
  </si>
  <si>
    <t>img_icon_medal_310110207</t>
  </si>
  <si>
    <t>https://ik.imagekit.io/alaaalaa6171/205%20Land%20of%20Wano%20-%20Usohachi%20-%20Medal%20_Usohachi_.png?updatedAt=1770076442234</t>
  </si>
  <si>
    <t>https://ik.imagekit.io/alaaalaa6171/205%20Land%20of%20Wano%20-%20Usohachi%20-%20Medal%20_Usohachi_%20_Colored_.png?updatedAt=1770076442291</t>
  </si>
  <si>
    <t>https://ik.imagekit.io/alaaalaa6171/205%20Land%20of%20Wano%20-%20Usohachi%20-%20Medal%20_Usohachi_%20-%20Piece.png?updatedAt=1770076442534</t>
  </si>
  <si>
    <t>https://ik.imagekit.io/alaaalaa6171/205%20Land%20of%20Wano%20-%20Usohachi%20-%20Medal%20_Usohachi_%20-%20Piece%20_Colored_.png?updatedAt=1770076442255</t>
  </si>
  <si>
    <t>205 Land of Wano - Usohachi</t>
  </si>
  <si>
    <t>img_icon_medal_310110139</t>
  </si>
  <si>
    <t>308 Legendary Hero - Monkey D. Garp - Medal _Galaxy Impact_ _Colored_.png</t>
  </si>
  <si>
    <t>137 - Former World Government_Science Division Member ~ Caesar Clown - Medal - Crafted [Colored] -  [Caesar]</t>
  </si>
  <si>
    <t>img_icon_medal_310200173.png</t>
  </si>
  <si>
    <t>https://ik.imagekit.io/alaaalaa6171/Event%20Medals/img_icon_medal_310200173.png?updatedAt=1770125383764</t>
  </si>
  <si>
    <t>171 - Medal [Event] - Crafted - Dry Penguin</t>
  </si>
  <si>
    <t>https://i.postimg.cc/s2rMvhx4/img_icon_medal_310110206.png</t>
  </si>
  <si>
    <t>img_icon_medal_310110206</t>
  </si>
  <si>
    <t>https://ik.imagekit.io/alaaalaa6171/204%20Blackbeard%20Pirates_Former%20Head%20Jailer%20of%20Impel%20Down%20-%20Shiryu%20-%20Medal%20_Shiryu_.png?updatedAt=1770076442228</t>
  </si>
  <si>
    <t>https://ik.imagekit.io/alaaalaa6171/204%20Blackbeard%20Pirates_Former%20Head%20Jailer%20of%20Impel%20Down%20-%20Shiryu%20-%20Medal%20_Shiryu_%20_Colored_.png?updatedAt=1770076442219</t>
  </si>
  <si>
    <t>https://ik.imagekit.io/alaaalaa6171/204%20Blackbeard%20Pirates_Former%20Head%20Jailer%20of%20Impel%20Down%20-%20Shiryu%20-%20Medal%20_Shiryu_%20-%20Piece.png?updatedAt=1770076442226</t>
  </si>
  <si>
    <t>https://ik.imagekit.io/alaaalaa6171/204%20Blackbeard%20Pirates_Former%20Head%20Jailer%20of%20Impel%20Down%20-%20Shiryu%20-%20Medal%20_Shiryu_%20-%20Piece%20_Colored_.png?updatedAt=1770076442208</t>
  </si>
  <si>
    <t>204 Blackbeard Pirates / Former Head Jailer of Impel Down - Shiryu</t>
  </si>
  <si>
    <t>img_icon_medal_310110140</t>
  </si>
  <si>
    <t>307 Navy HQ_Lt. Commander - Helmeppo - Medal _Lt. Commander Helmeppo_.png</t>
  </si>
  <si>
    <t>138 - The Greatest Swordman in the World ~ Dracule Mihawk - Medal - Crafted [Colored] -  [The Master Swordman]</t>
  </si>
  <si>
    <t>img_icon_medal_310200172.png</t>
  </si>
  <si>
    <t>https://ik.imagekit.io/alaaalaa6171/Event%20Medals/img_icon_medal_310200172.png?updatedAt=1770125383892</t>
  </si>
  <si>
    <t>170 - Medal [Event] - Crafted - Lim</t>
  </si>
  <si>
    <t>https://i.postimg.cc/KY21RMjr/img_icon_medal_310110205.png</t>
  </si>
  <si>
    <t>img_icon_medal_310110205</t>
  </si>
  <si>
    <t>https://ik.imagekit.io/alaaalaa6171/203%20Whitebeard%20Pirates_3rd%20Division%20Commander%20-%20Jozu%20-%20Medal%20_Jozu_.png?updatedAt=1770076442219</t>
  </si>
  <si>
    <t>https://ik.imagekit.io/alaaalaa6171/203%20Whitebeard%20Pirates_3rd%20Division%20Commander%20-%20Jozu%20-%20Medal%20_Jozu_%20_Colored_.png?updatedAt=1770076442210</t>
  </si>
  <si>
    <t>https://ik.imagekit.io/alaaalaa6171/203%20Whitebeard%20Pirates_3rd%20Division%20Commander%20-%20Jozu%20-%20Medal%20_Jozu_%20-%20Piece.png?updatedAt=1770076442213</t>
  </si>
  <si>
    <t>https://ik.imagekit.io/alaaalaa6171/203%20Whitebeard%20Pirates_3rd%20Division%20Commander%20-%20Jozu%20-%20Medal%20_Jozu_%20-%20Piece%20_Colored_.png?updatedAt=1770076442203</t>
  </si>
  <si>
    <t>203 Whitebeard Pirates / 3rd Division Commander - Jozu</t>
  </si>
  <si>
    <t>img_icon_medal_310110141</t>
  </si>
  <si>
    <t>307 Navy HQ_Lt. Commander - Helmeppo - Medal _Lt. Commander Helmeppo_ - Piece.png</t>
  </si>
  <si>
    <t>139 - Kuja Pirates_Captain ~ Boa Hancock - Medal - Crafted [Colored] -  [Perfume Femur]</t>
  </si>
  <si>
    <t>img_icon_medal_310200171.png</t>
  </si>
  <si>
    <t>https://ik.imagekit.io/alaaalaa6171/Event%20Medals/img_icon_medal_310200171.png?updatedAt=1770125383747</t>
  </si>
  <si>
    <t>169 - Medal [Event] - Crafted - Helmeppo (``Sword``)</t>
  </si>
  <si>
    <t>https://i.postimg.cc/fbNVJ9yc/img_icon_medal_310110204.png</t>
  </si>
  <si>
    <t>img_icon_medal_310110204</t>
  </si>
  <si>
    <t>https://ik.imagekit.io/alaaalaa6171/202%20Whitebeard%20Pirates_5th%20Division%20Commander%20-%20Vista%20-%20Medal%20_Vista_.png?updatedAt=1770076442214</t>
  </si>
  <si>
    <t>https://ik.imagekit.io/alaaalaa6171/202%20Whitebeard%20Pirates_5th%20Division%20Commander%20-%20Vista%20-%20Medal%20_Vista_%20_Colored_.png?updatedAt=1770076442223</t>
  </si>
  <si>
    <t>https://ik.imagekit.io/alaaalaa6171/202%20Whitebeard%20Pirates_5th%20Division%20Commander%20-%20Vista%20-%20Medal%20_Vista_%20-%20Piece.png?updatedAt=1770076442181</t>
  </si>
  <si>
    <t>https://ik.imagekit.io/alaaalaa6171/202%20Whitebeard%20Pirates_5th%20Division%20Commander%20-%20Vista%20-%20Medal%20_Vista_%20-%20Piece%20_Colored_.png?updatedAt=1770076442194</t>
  </si>
  <si>
    <t>202 Whitebeard Pirates / 5th Division Commander - Vista</t>
  </si>
  <si>
    <t>img_icon_medal_310110142</t>
  </si>
  <si>
    <t>307 Navy HQ_Lt. Commander - Helmeppo - Medal _Lt. Commander Helmeppo_ - Piece _Colored_.png</t>
  </si>
  <si>
    <t>140 - Ghost Princess ~ Perona - Medal - Crafted [Colored] -  [Negative Ghost]</t>
  </si>
  <si>
    <t>img_icon_medal_310200170.png</t>
  </si>
  <si>
    <t>https://ik.imagekit.io/alaaalaa6171/Event%20Medals/img_icon_medal_310200170.png?updatedAt=1770125383706</t>
  </si>
  <si>
    <t>168 - Medal [Event] - Crafted - Koby (``Sword``)</t>
  </si>
  <si>
    <t>https://i.postimg.cc/7Lk5f2hS/img_icon_medal_310110203.png</t>
  </si>
  <si>
    <t>img_icon_medal_310110203</t>
  </si>
  <si>
    <t>https://ik.imagekit.io/alaaalaa6171/201%20Blackbeard%20Pirates_Helsman%20'Champ'%20-%20Jesus%20Burgess%20-%20Medal%20_Burgess_.png?updatedAt=1770076442206</t>
  </si>
  <si>
    <t>https://ik.imagekit.io/alaaalaa6171/201%20Blackbeard%20Pirates_Helsman%20'Champ'%20-%20Jesus%20Burgess%20-%20Medal%20_Burgess_%20_Colored_.png?updatedAt=1770076442217</t>
  </si>
  <si>
    <t>https://ik.imagekit.io/alaaalaa6171/201%20Blackbeard%20Pirates_Helsman%20'Champ'%20-%20Jesus%20Burgess%20-%20Medal%20_Burgess_%20-%20Piece.png?updatedAt=1770076441862</t>
  </si>
  <si>
    <t>https://ik.imagekit.io/alaaalaa6171/201%20Blackbeard%20Pirates_Helsman%20'Champ'%20-%20Jesus%20Burgess%20-%20Medal%20_Burgess_%20-%20Piece%20_Colored_.png?updatedAt=1770076441865</t>
  </si>
  <si>
    <t>201 Blackbeard Pirates / Helsman "Champ" - Jesus Burgess</t>
  </si>
  <si>
    <t>img_icon_medal_310110143</t>
  </si>
  <si>
    <t>307 Navy HQ_Lt. Commander - Helmeppo - Medal _Lt. Commander Helmeppo_ _Colored_.png</t>
  </si>
  <si>
    <t>141 - The Parmount War ~ Crocodile - Medal - Crafted [Colored] -  [Crescent Cutlass]</t>
  </si>
  <si>
    <t>img_icon_medal_310200169.png</t>
  </si>
  <si>
    <t>https://ik.imagekit.io/alaaalaa6171/Event%20Medals/img_icon_medal_310200169.png?updatedAt=1770125383813</t>
  </si>
  <si>
    <t>167 - Medal [Event] - Crafted - Denjiro (The Akazaya Nine)</t>
  </si>
  <si>
    <t>https://i.postimg.cc/FK4Y7Lz3/img_icon_medal_310110201.png</t>
  </si>
  <si>
    <t>img_icon_medal_310110201</t>
  </si>
  <si>
    <t>https://ik.imagekit.io/alaaalaa6171/200%20Stealth%20Black%20-%20Soba%20Mask%20-%20Medal%20_Soba%20Mask_.png?updatedAt=1770076441848</t>
  </si>
  <si>
    <t>https://ik.imagekit.io/alaaalaa6171/200%20Stealth%20Black%20-%20Soba%20Mask%20-%20Medal%20_Soba%20Mask_%20_Colored_.png?updatedAt=1770076441860</t>
  </si>
  <si>
    <t>https://ik.imagekit.io/alaaalaa6171/200%20Stealth%20Black%20-%20Soba%20Mask%20-%20Medal%20_Soba%20Mask_%20-%20Piece.png?updatedAt=1770076441863</t>
  </si>
  <si>
    <t>https://ik.imagekit.io/alaaalaa6171/200%20Stealth%20Black%20-%20Soba%20Mask%20-%20Medal%20_Soba%20Mask_%20-%20Piece%20_Colored_.png?updatedAt=1770076441000</t>
  </si>
  <si>
    <t>200 Stealth Black - Soba Mask</t>
  </si>
  <si>
    <t>img_icon_medal_310110144</t>
  </si>
  <si>
    <t>306 Egghead - Jewelry Bonney - Medal _Egghead Bonney_.png</t>
  </si>
  <si>
    <t>142 - The Parmount War ~ Gecko Moria - Medal - Crafted [Colored] -  [Spiky Shadow Iizard]</t>
  </si>
  <si>
    <t>img_icon_medal_310200168.png</t>
  </si>
  <si>
    <t>https://ik.imagekit.io/alaaalaa6171/Event%20Medals/img_icon_medal_310200168.png?updatedAt=1770125383899</t>
  </si>
  <si>
    <t>166 - Medal [Event] - Crafted - Kin``emon (The Akazaya Nine)</t>
  </si>
  <si>
    <t>https://i.postimg.cc/GpC4Hytk/img_icon_medal_310110202.png</t>
  </si>
  <si>
    <t>img_icon_medal_310110202</t>
  </si>
  <si>
    <t>https://ik.imagekit.io/alaaalaa6171/199%20Germa%2066_Generalissimo%20-%20Vinsmoke%20Judge%201%20-%20Medal%20_Judge_.png?updatedAt=1770076440778</t>
  </si>
  <si>
    <t>https://ik.imagekit.io/alaaalaa6171/199%20Germa%2066_Generalissimo%20-%20Vinsmoke%20Judge%201%20-%20Medal%20_Judge_%20_Colored_.png?updatedAt=1770076438396</t>
  </si>
  <si>
    <t>https://ik.imagekit.io/alaaalaa6171/199%20Germa%2066_Generalissimo%20-%20Vinsmoke%20Judge%201%20-%20Medal%20_Judge_%20-%20Piece.png?updatedAt=1770076438181</t>
  </si>
  <si>
    <t>https://ik.imagekit.io/alaaalaa6171/199%20Germa%2066_Generalissimo%20-%20Vinsmoke%20Judge%201%20-%20Medal%20_Judge_%20-%20Piece%20_Colored_.png?updatedAt=1770076438215</t>
  </si>
  <si>
    <t>199 Germa 66 / Generalissimo - Vinsmoke Judge 1</t>
  </si>
  <si>
    <t>img_icon_medal_310110145</t>
  </si>
  <si>
    <t>Smoker (Chambres)</t>
  </si>
  <si>
    <t>306 Egghead - Jewelry Bonney - Medal _Egghead Bonney_ - Piece.png</t>
  </si>
  <si>
    <t>143 - Punk Hazard ~ Smoker (Chambres) - Medal - Crafted [Colored] -  [Smoker (Chambres)]</t>
  </si>
  <si>
    <t>img_icon_medal_310200167.png</t>
  </si>
  <si>
    <t>https://ik.imagekit.io/alaaalaa6171/Event%20Medals/img_icon_medal_310200167.png?updatedAt=1770125383639</t>
  </si>
  <si>
    <t>165 - Medal [Event] - Crafted - Ton_Ton</t>
  </si>
  <si>
    <t>https://i.postimg.cc/25D1VZyv/img_icon_medal_310110200.png</t>
  </si>
  <si>
    <t>img_icon_medal_310110200</t>
  </si>
  <si>
    <t>https://ik.imagekit.io/alaaalaa6171/198%20Man%20Who%20Dreams%20of%20Becoming%20the%20King%20of%20the%20Pirates%20-%20Monkey%20D.%20Luffy%20-%20Medal%20_Straw%20Hat_.png?updatedAt=1770076438155</t>
  </si>
  <si>
    <t>https://ik.imagekit.io/alaaalaa6171/198%20Man%20Who%20Dreams%20of%20Becoming%20the%20King%20of%20the%20Pirates%20-%20Monkey%20D.%20Luffy%20-%20Medal%20_Straw%20Hat_%20_Colored_.png?updatedAt=1770076438029</t>
  </si>
  <si>
    <t>https://ik.imagekit.io/alaaalaa6171/198%20Man%20Who%20Dreams%20of%20Becoming%20the%20King%20of%20the%20Pirates%20-%20Monkey%20D.%20Luffy%20-%20Medal%20_Straw%20Hat_%20-%20Piece.png?updatedAt=1770076437919</t>
  </si>
  <si>
    <t>https://ik.imagekit.io/alaaalaa6171/198%20Man%20Who%20Dreams%20of%20Becoming%20the%20King%20of%20the%20Pirates%20-%20Monkey%20D.%20Luffy%20-%20Medal%20_Straw%20Hat_%20-%20Piece%20_Colored_.png?updatedAt=1770076437831</t>
  </si>
  <si>
    <t>198 Man Who Dreams of Becoming the King of the Pirates - Monkey D. Luffy</t>
  </si>
  <si>
    <t>img_icon_medal_310110146</t>
  </si>
  <si>
    <t>306 Egghead - Jewelry Bonney - Medal _Egghead Bonney_ - Piece _Colored_.png</t>
  </si>
  <si>
    <t>144 - Former Navy Admiral ~ Kuzan - Medal - Crafted [Colored] -  [Pheasant Peck]</t>
  </si>
  <si>
    <t>img_icon_medal_310200166.png</t>
  </si>
  <si>
    <t>https://ik.imagekit.io/alaaalaa6171/Event%20Medals/img_icon_medal_310200166.png?updatedAt=1770125383676</t>
  </si>
  <si>
    <t>164 - Medal [Event] - Crafted - Glare_Glare</t>
  </si>
  <si>
    <t>https://i.postimg.cc/HLgrVyny/img_icon_medal_310110199.png</t>
  </si>
  <si>
    <t>img_icon_medal_310110199</t>
  </si>
  <si>
    <t>https://ik.imagekit.io/alaaalaa6171/197%20The%20Strongest%20Creature%20Alive%20-%20Kaido%20-%20Medal%20_Blast%20Breath_.png?updatedAt=1770076437621</t>
  </si>
  <si>
    <t>https://ik.imagekit.io/alaaalaa6171/197%20The%20Strongest%20Creature%20Alive%20-%20Kaido%20-%20Medal%20_Blast%20Breath_%20_Colored_.png?updatedAt=1770076437212</t>
  </si>
  <si>
    <t>https://ik.imagekit.io/alaaalaa6171/197%20The%20Strongest%20Creature%20Alive%20-%20Kaido%20-%20Medal%20_Blast%20Breath_%20-%20Piece.png?updatedAt=1770076437486</t>
  </si>
  <si>
    <t>https://ik.imagekit.io/alaaalaa6171/197%20The%20Strongest%20Creature%20Alive%20-%20Kaido%20-%20Medal%20_Blast%20Breath_%20-%20Piece%20_Colored_.png?updatedAt=1770076437201</t>
  </si>
  <si>
    <t>197 The Strongest Creature Alive - Kaido</t>
  </si>
  <si>
    <t>img_icon_medal_310110147</t>
  </si>
  <si>
    <t>306 Egghead - Jewelry Bonney - Medal _Egghead Bonney_ _Colored_.png</t>
  </si>
  <si>
    <t>145 - Kozuki Clan_Servant ~ Kin'emon - Medal - Crafted [Colored] -  [Kin``emon]</t>
  </si>
  <si>
    <t>img_icon_medal_310200165.png</t>
  </si>
  <si>
    <t>https://ik.imagekit.io/alaaalaa6171/Event%20Medals/img_icon_medal_310200165.png?updatedAt=1770125383726</t>
  </si>
  <si>
    <t>163 - Medal [Event] - Crafted - Art_Art</t>
  </si>
  <si>
    <t>https://i.postimg.cc/N0cK5HF2/img_icon_medal_310110198.png</t>
  </si>
  <si>
    <t>img_icon_medal_310110198</t>
  </si>
  <si>
    <t>https://ik.imagekit.io/alaaalaa6171/196%20Animal%20Kingdom%20Pirates_Lead%20Performer%20-%20Queen%20-%20Medal%20_Queen_.png?updatedAt=1770076437189</t>
  </si>
  <si>
    <t>https://ik.imagekit.io/alaaalaa6171/196%20Animal%20Kingdom%20Pirates_Lead%20Performer%20-%20Queen%20-%20Medal%20_Queen_%20_Colored_.png?updatedAt=1770076437187</t>
  </si>
  <si>
    <t>https://ik.imagekit.io/alaaalaa6171/196%20Animal%20Kingdom%20Pirates_Lead%20Performer%20-%20Queen%20-%20Medal%20_Queen_%20-%20Piece.png?updatedAt=1770076437228</t>
  </si>
  <si>
    <t>https://ik.imagekit.io/alaaalaa6171/196%20Animal%20Kingdom%20Pirates_Lead%20Performer%20-%20Queen%20-%20Medal%20_Queen_%20-%20Piece%20_Colored_.png?updatedAt=1770076437229</t>
  </si>
  <si>
    <t>196 Animal Kingdom Pirates / Lead Performer - Queen</t>
  </si>
  <si>
    <t>img_icon_medal_310110148</t>
  </si>
  <si>
    <t>305 Egghead - Sanji - Medal _Egghead Sanji_.png</t>
  </si>
  <si>
    <t>146 - Luffy &amp; Law Pirate Alliance ~ Monkey D. Luffy 1 - Medal - Crafted [Colored] -  [Fire_Fist Pistol Red Hawk]</t>
  </si>
  <si>
    <t>img_icon_medal_310200164.png</t>
  </si>
  <si>
    <t>https://ik.imagekit.io/alaaalaa6171/Event%20Medals/img_icon_medal_310200164.png?updatedAt=1770125383753</t>
  </si>
  <si>
    <t>162 - Medal [Event] - Crafted - Pop_Pop</t>
  </si>
  <si>
    <t>https://i.postimg.cc/7Lk5f2hT/img_icon_medal_310110197.png</t>
  </si>
  <si>
    <t>img_icon_medal_310110197</t>
  </si>
  <si>
    <t>https://ik.imagekit.io/alaaalaa6171/195%20Animal%20Kingdom%20Pirates_Lead%20Performer%20-%20Jack%20-%20Medal%20_Jack_.png?updatedAt=1770076437208</t>
  </si>
  <si>
    <t>https://ik.imagekit.io/alaaalaa6171/195%20Animal%20Kingdom%20Pirates_Lead%20Performer%20-%20Jack%20-%20Medal%20_Jack_%20_Colored_.png?updatedAt=1770076437222</t>
  </si>
  <si>
    <t>https://ik.imagekit.io/alaaalaa6171/195%20Animal%20Kingdom%20Pirates_Lead%20Performer%20-%20Jack%20-%20Medal%20_Jack_%20-%20Piece.png?updatedAt=1770076437155</t>
  </si>
  <si>
    <t>https://ik.imagekit.io/alaaalaa6171/195%20Animal%20Kingdom%20Pirates_Lead%20Performer%20-%20Jack%20-%20Medal%20_Jack_%20-%20Piece%20_Colored_.png?updatedAt=1770076437167</t>
  </si>
  <si>
    <t>195 Animal Kingdom Pirates / Lead Performer - Jack</t>
  </si>
  <si>
    <t>img_icon_medal_310110149</t>
  </si>
  <si>
    <t>305 Egghead - Sanji - Medal _Egghead Sanji_ - Piece.png</t>
  </si>
  <si>
    <t>147 - The Billion-Fold World Trichiliocosm ~ Roronoa Zoro - Medal - Crafted [Colored] -  [The Billion_Fold World Trichiliocosm]</t>
  </si>
  <si>
    <t>img_icon_medal_310200163.png</t>
  </si>
  <si>
    <t>https://ik.imagekit.io/alaaalaa6171/Event%20Medals/img_icon_medal_310200163.png?updatedAt=1770125383653</t>
  </si>
  <si>
    <t>161 - Medal [Event] - Crafted - Rockstar (FILM RED)</t>
  </si>
  <si>
    <t>https://i.postimg.cc/XvbrpCqG/img_icon_medal_310110196.png</t>
  </si>
  <si>
    <t>img_icon_medal_310110196</t>
  </si>
  <si>
    <t>https://ik.imagekit.io/alaaalaa6171/194%20Kaido%60s%20Son%20-%20Yamato%20-%20Medal%20_Kaido%60s%20Son_.png?updatedAt=1770076437212</t>
  </si>
  <si>
    <t>https://ik.imagekit.io/alaaalaa6171/194%20Kaido%60s%20Son%20-%20Yamato%20-%20Medal%20_Kaido%60s%20Son_%20_Colored_.png?updatedAt=1770076437629</t>
  </si>
  <si>
    <t>https://ik.imagekit.io/alaaalaa6171/194%20Kaido%60s%20Son%20-%20Yamato%20-%20Medal%20_Kaido%60s%20Son_%20-%20Piece.png?updatedAt=1770076437202</t>
  </si>
  <si>
    <t>https://ik.imagekit.io/alaaalaa6171/194%20Kaido%60s%20Son%20-%20Yamato%20-%20Medal%20_Kaido%60s%20Son_%20-%20Piece%20_Colored_.png?updatedAt=1770076437219</t>
  </si>
  <si>
    <t>194 Kaido`s Son - Yamato</t>
  </si>
  <si>
    <t>img_icon_medal_310110150</t>
  </si>
  <si>
    <t>305 Egghead - Sanji - Medal _Egghead Sanji_ - Piece _Colored_.png</t>
  </si>
  <si>
    <t>148 - Royal Wedding ~ Sanji - Medal - Crafted [Colored] -  [Sky Walk]</t>
  </si>
  <si>
    <t>img_icon_medal_310200162.png</t>
  </si>
  <si>
    <t>https://ik.imagekit.io/alaaalaa6171/Event%20Medals/img_icon_medal_310200162.png?updatedAt=1770125383821</t>
  </si>
  <si>
    <t>160 - Medal [Event] - Crafted - Sunny_Kun (FILM RED)</t>
  </si>
  <si>
    <t>https://i.postimg.cc/TP6KpD1y/img_icon_medal_310110195.png</t>
  </si>
  <si>
    <t>img_icon_medal_310110195</t>
  </si>
  <si>
    <t>https://ik.imagekit.io/alaaalaa6171/193%20Former%20Whitebeard%20Pirates_16th%20Division%20Commander%20-%20Izo%20-%20Medal%20_Izo_.png?updatedAt=1770076437182</t>
  </si>
  <si>
    <t>https://ik.imagekit.io/alaaalaa6171/193%20Former%20Whitebeard%20Pirates_16th%20Division%20Commander%20-%20Izo%20-%20Medal%20_Izo_%20_Colored_.png?updatedAt=1770076437136</t>
  </si>
  <si>
    <t>https://ik.imagekit.io/alaaalaa6171/193%20Former%20Whitebeard%20Pirates_16th%20Division%20Commander%20-%20Izo%20-%20Medal%20_Izo_%20-%20Piece.png?updatedAt=1770076437146</t>
  </si>
  <si>
    <t>https://ik.imagekit.io/alaaalaa6171/193%20Former%20Whitebeard%20Pirates_16th%20Division%20Commander%20-%20Izo%20-%20Medal%20_Izo_%20-%20Piece%20_Colored_.png?updatedAt=1770076437191</t>
  </si>
  <si>
    <t>193 Former Whitebeard Pirates / 16th Division Commander - Izo</t>
  </si>
  <si>
    <t>img_icon_medal_310110151</t>
  </si>
  <si>
    <t>305 Egghead - Sanji - Medal _Egghead Sanji_ _Colored_.png</t>
  </si>
  <si>
    <t>149 - Fire Fist ~ Portgaz D. Ace 1 - Medal - Crafted [Colored] -  [Cross Fire]</t>
  </si>
  <si>
    <t>img_icon_medal_310200161.png</t>
  </si>
  <si>
    <t>https://ik.imagekit.io/alaaalaa6171/Event%20Medals/img_icon_medal_310200161.png?updatedAt=1770125383664</t>
  </si>
  <si>
    <t>159 - Medal [Event] - Crafted - Brook (FILM RED)</t>
  </si>
  <si>
    <t>https://i.postimg.cc/XvbrpCqr/img_icon_medal_310110194.png</t>
  </si>
  <si>
    <t>img_icon_medal_310110194</t>
  </si>
  <si>
    <t>https://ik.imagekit.io/alaaalaa6171/192%20Kurozumi%20Spy%20-%20Kurozumi%20Kanjuro%20-%20Medal%20_Kanjuro_.png?updatedAt=1770076437222</t>
  </si>
  <si>
    <t>https://ik.imagekit.io/alaaalaa6171/192%20Kurozumi%20Spy%20-%20Kurozumi%20Kanjuro%20-%20Medal%20_Kanjuro_%20_Colored_.png?updatedAt=1770076437195</t>
  </si>
  <si>
    <t>https://ik.imagekit.io/alaaalaa6171/192%20Kurozumi%20Spy%20-%20Kurozumi%20Kanjuro%20-%20Medal%20_Kanjuro_%20-%20Piece.png?updatedAt=1770076437196</t>
  </si>
  <si>
    <t>https://ik.imagekit.io/alaaalaa6171/192%20Kurozumi%20Spy%20-%20Kurozumi%20Kanjuro%20-%20Medal%20_Kanjuro_%20-%20Piece%20_Colored_.png?updatedAt=1770076437174</t>
  </si>
  <si>
    <t>192 Kurozumi Spy - Kurozumi Kanjuro</t>
  </si>
  <si>
    <t>img_icon_medal_310110152</t>
  </si>
  <si>
    <t>304 Seraphim - S-Shark - Medal _S_Shark_.png</t>
  </si>
  <si>
    <t>150 - Daimyo of Kuri ~ Kozuki Oden - Medal - Crafted [Colored] -  [Kozuki Oden]</t>
  </si>
  <si>
    <t>img_icon_medal_310200160.png</t>
  </si>
  <si>
    <t>https://ik.imagekit.io/alaaalaa6171/Event%20Medals/img_icon_medal_310200160.png?updatedAt=1770125383647</t>
  </si>
  <si>
    <t>158 - Medal [Event] - Crafted - Franky (FILM RED)</t>
  </si>
  <si>
    <t>https://i.postimg.cc/QM3FHTCV/img_icon_medal_310110193.png</t>
  </si>
  <si>
    <t>img_icon_medal_310110193</t>
  </si>
  <si>
    <t>https://ik.imagekit.io/alaaalaa6171/191%20Roger%20Pirates_First%20Mate%20-%20Silvers%20Rayleigh%20-%20Medal%20_The%20Dark%20King_.png?updatedAt=1770076437132</t>
  </si>
  <si>
    <t>https://ik.imagekit.io/alaaalaa6171/191%20Roger%20Pirates_First%20Mate%20-%20Silvers%20Rayleigh%20-%20Medal%20_The%20Dark%20King_%20_Colored_.png?updatedAt=1770076437101</t>
  </si>
  <si>
    <t>https://ik.imagekit.io/alaaalaa6171/191%20Roger%20Pirates_First%20Mate%20-%20Silvers%20Rayleigh%20-%20Medal%20_The%20Dark%20King_%20-%20Piece.png?updatedAt=1770076437131</t>
  </si>
  <si>
    <t>https://ik.imagekit.io/alaaalaa6171/191%20Roger%20Pirates_First%20Mate%20-%20Silvers%20Rayleigh%20-%20Medal%20_The%20Dark%20King_%20-%20Piece%20_Colored_.png?updatedAt=1770076437214</t>
  </si>
  <si>
    <t>191 Roger Pirates / First Mate - Silvers Rayleigh</t>
  </si>
  <si>
    <t>img_icon_medal_310110153</t>
  </si>
  <si>
    <t>304 Seraphim - S-Shark - Medal _S_Shark_ - Piece.png</t>
  </si>
  <si>
    <t>151 - Most Handsome Swordman in the Land of Wano ~ Kikunojo - Medal - Crafted [Colored] -  [Kikunojo]</t>
  </si>
  <si>
    <t>img_icon_medal_310200159.png</t>
  </si>
  <si>
    <t>https://ik.imagekit.io/alaaalaa6171/Event%20Medals/img_icon_medal_310200159.png?updatedAt=1770125383621</t>
  </si>
  <si>
    <t>157 - Medal [Event] - Crafted - Limejuice (FILM RED)</t>
  </si>
  <si>
    <t>https://i.postimg.cc/g0WxnZjJ/img_icon_medal_310110192.png</t>
  </si>
  <si>
    <t>img_icon_medal_310110192</t>
  </si>
  <si>
    <t>https://ik.imagekit.io/alaaalaa6171/190%20Whole%20Cake%20Island%20-%20Jinbe%20-%20Medal%20_Boss_.png?updatedAt=1770076437162</t>
  </si>
  <si>
    <t>https://ik.imagekit.io/alaaalaa6171/190%20Whole%20Cake%20Island%20-%20Jinbe%20-%20Medal%20_Boss_%20_Colored_.png?updatedAt=1770076437119</t>
  </si>
  <si>
    <t>https://ik.imagekit.io/alaaalaa6171/190%20Whole%20Cake%20Island%20-%20Jinbe%20-%20Medal%20_Boss_%20-%20Piece.png?updatedAt=1770076437091</t>
  </si>
  <si>
    <t>https://ik.imagekit.io/alaaalaa6171/190%20Whole%20Cake%20Island%20-%20Jinbe%20-%20Medal%20_Boss_%20-%20Piece%20_Colored_.png?updatedAt=1770076437100</t>
  </si>
  <si>
    <t>190 Whole Cake Island - Jinbe</t>
  </si>
  <si>
    <t>img_icon_medal_310110154</t>
  </si>
  <si>
    <t>304 Seraphim - S-Shark - Medal _S_Shark_ - Piece _Colored_.png</t>
  </si>
  <si>
    <t>152 - Kozuki Clan_Servant ~ Kawamatsu - Medal - Crafted [Colored] -  [Kawamatsu]</t>
  </si>
  <si>
    <t>img_icon_medal_310200158.png</t>
  </si>
  <si>
    <t>https://ik.imagekit.io/alaaalaa6171/Event%20Medals/img_icon_medal_310200158.png?updatedAt=1770125383699</t>
  </si>
  <si>
    <t>156 - Medal [Event] - Crafted - Lucky Roux (FILM RED)</t>
  </si>
  <si>
    <t>https://i.postimg.cc/HLgrVynk/img_icon_medal_310110191.png</t>
  </si>
  <si>
    <t>img_icon_medal_310110191</t>
  </si>
  <si>
    <t>https://ik.imagekit.io/alaaalaa6171/189%20Big%20Mom%20Pirates_Crewmate%20-%20Charlotte%20Pudding%201%20-%20Medal%20_Pudding_.png?updatedAt=1770076437125</t>
  </si>
  <si>
    <t>https://ik.imagekit.io/alaaalaa6171/189%20Big%20Mom%20Pirates_Crewmate%20-%20Charlotte%20Pudding%201%20-%20Medal%20_Pudding_%20_Colored_.png?updatedAt=1770076437126</t>
  </si>
  <si>
    <t>https://ik.imagekit.io/alaaalaa6171/189%20Big%20Mom%20Pirates_Crewmate%20-%20Charlotte%20Pudding%201%20-%20Medal%20_Pudding_%20-%20Piece.png?updatedAt=1770076437148</t>
  </si>
  <si>
    <t>https://ik.imagekit.io/alaaalaa6171/189%20Big%20Mom%20Pirates_Crewmate%20-%20Charlotte%20Pudding%201%20-%20Medal%20_Pudding_%20-%20Piece%20_Colored_.png?updatedAt=1770076437094</t>
  </si>
  <si>
    <t>189 Big Mom Pirates / Crewmate - Charlotte Pudding 1</t>
  </si>
  <si>
    <t>img_icon_medal_310110155</t>
  </si>
  <si>
    <t>304 Seraphim - S-Shark - Medal _S_Shark_ _Colored_.png</t>
  </si>
  <si>
    <t>153 - Land of Wano ~ Chopperemon - Medal - Crafted [Colored] -  [Chopperemon]</t>
  </si>
  <si>
    <t>img_icon_medal_310200157.png</t>
  </si>
  <si>
    <t>https://ik.imagekit.io/alaaalaa6171/Event%20Medals/img_icon_medal_310200157.png?updatedAt=1770125383639</t>
  </si>
  <si>
    <t>155 - Medal [Event] - Crafted - Robin (FILM RED)</t>
  </si>
  <si>
    <t>https://i.postimg.cc/9fhDr70X/img_icon_medal_310110190.png</t>
  </si>
  <si>
    <t>img_icon_medal_310110190</t>
  </si>
  <si>
    <t>https://ik.imagekit.io/alaaalaa6171/188%20Whole%20Cake%20Island%20-%20Brook%20-%20Medal%20_Soul%20King_.png?updatedAt=1770076437100</t>
  </si>
  <si>
    <t>https://ik.imagekit.io/alaaalaa6171/188%20Whole%20Cake%20Island%20-%20Brook%20-%20Medal%20_Soul%20King_%20_Colored_.png?updatedAt=1770076437136</t>
  </si>
  <si>
    <t>https://ik.imagekit.io/alaaalaa6171/188%20Whole%20Cake%20Island%20-%20Brook%20-%20Medal%20_Soul%20King_%20-%20Piece.png?updatedAt=1770076437095</t>
  </si>
  <si>
    <t>https://ik.imagekit.io/alaaalaa6171/188%20Whole%20Cake%20Island%20-%20Brook%20-%20Medal%20_Soul%20King_%20-%20Piece%20_Colored_.png?updatedAt=1770076437083</t>
  </si>
  <si>
    <t>188 Whole Cake Island - Brook</t>
  </si>
  <si>
    <t>img_icon_medal_310110156</t>
  </si>
  <si>
    <t>303 Punk-06 - York - Medal _Punk_06_.png</t>
  </si>
  <si>
    <t>154 - King of the Pirates ~ Gol D. Roger - Medal - Crafted [Colored] -  [Roger]</t>
  </si>
  <si>
    <t>img_icon_medal_310200156.png</t>
  </si>
  <si>
    <t>https://ik.imagekit.io/alaaalaa6171/Event%20Medals/img_icon_medal_310200156.png?updatedAt=1770125383487</t>
  </si>
  <si>
    <t>154 - Medal [Event] - Crafted - Jinbe (FILM RED)</t>
  </si>
  <si>
    <t>https://i.postimg.cc/TP6KpD1Y/img_icon_medal_310110189.png</t>
  </si>
  <si>
    <t>img_icon_medal_310110189</t>
  </si>
  <si>
    <t>https://ik.imagekit.io/alaaalaa6171/187%20Whole%20Cake%20Island%20-%20Nami%20-%20Medal%20_Sorcery%20Climate%20Baton_.png?updatedAt=1770076437119</t>
  </si>
  <si>
    <t>https://ik.imagekit.io/alaaalaa6171/187%20Whole%20Cake%20Island%20-%20Nami%20-%20Medal%20_Sorcery%20Climate%20Baton_%20_Colored_.png?updatedAt=1770076437074</t>
  </si>
  <si>
    <t>https://ik.imagekit.io/alaaalaa6171/187%20Whole%20Cake%20Island%20-%20Nami%20-%20Medal%20_Sorcery%20Climate%20Baton_%20-%20Piece.png?updatedAt=1770076437073</t>
  </si>
  <si>
    <t>https://ik.imagekit.io/alaaalaa6171/187%20Whole%20Cake%20Island%20-%20Nami%20-%20Medal%20_Sorcery%20Climate%20Baton_%20-%20Piece%20_Colored_.png?updatedAt=1770076437040</t>
  </si>
  <si>
    <t>187 Whole Cake Island - Nami</t>
  </si>
  <si>
    <t>img_icon_medal_310110157</t>
  </si>
  <si>
    <t>303 Punk-06 - York - Medal _Punk_06_ - Piece.png</t>
  </si>
  <si>
    <t>155 - Kyoshiro Family_Boss ~ Napping Kyoshiro - Medal - Crafted [Colored] -  [Napping Kyoshiro]</t>
  </si>
  <si>
    <t>img_icon_medal_310200155.png</t>
  </si>
  <si>
    <t>https://ik.imagekit.io/alaaalaa6171/Event%20Medals/img_icon_medal_310200155.png?updatedAt=1770125383783</t>
  </si>
  <si>
    <t>153 - Medal [Event] - Crafted - Chopper (FILM Z)</t>
  </si>
  <si>
    <t>https://i.postimg.cc/7Lk5f2hH/img_icon_medal_310110188.png</t>
  </si>
  <si>
    <t>img_icon_medal_310110188</t>
  </si>
  <si>
    <t>https://ik.imagekit.io/alaaalaa6171/186%20Don%20Quixote%20Pirates_Officer%20-%20Monet%20-%20Medal%20_Monet_.png?updatedAt=1770076437094</t>
  </si>
  <si>
    <t>https://ik.imagekit.io/alaaalaa6171/186%20Don%20Quixote%20Pirates_Officer%20-%20Monet%20-%20Medal%20_Monet_%20_Colored_.png?updatedAt=1770076437069</t>
  </si>
  <si>
    <t>https://ik.imagekit.io/alaaalaa6171/186%20Don%20Quixote%20Pirates_Officer%20-%20Monet%20-%20Medal%20_Monet_%20-%20Piece.png?updatedAt=1770076437067</t>
  </si>
  <si>
    <t>https://ik.imagekit.io/alaaalaa6171/186%20Don%20Quixote%20Pirates_Officer%20-%20Monet%20-%20Medal%20_Monet_%20-%20Piece%20_Colored_.png?updatedAt=1770076437039</t>
  </si>
  <si>
    <t>186 Don Quixote Pirates / Officer - Monet</t>
  </si>
  <si>
    <t>img_icon_medal_310110158</t>
  </si>
  <si>
    <t>303 Punk-06 - York - Medal _Punk_06_ - Piece _Colored_.png</t>
  </si>
  <si>
    <t>156 - Kozuki Clan_Servant ~ Ashura Doji - Medal - Crafted [Colored] -  [Ashura Doji]</t>
  </si>
  <si>
    <t>img_icon_medal_310200154.png</t>
  </si>
  <si>
    <t>https://ik.imagekit.io/alaaalaa6171/Event%20Medals/img_icon_medal_310200154.png?updatedAt=1770125383550</t>
  </si>
  <si>
    <t>152 - Medal [Event] - Crafted - Zoro (FILM Z)</t>
  </si>
  <si>
    <t>https://i.postimg.cc/jjbDL72s/img_icon_medal_310110187.png</t>
  </si>
  <si>
    <t>img_icon_medal_310110187</t>
  </si>
  <si>
    <t>https://ik.imagekit.io/alaaalaa6171/185%20Don%20Quixote%20Pirates_Supreme%20Officer%20-%20Vergo%20-%20Medal%20_Bamboo%20Demon_.png?updatedAt=1770076437081</t>
  </si>
  <si>
    <t>https://ik.imagekit.io/alaaalaa6171/185%20Don%20Quixote%20Pirates_Supreme%20Officer%20-%20Vergo%20-%20Medal%20_Bamboo%20Demon_%20_Colored_.png?updatedAt=1770076437088</t>
  </si>
  <si>
    <t>https://ik.imagekit.io/alaaalaa6171/185%20Don%20Quixote%20Pirates_Supreme%20Officer%20-%20Vergo%20-%20Medal%20_Bamboo%20Demon_%20-%20Piece.png?updatedAt=1770076437050</t>
  </si>
  <si>
    <t>https://ik.imagekit.io/alaaalaa6171/185%20Don%20Quixote%20Pirates_Supreme%20Officer%20-%20Vergo%20-%20Medal%20_Bamboo%20Demon_%20-%20Piece%20_Colored_.png?updatedAt=1770076437032</t>
  </si>
  <si>
    <t>185 Don Quixote Pirates / Supreme Officer - Vergo</t>
  </si>
  <si>
    <t>img_icon_medal_310110159</t>
  </si>
  <si>
    <t>303 Punk-06 - York - Medal _Punk_06_ _Colored_.png</t>
  </si>
  <si>
    <t>157 - Hero of the Navy ~ Monkey D. Garb - Medal - Crafted [Colored] -  [Hero]</t>
  </si>
  <si>
    <t>img_icon_medal_310200153.png</t>
  </si>
  <si>
    <t>https://ik.imagekit.io/alaaalaa6171/Event%20Medals/img_icon_medal_310200153.png?updatedAt=1770125383496</t>
  </si>
  <si>
    <t>151 - Medal [Event] - Crafted - Sanji (FILM GOLD)</t>
  </si>
  <si>
    <t>https://i.postimg.cc/cJSvrnC0/img_icon_medal_310110185.png</t>
  </si>
  <si>
    <t>img_icon_medal_310110185</t>
  </si>
  <si>
    <t>https://ik.imagekit.io/alaaalaa6171/184%20Don%20Quixote%20Pirates_Special%20Officer%20-%20Sugar%20-%20Medal%20_Sugar_.png?updatedAt=1770076437061</t>
  </si>
  <si>
    <t>https://ik.imagekit.io/alaaalaa6171/184%20Don%20Quixote%20Pirates_Special%20Officer%20-%20Sugar%20-%20Medal%20_Sugar_%20_Colored_.png?updatedAt=1770076437035</t>
  </si>
  <si>
    <t>https://ik.imagekit.io/alaaalaa6171/184%20Don%20Quixote%20Pirates_Special%20Officer%20-%20Sugar%20-%20Medal%20_Sugar_%20-%20Piece.png?updatedAt=1770076437104</t>
  </si>
  <si>
    <t>https://ik.imagekit.io/alaaalaa6171/184%20Don%20Quixote%20Pirates_Special%20Officer%20-%20Sugar%20-%20Medal%20_Sugar_%20-%20Piece%20_Colored_.png?updatedAt=1770076437028</t>
  </si>
  <si>
    <t>184 Don Quixote Pirates / Special Officer - Sugar</t>
  </si>
  <si>
    <t>img_icon_medal_310110160</t>
  </si>
  <si>
    <t>302 Punk-05 - Atlas - Medal _Punk_05_.png</t>
  </si>
  <si>
    <t>158 - Roger`s Rival ~ Edward Newgate - Medal - Crafted [Colored] -  [Tremor_Tremor]</t>
  </si>
  <si>
    <t>img_icon_medal_310200152.png</t>
  </si>
  <si>
    <t>https://ik.imagekit.io/alaaalaa6171/Event%20Medals/img_icon_medal_310200152.png?updatedAt=1770125383571</t>
  </si>
  <si>
    <t>150 - Medal [Event] - Crafted - Usopp (FILM GOLD)</t>
  </si>
  <si>
    <t>https://i.postimg.cc/tgjsYxJ9/img_icon_medal_310110186.png</t>
  </si>
  <si>
    <t>img_icon_medal_310110186</t>
  </si>
  <si>
    <t>https://ik.imagekit.io/alaaalaa6171/183%20Don%20Quixote%20Pirates_Captain%20-%20Don%20Quixote%20Doflamingo%20-%20Medal%20_Young%20Master_.png?updatedAt=1770076437055</t>
  </si>
  <si>
    <t>https://ik.imagekit.io/alaaalaa6171/183%20Don%20Quixote%20Pirates_Captain%20-%20Don%20Quixote%20Doflamingo%20-%20Medal%20_Young%20Master_%20_Colored_.png?updatedAt=1770076436999</t>
  </si>
  <si>
    <t>https://ik.imagekit.io/alaaalaa6171/183%20Don%20Quixote%20Pirates_Captain%20-%20Don%20Quixote%20Doflamingo%20-%20Medal%20_Young%20Master_%20-%20Piece.png?updatedAt=1770076436987</t>
  </si>
  <si>
    <t>https://ik.imagekit.io/alaaalaa6171/183%20Don%20Quixote%20Pirates_Captain%20-%20Don%20Quixote%20Doflamingo%20-%20Medal%20_Young%20Master_%20-%20Piece%20_Colored_.png?updatedAt=1770076437038</t>
  </si>
  <si>
    <t>183 Don Quixote Pirates / Captain - Don Quixote Doflamingo</t>
  </si>
  <si>
    <t>img_icon_medal_310110161</t>
  </si>
  <si>
    <t>302 Punk-05 - Atlas - Medal _Punk_05_ - Piece.png</t>
  </si>
  <si>
    <t>159 - Minks ~ Carrot - Medal - Crafted [Colored] -  [Carrot]</t>
  </si>
  <si>
    <t>img_icon_medal_310200151.png</t>
  </si>
  <si>
    <t>https://ik.imagekit.io/alaaalaa6171/Event%20Medals/img_icon_medal_310200151.png?updatedAt=1770125383673</t>
  </si>
  <si>
    <t>149 - Medal [Event] - Crafted - Nami (FILM STRONG WORLD)</t>
  </si>
  <si>
    <t>https://i.postimg.cc/k5m2BbG9/img_icon_medal_310110184.png</t>
  </si>
  <si>
    <t>img_icon_medal_310110184</t>
  </si>
  <si>
    <t>https://ik.imagekit.io/alaaalaa6171/182%20Don%20Quixote%20Pirates_Officer%20-%20Se%C3%B1or%20Pink%20-%20Medal%20_Hard_Boiled_.png?updatedAt=1770076437028</t>
  </si>
  <si>
    <t>https://ik.imagekit.io/alaaalaa6171/182%20Don%20Quixote%20Pirates_Officer%20-%20Se%C3%B1or%20Pink%20-%20Medal%20_Hard_Boiled_%20_Colored_.png?updatedAt=1770076437053</t>
  </si>
  <si>
    <t>https://ik.imagekit.io/alaaalaa6171/182%20Don%20Quixote%20Pirates_Officer%20-%20Se%C3%B1or%20Pink%20-%20Medal%20_Hard_Boiled_%20-%20Piece.png?updatedAt=1770076436990</t>
  </si>
  <si>
    <t>https://ik.imagekit.io/alaaalaa6171/182%20Don%20Quixote%20Pirates_Officer%20-%20Se%C3%B1or%20Pink%20-%20Medal%20_Hard_Boiled_%20-%20Piece%20_Colored_.png?updatedAt=1770076437045</t>
  </si>
  <si>
    <t>182 Don Quixote Pirates / Officer - Señor Pink</t>
  </si>
  <si>
    <t>img_icon_medal_310110162</t>
  </si>
  <si>
    <t>Assistant Fish_Man Karate Master</t>
  </si>
  <si>
    <t>302 Punk-05 - Atlas - Medal _Punk_05_ - Piece _Colored_.png</t>
  </si>
  <si>
    <t>160 - Revolutionary Army_Officer ~ Koala 1 - Medal - Crafted [Colored] -  [Assistant Fish_Man Karate Master]</t>
  </si>
  <si>
    <t>img_icon_medal_310200150.png</t>
  </si>
  <si>
    <t>https://ik.imagekit.io/alaaalaa6171/Event%20Medals/img_icon_medal_310200150.png?updatedAt=1770125383517</t>
  </si>
  <si>
    <t>148 - Medal [Event] - Crafted - Luffy (FILM STRONG WORLD)</t>
  </si>
  <si>
    <t>https://i.postimg.cc/wjJtqVq1/img_icon_medal_310110183.png</t>
  </si>
  <si>
    <t>img_icon_medal_310110183</t>
  </si>
  <si>
    <t>https://ik.imagekit.io/alaaalaa6171/181%20Don%20Quixote%20Pirates_Servant%20Assassin%20-%20Baby%205%20-%20Medal%20_Baby%205_.png?updatedAt=1770076436992</t>
  </si>
  <si>
    <t>https://ik.imagekit.io/alaaalaa6171/181%20Don%20Quixote%20Pirates_Servant%20Assassin%20-%20Baby%205%20-%20Medal%20_Baby%205_%20_Colored_.png?updatedAt=1770076436960</t>
  </si>
  <si>
    <t>https://ik.imagekit.io/alaaalaa6171/181%20Don%20Quixote%20Pirates_Servant%20Assassin%20-%20Baby%205%20-%20Medal%20_Baby%205_%20-%20Piece.png?updatedAt=1770076437028</t>
  </si>
  <si>
    <t>https://ik.imagekit.io/alaaalaa6171/181%20Don%20Quixote%20Pirates_Servant%20Assassin%20-%20Baby%205%20-%20Medal%20_Baby%205_%20-%20Piece%20_Colored_.png?updatedAt=1770076436990</t>
  </si>
  <si>
    <t>181 Don Quixote Pirates / Servant Assassin - Baby 5</t>
  </si>
  <si>
    <t>img_icon_medal_310110163</t>
  </si>
  <si>
    <t>302 Punk-05 - Atlas - Medal _Punk_05_ _Colored_.png</t>
  </si>
  <si>
    <t>161 - Savior ~ God Usopp - Medal - Crafted [Colored] -  [God Usopp]</t>
  </si>
  <si>
    <t>img_icon_medal_310200149.png</t>
  </si>
  <si>
    <t>https://ik.imagekit.io/alaaalaa6171/Event%20Medals/img_icon_medal_310200149.png?updatedAt=1770125383535</t>
  </si>
  <si>
    <t>147 - Medal [Event] - Crafted - Flampe (Land of Wano)</t>
  </si>
  <si>
    <t>https://i.postimg.cc/htxJDrDv/img_icon_medal_310110180.png</t>
  </si>
  <si>
    <t>img_icon_medal_310110180</t>
  </si>
  <si>
    <t>https://ik.imagekit.io/alaaalaa6171/180%20Navy%20HQ_Science%20Team%20Captain%20-%20Sentomaru%20-%20Medal%20_Sentomaru_.png?updatedAt=1770076437057</t>
  </si>
  <si>
    <t>https://ik.imagekit.io/alaaalaa6171/180%20Navy%20HQ_Science%20Team%20Captain%20-%20Sentomaru%20-%20Medal%20_Sentomaru_%20_Colored_.png?updatedAt=1770076436973</t>
  </si>
  <si>
    <t>https://ik.imagekit.io/alaaalaa6171/180%20Navy%20HQ_Science%20Team%20Captain%20-%20Sentomaru%20-%20Medal%20_Sentomaru_%20-%20Piece.png?updatedAt=1770076436961</t>
  </si>
  <si>
    <t>https://ik.imagekit.io/alaaalaa6171/180%20Navy%20HQ_Science%20Team%20Captain%20-%20Sentomaru%20-%20Medal%20_Sentomaru_%20-%20Piece%20_Colored_.png?updatedAt=1770076436979</t>
  </si>
  <si>
    <t>180 Navy HQ / Science Team Captain - Sentomaru</t>
  </si>
  <si>
    <t>img_icon_medal_310110164</t>
  </si>
  <si>
    <t>301 Seraphim - S-Bear - Medal _S_Bear_.png</t>
  </si>
  <si>
    <t>162 - Iron Pirate ~ General Franky - Medal - Crafted [Colored] -  [General Franky]</t>
  </si>
  <si>
    <t>img_icon_medal_310200148.png</t>
  </si>
  <si>
    <t>https://ik.imagekit.io/alaaalaa6171/Event%20Medals/img_icon_medal_310200148.png?updatedAt=1770125383546</t>
  </si>
  <si>
    <t>146 - Medal [Event] - Crafted - Daifuku (Land of Wano)</t>
  </si>
  <si>
    <t>https://i.postimg.cc/9QT4mpmz/img_icon_medal_310110181.png</t>
  </si>
  <si>
    <t>img_icon_medal_310110181</t>
  </si>
  <si>
    <t>https://ik.imagekit.io/alaaalaa6171/179%20Navy%20HQ_Master%20Chief%20Petty%20Officer%20-%20Koby%20-%20Medal%20_Koby%20(Paramount%20War)_.png?updatedAt=1770076436984</t>
  </si>
  <si>
    <t>https://ik.imagekit.io/alaaalaa6171/179%20Navy%20HQ_Master%20Chief%20Petty%20Officer%20-%20Koby%20-%20Medal%20_Koby%20(Paramount%20War)_%20_Colored_.png?updatedAt=1770076436951</t>
  </si>
  <si>
    <t>https://ik.imagekit.io/alaaalaa6171/179%20Navy%20HQ_Master%20Chief%20Petty%20Officer%20-%20Koby%20-%20Medal%20_Koby%20(Paramount%20War)_%20-%20Piece.png?updatedAt=1770076436980</t>
  </si>
  <si>
    <t>https://ik.imagekit.io/alaaalaa6171/179%20Navy%20HQ_Master%20Chief%20Petty%20Officer%20-%20Koby%20-%20Medal%20_Koby%20(Paramount%20War)_%20-%20Piece%20_Colored_.png?updatedAt=1770076437014</t>
  </si>
  <si>
    <t>179 Navy HQ / Master Chief Petty Officer - Koby</t>
  </si>
  <si>
    <t>img_icon_medal_310110165</t>
  </si>
  <si>
    <t>301 Seraphim - S-Bear - Medal _S_Bear_ - Piece.png</t>
  </si>
  <si>
    <t>163 - The Guardian of the Forest ~ Gaimon - Medal - Crafted [Colored] -  [Gaimon]</t>
  </si>
  <si>
    <t>img_icon_medal_310200147.png</t>
  </si>
  <si>
    <t>https://ik.imagekit.io/alaaalaa6171/Event%20Medals/img_icon_medal_310200147.png?updatedAt=1770125383611</t>
  </si>
  <si>
    <t>145 - Medal [Event] - Crafted - Triceratops</t>
  </si>
  <si>
    <t>https://i.postimg.cc/L8fq9T9n/img_icon_medal_310110182.png</t>
  </si>
  <si>
    <t>img_icon_medal_310110182</t>
  </si>
  <si>
    <t>https://ik.imagekit.io/alaaalaa6171/178%20Navy%20HQ_Fleet%20Admiral%20Akainu%20-%20_Sakazuki_%20-%20Medal%20_Fleet%20Admiral%20Akainu_.png?updatedAt=1770076436959</t>
  </si>
  <si>
    <t>https://ik.imagekit.io/alaaalaa6171/178%20Navy%20HQ_Fleet%20Admiral%20Akainu%20-%20_Sakazuki_%20-%20Medal%20_Fleet%20Admiral%20Akainu_%20_Colored_.png?updatedAt=1770076436956</t>
  </si>
  <si>
    <t>https://ik.imagekit.io/alaaalaa6171/178%20Navy%20HQ_Fleet%20Admiral%20Akainu%20-%20_Sakazuki_%20-%20Medal%20_Fleet%20Admiral%20Akainu_%20-%20Piece.png?updatedAt=1770076436953</t>
  </si>
  <si>
    <t>https://ik.imagekit.io/alaaalaa6171/178%20Navy%20HQ_Fleet%20Admiral%20Akainu%20-%20_Sakazuki_%20-%20Medal%20_Fleet%20Admiral%20Akainu_%20-%20Piece%20_Colored_.png?updatedAt=1770076436942</t>
  </si>
  <si>
    <t>178 Navy HQ / Fleet Admiral Akainu - [Sakazuki]</t>
  </si>
  <si>
    <t>img_icon_medal_310110166</t>
  </si>
  <si>
    <t>301 Seraphim - S-Bear - Medal _S_Bear_ - Piece _Colored_.png</t>
  </si>
  <si>
    <t>164 - King of the Day ~ Dogstorm - Medal - Crafted [Colored] -  [Duke Dogstorm]</t>
  </si>
  <si>
    <t>img_icon_medal_310200146.png</t>
  </si>
  <si>
    <t>https://ik.imagekit.io/alaaalaa6171/Event%20Medals/img_icon_medal_310200146.png?updatedAt=1770125383623</t>
  </si>
  <si>
    <t>144 - Medal [Event] - Crafted - Saber_Toothed Tiger</t>
  </si>
  <si>
    <t>https://i.postimg.cc/sgSBjcj2/img_icon_medal_310110179.png</t>
  </si>
  <si>
    <t>img_icon_medal_310110179</t>
  </si>
  <si>
    <t>https://ik.imagekit.io/alaaalaa6171/177%20Land%20of%20Wano%20-%20Bonekichi%20-%20Medal%20_Ice_Burn_.png?updatedAt=1770076436973</t>
  </si>
  <si>
    <t>https://ik.imagekit.io/alaaalaa6171/177%20Land%20of%20Wano%20-%20Bonekichi%20-%20Medal%20_Ice_Burn_%20_Colored_.png?updatedAt=1770076436915</t>
  </si>
  <si>
    <t>https://ik.imagekit.io/alaaalaa6171/177%20Land%20of%20Wano%20-%20Bonekichi%20-%20Medal%20_Ice_Burn_%20-%20Piece.png?updatedAt=1770076436910</t>
  </si>
  <si>
    <t>https://ik.imagekit.io/alaaalaa6171/177%20Land%20of%20Wano%20-%20Bonekichi%20-%20Medal%20_Ice_Burn_%20-%20Piece%20_Colored_.png?updatedAt=1770076436963</t>
  </si>
  <si>
    <t>177 Land of Wano - Bonekichi</t>
  </si>
  <si>
    <t>img_icon_medal_310110167</t>
  </si>
  <si>
    <t>301 Seraphim - S-Bear - Medal _S_Bear_ _Colored_.png</t>
  </si>
  <si>
    <t>165 - King of the Night ~ Cat Viper - Medal - Crafted [Colored] -  [Cat Viper]</t>
  </si>
  <si>
    <t>img_icon_medal_310200145.png</t>
  </si>
  <si>
    <t>https://ik.imagekit.io/alaaalaa6171/Event%20Medals/img_icon_medal_310200145.png?updatedAt=1770125383543</t>
  </si>
  <si>
    <t>143 - Medal [Event] - Crafted - Kalgara</t>
  </si>
  <si>
    <t>https://i.postimg.cc/7Z7CHVH6/img_icon_medal_310110178.png</t>
  </si>
  <si>
    <t>img_icon_medal_310110178</t>
  </si>
  <si>
    <t>https://ik.imagekit.io/alaaalaa6171/176%20Land%20of%20Wano%20-%20Orobi%20-%20Medal%20_Delphinium_.png?updatedAt=1770076436949</t>
  </si>
  <si>
    <t>https://ik.imagekit.io/alaaalaa6171/176%20Land%20of%20Wano%20-%20Orobi%20-%20Medal%20_Delphinium_%20_Colored_.png?updatedAt=1770076436918</t>
  </si>
  <si>
    <t>https://ik.imagekit.io/alaaalaa6171/176%20Land%20of%20Wano%20-%20Orobi%20-%20Medal%20_Delphinium_%20-%20Piece.png?updatedAt=1770076436889</t>
  </si>
  <si>
    <t>https://ik.imagekit.io/alaaalaa6171/176%20Land%20of%20Wano%20-%20Orobi%20-%20Medal%20_Delphinium_%20-%20Piece%20_Colored_.png?updatedAt=1770076436942</t>
  </si>
  <si>
    <t>176 Land of Wano - Orobi</t>
  </si>
  <si>
    <t>img_icon_medal_310110168</t>
  </si>
  <si>
    <t>300 Punk-02 - Lilith - Medal _Punk_02_.png</t>
  </si>
  <si>
    <t>166 - Monster Point ~ Tony Tony Chopper - Medal - Crafted [Colored] -  [Palm]</t>
  </si>
  <si>
    <t>img_icon_medal_310200144.png</t>
  </si>
  <si>
    <t>https://ik.imagekit.io/alaaalaa6171/Event%20Medals/img_icon_medal_310200144.png?updatedAt=1770125383829</t>
  </si>
  <si>
    <t>142 - Medal [Event] - Crafted - Noland</t>
  </si>
  <si>
    <t>https://i.postimg.cc/dVd7sBsV/img_icon_medal_310110177.png</t>
  </si>
  <si>
    <t>img_icon_medal_310110177</t>
  </si>
  <si>
    <t>https://ik.imagekit.io/alaaalaa6171/175%20Princess%20and%20Loyal%20Partner%20-%20Vivi%20&amp;%20Karoo%20-%20Medal%20_Vivi%20&amp;%20Karoo_.png?updatedAt=1770076436897</t>
  </si>
  <si>
    <t>https://ik.imagekit.io/alaaalaa6171/175%20Princess%20and%20Loyal%20Partner%20-%20Vivi%20&amp;%20Karoo%20-%20Medal%20_Vivi%20&amp;%20Karoo_%20_Colored_.png?updatedAt=1770076436880</t>
  </si>
  <si>
    <t>https://ik.imagekit.io/alaaalaa6171/175%20Princess%20and%20Loyal%20Partner%20-%20Vivi%20&amp;%20Karoo%20-%20Medal%20_Vivi%20&amp;%20Karoo_%20-%20Piece.png?updatedAt=1770076436888</t>
  </si>
  <si>
    <t>https://ik.imagekit.io/alaaalaa6171/175%20Princess%20and%20Loyal%20Partner%20-%20Vivi%20&amp;%20Karoo%20-%20Medal%20_Vivi%20&amp;%20Karoo_%20-%20Piece%20_Colored_.png?updatedAt=1770076436889</t>
  </si>
  <si>
    <t>175 Princess and Loyal Partner - Vivi &amp; Karoo</t>
  </si>
  <si>
    <t>img_icon_medal_310110169</t>
  </si>
  <si>
    <t>300 Punk-02 - Lilith - Medal _Punk_02_ - Piece.png</t>
  </si>
  <si>
    <t>167 - Enies Lobby ~ Nico Robin - Medal - Crafted [Colored] -  [Candula]</t>
  </si>
  <si>
    <t>img_icon_medal_310200143.png</t>
  </si>
  <si>
    <t>https://ik.imagekit.io/alaaalaa6171/Event%20Medals/img_icon_medal_310200143.png?updatedAt=1770125383485</t>
  </si>
  <si>
    <t>141 - Medal [Event] - Crafted - Kami</t>
  </si>
  <si>
    <t>https://i.postimg.cc/Z539bcbK/img_icon_medal_310110176.png</t>
  </si>
  <si>
    <t>img_icon_medal_310110176</t>
  </si>
  <si>
    <t>https://ik.imagekit.io/alaaalaa6171/174%20Lieutenant%20Royal%20Guard%20of%20Alabasta%20-%20Pell%20-%20Medal%20_Pell_.png?updatedAt=1770076436886</t>
  </si>
  <si>
    <t>https://ik.imagekit.io/alaaalaa6171/174%20Lieutenant%20Royal%20Guard%20of%20Alabasta%20-%20Pell%20-%20Medal%20_Pell_%20_Colored_.png?updatedAt=1770076436576</t>
  </si>
  <si>
    <t>https://ik.imagekit.io/alaaalaa6171/174%20Lieutenant%20Royal%20Guard%20of%20Alabasta%20-%20Pell%20-%20Medal%20_Pell_%20-%20Piece.png?updatedAt=1770076436612</t>
  </si>
  <si>
    <t>https://ik.imagekit.io/alaaalaa6171/174%20Lieutenant%20Royal%20Guard%20of%20Alabasta%20-%20Pell%20-%20Medal%20_Pell_%20-%20Piece%20_Colored_.png?updatedAt=1770076436454</t>
  </si>
  <si>
    <t>174 Lieutenant Royal Guard of Alabasta - Pell</t>
  </si>
  <si>
    <t>img_icon_medal_310110170</t>
  </si>
  <si>
    <t>300 Punk-02 - Lilith - Medal _Punk_02_ - Piece _Colored_.png</t>
  </si>
  <si>
    <t>168 - Raid on Onigashima ~ Monkey D. Luffy - Medal - Crafted [Colored] -  [Raid Luffy]</t>
  </si>
  <si>
    <t>img_icon_medal_310200142.png</t>
  </si>
  <si>
    <t>https://ik.imagekit.io/alaaalaa6171/Event%20Medals/img_icon_medal_310200142.png?updatedAt=1770125383495</t>
  </si>
  <si>
    <t>140 - Medal [Event] - Crafted - Savior</t>
  </si>
  <si>
    <t>https://i.postimg.cc/cLYKxmxs/img_icon_medal_310110175.png</t>
  </si>
  <si>
    <t>img_icon_medal_310110175</t>
  </si>
  <si>
    <t>https://ik.imagekit.io/alaaalaa6171/173%20Baroque%20Works_Officer%20Agent%20-%20Ms.%20Goldenweek%20-%20Medal%20_Ms.%20Goldenweek_.png?updatedAt=1770076436413</t>
  </si>
  <si>
    <t>https://ik.imagekit.io/alaaalaa6171/173%20Baroque%20Works_Officer%20Agent%20-%20Ms.%20Goldenweek%20-%20Medal%20_Ms.%20Goldenweek_%20_Colored_.png?updatedAt=1770076436442</t>
  </si>
  <si>
    <t>https://ik.imagekit.io/alaaalaa6171/173%20Baroque%20Works_Officer%20Agent%20-%20Ms.%20Goldenweek%20-%20Medal%20_Ms.%20Goldenweek_%20-%20Piece.png?updatedAt=1770076435746</t>
  </si>
  <si>
    <t>https://ik.imagekit.io/alaaalaa6171/173%20Baroque%20Works_Officer%20Agent%20-%20Ms.%20Goldenweek%20-%20Medal%20_Ms.%20Goldenweek_%20-%20Piece%20_Colored_.png?updatedAt=1770076435511</t>
  </si>
  <si>
    <t>173 Baroque Works / Officer Agent - Ms. Goldenweek</t>
  </si>
  <si>
    <t>img_icon_medal_310110171</t>
  </si>
  <si>
    <t>300 Punk-02 - Lilith - Medal _Punk_02_ _Colored_.png</t>
  </si>
  <si>
    <t>169 - Impel Down_Prisoner ~ Bon Clay, aka Mr. 2 - Medal - Crafted [Colored] -  [Memoir of that Summer Day]</t>
  </si>
  <si>
    <t>img_icon_medal_310200141.png</t>
  </si>
  <si>
    <t>https://ik.imagekit.io/alaaalaa6171/Event%20Medals/img_icon_medal_310200141.png?updatedAt=1770125383469</t>
  </si>
  <si>
    <t>139 - Medal [Event] - Crafted - Haruta</t>
  </si>
  <si>
    <t>https://i.postimg.cc/qvntJLJJ/img_icon_medal_310110174.png</t>
  </si>
  <si>
    <t>img_icon_medal_310110174</t>
  </si>
  <si>
    <t>https://ik.imagekit.io/alaaalaa6171/172%20Baroque%20Works_Officer%20Agent%20-%20Mr.%203%20-%20Medal%20_Galdino_.png?updatedAt=1770076432530</t>
  </si>
  <si>
    <t>https://ik.imagekit.io/alaaalaa6171/172%20Baroque%20Works_Officer%20Agent%20-%20Mr.%203%20-%20Medal%20_Galdino_%20_Colored_.png?updatedAt=1770076432514</t>
  </si>
  <si>
    <t>https://ik.imagekit.io/alaaalaa6171/172%20Baroque%20Works_Officer%20Agent%20-%20Mr.%203%20-%20Medal%20_Galdino_%20-%20Piece.png?updatedAt=1770076432643</t>
  </si>
  <si>
    <t>https://ik.imagekit.io/alaaalaa6171/172%20Baroque%20Works_Officer%20Agent%20-%20Mr.%203%20-%20Medal%20_Galdino_%20-%20Piece%20_Colored_.png?updatedAt=1770076432524</t>
  </si>
  <si>
    <t>172 Baroque Works / Officer Agent - Mr. 3</t>
  </si>
  <si>
    <t>img_icon_medal_310110172</t>
  </si>
  <si>
    <t>299 Happy Halloween - Uta - Medal _Halloween Uta_.png</t>
  </si>
  <si>
    <t>170 - Raid on Onigashima ~ Eustass Kid - Medal - Crafted [Colored] -  [Raid Kid]</t>
  </si>
  <si>
    <t>img_icon_medal_310200140.png</t>
  </si>
  <si>
    <t>https://ik.imagekit.io/alaaalaa6171/Event%20Medals/img_icon_medal_310200140.png?updatedAt=1770125383535</t>
  </si>
  <si>
    <t>138 - Medal [Event] - Crafted - The Strongest Man in the World</t>
  </si>
  <si>
    <t>https://i.postimg.cc/6pR7W0Ww/img_icon_medal_310110173.png</t>
  </si>
  <si>
    <t>img_icon_medal_310110173</t>
  </si>
  <si>
    <t>https://ik.imagekit.io/alaaalaa6171/171%20Raid%20on%20Onigashima%20-%20Trafalger%20Law%20-%20Medal%20_Raid%20Law_.png?updatedAt=1770076432377</t>
  </si>
  <si>
    <t>https://ik.imagekit.io/alaaalaa6171/171%20Raid%20on%20Onigashima%20-%20Trafalger%20Law%20-%20Medal%20_Raid%20Law_%20_Colored_.png?updatedAt=1770076432381</t>
  </si>
  <si>
    <t>https://ik.imagekit.io/alaaalaa6171/171%20Raid%20on%20Onigashima%20-%20Trafalger%20Law%20-%20Medal%20_Raid%20Law_%20-%20Piece.png?updatedAt=1770076432337</t>
  </si>
  <si>
    <t>https://ik.imagekit.io/alaaalaa6171/171%20Raid%20on%20Onigashima%20-%20Trafalger%20Law%20-%20Medal%20_Raid%20Law_%20-%20Piece%20_Colored_.png?updatedAt=1770076432320</t>
  </si>
  <si>
    <t>171 Raid on Onigashima - Trafalger Law</t>
  </si>
  <si>
    <t>299 Happy Halloween - Uta - Medal _Halloween Uta_ - Piece.png</t>
  </si>
  <si>
    <t>171 - Raid on Onigashima ~ Trafalger Law - Medal - Crafted [Colored] -  [Raid Law]</t>
  </si>
  <si>
    <t>img_icon_medal_310200139.png</t>
  </si>
  <si>
    <t>https://ik.imagekit.io/alaaalaa6171/Event%20Medals/img_icon_medal_310200139.png?updatedAt=1770125383440</t>
  </si>
  <si>
    <t>137 - Medal [Event] - Crafted - Doc Q</t>
  </si>
  <si>
    <t>https://i.postimg.cc/9QT4mpmc/img_icon_medal_310110172.png</t>
  </si>
  <si>
    <t>https://ik.imagekit.io/alaaalaa6171/170%20Raid%20on%20Onigashima%20-%20Eustass%20Kid%20-%20Medal%20_Raid%20Kid_.png?updatedAt=1770076431841</t>
  </si>
  <si>
    <t>https://ik.imagekit.io/alaaalaa6171/170%20Raid%20on%20Onigashima%20-%20Eustass%20Kid%20-%20Medal%20_Raid%20Kid_%20_Colored_.png?updatedAt=1770076431739</t>
  </si>
  <si>
    <t>https://ik.imagekit.io/alaaalaa6171/170%20Raid%20on%20Onigashima%20-%20Eustass%20Kid%20-%20Medal%20_Raid%20Kid_%20-%20Piece.png?updatedAt=1770076431723</t>
  </si>
  <si>
    <t>https://ik.imagekit.io/alaaalaa6171/170%20Raid%20on%20Onigashima%20-%20Eustass%20Kid%20-%20Medal%20_Raid%20Kid_%20-%20Piece%20_Colored_.png?updatedAt=1770076431730</t>
  </si>
  <si>
    <t>170 Raid on Onigashima - Eustass Kid</t>
  </si>
  <si>
    <t>299 Happy Halloween - Uta - Medal _Halloween Uta_ - Piece _Colored_.png</t>
  </si>
  <si>
    <t>172 - Baroque Works_Officer Agent ~ Mr. 3 - Medal - Crafted [Colored] -  [Galdino]</t>
  </si>
  <si>
    <t>img_icon_medal_310200138.png</t>
  </si>
  <si>
    <t>https://ik.imagekit.io/alaaalaa6171/Event%20Medals/img_icon_medal_310200138.png?updatedAt=1770125383438</t>
  </si>
  <si>
    <t>136 - Medal [Event] - Crafted - Van Ogre</t>
  </si>
  <si>
    <t>https://i.postimg.cc/7Z7CHVHy/img_icon_medal_310110171.png</t>
  </si>
  <si>
    <t>https://ik.imagekit.io/alaaalaa6171/169%20Impel%20Down_Prisoner%20-%20Bon%20Clay,%20aka%20Mr.%202%20-%20Medal%20_Memoir%20of%20that%20Summer%20Day_.png?updatedAt=1770076431969</t>
  </si>
  <si>
    <t>https://ik.imagekit.io/alaaalaa6171/169%20Impel%20Down_Prisoner%20-%20Bon%20Clay,%20aka%20Mr.%202%20-%20Medal%20_Memoir%20of%20that%20Summer%20Day_%20_Colored_.png?updatedAt=1770076431734</t>
  </si>
  <si>
    <t>https://ik.imagekit.io/alaaalaa6171/169%20Impel%20Down_Prisoner%20-%20Bon%20Clay,%20aka%20Mr.%202%20-%20Medal%20_Memoir%20of%20that%20Summer%20Day_%20-%20Piece.png?updatedAt=1770076431727</t>
  </si>
  <si>
    <t>https://ik.imagekit.io/alaaalaa6171/169%20Impel%20Down_Prisoner%20-%20Bon%20Clay,%20aka%20Mr.%202%20-%20Medal%20_Memoir%20of%20that%20Summer%20Day_%20-%20Piece%20_Colored_.png?updatedAt=1770076431707</t>
  </si>
  <si>
    <t>169 Impel Down / Prisoner - Bon Clay, aka Mr. 2</t>
  </si>
  <si>
    <t>299 Happy Halloween - Uta - Medal _Halloween Uta_ _Colored_.png</t>
  </si>
  <si>
    <t>173 - Baroque Works_Officer Agent ~ Ms. Goldenweek - Medal - Crafted [Colored] -  [Ms. Goldenweek]</t>
  </si>
  <si>
    <t>img_icon_medal_310200137.png</t>
  </si>
  <si>
    <t>https://ik.imagekit.io/alaaalaa6171/Event%20Medals/img_icon_medal_310200137.png?updatedAt=1770125383427</t>
  </si>
  <si>
    <t>135 - Medal [Event] - Crafted - Sanji (Child)</t>
  </si>
  <si>
    <t>https://i.postimg.cc/pL89WZWM/img_icon_medal_310110170.png</t>
  </si>
  <si>
    <t>https://ik.imagekit.io/alaaalaa6171/168%20Raid%20on%20Onigashima%20-%20Monkey%20D.%20Luffy%20-%20Medal%20_Raid%20Luffy_.png?updatedAt=1770076431806</t>
  </si>
  <si>
    <t>https://ik.imagekit.io/alaaalaa6171/168%20Raid%20on%20Onigashima%20-%20Monkey%20D.%20Luffy%20-%20Medal%20_Raid%20Luffy_%20_Colored_.png?updatedAt=1770076431733</t>
  </si>
  <si>
    <t>https://ik.imagekit.io/alaaalaa6171/168%20Raid%20on%20Onigashima%20-%20Monkey%20D.%20Luffy%20-%20Medal%20_Raid%20Luffy_%20-%20Piece.png?updatedAt=1770076431733</t>
  </si>
  <si>
    <t>https://ik.imagekit.io/alaaalaa6171/168%20Raid%20on%20Onigashima%20-%20Monkey%20D.%20Luffy%20-%20Medal%20_Raid%20Luffy_%20-%20Piece%20_Colored_.png?updatedAt=1770076431715</t>
  </si>
  <si>
    <t>168 Raid on Onigashima - Monkey D. Luffy</t>
  </si>
  <si>
    <t>298 The Red - Broggy - Medal _Broggy_.png</t>
  </si>
  <si>
    <t>174 - Lieutenant Royal Guard of Alabasta ~ Pell - Medal - Crafted [Colored] -  [Pell]</t>
  </si>
  <si>
    <t>img_icon_medal_310200136.png</t>
  </si>
  <si>
    <t>https://ik.imagekit.io/alaaalaa6171/Event%20Medals/img_icon_medal_310200136.png?updatedAt=1770125383392</t>
  </si>
  <si>
    <t>134 - Medal [Event] - Crafted - Reiju (Child)</t>
  </si>
  <si>
    <t>https://i.postimg.cc/MpRc6D62/img_icon_medal_310110168.png</t>
  </si>
  <si>
    <t>https://ik.imagekit.io/alaaalaa6171/167%20Enies%20Lobby%20-%20Nico%20Robin%20-%20Medal%20_Candula_.png?updatedAt=1770076431724</t>
  </si>
  <si>
    <t>https://ik.imagekit.io/alaaalaa6171/167%20Enies%20Lobby%20-%20Nico%20Robin%20-%20Medal%20_Candula_%20_Colored_.png?updatedAt=1770076431725</t>
  </si>
  <si>
    <t>https://ik.imagekit.io/alaaalaa6171/167%20Enies%20Lobby%20-%20Nico%20Robin%20-%20Medal%20_Candula_%20-%20Piece.png?updatedAt=1770076431670</t>
  </si>
  <si>
    <t>https://ik.imagekit.io/alaaalaa6171/167%20Enies%20Lobby%20-%20Nico%20Robin%20-%20Medal%20_Candula_%20-%20Piece%20_Colored_.png?updatedAt=1770076431730</t>
  </si>
  <si>
    <t>167 Enies Lobby - Nico Robin</t>
  </si>
  <si>
    <t>298 The Red - Broggy - Medal _Broggy_ - Piece.png</t>
  </si>
  <si>
    <t>175 - Princess and Loyal Partner ~ Vivi &amp; Karoo - Medal - Crafted [Colored] -  [Vivi &amp; Karoo]</t>
  </si>
  <si>
    <t>img_icon_medal_310200135.png</t>
  </si>
  <si>
    <t>https://ik.imagekit.io/alaaalaa6171/Event%20Medals/img_icon_medal_310200135.png?updatedAt=1770125383319</t>
  </si>
  <si>
    <t>133 - Medal [Event] - Crafted - Cat Burglar</t>
  </si>
  <si>
    <t>https://i.postimg.cc/g2RwzDzW/img_icon_medal_310110169.png</t>
  </si>
  <si>
    <t>https://ik.imagekit.io/alaaalaa6171/166%20Monster%20Point%20-%20Tony%20Tony%20Chopper%20-%20Medal%20_Palm_.png?updatedAt=1770076431679</t>
  </si>
  <si>
    <t>https://ik.imagekit.io/alaaalaa6171/166%20Monster%20Point%20-%20Tony%20Tony%20Chopper%20-%20Medal%20_Palm_%20_Colored_.png?updatedAt=1770076431719</t>
  </si>
  <si>
    <t>https://ik.imagekit.io/alaaalaa6171/166%20Monster%20Point%20-%20Tony%20Tony%20Chopper%20-%20Medal%20_Palm_%20-%20Piece.png?updatedAt=1770076431703</t>
  </si>
  <si>
    <t>https://ik.imagekit.io/alaaalaa6171/166%20Monster%20Point%20-%20Tony%20Tony%20Chopper%20-%20Medal%20_Palm_%20-%20Piece%20_Colored_.png?updatedAt=1770076431675</t>
  </si>
  <si>
    <t>166 Monster Point - Tony Tony Chopper</t>
  </si>
  <si>
    <t>298 The Red - Broggy - Medal _Broggy_ - Piece _Colored_.png</t>
  </si>
  <si>
    <t>176 - Land of Wano ~ Orobi - Medal - Crafted [Colored] -  [Delphinium]</t>
  </si>
  <si>
    <t>img_icon_medal_310200134.png</t>
  </si>
  <si>
    <t>https://ik.imagekit.io/alaaalaa6171/Event%20Medals/img_icon_medal_310200134.png?updatedAt=1770125383355</t>
  </si>
  <si>
    <t>132 - Medal [Event] - Crafted - Pirate Hunter</t>
  </si>
  <si>
    <t>https://i.postimg.cc/MpRc6D6k/img_icon_medal_310110167.png</t>
  </si>
  <si>
    <t>https://ik.imagekit.io/alaaalaa6171/165%20King%20of%20the%20Night%20-%20Cat%20Viper%20-%20Medal%20_Cat%20Viper_.png?updatedAt=1770076431719</t>
  </si>
  <si>
    <t>https://ik.imagekit.io/alaaalaa6171/165%20King%20of%20the%20Night%20-%20Cat%20Viper%20-%20Medal%20_Cat%20Viper_%20_Colored_.png?updatedAt=1770076431722</t>
  </si>
  <si>
    <t>https://ik.imagekit.io/alaaalaa6171/165%20King%20of%20the%20Night%20-%20Cat%20Viper%20-%20Medal%20_Cat%20Viper_%20-%20Piece.png?updatedAt=1770076431699</t>
  </si>
  <si>
    <t>https://ik.imagekit.io/alaaalaa6171/165%20King%20of%20the%20Night%20-%20Cat%20Viper%20-%20Medal%20_Cat%20Viper_%20-%20Piece%20_Colored_.png?updatedAt=1770076431673</t>
  </si>
  <si>
    <t>165 King of the Night - Cat Viper</t>
  </si>
  <si>
    <t>298 The Red - Broggy - Medal _Broggy_ _Colored_.png</t>
  </si>
  <si>
    <t>177 - Land of Wano ~ Bonekichi - Medal - Crafted [Colored] -  [Ice_Burn]</t>
  </si>
  <si>
    <t>img_icon_medal_310200133.png</t>
  </si>
  <si>
    <t>https://ik.imagekit.io/alaaalaa6171/Event%20Medals/img_icon_medal_310200133.png?updatedAt=1770125383308</t>
  </si>
  <si>
    <t>131 - Medal [Event] - Crafted - Black Maria</t>
  </si>
  <si>
    <t>https://i.postimg.cc/bwbGyTz7/img_icon_medal_310110166.png</t>
  </si>
  <si>
    <t>https://ik.imagekit.io/alaaalaa6171/164%20King%20of%20the%20Day%20-%20Dogstorm%20-%20Medal%20_Duke%20Dogstorm_.png?updatedAt=1770076431726</t>
  </si>
  <si>
    <t>https://ik.imagekit.io/alaaalaa6171/164%20King%20of%20the%20Day%20-%20Dogstorm%20-%20Medal%20_Duke%20Dogstorm_%20_Colored_.png?updatedAt=1770076431659</t>
  </si>
  <si>
    <t>https://ik.imagekit.io/alaaalaa6171/164%20King%20of%20the%20Day%20-%20Dogstorm%20-%20Medal%20_Duke%20Dogstorm_%20-%20Piece.png?updatedAt=1770076431665</t>
  </si>
  <si>
    <t>https://ik.imagekit.io/alaaalaa6171/164%20King%20of%20the%20Day%20-%20Dogstorm%20-%20Medal%20_Duke%20Dogstorm_%20-%20Piece%20_Colored_.png?updatedAt=1770076431671</t>
  </si>
  <si>
    <t>164 King of the Day - Dogstorm</t>
  </si>
  <si>
    <t>297 The Blue - Dorry - Medal _Dorry_.png</t>
  </si>
  <si>
    <t>178 - Navy HQ_Fleet Admiral Akainu ~ [Sakazuki] - Medal - Crafted [Colored] -  [Fleet Admiral Akainu]</t>
  </si>
  <si>
    <t>img_icon_medal_310200132.png</t>
  </si>
  <si>
    <t>https://ik.imagekit.io/alaaalaa6171/Event%20Medals/img_icon_medal_310200132.png?updatedAt=1770125383357</t>
  </si>
  <si>
    <t>130 - Medal [Event] - Crafted - Wildfire</t>
  </si>
  <si>
    <t>https://i.postimg.cc/2SvqkwzP/img_icon_medal_310110165.png</t>
  </si>
  <si>
    <t>https://ik.imagekit.io/alaaalaa6171/163%20The%20Guardian%20of%20the%20Forest%20-%20Gaimon%20-%20Medal%20_Gaimon_.png?updatedAt=1770076431648</t>
  </si>
  <si>
    <t>https://ik.imagekit.io/alaaalaa6171/163%20The%20Guardian%20of%20the%20Forest%20-%20Gaimon%20-%20Medal%20_Gaimon_%20_Colored_.png?updatedAt=1770076431705</t>
  </si>
  <si>
    <t>https://ik.imagekit.io/alaaalaa6171/163%20The%20Guardian%20of%20the%20Forest%20-%20Gaimon%20-%20Medal%20_Gaimon_%20-%20Piece.png?updatedAt=1770076431689</t>
  </si>
  <si>
    <t>https://ik.imagekit.io/alaaalaa6171/163%20The%20Guardian%20of%20the%20Forest%20-%20Gaimon%20-%20Medal%20_Gaimon_%20-%20Piece%20_Colored_.png?updatedAt=1770076431649</t>
  </si>
  <si>
    <t>163 The Guardian of the Forest - Gaimon</t>
  </si>
  <si>
    <t>Koby (Paramount War)</t>
  </si>
  <si>
    <t>297 The Blue - Dorry - Medal _Dorry_ - Piece.png</t>
  </si>
  <si>
    <t>179 - Navy HQ_Master Chief Petty Officer ~ Koby - Medal - Crafted [Colored] -  [Koby (Paramount War)]</t>
  </si>
  <si>
    <t>img_icon_medal_310200131.png</t>
  </si>
  <si>
    <t>https://ik.imagekit.io/alaaalaa6171/Event%20Medals/img_icon_medal_310200131.png?updatedAt=1770125383364</t>
  </si>
  <si>
    <t>129 - Medal [Event] - Crafted - Page One</t>
  </si>
  <si>
    <t>https://i.postimg.cc/rwWdVJ83/img_icon_medal_310110163.png</t>
  </si>
  <si>
    <t>https://ik.imagekit.io/alaaalaa6171/162%20Iron%20Pirate%20-%20General%20Franky%20-%20Medal%20_General%20Franky_.png?updatedAt=1770076431716</t>
  </si>
  <si>
    <t>https://ik.imagekit.io/alaaalaa6171/162%20Iron%20Pirate%20-%20General%20Franky%20-%20Medal%20_General%20Franky_%20_Colored_.png?updatedAt=1770076431640</t>
  </si>
  <si>
    <t>https://ik.imagekit.io/alaaalaa6171/162%20Iron%20Pirate%20-%20General%20Franky%20-%20Medal%20_General%20Franky_%20-%20Piece.png?updatedAt=1770076431622</t>
  </si>
  <si>
    <t>https://ik.imagekit.io/alaaalaa6171/162%20Iron%20Pirate%20-%20General%20Franky%20-%20Medal%20_General%20Franky_%20-%20Piece%20_Colored_.png?updatedAt=1770076431593</t>
  </si>
  <si>
    <t>162 Iron Pirate - General Franky</t>
  </si>
  <si>
    <t>297 The Blue - Dorry - Medal _Dorry_ - Piece _Colored_.png</t>
  </si>
  <si>
    <t>180 - Navy HQ_Science Team Captain ~ Sentomaru - Medal - Crafted [Colored] -  [Sentomaru]</t>
  </si>
  <si>
    <t>img_icon_medal_310200130.png</t>
  </si>
  <si>
    <t>https://ik.imagekit.io/alaaalaa6171/Event%20Medals/img_icon_medal_310200130.png?updatedAt=1770125383351</t>
  </si>
  <si>
    <t>128 - Medal [Event] - Crafted - Ulti</t>
  </si>
  <si>
    <t>https://i.postimg.cc/W1rDNn2x/img_icon_medal_310110164.png</t>
  </si>
  <si>
    <t>https://ik.imagekit.io/alaaalaa6171/161%20Savior%20-%20God%20Usopp%20-%20Medal%20_God%20Usopp_.png?updatedAt=1770076431632</t>
  </si>
  <si>
    <t>https://ik.imagekit.io/alaaalaa6171/161%20Savior%20-%20God%20Usopp%20-%20Medal%20_God%20Usopp_%20_Colored_.png?updatedAt=1770076431627</t>
  </si>
  <si>
    <t>https://ik.imagekit.io/alaaalaa6171/161%20Savior%20-%20God%20Usopp%20-%20Medal%20_God%20Usopp_%20-%20Piece.png?updatedAt=1770076431623</t>
  </si>
  <si>
    <t>https://ik.imagekit.io/alaaalaa6171/161%20Savior%20-%20God%20Usopp%20-%20Medal%20_God%20Usopp_%20-%20Piece%20_Colored_.png?updatedAt=1770076431634</t>
  </si>
  <si>
    <t>161 Savior - God Usopp</t>
  </si>
  <si>
    <t>297 The Blue - Dorry - Medal _Dorry_ _Colored_.png</t>
  </si>
  <si>
    <t>181 - Don Quixote Pirates_Servant Assassin ~ Baby 5 - Medal - Crafted [Colored] -  [Baby 5]</t>
  </si>
  <si>
    <t>img_icon_medal_310200129.png</t>
  </si>
  <si>
    <t>https://ik.imagekit.io/alaaalaa6171/Event%20Medals/img_icon_medal_310200129.png?updatedAt=1770125383300</t>
  </si>
  <si>
    <t>127 - Medal [Event] - Crafted - Otama</t>
  </si>
  <si>
    <t>https://i.postimg.cc/mgMcLwbq/img_icon_medal_310110162.png</t>
  </si>
  <si>
    <t>https://ik.imagekit.io/alaaalaa6171/160%20Revolutionary%20Army_Officer%20-%20Koala%201%20-%20Medal%20_Assistant%20Fish_Man%20Karate%20Master_.png?updatedAt=1770076431543</t>
  </si>
  <si>
    <t>https://ik.imagekit.io/alaaalaa6171/160%20Revolutionary%20Army_Officer%20-%20Koala%201%20-%20Medal%20_Assistant%20Fish_Man%20Karate%20Master_%20_Colored_.png?updatedAt=1770076431588</t>
  </si>
  <si>
    <t>https://ik.imagekit.io/alaaalaa6171/160%20Revolutionary%20Army_Officer%20-%20Koala%201%20-%20Medal%20_Assistant%20Fish_Man%20Karate%20Master_%20-%20Piece.png?updatedAt=1770076431492</t>
  </si>
  <si>
    <t>https://ik.imagekit.io/alaaalaa6171/160%20Revolutionary%20Army_Officer%20-%20Koala%201%20-%20Medal%20_Assistant%20Fish_Man%20Karate%20Master_%20-%20Piece%20_Colored_.png?updatedAt=1770076431485</t>
  </si>
  <si>
    <t>160 Revolutionary Army / Officer - Koala 1</t>
  </si>
  <si>
    <t>296 Divine Departure - Shanks - Medal _Red_Haired Divine Departure_.png</t>
  </si>
  <si>
    <t>182 - Don Quixote Pirates_Officer ~ Señor Pink - Medal - Crafted [Colored] -  [Hard_Boiled]</t>
  </si>
  <si>
    <t>img_icon_medal_310200128.png</t>
  </si>
  <si>
    <t>https://ik.imagekit.io/alaaalaa6171/Event%20Medals/img_icon_medal_310200128.png?updatedAt=1770125383297</t>
  </si>
  <si>
    <t>126 - Medal [Event] - Crafted - Ace (Land of Wano)</t>
  </si>
  <si>
    <t>https://i.postimg.cc/NjTys4gC/img_icon_medal_310110161.png</t>
  </si>
  <si>
    <t>https://ik.imagekit.io/alaaalaa6171/159%20Minks%20-%20Carrot%20-%20Medal%20_Carrot_.png?updatedAt=1770076431496</t>
  </si>
  <si>
    <t>https://ik.imagekit.io/alaaalaa6171/159%20Minks%20-%20Carrot%20-%20Medal%20_Carrot_%20_Colored_.png?updatedAt=1770076431527</t>
  </si>
  <si>
    <t>https://ik.imagekit.io/alaaalaa6171/159%20Minks%20-%20Carrot%20-%20Medal%20_Carrot_%20-%20Piece.png?updatedAt=1770076431548</t>
  </si>
  <si>
    <t>https://ik.imagekit.io/alaaalaa6171/159%20Minks%20-%20Carrot%20-%20Medal%20_Carrot_%20-%20Piece%20_Colored_.png?updatedAt=1770076431521</t>
  </si>
  <si>
    <t>159 Minks - Carrot</t>
  </si>
  <si>
    <t>296 Divine Departure - Shanks - Medal _Red_Haired Divine Departure_ - Piece.png</t>
  </si>
  <si>
    <t>183 - Don Quixote Pirates_Captain ~ Don Quixote Doflamingo - Medal - Crafted [Colored] -  [Young Master]</t>
  </si>
  <si>
    <t>img_icon_medal_310200127.png</t>
  </si>
  <si>
    <t>https://ik.imagekit.io/alaaalaa6171/Event%20Medals/img_icon_medal_310200127.png?updatedAt=1770125383301</t>
  </si>
  <si>
    <t>125 - Medal [Event] - Crafted - Kikunojo (Child)</t>
  </si>
  <si>
    <t>https://i.postimg.cc/JzJyrq16/img_icon_medal_310110159.png</t>
  </si>
  <si>
    <t>https://ik.imagekit.io/alaaalaa6171/158%20Roger%60s%20Rival%20-%20Edward%20Newgate%20-%20Medal%20_Tremor_Tremor_.png?updatedAt=1770076431398</t>
  </si>
  <si>
    <t>https://ik.imagekit.io/alaaalaa6171/158%20Roger%60s%20Rival%20-%20Edward%20Newgate%20-%20Medal%20_Tremor_Tremor_%20_Colored_.png?updatedAt=1770076431397</t>
  </si>
  <si>
    <t>https://ik.imagekit.io/alaaalaa6171/158%20Roger%60s%20Rival%20-%20Edward%20Newgate%20-%20Medal%20_Tremor_Tremor_%20-%20Piece.png?updatedAt=1770076431395</t>
  </si>
  <si>
    <t>https://ik.imagekit.io/alaaalaa6171/158%20Roger%60s%20Rival%20-%20Edward%20Newgate%20-%20Medal%20_Tremor_Tremor_%20-%20Piece%20_Colored_.png?updatedAt=1770076431398</t>
  </si>
  <si>
    <t>158 Roger`s Rival - Edward Newgate</t>
  </si>
  <si>
    <t>296 Divine Departure - Shanks - Medal _Red_Haired Divine Departure_ - Piece _Colored_.png</t>
  </si>
  <si>
    <t>184 - Don Quixote Pirates_Special Officer ~ Sugar - Medal - Crafted [Colored] -  [Sugar]</t>
  </si>
  <si>
    <t>img_icon_medal_310200126.png</t>
  </si>
  <si>
    <t>https://ik.imagekit.io/alaaalaa6171/Event%20Medals/img_icon_medal_310200126.png?updatedAt=1770125383212</t>
  </si>
  <si>
    <t>124 - Medal [Event] - Crafted - Izo (Child)</t>
  </si>
  <si>
    <t>https://i.postimg.cc/GmYBLQcf/img_icon_medal_310110160.png</t>
  </si>
  <si>
    <t>https://ik.imagekit.io/alaaalaa6171/157%20Hero%20of%20the%20Navy%20-%20Monkey%20D.%20Garb%20-%20Medal%20_Hero_.png?updatedAt=1770076431397</t>
  </si>
  <si>
    <t>https://ik.imagekit.io/alaaalaa6171/157%20Hero%20of%20the%20Navy%20-%20Monkey%20D.%20Garb%20-%20Medal%20_Hero_%20_Colored_.png?updatedAt=1770076431628</t>
  </si>
  <si>
    <t>https://ik.imagekit.io/alaaalaa6171/157%20Hero%20of%20the%20Navy%20-%20Monkey%20D.%20Garb%20-%20Medal%20_Hero_%20-%20Piece.png?updatedAt=1770076431607</t>
  </si>
  <si>
    <t>https://ik.imagekit.io/alaaalaa6171/157%20Hero%20of%20the%20Navy%20-%20Monkey%20D.%20Garb%20-%20Medal%20_Hero_%20-%20Piece%20_Colored_.png?updatedAt=1770076431617</t>
  </si>
  <si>
    <t>157 Hero of the Navy - Monkey D. Garb</t>
  </si>
  <si>
    <t>296 Divine Departure - Shanks - Medal _Red_Haired Divine Departure_ _Colored_.png</t>
  </si>
  <si>
    <t>185 - Don Quixote Pirates_Supreme Officer ~ Vergo - Medal - Crafted [Colored] -  [Bamboo Demon]</t>
  </si>
  <si>
    <t>img_icon_medal_310200125.png</t>
  </si>
  <si>
    <t>https://ik.imagekit.io/alaaalaa6171/Event%20Medals/img_icon_medal_310200125.png?updatedAt=1770125383220</t>
  </si>
  <si>
    <t>123 - Medal [Event] - Crafted - Buggy (Child)</t>
  </si>
  <si>
    <t>https://i.postimg.cc/Hk5JY2pS/img_icon_medal_310110158.png</t>
  </si>
  <si>
    <t>https://ik.imagekit.io/alaaalaa6171/156%20Kozuki%20Clan_Servant%20-%20Ashura%20Doji%20-%20Medal%20_Ashura%20Doji_.png?updatedAt=1770076431590</t>
  </si>
  <si>
    <t>https://ik.imagekit.io/alaaalaa6171/156%20Kozuki%20Clan_Servant%20-%20Ashura%20Doji%20-%20Medal%20_Ashura%20Doji_%20_Colored_.png?updatedAt=1770076431628</t>
  </si>
  <si>
    <t>https://ik.imagekit.io/alaaalaa6171/156%20Kozuki%20Clan_Servant%20-%20Ashura%20Doji%20-%20Medal%20_Ashura%20Doji_%20-%20Piece.png?updatedAt=1770076431596</t>
  </si>
  <si>
    <t>https://ik.imagekit.io/alaaalaa6171/156%20Kozuki%20Clan_Servant%20-%20Ashura%20Doji%20-%20Medal%20_Ashura%20Doji_%20-%20Piece%20_Colored_.png?updatedAt=1770076431606</t>
  </si>
  <si>
    <t>156 Kozuki Clan / Servant - Ashura Doji</t>
  </si>
  <si>
    <t>295 Vegapunk's Spy - Stussy - Medal _Vegapunk`s Spy_.png</t>
  </si>
  <si>
    <t>186 - Don Quixote Pirates_Officer ~ Monet - Medal - Crafted [Colored] -  [Monet]</t>
  </si>
  <si>
    <t>img_icon_medal_310200124.png</t>
  </si>
  <si>
    <t>https://ik.imagekit.io/alaaalaa6171/Event%20Medals/img_icon_medal_310200124.png?updatedAt=1770125383351</t>
  </si>
  <si>
    <t>122 - Medal [Event] - Crafted - Shanks (Child)</t>
  </si>
  <si>
    <t>https://i.postimg.cc/L6GYF7pd/img_icon_medal_310110157.png</t>
  </si>
  <si>
    <t>https://ik.imagekit.io/alaaalaa6171/155%20Kyoshiro%20Family_Boss%20-%20Napping%20Kyoshiro%20-%20Medal%20_Napping%20Kyoshiro_.png?updatedAt=1770076431615</t>
  </si>
  <si>
    <t>https://ik.imagekit.io/alaaalaa6171/155%20Kyoshiro%20Family_Boss%20-%20Napping%20Kyoshiro%20-%20Medal%20_Napping%20Kyoshiro_%20_Colored_.png?updatedAt=1770076431630</t>
  </si>
  <si>
    <t>https://ik.imagekit.io/alaaalaa6171/155%20Kyoshiro%20Family_Boss%20-%20Napping%20Kyoshiro%20-%20Medal%20_Napping%20Kyoshiro_%20-%20Piece.png?updatedAt=1770076431621</t>
  </si>
  <si>
    <t>https://ik.imagekit.io/alaaalaa6171/155%20Kyoshiro%20Family_Boss%20-%20Napping%20Kyoshiro%20-%20Medal%20_Napping%20Kyoshiro_%20-%20Piece%20_Colored_.png?updatedAt=1770076431623</t>
  </si>
  <si>
    <t>155 Kyoshiro Family / Boss - Napping Kyoshiro</t>
  </si>
  <si>
    <t>295 Vegapunk's Spy - Stussy - Medal _Vegapunk`s Spy_ - Piece.png</t>
  </si>
  <si>
    <t>187 - Whole Cake Island ~ Nami - Medal - Crafted [Colored] -  [Sorcery Climate Baton]</t>
  </si>
  <si>
    <t>img_icon_medal_310200123.png</t>
  </si>
  <si>
    <t>https://ik.imagekit.io/alaaalaa6171/Event%20Medals/img_icon_medal_310200123.png?updatedAt=1770125383327</t>
  </si>
  <si>
    <t>121 - Medal [Event] - Crafted - Praline</t>
  </si>
  <si>
    <t>https://i.postimg.cc/MpRc6DW9/img_icon_medal_310110156.png</t>
  </si>
  <si>
    <t>https://ik.imagekit.io/alaaalaa6171/154%20King%20of%20the%20Pirates%20-%20Gol%20D.%20Roger%20-%20Medal%20_Roger_.png?updatedAt=1770076431624</t>
  </si>
  <si>
    <t>https://ik.imagekit.io/alaaalaa6171/154%20King%20of%20the%20Pirates%20-%20Gol%20D.%20Roger%20-%20Medal%20_Roger_%20_Colored_.png?updatedAt=1770076431627</t>
  </si>
  <si>
    <t>https://ik.imagekit.io/alaaalaa6171/154%20King%20of%20the%20Pirates%20-%20Gol%20D.%20Roger%20-%20Medal%20_Roger_%20-%20Piece.png?updatedAt=1770076431566</t>
  </si>
  <si>
    <t>https://ik.imagekit.io/alaaalaa6171/154%20King%20of%20the%20Pirates%20-%20Gol%20D.%20Roger%20-%20Medal%20_Roger_%20-%20Piece%20_Colored_.png?updatedAt=1770076431487</t>
  </si>
  <si>
    <t>154 King of the Pirates - Gol D. Roger</t>
  </si>
  <si>
    <t>295 Vegapunk's Spy - Stussy - Medal _Vegapunk`s Spy_ - Piece _Colored_.png</t>
  </si>
  <si>
    <t>188 - Whole Cake Island ~ Brook - Medal - Crafted [Colored] -  [Soul King]</t>
  </si>
  <si>
    <t>img_icon_medal_310200122.png</t>
  </si>
  <si>
    <t>https://ik.imagekit.io/alaaalaa6171/Event%20Medals/img_icon_medal_310200122.png?updatedAt=1770125382931</t>
  </si>
  <si>
    <t>120 - Medal [Event] - Crafted - Aladdin</t>
  </si>
  <si>
    <t>https://i.postimg.cc/CL9BptVX/img_icon_medal_310110152.png</t>
  </si>
  <si>
    <t>https://ik.imagekit.io/alaaalaa6171/153%20Land%20of%20Wano%20-%20Chopperemon%20-%20Medal%20_Chopperemon_.png?updatedAt=1770076431545</t>
  </si>
  <si>
    <t>https://ik.imagekit.io/alaaalaa6171/153%20Land%20of%20Wano%20-%20Chopperemon%20-%20Medal%20_Chopperemon_%20_Colored_.png?updatedAt=1770076431534</t>
  </si>
  <si>
    <t>https://ik.imagekit.io/alaaalaa6171/153%20Land%20of%20Wano%20-%20Chopperemon%20-%20Medal%20_Chopperemon_%20-%20Piece.png?updatedAt=1770076431558</t>
  </si>
  <si>
    <t>https://ik.imagekit.io/alaaalaa6171/153%20Land%20of%20Wano%20-%20Chopperemon%20-%20Medal%20_Chopperemon_%20-%20Piece%20_Colored_.png?updatedAt=1770076431625</t>
  </si>
  <si>
    <t>153 Land of Wano - Chopperemon</t>
  </si>
  <si>
    <t>295 Vegapunk's Spy - Stussy - Medal _Vegapunk`s Spy_ _Colored_.png</t>
  </si>
  <si>
    <t>189 - Big Mom Pirates_Crewmate ~ Charlotte Pudding 1 - Medal - Crafted [Colored] -  [Pudding]</t>
  </si>
  <si>
    <t>img_icon_medal_310200121.png</t>
  </si>
  <si>
    <t>https://ik.imagekit.io/alaaalaa6171/Event%20Medals/img_icon_medal_310200121.png?updatedAt=1770125382960</t>
  </si>
  <si>
    <t>119 - Medal [Event] - Crafted - Pedro (Whole Cake Island)</t>
  </si>
  <si>
    <t>https://i.postimg.cc/65F2xSNF/img_icon_medal_310110153.png</t>
  </si>
  <si>
    <t>https://ik.imagekit.io/alaaalaa6171/152%20Kozuki%20Clan_Servant%20-%20Kawamatsu%20-%20Medal%20_Kawamatsu_.png?updatedAt=1770076431586</t>
  </si>
  <si>
    <t>https://ik.imagekit.io/alaaalaa6171/152%20Kozuki%20Clan_Servant%20-%20Kawamatsu%20-%20Medal%20_Kawamatsu_%20_Colored_.png?updatedAt=1770076431549</t>
  </si>
  <si>
    <t>https://ik.imagekit.io/alaaalaa6171/152%20Kozuki%20Clan_Servant%20-%20Kawamatsu%20-%20Medal%20_Kawamatsu_%20-%20Piece.png?updatedAt=1770076431551</t>
  </si>
  <si>
    <t>https://ik.imagekit.io/alaaalaa6171/152%20Kozuki%20Clan_Servant%20-%20Kawamatsu%20-%20Medal%20_Kawamatsu_%20-%20Piece%20_Colored_.png?updatedAt=1770076431641</t>
  </si>
  <si>
    <t>152 Kozuki Clan / Servant - Kawamatsu</t>
  </si>
  <si>
    <t>294 Awakened Form - Kaku - Medal _Nose Pistol_.png</t>
  </si>
  <si>
    <t>190 - Whole Cake Island ~ Jinbe - Medal - Crafted [Colored] -  [Boss]</t>
  </si>
  <si>
    <t>img_icon_medal_310200120.png</t>
  </si>
  <si>
    <t>https://ik.imagekit.io/alaaalaa6171/Event%20Medals/img_icon_medal_310200120.png?updatedAt=1770125383039</t>
  </si>
  <si>
    <t>118 - Medal [Event] - Crafted - Chopper (Whole Cake Island)</t>
  </si>
  <si>
    <t>https://i.postimg.cc/qMWhHYdP/img_icon_medal_310110155.png</t>
  </si>
  <si>
    <t>https://ik.imagekit.io/alaaalaa6171/151%20Most%20Handsome%20Swordman%20in%20the%20Land%20of%20Wano%20-%20Kikunojo%20-%20Medal%20_Kikunojo_.png?updatedAt=1770076431564</t>
  </si>
  <si>
    <t>https://ik.imagekit.io/alaaalaa6171/151%20Most%20Handsome%20Swordman%20in%20the%20Land%20of%20Wano%20-%20Kikunojo%20-%20Medal%20_Kikunojo_%20_Colored_.png?updatedAt=1770076431554</t>
  </si>
  <si>
    <t>https://ik.imagekit.io/alaaalaa6171/151%20Most%20Handsome%20Swordman%20in%20the%20Land%20of%20Wano%20-%20Kikunojo%20-%20Medal%20_Kikunojo_%20-%20Piece.png?updatedAt=1770076431516</t>
  </si>
  <si>
    <t>https://ik.imagekit.io/alaaalaa6171/151%20Most%20Handsome%20Swordman%20in%20the%20Land%20of%20Wano%20-%20Kikunojo%20-%20Medal%20_Kikunojo_%20-%20Piece%20_Colored_.png?updatedAt=1770076431606</t>
  </si>
  <si>
    <t>151 Most Handsome Swordman in the Land of Wano - Kikunojo</t>
  </si>
  <si>
    <t>294 Awakened Form - Kaku - Medal _Nose Pistol_ - Piece.png</t>
  </si>
  <si>
    <t>191 - Roger Pirates_First Mate ~ Silvers Rayleigh - Medal - Crafted [Colored] -  [The Dark King]</t>
  </si>
  <si>
    <t>img_icon_medal_310200119.png</t>
  </si>
  <si>
    <t>https://ik.imagekit.io/alaaalaa6171/Event%20Medals/img_icon_medal_310200119.png?updatedAt=1770125382943</t>
  </si>
  <si>
    <t>117 - Medal [Event] - Crafted - Land of the Dead</t>
  </si>
  <si>
    <t>https://i.postimg.cc/fT1tQFh6/img_icon_medal_310110154.png</t>
  </si>
  <si>
    <t>https://ik.imagekit.io/alaaalaa6171/150%20Daimyo%20of%20Kuri%20-%20Kozuki%20Oden%20-%20Medal%20_Kozuki%20Oden_.png?updatedAt=1770076431462</t>
  </si>
  <si>
    <t>https://ik.imagekit.io/alaaalaa6171/150%20Daimyo%20of%20Kuri%20-%20Kozuki%20Oden%20-%20Medal%20_Kozuki%20Oden_%20_Colored_.png?updatedAt=1770076431558</t>
  </si>
  <si>
    <t>https://ik.imagekit.io/alaaalaa6171/150%20Daimyo%20of%20Kuri%20-%20Kozuki%20Oden%20-%20Medal%20_Kozuki%20Oden_%20-%20Piece.png?updatedAt=1770076431508</t>
  </si>
  <si>
    <t>https://ik.imagekit.io/alaaalaa6171/150%20Daimyo%20of%20Kuri%20-%20Kozuki%20Oden%20-%20Medal%20_Kozuki%20Oden_%20-%20Piece%20_Colored_.png?updatedAt=1770076431547</t>
  </si>
  <si>
    <t>150 Daimyo of Kuri - Kozuki Oden</t>
  </si>
  <si>
    <t>294 Awakened Form - Kaku - Medal _Nose Pistol_ - Piece _Colored_.png</t>
  </si>
  <si>
    <t>192 - Kurozumi Spy ~ Kurozumi Kanjuro - Medal - Crafted [Colored] -  [Kanjuro]</t>
  </si>
  <si>
    <t>img_icon_medal_310200118.png</t>
  </si>
  <si>
    <t>https://ik.imagekit.io/alaaalaa6171/Event%20Medals/img_icon_medal_310200118.png?updatedAt=1770125382945</t>
  </si>
  <si>
    <t>116 - Medal [Event] - Crafted - Counter_Shock</t>
  </si>
  <si>
    <t>https://i.postimg.cc/3Jz4Q6Hq/img_icon_medal_310110151.png</t>
  </si>
  <si>
    <t>https://ik.imagekit.io/alaaalaa6171/149%20Fire%20Fist%20-%20Portgaz%20D.%20Ace%201%20-%20Medal%20_Cross%20Fire_.png?updatedAt=1770076431427</t>
  </si>
  <si>
    <t>https://ik.imagekit.io/alaaalaa6171/149%20Fire%20Fist%20-%20Portgaz%20D.%20Ace%201%20-%20Medal%20_Cross%20Fire_%20_Colored_.png?updatedAt=1770076431480</t>
  </si>
  <si>
    <t>https://ik.imagekit.io/alaaalaa6171/149%20Fire%20Fist%20-%20Portgaz%20D.%20Ace%201%20-%20Medal%20_Cross%20Fire_%20-%20Piece.png?updatedAt=1770076431488</t>
  </si>
  <si>
    <t>https://ik.imagekit.io/alaaalaa6171/149%20Fire%20Fist%20-%20Portgaz%20D.%20Ace%201%20-%20Medal%20_Cross%20Fire_%20-%20Piece%20_Colored_.png?updatedAt=1770076431447</t>
  </si>
  <si>
    <t>149 Fire Fist - Portgaz D. Ace 1</t>
  </si>
  <si>
    <t>294 Awakened Form - Kaku - Medal _Nose Pistol_ _Colored_.png</t>
  </si>
  <si>
    <t>193 - Former Whitebeard Pirates_16th Division Commander ~ Izo - Medal - Crafted [Colored] -  [Izo]</t>
  </si>
  <si>
    <t>img_icon_medal_310200117.png</t>
  </si>
  <si>
    <t>https://ik.imagekit.io/alaaalaa6171/Event%20Medals/img_icon_medal_310200117.png?updatedAt=1770125383136</t>
  </si>
  <si>
    <t>115 - Medal [Event] - Crafted - Dellinger</t>
  </si>
  <si>
    <t>https://i.postimg.cc/7YjGrcyQ/img_icon_medal_310110150.png</t>
  </si>
  <si>
    <t>https://ik.imagekit.io/alaaalaa6171/148%20Royal%20Wedding%20-%20Sanji%20-%20Medal%20_Sky%20Walk_.png?updatedAt=1770076431469</t>
  </si>
  <si>
    <t>https://ik.imagekit.io/alaaalaa6171/148%20Royal%20Wedding%20-%20Sanji%20-%20Medal%20_Sky%20Walk_%20_Colored_.png?updatedAt=1770076431383</t>
  </si>
  <si>
    <t>https://ik.imagekit.io/alaaalaa6171/148%20Royal%20Wedding%20-%20Sanji%20-%20Medal%20_Sky%20Walk_%20-%20Piece.png?updatedAt=1770076431424</t>
  </si>
  <si>
    <t>https://ik.imagekit.io/alaaalaa6171/148%20Royal%20Wedding%20-%20Sanji%20-%20Medal%20_Sky%20Walk_%20-%20Piece%20_Colored_.png?updatedAt=1770076431396</t>
  </si>
  <si>
    <t>148 Royal Wedding - Sanji</t>
  </si>
  <si>
    <t>293 Awakened Form - Rob Lucci - Medal _Hand Pistol_.png</t>
  </si>
  <si>
    <t>194 - Kaido`s Son ~ Yamato - Medal - Crafted [Colored] -  [Kaido`s Son]</t>
  </si>
  <si>
    <t>img_icon_medal_310200116.png</t>
  </si>
  <si>
    <t>https://ik.imagekit.io/alaaalaa6171/Event%20Medals/img_icon_medal_310200116.png?updatedAt=1770125383021</t>
  </si>
  <si>
    <t>114 - Medal [Event] - Crafted - Diamante</t>
  </si>
  <si>
    <t>https://i.postimg.cc/dtgkcXKN/img_icon_medal_310110149.png</t>
  </si>
  <si>
    <t>https://ik.imagekit.io/alaaalaa6171/147%20The%20Billion-Fold%20World%20Trichiliocosm%20-%20Roronoa%20Zoro%20-%20Medal%20_The%20Billion_Fold%20World%20Trichiliocosm_.png?updatedAt=1770076430783</t>
  </si>
  <si>
    <t>https://ik.imagekit.io/alaaalaa6171/147%20The%20Billion-Fold%20World%20Trichiliocosm%20-%20Roronoa%20Zoro%20-%20Medal%20_The%20Billion_Fold%20World%20Trichiliocosm_%20_Colored_.png?updatedAt=1770076430782</t>
  </si>
  <si>
    <t>https://ik.imagekit.io/alaaalaa6171/147%20The%20Billion-Fold%20World%20Trichiliocosm%20-%20Roronoa%20Zoro%20-%20Medal%20_The%20Billion_Fold%20World%20Trichiliocosm_%20-%20Piece.png?updatedAt=1770076430780</t>
  </si>
  <si>
    <t>https://ik.imagekit.io/alaaalaa6171/147%20The%20Billion-Fold%20World%20Trichiliocosm%20-%20Roronoa%20Zoro%20-%20Medal%20_The%20Billion_Fold%20World%20Trichiliocosm_%20-%20Piece%20_Colored_.png?updatedAt=1770076430788</t>
  </si>
  <si>
    <t>147 The Billion-Fold World Trichiliocosm - Roronoa Zoro</t>
  </si>
  <si>
    <t>293 Awakened Form - Rob Lucci - Medal _Hand Pistol_ - Piece.png</t>
  </si>
  <si>
    <t>195 - Animal Kingdom Pirates_Lead Performer ~ Jack - Medal - Crafted [Colored] -  [Jack]</t>
  </si>
  <si>
    <t>img_icon_medal_310200115.png</t>
  </si>
  <si>
    <t>https://ik.imagekit.io/alaaalaa6171/Event%20Medals/img_icon_medal_310200115.png?updatedAt=1770125381239</t>
  </si>
  <si>
    <t>113 - Medal [Event] - Crafted - Buffalo</t>
  </si>
  <si>
    <t>https://i.postimg.cc/ZKXBzgh7/img_icon_medal_310110148.png</t>
  </si>
  <si>
    <t>https://ik.imagekit.io/alaaalaa6171/146%20Luffy%20&amp;%20Law%20Pirate%20Alliance%20-%20Monkey%20D.%20Luffy%201%20-%20Medal%20_Fire_Fist%20Pistol%20Red%20Hawk_.png?updatedAt=1770076430791</t>
  </si>
  <si>
    <t>https://ik.imagekit.io/alaaalaa6171/146%20Luffy%20&amp;%20Law%20Pirate%20Alliance%20-%20Monkey%20D.%20Luffy%201%20-%20Medal%20_Fire_Fist%20Pistol%20Red%20Hawk_%20_Colored_.png?updatedAt=1770076430777</t>
  </si>
  <si>
    <t>https://ik.imagekit.io/alaaalaa6171/146%20Luffy%20&amp;%20Law%20Pirate%20Alliance%20-%20Monkey%20D.%20Luffy%201%20-%20Medal%20_Fire_Fist%20Pistol%20Red%20Hawk_%20-%20Piece.png?updatedAt=1770076430755</t>
  </si>
  <si>
    <t>https://ik.imagekit.io/alaaalaa6171/146%20Luffy%20&amp;%20Law%20Pirate%20Alliance%20-%20Monkey%20D.%20Luffy%201%20-%20Medal%20_Fire_Fist%20Pistol%20Red%20Hawk_%20-%20Piece%20_Colored_.png?updatedAt=1770076430752</t>
  </si>
  <si>
    <t>146 Luffy &amp; Law Pirate Alliance - Monkey D. Luffy 1</t>
  </si>
  <si>
    <t>293 Awakened Form - Rob Lucci - Medal _Hand Pistol_ - Piece _Colored_.png</t>
  </si>
  <si>
    <t>196 - Animal Kingdom Pirates_Lead Performer ~ Queen - Medal - Crafted [Colored] -  [Queen]</t>
  </si>
  <si>
    <t>img_icon_medal_310200114.png</t>
  </si>
  <si>
    <t>https://ik.imagekit.io/alaaalaa6171/Event%20Medals/img_icon_medal_310200114.png?updatedAt=1770125380980</t>
  </si>
  <si>
    <t>112 - Medal [Event] - Crafted - Pica</t>
  </si>
  <si>
    <t>https://i.postimg.cc/TYBLvSXk/img_icon_medal_310110147.png</t>
  </si>
  <si>
    <t>https://ik.imagekit.io/alaaalaa6171/145%20Kozuki%20Clan_Servant%20-%20Kin'emon%20-%20Medal%20_Kin%60%60emon_.png?updatedAt=1770076429775</t>
  </si>
  <si>
    <t>https://ik.imagekit.io/alaaalaa6171/145%20Kozuki%20Clan_Servant%20-%20Kin'emon%20-%20Medal%20_Kin%60%60emon_%20_Colored_.png?updatedAt=1770076429449</t>
  </si>
  <si>
    <t>https://ik.imagekit.io/alaaalaa6171/145%20Kozuki%20Clan_Servant%20-%20Kin'emon%20-%20Medal%20_Kin%60%60emon_%20-%20Piece.png?updatedAt=1770076429095</t>
  </si>
  <si>
    <t>https://ik.imagekit.io/alaaalaa6171/145%20Kozuki%20Clan_Servant%20-%20Kin'emon%20-%20Medal%20_Kin%60%60emon_%20-%20Piece%20_Colored_.png?updatedAt=1770076426864</t>
  </si>
  <si>
    <t>145 Kozuki Clan / Servant - Kin'emon</t>
  </si>
  <si>
    <t>293 Awakened Form - Rob Lucci - Medal _Hand Pistol_ _Colored_.png</t>
  </si>
  <si>
    <t>197 - The Strongest Creature Alive ~ Kaido - Medal - Crafted [Colored] -  [Blast Breath]</t>
  </si>
  <si>
    <t>img_icon_medal_310200113.png</t>
  </si>
  <si>
    <t>https://ik.imagekit.io/alaaalaa6171/Event%20Medals/img_icon_medal_310200113.png?updatedAt=1770125380716</t>
  </si>
  <si>
    <t>111 - Medal [Event] - Crafted - Izo (Paramount War)</t>
  </si>
  <si>
    <t>https://i.postimg.cc/yY2gC5zL/img_icon_medal_310110146.png</t>
  </si>
  <si>
    <t>https://ik.imagekit.io/alaaalaa6171/144%20Former%20Navy%20Admiral%20-%20Kuzan%20-%20Medal%20_Pheasant%20Peck_.png?updatedAt=1770076426866</t>
  </si>
  <si>
    <t>https://ik.imagekit.io/alaaalaa6171/144%20Former%20Navy%20Admiral%20-%20Kuzan%20-%20Medal%20_Pheasant%20Peck_%20_Colored_.png?updatedAt=1770076426813</t>
  </si>
  <si>
    <t>https://ik.imagekit.io/alaaalaa6171/144%20Former%20Navy%20Admiral%20-%20Kuzan%20-%20Medal%20_Pheasant%20Peck_%20-%20Piece.png?updatedAt=1770076426776</t>
  </si>
  <si>
    <t>https://ik.imagekit.io/alaaalaa6171/144%20Former%20Navy%20Admiral%20-%20Kuzan%20-%20Medal%20_Pheasant%20Peck_%20-%20Piece%20_Colored_.png?updatedAt=1770076426808</t>
  </si>
  <si>
    <t>144 Former Navy Admiral - Kuzan</t>
  </si>
  <si>
    <t>292 CP9 - Jabra - Medal _Jabra_.png</t>
  </si>
  <si>
    <t>198 - Man Who Dreams of Becoming the King of the Pirates ~ Monkey D. Luffy - Medal - Crafted [Colored] -  [Straw Hat]</t>
  </si>
  <si>
    <t>img_icon_medal_310200112.png</t>
  </si>
  <si>
    <t>https://ik.imagekit.io/alaaalaa6171/Event%20Medals/img_icon_medal_310200112.png?updatedAt=1770125380507</t>
  </si>
  <si>
    <t>110 - Medal [Event] - Crafted - Vista (Paramount War)</t>
  </si>
  <si>
    <t>https://i.postimg.cc/kXL6PZdw/img_icon_medal_310110145.png</t>
  </si>
  <si>
    <t>https://ik.imagekit.io/alaaalaa6171/143%20Punk%20Hazard%20-%20Smoker%20(Chambres)%20-%20Medal%20_Smoker%20(Chambres)_.png?updatedAt=1770076426784</t>
  </si>
  <si>
    <t>https://ik.imagekit.io/alaaalaa6171/143%20Punk%20Hazard%20-%20Smoker%20(Chambres)%20-%20Medal%20_Smoker%20(Chambres)_%20_Colored_.png?updatedAt=1770076426817</t>
  </si>
  <si>
    <t>https://ik.imagekit.io/alaaalaa6171/143%20Punk%20Hazard%20-%20Smoker%20(Chambres)%20-%20Medal%20_Smoker%20(Chambres)_%20-%20Piece.png?updatedAt=1770076426768</t>
  </si>
  <si>
    <t>https://ik.imagekit.io/alaaalaa6171/143%20Punk%20Hazard%20-%20Smoker%20(Chambres)%20-%20Medal%20_Smoker%20(Chambres)_%20-%20Piece%20_Colored_.png?updatedAt=1770076426754</t>
  </si>
  <si>
    <t>143 Punk Hazard - Smoker (Chambres)</t>
  </si>
  <si>
    <t>292 CP9 - Jabra - Medal _Jabra_ - Piece.png</t>
  </si>
  <si>
    <t>199 - Germa 66_Generalissimo ~ Vinsmoke Judge 1 - Medal - Crafted [Colored] -  [Judge]</t>
  </si>
  <si>
    <t>img_icon_medal_310200111.png</t>
  </si>
  <si>
    <t>https://ik.imagekit.io/alaaalaa6171/Event%20Medals/img_icon_medal_310200111.png?updatedAt=1770125379695</t>
  </si>
  <si>
    <t>109 - Medal [Event] - Crafted - Ronin</t>
  </si>
  <si>
    <t>https://i.postimg.cc/c4PgGjNh/img_icon_medal_310110144.png</t>
  </si>
  <si>
    <t>https://ik.imagekit.io/alaaalaa6171/142%20The%20Parmount%20War%20-%20Gecko%20Moria%20-%20Medal%20_Spiky%20Shadow%20Iizard_.png?updatedAt=1770076426757</t>
  </si>
  <si>
    <t>https://ik.imagekit.io/alaaalaa6171/142%20The%20Parmount%20War%20-%20Gecko%20Moria%20-%20Medal%20_Spiky%20Shadow%20Iizard_%20_Colored_.png?updatedAt=1770076426742</t>
  </si>
  <si>
    <t>https://ik.imagekit.io/alaaalaa6171/142%20The%20Parmount%20War%20-%20Gecko%20Moria%20-%20Medal%20_Spiky%20Shadow%20Iizard_%20-%20Piece.png?updatedAt=1770076426813</t>
  </si>
  <si>
    <t>https://ik.imagekit.io/alaaalaa6171/142%20The%20Parmount%20War%20-%20Gecko%20Moria%20-%20Medal%20_Spiky%20Shadow%20Iizard_%20-%20Piece%20_Colored_.png?updatedAt=1770076426767</t>
  </si>
  <si>
    <t>142 The Parmount War - Gecko Moria</t>
  </si>
  <si>
    <t>292 CP9 - Jabra - Medal _Jabra_ - Piece _Colored_.png</t>
  </si>
  <si>
    <t>200 - Stealth Black ~ Soba Mask - Medal - Crafted [Colored] -  [Soba Mask]</t>
  </si>
  <si>
    <t>img_icon_medal_310200110.png</t>
  </si>
  <si>
    <t>https://ik.imagekit.io/alaaalaa6171/Event%20Medals/img_icon_medal_310200110.png?updatedAt=1770125379989</t>
  </si>
  <si>
    <t>108 - Medal [Event] - Crafted - Soba Cart Cook</t>
  </si>
  <si>
    <t>https://i.postimg.cc/NfZ9vVwx/img_icon_medal_310110143.png</t>
  </si>
  <si>
    <t>https://ik.imagekit.io/alaaalaa6171/141%20The%20Parmount%20War%20-%20Crocodile%20-%20Medal%20_Crescent%20Cutlass_.png?updatedAt=1770076426749</t>
  </si>
  <si>
    <t>https://ik.imagekit.io/alaaalaa6171/141%20The%20Parmount%20War%20-%20Crocodile%20-%20Medal%20_Crescent%20Cutlass_%20_Colored_.png?updatedAt=1770076426335</t>
  </si>
  <si>
    <t>https://ik.imagekit.io/alaaalaa6171/141%20The%20Parmount%20War%20-%20Crocodile%20-%20Medal%20_Crescent%20Cutlass_%20-%20Piece.png?updatedAt=1770076426315</t>
  </si>
  <si>
    <t>https://ik.imagekit.io/alaaalaa6171/141%20The%20Parmount%20War%20-%20Crocodile%20-%20Medal%20_Crescent%20Cutlass_%20-%20Piece%20_Colored_.png?updatedAt=1770076426331</t>
  </si>
  <si>
    <t>141 The Parmount War - Crocodile</t>
  </si>
  <si>
    <t>292 CP9 - Jabra - Medal _Jabra_ _Colored_.png</t>
  </si>
  <si>
    <t>201 - Blackbeard Pirates_Helsman 'Champ' ~ Jesus Burgess - Medal - Crafted [Colored] -  [Burgess]</t>
  </si>
  <si>
    <t>img_icon_medal_310200109.png</t>
  </si>
  <si>
    <t>https://ik.imagekit.io/alaaalaa6171/Event%20Medals/img_icon_medal_310200109.png?updatedAt=1770125379332</t>
  </si>
  <si>
    <t>107 - Medal [Event] - Crafted - Chaka</t>
  </si>
  <si>
    <t>https://i.postimg.cc/VL2rPTcR/img_icon_medal_310110142.png</t>
  </si>
  <si>
    <t>https://ik.imagekit.io/alaaalaa6171/140%20Ghost%20Princess%20-%20Perona%20-%20Medal%20_Negative%20Ghost_.png?updatedAt=1770076426324</t>
  </si>
  <si>
    <t>https://ik.imagekit.io/alaaalaa6171/140%20Ghost%20Princess%20-%20Perona%20-%20Medal%20_Negative%20Ghost_%20_Colored_.png?updatedAt=1770076426309</t>
  </si>
  <si>
    <t>https://ik.imagekit.io/alaaalaa6171/140%20Ghost%20Princess%20-%20Perona%20-%20Medal%20_Negative%20Ghost_%20-%20Piece.png?updatedAt=1770076426343</t>
  </si>
  <si>
    <t>https://ik.imagekit.io/alaaalaa6171/140%20Ghost%20Princess%20-%20Perona%20-%20Medal%20_Negative%20Ghost_%20-%20Piece%20_Colored_.png?updatedAt=1770076426318</t>
  </si>
  <si>
    <t>140 Ghost Princess - Perona</t>
  </si>
  <si>
    <t>291 CP9 - Blueno - Medal _Blueno_.png</t>
  </si>
  <si>
    <t>202 - Whitebeard Pirates_5th Division Commander ~ Vista - Medal - Crafted [Colored] -  [Vista]</t>
  </si>
  <si>
    <t>img_icon_medal_310200108.png</t>
  </si>
  <si>
    <t>https://ik.imagekit.io/alaaalaa6171/Event%20Medals/img_icon_medal_310200108.png?updatedAt=1770125378617</t>
  </si>
  <si>
    <t>106 - Medal [Event] - Crafted - Cobra</t>
  </si>
  <si>
    <t>https://i.postimg.cc/L6GYF7M3/img_icon_medal_310110141.png</t>
  </si>
  <si>
    <t>https://ik.imagekit.io/alaaalaa6171/139%20Kuja%20Pirates_Captain%20-%20Boa%20Hancock%20-%20Medal%20_Perfume%20Femur_.png?updatedAt=1770076426328</t>
  </si>
  <si>
    <t>https://ik.imagekit.io/alaaalaa6171/139%20Kuja%20Pirates_Captain%20-%20Boa%20Hancock%20-%20Medal%20_Perfume%20Femur_%20_Colored_.png?updatedAt=1770076426309</t>
  </si>
  <si>
    <t>https://ik.imagekit.io/alaaalaa6171/139%20Kuja%20Pirates_Captain%20-%20Boa%20Hancock%20-%20Medal%20_Perfume%20Femur_%20-%20Piece.png?updatedAt=1770076426326</t>
  </si>
  <si>
    <t>https://ik.imagekit.io/alaaalaa6171/139%20Kuja%20Pirates_Captain%20-%20Boa%20Hancock%20-%20Medal%20_Perfume%20Femur_%20-%20Piece%20_Colored_.png?updatedAt=1770076426336</t>
  </si>
  <si>
    <t>139 Kuja Pirates / Captain - Boa Hancock</t>
  </si>
  <si>
    <t>291 CP9 - Blueno - Medal _Blueno_ - Piece.png</t>
  </si>
  <si>
    <t>203 - Whitebeard Pirates_3rd Division Commander ~ Jozu - Medal - Crafted [Colored] -  [Jozu]</t>
  </si>
  <si>
    <t>img_icon_medal_310200107.png</t>
  </si>
  <si>
    <t>https://ik.imagekit.io/alaaalaa6171/Event%20Medals/img_icon_medal_310200107.png?updatedAt=1770125378331</t>
  </si>
  <si>
    <t>105 - Medal [Event] - Crafted - Ms. Doublefinger</t>
  </si>
  <si>
    <t>https://i.postimg.cc/jdBwY9rQ/img_icon_medal_310110140.png</t>
  </si>
  <si>
    <t>https://ik.imagekit.io/alaaalaa6171/138%20The%20Greatest%20Swordman%20in%20the%20World%20-%20Dracule%20Mihawk%20-%20Medal%20_The%20Master%20Swordman_.png?updatedAt=1770076426316</t>
  </si>
  <si>
    <t>https://ik.imagekit.io/alaaalaa6171/138%20The%20Greatest%20Swordman%20in%20the%20World%20-%20Dracule%20Mihawk%20-%20Medal%20_The%20Master%20Swordman_%20_Colored_.png?updatedAt=1770076426284</t>
  </si>
  <si>
    <t>https://ik.imagekit.io/alaaalaa6171/138%20The%20Greatest%20Swordman%20in%20the%20World%20-%20Dracule%20Mihawk%20-%20Medal%20_The%20Master%20Swordman_%20-%20Piece.png?updatedAt=1770076426282</t>
  </si>
  <si>
    <t>https://ik.imagekit.io/alaaalaa6171/138%20The%20Greatest%20Swordman%20in%20the%20World%20-%20Dracule%20Mihawk%20-%20Medal%20_The%20Master%20Swordman_%20-%20Piece%20_Colored_.png?updatedAt=1770076426311</t>
  </si>
  <si>
    <t>138 The Greatest Swordman in the World - Dracule Mihawk</t>
  </si>
  <si>
    <t>291 CP9 - Blueno - Medal _Blueno_ - Piece _Colored_.png</t>
  </si>
  <si>
    <t>204 - Blackbeard Pirates_Former Head Jailer of Impel Down ~ Shiryu - Medal - Crafted [Colored] -  [Shiryu]</t>
  </si>
  <si>
    <t>img_icon_medal_310200106.png</t>
  </si>
  <si>
    <t>https://ik.imagekit.io/alaaalaa6171/Event%20Medals/img_icon_medal_310200106.png?updatedAt=1770125377965</t>
  </si>
  <si>
    <t>104 - Medal [Event] - Crafted - Daz Bonez</t>
  </si>
  <si>
    <t>https://i.postimg.cc/xTBJV7Sv/img_icon_medal_310110139.png</t>
  </si>
  <si>
    <t>https://ik.imagekit.io/alaaalaa6171/137%20Former%20World%20Government_Science%20Division%20Member%20-%20Caesar%20Clown%20-%20Medal%20_Caesar_.png?updatedAt=1770076426270</t>
  </si>
  <si>
    <t>https://ik.imagekit.io/alaaalaa6171/137%20Former%20World%20Government_Science%20Division%20Member%20-%20Caesar%20Clown%20-%20Medal%20_Caesar_%20_Colored_.png?updatedAt=1770076426278</t>
  </si>
  <si>
    <t>https://ik.imagekit.io/alaaalaa6171/137%20Former%20World%20Government_Science%20Division%20Member%20-%20Caesar%20Clown%20-%20Medal%20_Caesar_%20-%20Piece.png?updatedAt=1770076426303</t>
  </si>
  <si>
    <t>https://ik.imagekit.io/alaaalaa6171/137%20Former%20World%20Government_Science%20Division%20Member%20-%20Caesar%20Clown%20-%20Medal%20_Caesar_%20-%20Piece%20_Colored_.png?updatedAt=1770076426295</t>
  </si>
  <si>
    <t>137 Former World Government / Science Division Member - Caesar Clown</t>
  </si>
  <si>
    <t>291 CP9 - Blueno - Medal _Blueno_ _Colored_.png</t>
  </si>
  <si>
    <t>205 - Land of Wano ~ Usohachi - Medal - Crafted [Colored] -  [Usohachi]</t>
  </si>
  <si>
    <t>img_icon_medal_310200105.png</t>
  </si>
  <si>
    <t>https://ik.imagekit.io/alaaalaa6171/Event%20Medals/img_icon_medal_310200105.png?updatedAt=1770125377083</t>
  </si>
  <si>
    <t>103 - Medal [Event] - Crafted - Ms. Valentine</t>
  </si>
  <si>
    <t>https://i.postimg.cc/c4PgGjN7/img_icon_medal_310110138.png</t>
  </si>
  <si>
    <t>https://ik.imagekit.io/alaaalaa6171/136%20The%20Seven%20Warlords%20of%20the%20Sea%20-%20Buggy%20-%20Medal%20_Chop_Chop_.png?updatedAt=1770076426251</t>
  </si>
  <si>
    <t>https://ik.imagekit.io/alaaalaa6171/136%20The%20Seven%20Warlords%20of%20the%20Sea%20-%20Buggy%20-%20Medal%20_Chop_Chop_%20_Colored_.png?updatedAt=1770076426304</t>
  </si>
  <si>
    <t>https://ik.imagekit.io/alaaalaa6171/136%20The%20Seven%20Warlords%20of%20the%20Sea%20-%20Buggy%20-%20Medal%20_Chop_Chop_%20-%20Piece.png?updatedAt=1770076426293</t>
  </si>
  <si>
    <t>https://ik.imagekit.io/alaaalaa6171/136%20The%20Seven%20Warlords%20of%20the%20Sea%20-%20Buggy%20-%20Medal%20_Chop_Chop_%20-%20Piece%20_Colored_.png?updatedAt=1770076426242</t>
  </si>
  <si>
    <t>136 The Seven Warlords of the Sea - Buggy</t>
  </si>
  <si>
    <t>290 Seraphim - S-Hawk - Medal _S_Hawk_.png</t>
  </si>
  <si>
    <t>206 - Land of Wano ~ Franosuke - Medal - Crafted [Colored] -  [Franosuke]</t>
  </si>
  <si>
    <t>img_icon_medal_310200104.png</t>
  </si>
  <si>
    <t>https://ik.imagekit.io/alaaalaa6171/Event%20Medals/img_icon_medal_310200104.png?updatedAt=1770125376756</t>
  </si>
  <si>
    <t>102 - Medal [Event] - Crafted - Mr. 5</t>
  </si>
  <si>
    <t>https://i.postimg.cc/c4PgGjNQ/img_icon_medal_310110137.png</t>
  </si>
  <si>
    <t>https://ik.imagekit.io/alaaalaa6171/135%20Superhuman%20-%20Charlotte%20Katakuri%20-%20Medal%20_Buzz%20Cut%20Mochi_.png?updatedAt=1770076426283</t>
  </si>
  <si>
    <t>https://ik.imagekit.io/alaaalaa6171/135%20Superhuman%20-%20Charlotte%20Katakuri%20-%20Medal%20_Buzz%20Cut%20Mochi_%20_Colored_.png?updatedAt=1770076426237</t>
  </si>
  <si>
    <t>https://ik.imagekit.io/alaaalaa6171/135%20Superhuman%20-%20Charlotte%20Katakuri%20-%20Medal%20_Buzz%20Cut%20Mochi_%20-%20Piece.png?updatedAt=1770076426328</t>
  </si>
  <si>
    <t>https://ik.imagekit.io/alaaalaa6171/135%20Superhuman%20-%20Charlotte%20Katakuri%20-%20Medal%20_Buzz%20Cut%20Mochi_%20-%20Piece%20_Colored_.png?updatedAt=1770076426227</t>
  </si>
  <si>
    <t>135 Superhuman - Charlotte Katakuri</t>
  </si>
  <si>
    <t>290 Seraphim - S-Hawk - Medal _S_Hawk_ - Piece.png</t>
  </si>
  <si>
    <t>207 - Shandian Warrior ~ Wyper - Medal - Crafted [Colored] -  [Wyper]</t>
  </si>
  <si>
    <t>img_icon_medal_310200103.png</t>
  </si>
  <si>
    <t>https://ik.imagekit.io/alaaalaa6171/Event%20Medals/img_icon_medal_310200103.png?updatedAt=1770125376880</t>
  </si>
  <si>
    <t>101 - Medal [Event] - Crafted - Bepo</t>
  </si>
  <si>
    <t>https://i.postimg.cc/gk1Xb5PR/img_icon_medal_310110136.png</t>
  </si>
  <si>
    <t>https://ik.imagekit.io/alaaalaa6171/134%20Hunger%20Pangs%20-%20Charlotte%20Linlin%20-%20Medal%20_Ikoku%20Sovereignty_.png?updatedAt=1770076426238</t>
  </si>
  <si>
    <t>https://ik.imagekit.io/alaaalaa6171/134%20Hunger%20Pangs%20-%20Charlotte%20Linlin%20-%20Medal%20_Ikoku%20Sovereignty_%20_Colored_.png?updatedAt=1770076426240</t>
  </si>
  <si>
    <t>https://ik.imagekit.io/alaaalaa6171/134%20Hunger%20Pangs%20-%20Charlotte%20Linlin%20-%20Medal%20_Ikoku%20Sovereignty_%20-%20Piece.png?updatedAt=1770076426228</t>
  </si>
  <si>
    <t>https://ik.imagekit.io/alaaalaa6171/134%20Hunger%20Pangs%20-%20Charlotte%20Linlin%20-%20Medal%20_Ikoku%20Sovereignty_%20-%20Piece%20_Colored_.png?updatedAt=1770076426220</t>
  </si>
  <si>
    <t>134 Hunger Pangs - Charlotte Linlin</t>
  </si>
  <si>
    <t>290 Seraphim - S-Hawk - Medal _S_Hawk_ - Piece _Colored_.png</t>
  </si>
  <si>
    <t>208 - Animal Kingdom Pirates_Tobi Roppo ~ Page One - Medal - Crafted [Colored] -  [Pachycephalosaurus]</t>
  </si>
  <si>
    <t>img_icon_medal_310200102.png</t>
  </si>
  <si>
    <t>https://ik.imagekit.io/alaaalaa6171/Event%20Medals/img_icon_medal_310200102.png?updatedAt=1770125375444</t>
  </si>
  <si>
    <t>100 - Medal [Event] - Crafted - Kid`s Partner</t>
  </si>
  <si>
    <t>https://i.postimg.cc/xTBJV7Sz/img_icon_medal_310110135.png</t>
  </si>
  <si>
    <t>https://ik.imagekit.io/alaaalaa6171/133%20Don%20Quixote%20Family_Officer%20-%20Corazon%20-%20Medal%20_Corazon_.png?updatedAt=1770076426213</t>
  </si>
  <si>
    <t>https://ik.imagekit.io/alaaalaa6171/133%20Don%20Quixote%20Family_Officer%20-%20Corazon%20-%20Medal%20_Corazon_%20_Colored_.png?updatedAt=1770076426324</t>
  </si>
  <si>
    <t>https://ik.imagekit.io/alaaalaa6171/133%20Don%20Quixote%20Family_Officer%20-%20Corazon%20-%20Medal%20_Corazon_%20-%20Piece.png?updatedAt=1770076426201</t>
  </si>
  <si>
    <t>https://ik.imagekit.io/alaaalaa6171/133%20Don%20Quixote%20Family_Officer%20-%20Corazon%20-%20Medal%20_Corazon_%20-%20Piece%20_Colored_.png?updatedAt=1770076426231</t>
  </si>
  <si>
    <t>133 Don Quixote Family / Officer - Corazon</t>
  </si>
  <si>
    <t>290 Seraphim - S-Hawk - Medal _S_Hawk_ _Colored_.png</t>
  </si>
  <si>
    <t>209 - Animal Kingdom Pirates_Tobi Roppo ~ Ulti - Medal - Crafted [Colored] -  [Spinosaurus]</t>
  </si>
  <si>
    <t>img_icon_medal_310200101.png</t>
  </si>
  <si>
    <t>https://ik.imagekit.io/alaaalaa6171/Event%20Medals/img_icon_medal_310200101.png?updatedAt=1770125375769</t>
  </si>
  <si>
    <t>99 - Medal [Event] - Crafted - Heat_Heat</t>
  </si>
  <si>
    <t>https://i.postimg.cc/BQRLfyGP/img_icon_medal_310110134.png</t>
  </si>
  <si>
    <t>https://ik.imagekit.io/alaaalaa6171/132%20The%20Undefeated%20Woman%20-%20Rebecca%20-%20Medal%20_Rebecca_.png?updatedAt=1770076426224</t>
  </si>
  <si>
    <t>https://ik.imagekit.io/alaaalaa6171/132%20The%20Undefeated%20Woman%20-%20Rebecca%20-%20Medal%20_Rebecca_%20_Colored_.png?updatedAt=1770076426188</t>
  </si>
  <si>
    <t>https://ik.imagekit.io/alaaalaa6171/132%20The%20Undefeated%20Woman%20-%20Rebecca%20-%20Medal%20_Rebecca_%20-%20Piece.png?updatedAt=1770076426178</t>
  </si>
  <si>
    <t>https://ik.imagekit.io/alaaalaa6171/132%20The%20Undefeated%20Woman%20-%20Rebecca%20-%20Medal%20_Rebecca_%20-%20Piece%20_Colored_.png?updatedAt=1770076426180</t>
  </si>
  <si>
    <t>132 The Undefeated Woman - Rebecca</t>
  </si>
  <si>
    <t>289 Egghead - Roronoa Zoro - Medal _Egghead Zoro_.png</t>
  </si>
  <si>
    <t>210 - Big Mom Pirates_Crewmate ~ Charlotte Perospero - Medal - Crafted [Colored] -  [Perospero]</t>
  </si>
  <si>
    <t>img_icon_medal_310200100.png</t>
  </si>
  <si>
    <t>https://ik.imagekit.io/alaaalaa6171/Event%20Medals/img_icon_medal_310200100.png?updatedAt=1770125375484</t>
  </si>
  <si>
    <t>98 - Medal [Event] - Crafted - Puff_Puff</t>
  </si>
  <si>
    <t>https://i.postimg.cc/HsFc1KC7/img_icon_medal_310110133.png</t>
  </si>
  <si>
    <t>https://ik.imagekit.io/alaaalaa6171/131%20Surgeon%20of%20Death%20-%20Trafalger%20Law%20-%20Medal%20_Scalpel_.png?updatedAt=1770076426172</t>
  </si>
  <si>
    <t>https://ik.imagekit.io/alaaalaa6171/131%20Surgeon%20of%20Death%20-%20Trafalger%20Law%20-%20Medal%20_Scalpel_%20_Colored_.png?updatedAt=1770076426141</t>
  </si>
  <si>
    <t>https://ik.imagekit.io/alaaalaa6171/131%20Surgeon%20of%20Death%20-%20Trafalger%20Law%20-%20Medal%20_Scalpel_%20-%20Piece.png?updatedAt=1770076426184</t>
  </si>
  <si>
    <t>https://ik.imagekit.io/alaaalaa6171/131%20Surgeon%20of%20Death%20-%20Trafalger%20Law%20-%20Medal%20_Scalpel_%20-%20Piece%20_Colored_.png?updatedAt=1770076426155</t>
  </si>
  <si>
    <t>131 Surgeon of Death - Trafalger Law</t>
  </si>
  <si>
    <t>289 Egghead - Roronoa Zoro - Medal _Egghead Zoro_ - Piece.png</t>
  </si>
  <si>
    <t>211 - Land of Wano ~ Marco - Medal - Crafted [Colored] -  [Phoenix Brand]</t>
  </si>
  <si>
    <t>img_icon_medal_310200099.png</t>
  </si>
  <si>
    <t>https://ik.imagekit.io/alaaalaa6171/Event%20Medals/img_icon_medal_310200099.png?updatedAt=1770125375743</t>
  </si>
  <si>
    <t>97 - Medal [Event] - Crafted - Wanda</t>
  </si>
  <si>
    <t>https://i.postimg.cc/rF702bLD/img_icon_medal_310110132.png</t>
  </si>
  <si>
    <t>https://ik.imagekit.io/alaaalaa6171/130%20Amaru%20-%20Eneru%20-%20Medal%20_Mamaragan_.png?updatedAt=1770076426147</t>
  </si>
  <si>
    <t>https://ik.imagekit.io/alaaalaa6171/130%20Amaru%20-%20Eneru%20-%20Medal%20_Mamaragan_%20_Colored_.png?updatedAt=1770076426171</t>
  </si>
  <si>
    <t>https://ik.imagekit.io/alaaalaa6171/130%20Amaru%20-%20Eneru%20-%20Medal%20_Mamaragan_%20-%20Piece.png?updatedAt=1770076426130</t>
  </si>
  <si>
    <t>https://ik.imagekit.io/alaaalaa6171/130%20Amaru%20-%20Eneru%20-%20Medal%20_Mamaragan_%20-%20Piece%20_Colored_.png?updatedAt=1770076426140</t>
  </si>
  <si>
    <t>130 Amaru - Eneru</t>
  </si>
  <si>
    <t>Hancock (STAMPEDE)</t>
  </si>
  <si>
    <t>289 Egghead - Roronoa Zoro - Medal _Egghead Zoro_ - Piece _Colored_.png</t>
  </si>
  <si>
    <t>212 - STAMPEDE ~ Boa Hancock - Medal - Crafted [Colored] -  [Hancock (STAMPEDE)]</t>
  </si>
  <si>
    <t>img_icon_medal_310200098.png</t>
  </si>
  <si>
    <t>https://ik.imagekit.io/alaaalaa6171/Event%20Medals/img_icon_medal_310200098.png?updatedAt=1770125375519</t>
  </si>
  <si>
    <t>96 - Medal [Event] - Crafted - Shishilian</t>
  </si>
  <si>
    <t>https://i.postimg.cc/wT1yPznX/img_icon_medal_310110131.png</t>
  </si>
  <si>
    <t>https://ik.imagekit.io/alaaalaa6171/129%20CP0%20-%20Rob%20Lucci%20-%20Medal%20_Six%20King%20Pistol_.png?updatedAt=1770076426129</t>
  </si>
  <si>
    <t>https://ik.imagekit.io/alaaalaa6171/129%20CP0%20-%20Rob%20Lucci%20-%20Medal%20_Six%20King%20Pistol_%20_Colored_.png?updatedAt=1770076426175</t>
  </si>
  <si>
    <t>https://ik.imagekit.io/alaaalaa6171/129%20CP0%20-%20Rob%20Lucci%20-%20Medal%20_Six%20King%20Pistol_%20-%20Piece.png?updatedAt=1770076426106</t>
  </si>
  <si>
    <t>https://ik.imagekit.io/alaaalaa6171/129%20CP0%20-%20Rob%20Lucci%20-%20Medal%20_Six%20King%20Pistol_%20-%20Piece%20_Colored_.png?updatedAt=1770076426112</t>
  </si>
  <si>
    <t>129 CP0 - Rob Lucci</t>
  </si>
  <si>
    <t>289 Egghead - Roronoa Zoro - Medal _Egghead Zoro_ _Colored_.png</t>
  </si>
  <si>
    <t>213 - FILM STRONG WORLD ~ Shiki - Medal - Crafted [Colored] -  [Shiki]</t>
  </si>
  <si>
    <t>img_icon_medal_310200097.png</t>
  </si>
  <si>
    <t>https://ik.imagekit.io/alaaalaa6171/Event%20Medals/img_icon_medal_310200097.png?updatedAt=1770125375826</t>
  </si>
  <si>
    <t>95 - Medal [Event] - Crafted - Robiland</t>
  </si>
  <si>
    <t>https://i.postimg.cc/WbdFKVx6/img_icon_medal_310110130.png</t>
  </si>
  <si>
    <t>https://ik.imagekit.io/alaaalaa6171/128%20Land%20of%20Wano%20-%20Luffytaro%20-%20Medal%20_Sumo%20Slap_.png?updatedAt=1770076426131</t>
  </si>
  <si>
    <t>https://ik.imagekit.io/alaaalaa6171/128%20Land%20of%20Wano%20-%20Luffytaro%20-%20Medal%20_Sumo%20Slap_%20_Colored_.png?updatedAt=1770076426091</t>
  </si>
  <si>
    <t>https://ik.imagekit.io/alaaalaa6171/128%20Land%20of%20Wano%20-%20Luffytaro%20-%20Medal%20_Sumo%20Slap_%20-%20Piece.png?updatedAt=1770076426129</t>
  </si>
  <si>
    <t>https://ik.imagekit.io/alaaalaa6171/128%20Land%20of%20Wano%20-%20Luffytaro%20-%20Medal%20_Sumo%20Slap_%20-%20Piece%20_Colored_.png?updatedAt=1770076426114</t>
  </si>
  <si>
    <t>128 Land of Wano - Luffytaro</t>
  </si>
  <si>
    <t>288 Seraphim - S-Snake - Medal _S_Snake_.png</t>
  </si>
  <si>
    <t>214 - FILM GOLD ~ Gild Tesoro - Medal - Crafted [Colored] -  [Tesoro]</t>
  </si>
  <si>
    <t>img_icon_medal_310200096.png</t>
  </si>
  <si>
    <t>https://ik.imagekit.io/alaaalaa6171/Event%20Medals/img_icon_medal_310200096.png?updatedAt=1770125375449</t>
  </si>
  <si>
    <t>94 - Medal [Event] - Crafted - Lucy (Luffy)</t>
  </si>
  <si>
    <t>https://i.postimg.cc/MKnM4wg1/img_icon_medal_310110129.png</t>
  </si>
  <si>
    <t>https://ik.imagekit.io/alaaalaa6171/127%20Land%20of%20Wano%20-%20Onami%20-%20Medal%20_Ninpo%20Iightning%20Blast_.png?updatedAt=1770076426088</t>
  </si>
  <si>
    <t>https://ik.imagekit.io/alaaalaa6171/127%20Land%20of%20Wano%20-%20Onami%20-%20Medal%20_Ninpo%20Iightning%20Blast_%20_Colored_.png?updatedAt=1770076426094</t>
  </si>
  <si>
    <t>https://ik.imagekit.io/alaaalaa6171/127%20Land%20of%20Wano%20-%20Onami%20-%20Medal%20_Ninpo%20Iightning%20Blast_%20-%20Piece.png?updatedAt=1770076426105</t>
  </si>
  <si>
    <t>https://ik.imagekit.io/alaaalaa6171/127%20Land%20of%20Wano%20-%20Onami%20-%20Medal%20_Ninpo%20Iightning%20Blast_%20-%20Piece%20_Colored_.png?updatedAt=1770076426084</t>
  </si>
  <si>
    <t>127 Land of Wano - Onami</t>
  </si>
  <si>
    <t>288 Seraphim - S-Snake - Medal _S_Snake_ - Piece.png</t>
  </si>
  <si>
    <t>215 - FILM Z ~ Zephyr - Medal - Crafted [Colored] -  [Zephyr]</t>
  </si>
  <si>
    <t>img_icon_medal_310200095.png</t>
  </si>
  <si>
    <t>https://ik.imagekit.io/alaaalaa6171/Event%20Medals/img_icon_medal_310200095.png?updatedAt=1770125375620</t>
  </si>
  <si>
    <t>93 - Medal [Event] - Crafted - Pedro</t>
  </si>
  <si>
    <t>https://i.postimg.cc/158nTSb6/img_icon_medal_310110127.png</t>
  </si>
  <si>
    <t>https://ik.imagekit.io/alaaalaa6171/126%20Land%20of%20Wano%20-%20X.Drake%20-%20Medal%20_Drake_.png?updatedAt=1770076426144</t>
  </si>
  <si>
    <t>https://ik.imagekit.io/alaaalaa6171/126%20Land%20of%20Wano%20-%20X.Drake%20-%20Medal%20_Drake_%20_Colored_.png?updatedAt=1770076426091</t>
  </si>
  <si>
    <t>https://ik.imagekit.io/alaaalaa6171/126%20Land%20of%20Wano%20-%20X.Drake%20-%20Medal%20_Drake_%20-%20Piece.png?updatedAt=1770076426135</t>
  </si>
  <si>
    <t>https://ik.imagekit.io/alaaalaa6171/126%20Land%20of%20Wano%20-%20X.Drake%20-%20Medal%20_Drake_%20-%20Piece%20_Colored_.png?updatedAt=1770076426064</t>
  </si>
  <si>
    <t>126 Land of Wano - X.Drake</t>
  </si>
  <si>
    <t>Luffy (FILM RED)</t>
  </si>
  <si>
    <t>288 Seraphim - S-Snake - Medal _S_Snake_ - Piece _Colored_.png</t>
  </si>
  <si>
    <t>216 - FILM RED ~ Uta - Medal - Crafted [Colored] -  [Uta]</t>
  </si>
  <si>
    <t>img_icon_medal_310200094.png</t>
  </si>
  <si>
    <t>https://ik.imagekit.io/alaaalaa6171/Event%20Medals/img_icon_medal_310200094.png?updatedAt=1770125375955</t>
  </si>
  <si>
    <t>92 - Medal [Event] - Crafted - Pekoms</t>
  </si>
  <si>
    <t>https://i.postimg.cc/RVW68m2K/img_icon_medal_310110126.png</t>
  </si>
  <si>
    <t>https://ik.imagekit.io/alaaalaa6171/125%20New%20World%20-%20Eustass%20Kid%20-%20Medal%20_Repel_.png?updatedAt=1770076425955</t>
  </si>
  <si>
    <t>https://ik.imagekit.io/alaaalaa6171/125%20New%20World%20-%20Eustass%20Kid%20-%20Medal%20_Repel_%20_Colored_.png?updatedAt=1770076425939</t>
  </si>
  <si>
    <t>https://ik.imagekit.io/alaaalaa6171/125%20New%20World%20-%20Eustass%20Kid%20-%20Medal%20_Repel_%20-%20Piece.png?updatedAt=1770076426053</t>
  </si>
  <si>
    <t>https://ik.imagekit.io/alaaalaa6171/125%20New%20World%20-%20Eustass%20Kid%20-%20Medal%20_Repel_%20-%20Piece%20_Colored_.png?updatedAt=1770076426053</t>
  </si>
  <si>
    <t>125 New World - Eustass Kid</t>
  </si>
  <si>
    <t>288 Seraphim - S-Snake - Medal _S_Snake_ _Colored_.png</t>
  </si>
  <si>
    <t>217 - FILM RED ~ Monkey D. Luffy - Medal - Crafted [Colored] -  [Luffy (FILM RED)]</t>
  </si>
  <si>
    <t>img_icon_medal_310200093.png</t>
  </si>
  <si>
    <t>https://ik.imagekit.io/alaaalaa6171/Event%20Medals/img_icon_medal_310200093.png?updatedAt=1770125375563</t>
  </si>
  <si>
    <t>91 - Medal [Event] - Crafted - Vice Admiral Tsuru</t>
  </si>
  <si>
    <t>https://i.postimg.cc/3Jk46hzg/img_icon_medal_310110128.png</t>
  </si>
  <si>
    <t>https://ik.imagekit.io/alaaalaa6171/124%20Kid%20Pirates_Fighter%20-%20Killer%20-%20Medal%20_Killer_.png?updatedAt=1770076426084</t>
  </si>
  <si>
    <t>https://ik.imagekit.io/alaaalaa6171/124%20Kid%20Pirates_Fighter%20-%20Killer%20-%20Medal%20_Killer_%20_Colored_.png?updatedAt=1770076426084</t>
  </si>
  <si>
    <t>https://ik.imagekit.io/alaaalaa6171/124%20Kid%20Pirates_Fighter%20-%20Killer%20-%20Medal%20_Killer_%20-%20Piece.png?updatedAt=1770076426032</t>
  </si>
  <si>
    <t>https://ik.imagekit.io/alaaalaa6171/124%20Kid%20Pirates_Fighter%20-%20Killer%20-%20Medal%20_Killer_%20-%20Piece%20_Colored_.png?updatedAt=1770076426082</t>
  </si>
  <si>
    <t>124 Kid Pirates / Fighter - Killer</t>
  </si>
  <si>
    <t>Beckman (FILM RED)</t>
  </si>
  <si>
    <t>287 Egghead - Monkey D. Luffy - Medal _Egghead Luffy_.png</t>
  </si>
  <si>
    <t>218 - FILM RED ~ Shanks - Medal - Crafted [Colored] -  [Shanks (FILM RED)]</t>
  </si>
  <si>
    <t>img_icon_medal_310200092.png</t>
  </si>
  <si>
    <t>https://ik.imagekit.io/alaaalaa6171/Event%20Medals/img_icon_medal_310200092.png?updatedAt=1770125375604</t>
  </si>
  <si>
    <t>90 - Medal [Event] - Crafted - Admiral Sengoku</t>
  </si>
  <si>
    <t>https://i.postimg.cc/zXybMN4g/img_icon_medal_310110125.png</t>
  </si>
  <si>
    <t>https://ik.imagekit.io/alaaalaa6171/123%20On-Air%20Pirates_Captain%20-%20Scratchmen%20Apoo%20-%20Medal%20_Apoo_.png?updatedAt=1770076426156</t>
  </si>
  <si>
    <t>https://ik.imagekit.io/alaaalaa6171/123%20On-Air%20Pirates_Captain%20-%20Scratchmen%20Apoo%20-%20Medal%20_Apoo_%20_Colored_.png?updatedAt=1770076426102</t>
  </si>
  <si>
    <t>https://ik.imagekit.io/alaaalaa6171/123%20On-Air%20Pirates_Captain%20-%20Scratchmen%20Apoo%20-%20Medal%20_Apoo_%20-%20Piece.png?updatedAt=1770076426025</t>
  </si>
  <si>
    <t>https://ik.imagekit.io/alaaalaa6171/123%20On-Air%20Pirates_Captain%20-%20Scratchmen%20Apoo%20-%20Medal%20_Apoo_%20-%20Piece%20_Colored_.png?updatedAt=1770076426049</t>
  </si>
  <si>
    <t>123 On-Air Pirates / Captain - Scratchmen Apoo</t>
  </si>
  <si>
    <t>Shanks (FILM RED)</t>
  </si>
  <si>
    <t>287 Egghead - Monkey D. Luffy - Medal _Egghead Luffy_ - Piece.png</t>
  </si>
  <si>
    <t>219 - FILM RED ~ Ben Beckman - Medal - Crafted [Colored] -  [Beckman (FILM RED)]</t>
  </si>
  <si>
    <t>img_icon_medal_310200091.png</t>
  </si>
  <si>
    <t>https://ik.imagekit.io/alaaalaa6171/Event%20Medals/img_icon_medal_310200091.png?updatedAt=1770125375295</t>
  </si>
  <si>
    <t>89 - Medal [Event] - Crafted - Veteran Kunoichi</t>
  </si>
  <si>
    <t>https://i.postimg.cc/ZKWBgmXN/img_icon_medal_310110124.png</t>
  </si>
  <si>
    <t>https://ik.imagekit.io/alaaalaa6171/122%20Fallen%20Monk%20Pirates_Captain%20'Mad%20Monk'%20-%20Urouge%20-%20Medal%20_Urouge_.png?updatedAt=1770076425996</t>
  </si>
  <si>
    <t>https://ik.imagekit.io/alaaalaa6171/122%20Fallen%20Monk%20Pirates_Captain%20'Mad%20Monk'%20-%20Urouge%20-%20Medal%20_Urouge_%20_Colored_.png?updatedAt=1770076426080</t>
  </si>
  <si>
    <t>https://ik.imagekit.io/alaaalaa6171/122%20Fallen%20Monk%20Pirates_Captain%20'Mad%20Monk'%20-%20Urouge%20-%20Medal%20_Urouge_%20-%20Piece.png?updatedAt=1770076426119</t>
  </si>
  <si>
    <t>https://ik.imagekit.io/alaaalaa6171/122%20Fallen%20Monk%20Pirates_Captain%20'Mad%20Monk'%20-%20Urouge%20-%20Medal%20_Urouge_%20-%20Piece%20_Colored_.png?updatedAt=1770076426033</t>
  </si>
  <si>
    <t>122 Fallen Monk Pirates / Captain "Mad Monk" - Urouge</t>
  </si>
  <si>
    <t>Nami (FILM RED)</t>
  </si>
  <si>
    <t>287 Egghead - Monkey D. Luffy - Medal _Egghead Luffy_ - Piece _Colored_.png</t>
  </si>
  <si>
    <t>220 - FILM RED ~ Nami - Medal - Crafted [Colored] -  [Nami (FILM RED)]</t>
  </si>
  <si>
    <t>img_icon_medal_310200090.png</t>
  </si>
  <si>
    <t>https://ik.imagekit.io/alaaalaa6171/Event%20Medals/img_icon_medal_310200090.png?updatedAt=1770125375189</t>
  </si>
  <si>
    <t>88 - Medal [Event] - Crafted - Raizo of the Mist</t>
  </si>
  <si>
    <t>https://i.postimg.cc/6582SKFG/img_icon_medal_310110123.png</t>
  </si>
  <si>
    <t>https://ik.imagekit.io/alaaalaa6171/121%20Navy%20HQ_Fleet%20Admiral%20-%20Sengoku%20-%20Medal%20_Sengoku_.png?updatedAt=1770076425996</t>
  </si>
  <si>
    <t>https://ik.imagekit.io/alaaalaa6171/121%20Navy%20HQ_Fleet%20Admiral%20-%20Sengoku%20-%20Medal%20_Sengoku_%20_Colored_.png?updatedAt=1770076426053</t>
  </si>
  <si>
    <t>https://ik.imagekit.io/alaaalaa6171/121%20Navy%20HQ_Fleet%20Admiral%20-%20Sengoku%20-%20Medal%20_Sengoku_%20-%20Piece.png?updatedAt=1770076426127</t>
  </si>
  <si>
    <t>https://ik.imagekit.io/alaaalaa6171/121%20Navy%20HQ_Fleet%20Admiral%20-%20Sengoku%20-%20Medal%20_Sengoku_%20-%20Piece%20_Colored_.png?updatedAt=1770076425963</t>
  </si>
  <si>
    <t>121 Navy HQ / Fleet Admiral - Sengoku</t>
  </si>
  <si>
    <t>Chopper (FILM RED)</t>
  </si>
  <si>
    <t>287 Egghead - Monkey D. Luffy - Medal _Egghead Luffy_ _Colored_.png</t>
  </si>
  <si>
    <t>221 - FILM RED ~ Tony Tony Chopper - Medal - Crafted [Colored] -  [Chopper (FILM RED)]</t>
  </si>
  <si>
    <t>img_icon_medal_310200089.png</t>
  </si>
  <si>
    <t>https://ik.imagekit.io/alaaalaa6171/Event%20Medals/img_icon_medal_310200089.png?updatedAt=1770125375220</t>
  </si>
  <si>
    <t>87 - Medal [Event] - Crafted - The Strongest Creature</t>
  </si>
  <si>
    <t>https://i.postimg.cc/02zM3vhM/img_icon_medal_310110122.png</t>
  </si>
  <si>
    <t>https://ik.imagekit.io/alaaalaa6171/120%20The%20Pirate%20King%60s%20Right%20Arm%20The%20Dark%20King%20-%20Silvers%20Rayleigh%20-%20Medal%20_Rayleigh_.png?updatedAt=1770076426037</t>
  </si>
  <si>
    <t>https://ik.imagekit.io/alaaalaa6171/120%20The%20Pirate%20King%60s%20Right%20Arm%20The%20Dark%20King%20-%20Silvers%20Rayleigh%20-%20Medal%20_Rayleigh_%20_Colored_.png?updatedAt=1770076426055</t>
  </si>
  <si>
    <t>https://ik.imagekit.io/alaaalaa6171/120%20The%20Pirate%20King%60s%20Right%20Arm%20The%20Dark%20King%20-%20Silvers%20Rayleigh%20-%20Medal%20_Rayleigh_%20-%20Piece.png?updatedAt=1770076425925</t>
  </si>
  <si>
    <t>https://ik.imagekit.io/alaaalaa6171/120%20The%20Pirate%20King%60s%20Right%20Arm%20The%20Dark%20King%20-%20Silvers%20Rayleigh%20-%20Medal%20_Rayleigh_%20-%20Piece%20_Colored_.png?updatedAt=1770076424619</t>
  </si>
  <si>
    <t>120 The Pirate King`s Right Arm The Dark King - Silvers Rayleigh</t>
  </si>
  <si>
    <t>Usopp (FILM RED)</t>
  </si>
  <si>
    <t>286 The Navy's Human Weapon - Pacifista - Medal _Pacifista_.png</t>
  </si>
  <si>
    <t>222 - FILM RED ~ Yasopp - Medal - Crafted [Colored] -  [Yasopp (FILM RED)]</t>
  </si>
  <si>
    <t>img_icon_medal_310200088.png</t>
  </si>
  <si>
    <t>https://ik.imagekit.io/alaaalaa6171/Event%20Medals/img_icon_medal_310200088.png?updatedAt=1770125375422</t>
  </si>
  <si>
    <t>86 - Medal [Event] - Crafted - Hiyori</t>
  </si>
  <si>
    <t>https://i.postimg.cc/jdDw9TBn/img_icon_medal_310110120.png</t>
  </si>
  <si>
    <t>https://ik.imagekit.io/alaaalaa6171/119%20Gear%20Four_Snakeman%20-%20Monkey%20D.%20Luffy%20-%20Medal%20_King%20Cobra_.png?updatedAt=1770076424151</t>
  </si>
  <si>
    <t>https://ik.imagekit.io/alaaalaa6171/119%20Gear%20Four_Snakeman%20-%20Monkey%20D.%20Luffy%20-%20Medal%20_King%20Cobra_%20_Colored_.png?updatedAt=1770076424007</t>
  </si>
  <si>
    <t>https://ik.imagekit.io/alaaalaa6171/119%20Gear%20Four_Snakeman%20-%20Monkey%20D.%20Luffy%20-%20Medal%20_King%20Cobra_%20-%20Piece.png?updatedAt=1770076423803</t>
  </si>
  <si>
    <t>https://ik.imagekit.io/alaaalaa6171/119%20Gear%20Four_Snakeman%20-%20Monkey%20D.%20Luffy%20-%20Medal%20_King%20Cobra_%20-%20Piece%20_Colored_.png?updatedAt=1770076423462</t>
  </si>
  <si>
    <t>119 Gear Four / Snakeman - Monkey D. Luffy</t>
  </si>
  <si>
    <t>Yasopp (FILM RED)</t>
  </si>
  <si>
    <t>286 The Navy's Human Weapon - Pacifista - Medal _Pacifista_ - Piece.png</t>
  </si>
  <si>
    <t>223 - FILM RED ~ Usopp - Medal - Crafted [Colored] -  [Usopp (FILM RED)]</t>
  </si>
  <si>
    <t>img_icon_medal_310200087.png</t>
  </si>
  <si>
    <t>https://ik.imagekit.io/alaaalaa6171/Event%20Medals/img_icon_medal_310200087.png?updatedAt=1770125375948</t>
  </si>
  <si>
    <t>85 - Medal [Event] - Crafted - Momonosuke</t>
  </si>
  <si>
    <t>https://i.postimg.cc/8P7J3GxF/img_icon_medal_310110119.png</t>
  </si>
  <si>
    <t>https://ik.imagekit.io/alaaalaa6171/118%20Revolutoonary%20Army%20-%20Emporio%20Ivankov%20-%20Medal%20_Ivankov_.png?updatedAt=1770076422315</t>
  </si>
  <si>
    <t>https://ik.imagekit.io/alaaalaa6171/118%20Revolutoonary%20Army%20-%20Emporio%20Ivankov%20-%20Medal%20_Ivankov_%20_Colored_.png?updatedAt=1770076422113</t>
  </si>
  <si>
    <t>https://ik.imagekit.io/alaaalaa6171/118%20Revolutoonary%20Army%20-%20Emporio%20Ivankov%20-%20Medal%20_Ivankov_%20-%20Piece.png?updatedAt=1770076422041</t>
  </si>
  <si>
    <t>https://ik.imagekit.io/alaaalaa6171/118%20Revolutoonary%20Army%20-%20Emporio%20Ivankov%20-%20Medal%20_Ivankov_%20-%20Piece%20_Colored_.png?updatedAt=1770076421853</t>
  </si>
  <si>
    <t>118 Revolutoonary Army - Emporio Ivankov</t>
  </si>
  <si>
    <t>286 The Navy's Human Weapon - Pacifista - Medal _Pacifista_ - Piece _Colored_.png</t>
  </si>
  <si>
    <t>224 - The Bullet of Dressrosa ~ Bellamy - Medal - Crafted [Colored] -  [Boing_Boing]</t>
  </si>
  <si>
    <t>img_icon_medal_310200086.png</t>
  </si>
  <si>
    <t>https://ik.imagekit.io/alaaalaa6171/Event%20Medals/img_icon_medal_310200086.png?updatedAt=1770125375493</t>
  </si>
  <si>
    <t>84 - Medal [Event] - Crafted - Toad_Oil Salesman</t>
  </si>
  <si>
    <t>https://i.postimg.cc/BQjLy3R6/img_icon_medal_310110118.png</t>
  </si>
  <si>
    <t>https://ik.imagekit.io/alaaalaa6171/117%20Impel%20Down_Warden%20-%20Magellan%20-%20Medal%20_Magellan_.png?updatedAt=1770076421679</t>
  </si>
  <si>
    <t>https://ik.imagekit.io/alaaalaa6171/117%20Impel%20Down_Warden%20-%20Magellan%20-%20Medal%20_Magellan_%20_Colored_.png?updatedAt=1770076421687</t>
  </si>
  <si>
    <t>https://ik.imagekit.io/alaaalaa6171/117%20Impel%20Down_Warden%20-%20Magellan%20-%20Medal%20_Magellan_%20-%20Piece.png?updatedAt=1770076421299</t>
  </si>
  <si>
    <t>https://ik.imagekit.io/alaaalaa6171/117%20Impel%20Down_Warden%20-%20Magellan%20-%20Medal%20_Magellan_%20-%20Piece%20_Colored_.png?updatedAt=1770076421267</t>
  </si>
  <si>
    <t>117 Impel Down / Warden - Magellan</t>
  </si>
  <si>
    <t>286 The Navy's Human Weapon - Pacifista - Medal _Pacifista_ _Colored_.png</t>
  </si>
  <si>
    <t>225 - Don Quixote Pirates_Supreme Officer ~ Diamante - Medal - Crafted [Colored] -  [Ripple_Ripple]</t>
  </si>
  <si>
    <t>img_icon_medal_310200085.png</t>
  </si>
  <si>
    <t>https://ik.imagekit.io/alaaalaa6171/Event%20Medals/img_icon_medal_310200085.png?updatedAt=1770125376062</t>
  </si>
  <si>
    <t>83 - Medal [Event] - Crafted - Carpenter</t>
  </si>
  <si>
    <t>https://i.postimg.cc/kX26ZCL5/img_icon_medal_310110115.png</t>
  </si>
  <si>
    <t>https://ik.imagekit.io/alaaalaa6171/116%20Gerand%20Line%20Navel%20Base%205_Vice%20Admiral%20-%20Smoker%201%20-%20Medal%20_Mad%20Dog%20of%20the%20Navy_.png?updatedAt=1770076421674</t>
  </si>
  <si>
    <t>https://ik.imagekit.io/alaaalaa6171/116%20Gerand%20Line%20Navel%20Base%205_Vice%20Admiral%20-%20Smoker%201%20-%20Medal%20_Mad%20Dog%20of%20the%20Navy_%20_Colored_.png?updatedAt=1770076421253</t>
  </si>
  <si>
    <t>https://ik.imagekit.io/alaaalaa6171/116%20Gerand%20Line%20Navel%20Base%205_Vice%20Admiral%20-%20Smoker%201%20-%20Medal%20_Mad%20Dog%20of%20the%20Navy_%20-%20Piece.png?updatedAt=1770076421261</t>
  </si>
  <si>
    <t>https://ik.imagekit.io/alaaalaa6171/116%20Gerand%20Line%20Navel%20Base%205_Vice%20Admiral%20-%20Smoker%201%20-%20Medal%20_Mad%20Dog%20of%20the%20Navy_%20-%20Piece%20_Colored_.png?updatedAt=1770076421284</t>
  </si>
  <si>
    <t>116 Gerand Line Navel Base 5 / Vice Admiral - Smoker 1</t>
  </si>
  <si>
    <t>285 The Most Defensive Man in the World - Sentomaru - Medal _Axe_.png</t>
  </si>
  <si>
    <t>226 - Don Quixote Pirates_Supreme Officer ~ Trebol - Medal - Crafted [Colored] -  [Trebol]</t>
  </si>
  <si>
    <t>img_icon_medal_310200084.png</t>
  </si>
  <si>
    <t>https://ik.imagekit.io/alaaalaa6171/Event%20Medals/img_icon_medal_310200084.png?updatedAt=1770125375852</t>
  </si>
  <si>
    <t>82 - Medal [Event] - Crafted - Sanji (Chambres)</t>
  </si>
  <si>
    <t>https://i.postimg.cc/5NXYGJDj/img_icon_medal_310110117.png</t>
  </si>
  <si>
    <t>https://ik.imagekit.io/alaaalaa6171/115%20Grand%20Line%20Naval%20Base%205_Captain%20-%20Tashigi%20-%20Medal%20_Cutting%20Mist_.png?updatedAt=1770076421267</t>
  </si>
  <si>
    <t>https://ik.imagekit.io/alaaalaa6171/115%20Grand%20Line%20Naval%20Base%205_Captain%20-%20Tashigi%20-%20Medal%20_Cutting%20Mist_%20_Colored_.png?updatedAt=1770076421305</t>
  </si>
  <si>
    <t>https://ik.imagekit.io/alaaalaa6171/115%20Grand%20Line%20Naval%20Base%205_Captain%20-%20Tashigi%20-%20Medal%20_Cutting%20Mist_%20-%20Piece.png?updatedAt=1770076421261</t>
  </si>
  <si>
    <t>https://ik.imagekit.io/alaaalaa6171/115%20Grand%20Line%20Naval%20Base%205_Captain%20-%20Tashigi%20-%20Medal%20_Cutting%20Mist_%20-%20Piece%20_Colored_.png?updatedAt=1770076421705</t>
  </si>
  <si>
    <t>115 Grand Line Naval Base 5 / Captain - Tashigi</t>
  </si>
  <si>
    <t>285 The Most Defensive Man in the World - Sentomaru - Medal _Axe_ - Piece.png</t>
  </si>
  <si>
    <t>227 - Veteran Kunoichi ~ Shinobu - Medal - Crafted [Colored] -  [Shinobu]</t>
  </si>
  <si>
    <t>img_icon_medal_310200083.png</t>
  </si>
  <si>
    <t>https://ik.imagekit.io/alaaalaa6171/Event%20Medals/img_icon_medal_310200083.png?updatedAt=1770125375355</t>
  </si>
  <si>
    <t>81 - Medal [Event] - Crafted - Tashigi (Chambres)</t>
  </si>
  <si>
    <t>https://i.postimg.cc/RVW68m2h/img_icon_medal_310110116.png</t>
  </si>
  <si>
    <t>https://ik.imagekit.io/alaaalaa6171/114%20Navy%20HQ_Rear%20Admiral%20-%20Hina%20-%20Medal%20_Hina_.png?updatedAt=1770076421329</t>
  </si>
  <si>
    <t>https://ik.imagekit.io/alaaalaa6171/114%20Navy%20HQ_Rear%20Admiral%20-%20Hina%20-%20Medal%20_Hina_%20_Colored_.png?updatedAt=1770076421251</t>
  </si>
  <si>
    <t>https://ik.imagekit.io/alaaalaa6171/114%20Navy%20HQ_Rear%20Admiral%20-%20Hina%20-%20Medal%20_Hina_%20-%20Piece.png?updatedAt=1770076421688</t>
  </si>
  <si>
    <t>https://ik.imagekit.io/alaaalaa6171/114%20Navy%20HQ_Rear%20Admiral%20-%20Hina%20-%20Medal%20_Hina_%20-%20Piece%20_Colored_.png?updatedAt=1770076421267</t>
  </si>
  <si>
    <t>114 Navy HQ / Rear Admiral - Hina</t>
  </si>
  <si>
    <t>285 The Most Defensive Man in the World - Sentomaru - Medal _Axe_ - Piece _Colored_.png</t>
  </si>
  <si>
    <t>228 - Kozuki Clan_Servant ~ Raizo - Medal - Crafted [Colored] -  [Raizo]</t>
  </si>
  <si>
    <t>img_icon_medal_310200082.png</t>
  </si>
  <si>
    <t>https://ik.imagekit.io/alaaalaa6171/Event%20Medals/img_icon_medal_310200082.png?updatedAt=1770125375388</t>
  </si>
  <si>
    <t>80 - Medal [Event] - Crafted - Marigold</t>
  </si>
  <si>
    <t>https://i.postimg.cc/9FDRS2sF/img_icon_medal_310110114.png</t>
  </si>
  <si>
    <t>https://ik.imagekit.io/alaaalaa6171/113%20STAMPEDE%20-%20Douglas%20Bullet%20-%20Medal%20_The%20Demon%20Heir_.png?updatedAt=1770076421259</t>
  </si>
  <si>
    <t>https://ik.imagekit.io/alaaalaa6171/113%20STAMPEDE%20-%20Douglas%20Bullet%20-%20Medal%20_The%20Demon%20Heir_%20_Colored_.png?updatedAt=1770076421253</t>
  </si>
  <si>
    <t>https://ik.imagekit.io/alaaalaa6171/113%20STAMPEDE%20-%20Douglas%20Bullet%20-%20Medal%20_The%20Demon%20Heir_%20-%20Piece.png?updatedAt=1770076421223</t>
  </si>
  <si>
    <t>https://ik.imagekit.io/alaaalaa6171/113%20STAMPEDE%20-%20Douglas%20Bullet%20-%20Medal%20_The%20Demon%20Heir_%20-%20Piece%20_Colored_.png?updatedAt=1770076421696</t>
  </si>
  <si>
    <t>113 STAMPEDE - Douglas Bullet</t>
  </si>
  <si>
    <t>285 The Most Defensive Man in the World - Sentomaru - Medal _Axe_ _Colored_.png</t>
  </si>
  <si>
    <t>229 - Hyogoro Family_Big Boss ~ Hyogoro - Medal - Crafted [Colored] -  [Hyogoro]</t>
  </si>
  <si>
    <t>img_icon_medal_310200081.png</t>
  </si>
  <si>
    <t>https://ik.imagekit.io/alaaalaa6171/Event%20Medals/img_icon_medal_310200081.png?updatedAt=1770125375551</t>
  </si>
  <si>
    <t>79 - Medal [Event] - Crafted - Sandersonia</t>
  </si>
  <si>
    <t>https://i.postimg.cc/qMNhYrWv/img_icon_medal_310110113.png</t>
  </si>
  <si>
    <t>https://ik.imagekit.io/alaaalaa6171/112%20The%20King%20of%20the%20Snipers%20-%20Sniper%20King%20-%20Medal%20_Fire%20Bird_.png?updatedAt=1770076421205</t>
  </si>
  <si>
    <t>https://ik.imagekit.io/alaaalaa6171/112%20The%20King%20of%20the%20Snipers%20-%20Sniper%20King%20-%20Medal%20_Fire%20Bird_%20_Colored_.png?updatedAt=1770076421249</t>
  </si>
  <si>
    <t>https://ik.imagekit.io/alaaalaa6171/112%20The%20King%20of%20the%20Snipers%20-%20Sniper%20King%20-%20Medal%20_Fire%20Bird_%20-%20Piece.png?updatedAt=1770076421187</t>
  </si>
  <si>
    <t>https://ik.imagekit.io/alaaalaa6171/112%20The%20King%20of%20the%20Snipers%20-%20Sniper%20King%20-%20Medal%20_Fire%20Bird_%20-%20Piece%20_Colored_.png?updatedAt=1770076421405</t>
  </si>
  <si>
    <t>112 The King of the Snipers - Sniper King</t>
  </si>
  <si>
    <t>284 Fake Straw Hat Pirates_Captain - Demaro Black - Medal _Demaro Black_.png</t>
  </si>
  <si>
    <t>230 - Top Secret Special Force Captain of 'Sword' ~ X. Drake - Medal - Crafted [Colored] -  [X Calibur]</t>
  </si>
  <si>
    <t>img_icon_medal_310200080.png</t>
  </si>
  <si>
    <t>https://ik.imagekit.io/alaaalaa6171/Event%20Medals/img_icon_medal_310200080.png?updatedAt=1770125375628</t>
  </si>
  <si>
    <t>78 - Medal [Event] - Crafted - Iron Mace</t>
  </si>
  <si>
    <t>https://i.postimg.cc/CLRBt09M/img_icon_medal_310110112.png</t>
  </si>
  <si>
    <t>https://ik.imagekit.io/alaaalaa6171/111%20CP9%20-%20Kaku%20-%20Medal%20_Kaku_.png?updatedAt=1770076421175</t>
  </si>
  <si>
    <t>https://ik.imagekit.io/alaaalaa6171/111%20CP9%20-%20Kaku%20-%20Medal%20_Kaku_%20_Colored_.png?updatedAt=1770076421409</t>
  </si>
  <si>
    <t>https://ik.imagekit.io/alaaalaa6171/111%20CP9%20-%20Kaku%20-%20Medal%20_Kaku_%20-%20Piece.png?updatedAt=1770076421220</t>
  </si>
  <si>
    <t>https://ik.imagekit.io/alaaalaa6171/111%20CP9%20-%20Kaku%20-%20Medal%20_Kaku_%20-%20Piece%20_Colored_.png?updatedAt=1770076421434</t>
  </si>
  <si>
    <t>111 CP9 - Kaku</t>
  </si>
  <si>
    <t>284 Fake Straw Hat Pirates_Captain - Demaro Black - Medal _Demaro Black_ - Piece.png</t>
  </si>
  <si>
    <t>231 - Animal Kingdom Pirates_Lead Performer ~ King - Medal - Crafted [Colored] -  [King]</t>
  </si>
  <si>
    <t>img_icon_medal_310200079.png</t>
  </si>
  <si>
    <t>https://ik.imagekit.io/alaaalaa6171/Event%20Medals/img_icon_medal_310200079.png?updatedAt=1770125375749</t>
  </si>
  <si>
    <t>77 - Medal [Event] - Crafted - Loan Shark</t>
  </si>
  <si>
    <t>https://i.postimg.cc/J4sDg8Sm/img_icon_medal_310110111.png</t>
  </si>
  <si>
    <t>https://ik.imagekit.io/alaaalaa6171/110%20CP9%20-%20Rob%20Lucci%20-%20Medal%20_Lucci_.png?updatedAt=1770076421191</t>
  </si>
  <si>
    <t>https://ik.imagekit.io/alaaalaa6171/110%20CP9%20-%20Rob%20Lucci%20-%20Medal%20_Lucci_%20_Colored_.png?updatedAt=1770076421184</t>
  </si>
  <si>
    <t>https://ik.imagekit.io/alaaalaa6171/110%20CP9%20-%20Rob%20Lucci%20-%20Medal%20_Lucci_%20-%20Piece.png?updatedAt=1770076421431</t>
  </si>
  <si>
    <t>https://ik.imagekit.io/alaaalaa6171/110%20CP9%20-%20Rob%20Lucci%20-%20Medal%20_Lucci_%20-%20Piece%20_Colored_.png?updatedAt=1770076421166</t>
  </si>
  <si>
    <t>110 CP9 - Rob Lucci</t>
  </si>
  <si>
    <t>284 Fake Straw Hat Pirates_Captain - Demaro Black - Medal _Demaro Black_ - Piece _Colored_.png</t>
  </si>
  <si>
    <t>232 - ODYSSEY ~ Adio Suerte - Medal - Crafted [Colored] -  [Adio]</t>
  </si>
  <si>
    <t>img_icon_medal_310200078.png</t>
  </si>
  <si>
    <t>https://ik.imagekit.io/alaaalaa6171/Event%20Medals/img_icon_medal_310200078.png?updatedAt=1770125375511</t>
  </si>
  <si>
    <t>76 - Medal [Event] - Crafted - Truly Favored Sister</t>
  </si>
  <si>
    <t>https://i.postimg.cc/sDMQ8zbs/img_icon_medal_310110110.png</t>
  </si>
  <si>
    <t>https://ik.imagekit.io/alaaalaa6171/109%20Luffy%60s%20Brother%20-%20Sabo%20-%20Medal%20_Flame%20Dragon%20King_.png?updatedAt=1770076421230</t>
  </si>
  <si>
    <t>https://ik.imagekit.io/alaaalaa6171/109%20Luffy%60s%20Brother%20-%20Sabo%20-%20Medal%20_Flame%20Dragon%20King_%20_Colored_.png?updatedAt=1770076421607</t>
  </si>
  <si>
    <t>https://ik.imagekit.io/alaaalaa6171/109%20Luffy%60s%20Brother%20-%20Sabo%20-%20Medal%20_Flame%20Dragon%20King_%20-%20Piece.png?updatedAt=1770076421184</t>
  </si>
  <si>
    <t>https://ik.imagekit.io/alaaalaa6171/109%20Luffy%60s%20Brother%20-%20Sabo%20-%20Medal%20_Flame%20Dragon%20King_%20-%20Piece%20_Colored_.png?updatedAt=1770076421135</t>
  </si>
  <si>
    <t>109 Luffy`s Brother - Sabo</t>
  </si>
  <si>
    <t>284 Fake Straw Hat Pirates_Captain - Demaro Black - Medal _Demaro Black_ _Colored_.png</t>
  </si>
  <si>
    <t>233 - Battle of Monsters on Onigashima ~ Olin the Oiran - Medal - Crafted [Colored] -  [Olin]</t>
  </si>
  <si>
    <t>img_icon_medal_310200077.png</t>
  </si>
  <si>
    <t>https://ik.imagekit.io/alaaalaa6171/Event%20Medals/img_icon_medal_310200077.png?updatedAt=1770125375577</t>
  </si>
  <si>
    <t>75 - Medal [Event] - Crafted - Mirror_Mirror</t>
  </si>
  <si>
    <t>https://i.postimg.cc/wT1yPznp/img_icon_medal_310110109.png</t>
  </si>
  <si>
    <t>https://ik.imagekit.io/alaaalaa6171/108%20Navy%20HQ_Admiral%20Fujitora%20-%20_Issho_%20-%20Medal%20_Fujitora_.png?updatedAt=1770076421203</t>
  </si>
  <si>
    <t>https://ik.imagekit.io/alaaalaa6171/108%20Navy%20HQ_Admiral%20Fujitora%20-%20_Issho_%20-%20Medal%20_Fujitora_%20_Colored_.png?updatedAt=1770076421166</t>
  </si>
  <si>
    <t>https://ik.imagekit.io/alaaalaa6171/108%20Navy%20HQ_Admiral%20Fujitora%20-%20_Issho_%20-%20Medal%20_Fujitora_%20-%20Piece.png?updatedAt=1770076421156</t>
  </si>
  <si>
    <t>https://ik.imagekit.io/alaaalaa6171/108%20Navy%20HQ_Admiral%20Fujitora%20-%20_Issho_%20-%20Medal%20_Fujitora_%20-%20Piece%20_Colored_.png?updatedAt=1770076421149</t>
  </si>
  <si>
    <t>108 Navy HQ / Admiral Fujitora - [Issho]</t>
  </si>
  <si>
    <t>Conqueror of Three Worlds Raganaraku</t>
  </si>
  <si>
    <t>283 Lvneel Kingdom_Exploration Ship Admiral - Mont Blanc Noland - Medal _Shandia`s Savior_.png</t>
  </si>
  <si>
    <t>234 - Battle of Monsters on Onigashima ~ Kaido - Medal - Crafted [Colored] -  [Conqueror of Three Worlds Raganaraku]</t>
  </si>
  <si>
    <t>img_icon_medal_310200076.png</t>
  </si>
  <si>
    <t>https://ik.imagekit.io/alaaalaa6171/Event%20Medals/img_icon_medal_310200076.png?updatedAt=1770125375615</t>
  </si>
  <si>
    <t>74 - Medal [Event] - Crafted - Hobby_Hobby</t>
  </si>
  <si>
    <t>https://i.postimg.cc/VLJrTw2c/img_icon_medal_310110108.png</t>
  </si>
  <si>
    <t>https://ik.imagekit.io/alaaalaa6171/107%20Beautiful%20Pirates_Captain%20-%20Cavendish%20-%20Medal%20_Cavendish_.png?updatedAt=1770076421159</t>
  </si>
  <si>
    <t>https://ik.imagekit.io/alaaalaa6171/107%20Beautiful%20Pirates_Captain%20-%20Cavendish%20-%20Medal%20_Cavendish_%20_Colored_.png?updatedAt=1770076421134</t>
  </si>
  <si>
    <t>https://ik.imagekit.io/alaaalaa6171/107%20Beautiful%20Pirates_Captain%20-%20Cavendish%20-%20Medal%20_Cavendish_%20-%20Piece.png?updatedAt=1770076421129</t>
  </si>
  <si>
    <t>https://ik.imagekit.io/alaaalaa6171/107%20Beautiful%20Pirates_Captain%20-%20Cavendish%20-%20Medal%20_Cavendish_%20-%20Piece%20_Colored_.png?updatedAt=1770076421164</t>
  </si>
  <si>
    <t>107 Beautiful Pirates / Captain - Cavendish</t>
  </si>
  <si>
    <t>283 Lvneel Kingdom_Exploration Ship Admiral - Mont Blanc Noland - Medal _Shandia`s Savior_ - Piece.png</t>
  </si>
  <si>
    <t>235 - Raid on Onigashima ~ Roronoa Zoro - Medal - Crafted [Colored] -  [Enma]</t>
  </si>
  <si>
    <t>img_icon_medal_310200075.png</t>
  </si>
  <si>
    <t>https://ik.imagekit.io/alaaalaa6171/Event%20Medals/img_icon_medal_310200075.png?updatedAt=1770125375845</t>
  </si>
  <si>
    <t>73 - Medal [Event] - Crafted - Stick_Stick</t>
  </si>
  <si>
    <t>https://i.postimg.cc/4NY7MGjC/img_icon_medal_310110107.png</t>
  </si>
  <si>
    <t>https://ik.imagekit.io/alaaalaa6171/106%20Barto%20Club_Captain%20-%20Bartolomeo%20-%20Medal%20_Bartolomeo_.png?updatedAt=1770076421160</t>
  </si>
  <si>
    <t>https://ik.imagekit.io/alaaalaa6171/106%20Barto%20Club_Captain%20-%20Bartolomeo%20-%20Medal%20_Bartolomeo_%20_Colored_.png?updatedAt=1770076421162</t>
  </si>
  <si>
    <t>https://ik.imagekit.io/alaaalaa6171/106%20Barto%20Club_Captain%20-%20Bartolomeo%20-%20Medal%20_Bartolomeo_%20-%20Piece.png?updatedAt=1770076421123</t>
  </si>
  <si>
    <t>https://ik.imagekit.io/alaaalaa6171/106%20Barto%20Club_Captain%20-%20Bartolomeo%20-%20Medal%20_Bartolomeo_%20-%20Piece%20_Colored_.png?updatedAt=1770076421115</t>
  </si>
  <si>
    <t>106 Barto Club / Captain - Bartolomeo</t>
  </si>
  <si>
    <t>283 Lvneel Kingdom_Exploration Ship Admiral - Mont Blanc Noland - Medal _Shandia`s Savior_ - Piece _Colored_.png</t>
  </si>
  <si>
    <t>236 - Raid on Onigashima ~ Jinbe - Medal - Crafted [Colored] -  [Raid Jinbe]</t>
  </si>
  <si>
    <t>img_icon_medal_310200074.png</t>
  </si>
  <si>
    <t>https://ik.imagekit.io/alaaalaa6171/Event%20Medals/img_icon_medal_310200074.png?updatedAt=1770125375629</t>
  </si>
  <si>
    <t>72 - Medal [Event] - Crafted - Former CP9 Director</t>
  </si>
  <si>
    <t>https://i.postimg.cc/Kcq3Jjpc/img_icon_medal_310110106.png</t>
  </si>
  <si>
    <t>https://ik.imagekit.io/alaaalaa6171/105%20The%20Parmount%20War%20-%20Monkey%20D.%20Luffy%201%20-%20Medal%20_Jet%20Rocket_.png?updatedAt=1770076421080</t>
  </si>
  <si>
    <t>https://ik.imagekit.io/alaaalaa6171/105%20The%20Parmount%20War%20-%20Monkey%20D.%20Luffy%201%20-%20Medal%20_Jet%20Rocket_%20_Colored_.png?updatedAt=1770076421085</t>
  </si>
  <si>
    <t>https://ik.imagekit.io/alaaalaa6171/105%20The%20Parmount%20War%20-%20Monkey%20D.%20Luffy%201%20-%20Medal%20_Jet%20Rocket_%20-%20Piece.png?updatedAt=1770076421094</t>
  </si>
  <si>
    <t>https://ik.imagekit.io/alaaalaa6171/105%20The%20Parmount%20War%20-%20Monkey%20D.%20Luffy%201%20-%20Medal%20_Jet%20Rocket_%20-%20Piece%20_Colored_.png?updatedAt=1770076421075</t>
  </si>
  <si>
    <t>105 The Parmount War - Monkey D. Luffy 1</t>
  </si>
  <si>
    <t>283 Lvneel Kingdom_Exploration Ship Admiral - Mont Blanc Noland - Medal _Shandia`s Savior_ _Colored_.png</t>
  </si>
  <si>
    <t>237 - Animal Kingdom Pirates_Tobi Roppo ~ Who`s-Who - Medal - Crafted [Colored] -  [Who`s_Who]</t>
  </si>
  <si>
    <t>img_icon_medal_310200073.png</t>
  </si>
  <si>
    <t>https://ik.imagekit.io/alaaalaa6171/Event%20Medals/img_icon_medal_310200073.png?updatedAt=1770125375653</t>
  </si>
  <si>
    <t>71 - Medal [Event] - Crafted - Queen of the Pleasure District</t>
  </si>
  <si>
    <t>https://i.postimg.cc/sf6GwxHV/img_icon_medal_310110104.png</t>
  </si>
  <si>
    <t>https://ik.imagekit.io/alaaalaa6171/104%20The%20Four%20Emperors%20-%20Shanks%20-%20Medal%20_Griffon_.png?updatedAt=1770076421082</t>
  </si>
  <si>
    <t>https://ik.imagekit.io/alaaalaa6171/104%20The%20Four%20Emperors%20-%20Shanks%20-%20Medal%20_Griffon_%20_Colored_.png?updatedAt=1770076421050</t>
  </si>
  <si>
    <t>https://ik.imagekit.io/alaaalaa6171/104%20The%20Four%20Emperors%20-%20Shanks%20-%20Medal%20_Griffon_%20-%20Piece.png?updatedAt=1770076421042</t>
  </si>
  <si>
    <t>https://ik.imagekit.io/alaaalaa6171/104%20The%20Four%20Emperors%20-%20Shanks%20-%20Medal%20_Griffon_%20-%20Piece%20_Colored_.png?updatedAt=1770076421047</t>
  </si>
  <si>
    <t>104 The Four Emperors - Shanks</t>
  </si>
  <si>
    <t>282 The Great Warrior of Shandora - Kalgara - Medal _The Great Warrior Kalgara_.png</t>
  </si>
  <si>
    <t>238 - First Act as a Married Couple ~ Charlotte Pudding - Medal - Crafted [Colored] -  [Mrs. Pudding]</t>
  </si>
  <si>
    <t>img_icon_medal_310200072.png</t>
  </si>
  <si>
    <t>https://ik.imagekit.io/alaaalaa6171/Event%20Medals/img_icon_medal_310200072.png?updatedAt=1770125376071</t>
  </si>
  <si>
    <t>70 - Medal [Event] - Crafted - Geisha</t>
  </si>
  <si>
    <t>https://i.postimg.cc/Dfj4B0pv/img_icon_medal_310110105.png</t>
  </si>
  <si>
    <t>https://ik.imagekit.io/alaaalaa6171/103%20The%20Seven%20Warlords%20of%20the%20Sea%20-%20Marshall%20D.%20Teach%20-%20Medal%20_Teech_.png?updatedAt=1770076421070</t>
  </si>
  <si>
    <t>https://ik.imagekit.io/alaaalaa6171/103%20The%20Seven%20Warlords%20of%20the%20Sea%20-%20Marshall%20D.%20Teach%20-%20Medal%20_Teech_%20_Colored_.png?updatedAt=1770076421036</t>
  </si>
  <si>
    <t>https://ik.imagekit.io/alaaalaa6171/103%20The%20Seven%20Warlords%20of%20the%20Sea%20-%20Marshall%20D.%20Teach%20-%20Medal%20_Teech_%20-%20Piece.png?updatedAt=1770076421055</t>
  </si>
  <si>
    <t>https://ik.imagekit.io/alaaalaa6171/103%20The%20Seven%20Warlords%20of%20the%20Sea%20-%20Marshall%20D.%20Teach%20-%20Medal%20_Teech_%20-%20Piece%20_Colored_.png?updatedAt=1770076420994</t>
  </si>
  <si>
    <t>103 The Seven Warlords of the Sea - Marshall D. Teach</t>
  </si>
  <si>
    <t>282 The Great Warrior of Shandora - Kalgara - Medal _The Great Warrior Kalgara_ - Piece.png</t>
  </si>
  <si>
    <t>239 - Big Mom Pirates_'Sweet 3' General ~ Charlotte Cracker - Medal - Crafted [Colored] -  [Cracker]</t>
  </si>
  <si>
    <t>img_icon_medal_310200071.png</t>
  </si>
  <si>
    <t>https://ik.imagekit.io/alaaalaa6171/Event%20Medals/img_icon_medal_310200071.png?updatedAt=1770125375576</t>
  </si>
  <si>
    <t>69 - Medal [Event] - Crafted - Starving Skeleton</t>
  </si>
  <si>
    <t>https://i.postimg.cc/rynRQsZq/img_icon_medal_310110103.png</t>
  </si>
  <si>
    <t>https://ik.imagekit.io/alaaalaa6171/102%20Navy%20HQ_Vice%20Admiral%20-%20Monkey%20D.%20Garb%20-%20Medal%20_Garp_.png?updatedAt=1770076420990</t>
  </si>
  <si>
    <t>https://ik.imagekit.io/alaaalaa6171/102%20Navy%20HQ_Vice%20Admiral%20-%20Monkey%20D.%20Garb%20-%20Medal%20_Garp_%20_Colored_.png?updatedAt=1770076420990</t>
  </si>
  <si>
    <t>https://ik.imagekit.io/alaaalaa6171/102%20Navy%20HQ_Vice%20Admiral%20-%20Monkey%20D.%20Garb%20-%20Medal%20_Garp_%20-%20Piece.png?updatedAt=1770076420981</t>
  </si>
  <si>
    <t>https://ik.imagekit.io/alaaalaa6171/102%20Navy%20HQ_Vice%20Admiral%20-%20Monkey%20D.%20Garb%20-%20Medal%20_Garp_%20-%20Piece%20_Colored_.png?updatedAt=1770076420981</t>
  </si>
  <si>
    <t>102 Navy HQ / Vice Admiral - Monkey D. Garb</t>
  </si>
  <si>
    <t>282 The Great Warrior of Shandora - Kalgara - Medal _The Great Warrior Kalgara_ - Piece _Colored_.png</t>
  </si>
  <si>
    <t>240 - Big Mom Pirates_Crewmate ~ Charlotte Brulee - Medal - Crafted [Colored] -  [Brulee]</t>
  </si>
  <si>
    <t>img_icon_medal_310200070.png</t>
  </si>
  <si>
    <t>https://ik.imagekit.io/alaaalaa6171/Event%20Medals/img_icon_medal_310200070.png?updatedAt=1770125375993</t>
  </si>
  <si>
    <t>68 - Medal [Event] - Crafted - Conney</t>
  </si>
  <si>
    <t>https://i.postimg.cc/FFWkDzC4/img_icon_medal_310110102.png</t>
  </si>
  <si>
    <t>https://ik.imagekit.io/alaaalaa6171/101%20Whitebeard%20Pirates_1st%20Division%20Commander%20-%20Marco%20-%20Medal%20_Marco_.png?updatedAt=1770076420992</t>
  </si>
  <si>
    <t>https://ik.imagekit.io/alaaalaa6171/101%20Whitebeard%20Pirates_1st%20Division%20Commander%20-%20Marco%20-%20Medal%20_Marco_%20_Colored_.png?updatedAt=1770076420989</t>
  </si>
  <si>
    <t>https://ik.imagekit.io/alaaalaa6171/101%20Whitebeard%20Pirates_1st%20Division%20Commander%20-%20Marco%20-%20Medal%20_Marco_%20-%20Piece.png?updatedAt=1770076420948</t>
  </si>
  <si>
    <t>https://ik.imagekit.io/alaaalaa6171/101%20Whitebeard%20Pirates_1st%20Division%20Commander%20-%20Marco%20-%20Medal%20_Marco_%20-%20Piece%20_Colored_.png?updatedAt=1770076420950</t>
  </si>
  <si>
    <t>101 Whitebeard Pirates / 1st Division Commander - Marco</t>
  </si>
  <si>
    <t>282 The Great Warrior of Shandora - Kalgara - Medal _The Great Warrior Kalgara_ _Colored_.png</t>
  </si>
  <si>
    <t>241 - Leader of the Whale Forest Guardians ~ Pedro - Medal - Crafted [Colored] -  [Leader]</t>
  </si>
  <si>
    <t>img_icon_medal_310200069.png</t>
  </si>
  <si>
    <t>https://ik.imagekit.io/alaaalaa6171/Event%20Medals/img_icon_medal_310200069.png?updatedAt=1770125375636</t>
  </si>
  <si>
    <t>67 - Medal [Event] - Crafted - Straw_Straw</t>
  </si>
  <si>
    <t>https://i.postimg.cc/VsG0DvZ1/img_icon_medal_310110101.png</t>
  </si>
  <si>
    <t>https://ik.imagekit.io/alaaalaa6171/100%20Son%20of%20the%20King%20of%20the%20Pirates%20-%20Portgaz%20D.%20Ace%20-%20Medal%20_Flame%20Emperor_.png?updatedAt=1770076421045</t>
  </si>
  <si>
    <t>https://ik.imagekit.io/alaaalaa6171/100%20Son%20of%20the%20King%20of%20the%20Pirates%20-%20Portgaz%20D.%20Ace%20-%20Medal%20_Flame%20Emperor_%20_Colored_.png?updatedAt=1770076420944</t>
  </si>
  <si>
    <t>https://ik.imagekit.io/alaaalaa6171/100%20Son%20of%20the%20King%20of%20the%20Pirates%20-%20Portgaz%20D.%20Ace%20-%20Medal%20_Flame%20Emperor_%20-%20Piece.png?updatedAt=1770076420909</t>
  </si>
  <si>
    <t>https://ik.imagekit.io/alaaalaa6171/100%20Son%20of%20the%20King%20of%20the%20Pirates%20-%20Portgaz%20D.%20Ace%20-%20Medal%20_Flame%20Emperor_%20-%20Piece%20_Colored_.png?updatedAt=1770076420888</t>
  </si>
  <si>
    <t>100 Son of the King of the Pirates - Portgaz D. Ace</t>
  </si>
  <si>
    <t>281 The Sky Knight - Ganfor - Medal _Ganfor_.png</t>
  </si>
  <si>
    <t>242 - Big Mom Pirates_Crewmate ~ Charoltte Oven - Medal - Crafted [Colored] -  [Oven]</t>
  </si>
  <si>
    <t>img_icon_medal_310200066.png</t>
  </si>
  <si>
    <t>https://ik.imagekit.io/alaaalaa6171/Event%20Medals/img_icon_medal_310200066.png?updatedAt=1770125375838</t>
  </si>
  <si>
    <t>66 - Medal [Event] - Crafted - Napoleon</t>
  </si>
  <si>
    <t>https://i.postimg.cc/y6Q3vxpC/img_icon_medal_310110100.png</t>
  </si>
  <si>
    <t>https://ik.imagekit.io/alaaalaa6171/099%20Animal%20Kingdom%20Pirates_Supreme%20Commander%20-%20Kaido%20-%20Medal%20_Kaido_.png?updatedAt=1770076420915</t>
  </si>
  <si>
    <t>https://ik.imagekit.io/alaaalaa6171/099%20Animal%20Kingdom%20Pirates_Supreme%20Commander%20-%20Kaido%20-%20Medal%20_Kaido_%20_Colored_.png?updatedAt=1770076420927</t>
  </si>
  <si>
    <t>https://ik.imagekit.io/alaaalaa6171/099%20Animal%20Kingdom%20Pirates_Supreme%20Commander%20-%20Kaido%20-%20Medal%20_Kaido_%20-%20Piece.png?updatedAt=1770076420923</t>
  </si>
  <si>
    <t>https://ik.imagekit.io/alaaalaa6171/099%20Animal%20Kingdom%20Pirates_Supreme%20Commander%20-%20Kaido%20-%20Medal%20_Kaido_%20-%20Piece%20_Colored_.png?updatedAt=1770076420921</t>
  </si>
  <si>
    <t>099 Animal Kingdom Pirates / Supreme Commander - Kaido</t>
  </si>
  <si>
    <t>281 The Sky Knight - Ganfor - Medal _Ganfor_ - Piece.png</t>
  </si>
  <si>
    <t>243 - Former Happosui Army_12th Chief ~ Chin Jao - Medal - Crafted [Colored] -  [Chin Jao]</t>
  </si>
  <si>
    <t>img_icon_medal_310200065.png</t>
  </si>
  <si>
    <t>https://ik.imagekit.io/alaaalaa6171/Event%20Medals/img_icon_medal_310200065.png?updatedAt=1770125375254</t>
  </si>
  <si>
    <t>65 - Medal [Event] - Crafted - Prometheus</t>
  </si>
  <si>
    <t>https://i.postimg.cc/bYCS3rVc/img_icon_medal_310110099.png</t>
  </si>
  <si>
    <t>https://ik.imagekit.io/alaaalaa6171/098%20Happy%20Holiday%20-%20Nico%20Robin%20-%20Medal%20_Cuerpo%20Fleurs_.png?updatedAt=1770076420870</t>
  </si>
  <si>
    <t>https://ik.imagekit.io/alaaalaa6171/098%20Happy%20Holiday%20-%20Nico%20Robin%20-%20Medal%20_Cuerpo%20Fleurs_%20_Colored_.png?updatedAt=1770076420865</t>
  </si>
  <si>
    <t>https://ik.imagekit.io/alaaalaa6171/098%20Happy%20Holiday%20-%20Nico%20Robin%20-%20Medal%20_Cuerpo%20Fleurs_%20-%20Piece.png?updatedAt=1770076420874</t>
  </si>
  <si>
    <t>https://ik.imagekit.io/alaaalaa6171/098%20Happy%20Holiday%20-%20Nico%20Robin%20-%20Medal%20_Cuerpo%20Fleurs_%20-%20Piece%20_Colored_.png?updatedAt=1770076420869</t>
  </si>
  <si>
    <t>098 Happy Holiday - Nico Robin</t>
  </si>
  <si>
    <t>281 The Sky Knight - Ganfor - Medal _Ganfor_ - Piece _Colored_.png</t>
  </si>
  <si>
    <t>244 - Slicing Winds of Rommel ~ Hakuba - Medal - Crafted [Colored] -  [Hakuba]</t>
  </si>
  <si>
    <t>img_icon_medal_310200064.png</t>
  </si>
  <si>
    <t>https://ik.imagekit.io/alaaalaa6171/Event%20Medals/img_icon_medal_310200064.png?updatedAt=1770125375504</t>
  </si>
  <si>
    <t>64 - Medal [Event] - Crafted - Zeus</t>
  </si>
  <si>
    <t>https://i.postimg.cc/kM1RfG1L/img_icon_medal_310110098.png</t>
  </si>
  <si>
    <t>https://ik.imagekit.io/alaaalaa6171/097%20Happy%20Holiday%20-%20Franky%20-%20Medal%20_Nipple%20Iight_.png?updatedAt=1770076420875</t>
  </si>
  <si>
    <t>https://ik.imagekit.io/alaaalaa6171/097%20Happy%20Holiday%20-%20Franky%20-%20Medal%20_Nipple%20Iight_%20_Colored_.png?updatedAt=1770076420875</t>
  </si>
  <si>
    <t>https://ik.imagekit.io/alaaalaa6171/097%20Happy%20Holiday%20-%20Franky%20-%20Medal%20_Nipple%20Iight_%20-%20Piece.png?updatedAt=1770076420848</t>
  </si>
  <si>
    <t>https://ik.imagekit.io/alaaalaa6171/097%20Happy%20Holiday%20-%20Franky%20-%20Medal%20_Nipple%20Iight_%20-%20Piece%20_Colored_.png?updatedAt=1770076420809</t>
  </si>
  <si>
    <t>097 Happy Holiday - Franky</t>
  </si>
  <si>
    <t>281 The Sky Knight - Ganfor - Medal _Ganfor_ _Colored_.png</t>
  </si>
  <si>
    <t>245 - Disciple of the Martial Arts ~ Kung Fu Jugon - Medal - Crafted [Colored] -  [Kung Fu Jugon]</t>
  </si>
  <si>
    <t>img_icon_medal_310200063.png</t>
  </si>
  <si>
    <t>https://ik.imagekit.io/alaaalaa6171/Event%20Medals/img_icon_medal_310200063.png?updatedAt=1770125375392</t>
  </si>
  <si>
    <t>63 - Medal [Event] - Crafted - Clank_Clank</t>
  </si>
  <si>
    <t>https://i.postimg.cc/Kcq3Jjqd/img_icon_medal_310110097.png</t>
  </si>
  <si>
    <t>https://ik.imagekit.io/alaaalaa6171/096%20Happy%20Holiday%20-%20Tony%20Tony%20Chopper%20-%20Medal%20_Snow%20Creature_.png?updatedAt=1770076420833</t>
  </si>
  <si>
    <t>https://ik.imagekit.io/alaaalaa6171/096%20Happy%20Holiday%20-%20Tony%20Tony%20Chopper%20-%20Medal%20_Snow%20Creature_%20_Colored_.png?updatedAt=1770076420860</t>
  </si>
  <si>
    <t>https://ik.imagekit.io/alaaalaa6171/096%20Happy%20Holiday%20-%20Tony%20Tony%20Chopper%20-%20Medal%20_Snow%20Creature_%20-%20Piece.png?updatedAt=1770076420863</t>
  </si>
  <si>
    <t>https://ik.imagekit.io/alaaalaa6171/096%20Happy%20Holiday%20-%20Tony%20Tony%20Chopper%20-%20Medal%20_Snow%20Creature_%20-%20Piece%20_Colored_.png?updatedAt=1770076420868</t>
  </si>
  <si>
    <t>096 Happy Holiday - Tony Tony Chopper</t>
  </si>
  <si>
    <t>280 Ex-Roger Pirates_First Mate - Silvers Rayleigh - Medal _The Dark King`s Flash_.png</t>
  </si>
  <si>
    <t>246 - The Kingdom of Prodence_King ~ Elizabello II - Medal - Crafted [Colored] -  [Elizabello II]</t>
  </si>
  <si>
    <t>img_icon_medal_310200062.png</t>
  </si>
  <si>
    <t>https://ik.imagekit.io/alaaalaa6171/Event%20Medals/img_icon_medal_310200062.png?updatedAt=1770125375197</t>
  </si>
  <si>
    <t>62 - Medal [Event] - Crafted - Law (STAMPEDE)</t>
  </si>
  <si>
    <t>https://i.postimg.cc/2jcL2ycM/img_icon_medal_310110096.png</t>
  </si>
  <si>
    <t>https://ik.imagekit.io/alaaalaa6171/095%20The%20Seven%20Warlords%20of%20the%20Sea%20-%20Bartholomew%20Kuma%20-%20Medal%20_Kuma_.png?updatedAt=1770076420857</t>
  </si>
  <si>
    <t>https://ik.imagekit.io/alaaalaa6171/095%20The%20Seven%20Warlords%20of%20the%20Sea%20-%20Bartholomew%20Kuma%20-%20Medal%20_Kuma_%20_Colored_.png?updatedAt=1770076420797</t>
  </si>
  <si>
    <t>https://ik.imagekit.io/alaaalaa6171/095%20The%20Seven%20Warlords%20of%20the%20Sea%20-%20Bartholomew%20Kuma%20-%20Medal%20_Kuma_%20-%20Piece.png?updatedAt=1770076420783</t>
  </si>
  <si>
    <t>https://ik.imagekit.io/alaaalaa6171/095%20The%20Seven%20Warlords%20of%20the%20Sea%20-%20Bartholomew%20Kuma%20-%20Medal%20_Kuma_%20-%20Piece%20_Colored_.png?updatedAt=1770076420791</t>
  </si>
  <si>
    <t>095 The Seven Warlords of the Sea - Bartholomew Kuma</t>
  </si>
  <si>
    <t>280 Ex-Roger Pirates_First Mate - Silvers Rayleigh - Medal _The Dark King`s Flash_ - Piece.png</t>
  </si>
  <si>
    <t>247 - Triple-X-Level Boxer ~ Ideo - Medal - Crafted [Colored] -  [Ideo]</t>
  </si>
  <si>
    <t>img_icon_medal_310200061.png</t>
  </si>
  <si>
    <t>https://ik.imagekit.io/alaaalaa6171/Event%20Medals/img_icon_medal_310200061.png?updatedAt=1770125375537</t>
  </si>
  <si>
    <t>61 - Medal [Event] - Crafted - Usopp (STAMPEDE)</t>
  </si>
  <si>
    <t>https://i.postimg.cc/BZYPMbYy/img_icon_medal_310110095.png</t>
  </si>
  <si>
    <t>https://ik.imagekit.io/alaaalaa6171/094%20Germa%2066%20-%20Vinsmoke%20Reiju%20-%20Medal%20_Reiju_.png?updatedAt=1770076420849</t>
  </si>
  <si>
    <t>https://ik.imagekit.io/alaaalaa6171/094%20Germa%2066%20-%20Vinsmoke%20Reiju%20-%20Medal%20_Reiju_%20_Colored_.png?updatedAt=1770076420857</t>
  </si>
  <si>
    <t>https://ik.imagekit.io/alaaalaa6171/094%20Germa%2066%20-%20Vinsmoke%20Reiju%20-%20Medal%20_Reiju_%20-%20Piece.png?updatedAt=1770076420791</t>
  </si>
  <si>
    <t>https://ik.imagekit.io/alaaalaa6171/094%20Germa%2066%20-%20Vinsmoke%20Reiju%20-%20Medal%20_Reiju_%20-%20Piece%20_Colored_.png?updatedAt=1770076420850</t>
  </si>
  <si>
    <t>094 Germa 66 - Vinsmoke Reiju</t>
  </si>
  <si>
    <t>280 Ex-Roger Pirates_First Mate - Silvers Rayleigh - Medal _The Dark King`s Flash_ - Piece _Colored_.png</t>
  </si>
  <si>
    <t>248 - Raid on Onigashima ~ Nico Robin - Medal - Crafted [Colored] -  [Raid Robin]</t>
  </si>
  <si>
    <t>img_icon_medal_310200060.png</t>
  </si>
  <si>
    <t>https://ik.imagekit.io/alaaalaa6171/Event%20Medals/img_icon_medal_310200060.png?updatedAt=1770125375359</t>
  </si>
  <si>
    <t>60 - Medal [Event] - Crafted - Bubble_Bubble</t>
  </si>
  <si>
    <t>https://i.postimg.cc/44LHByLS/img_icon_medal_310110094.png</t>
  </si>
  <si>
    <t>https://ik.imagekit.io/alaaalaa6171/093%20Firetank%20Pirates_Godfather%20-%20Capone%20Bege%20-%20Medal%20_Bege_.png?updatedAt=1770076420530</t>
  </si>
  <si>
    <t>https://ik.imagekit.io/alaaalaa6171/093%20Firetank%20Pirates_Godfather%20-%20Capone%20Bege%20-%20Medal%20_Bege_%20_Colored_.png?updatedAt=1770076420512</t>
  </si>
  <si>
    <t>https://ik.imagekit.io/alaaalaa6171/093%20Firetank%20Pirates_Godfather%20-%20Capone%20Bege%20-%20Medal%20_Bege_%20-%20Piece.png?updatedAt=1770076420507</t>
  </si>
  <si>
    <t>https://ik.imagekit.io/alaaalaa6171/093%20Firetank%20Pirates_Godfather%20-%20Capone%20Bege%20-%20Medal%20_Bege_%20-%20Piece%20_Colored_.png?updatedAt=1770076420273</t>
  </si>
  <si>
    <t>093 Firetank Pirates / Godfather - Capone Bege</t>
  </si>
  <si>
    <t>280 Ex-Roger Pirates_First Mate - Silvers Rayleigh - Medal _The Dark King`s Flash_ _Colored_.png</t>
  </si>
  <si>
    <t>249 - Raid on Onigashima ~ Brook - Medal - Crafted [Colored] -  [Raid Brook]</t>
  </si>
  <si>
    <t>img_icon_medal_310200059.png</t>
  </si>
  <si>
    <t>https://ik.imagekit.io/alaaalaa6171/Event%20Medals/img_icon_medal_310200059.png?updatedAt=1770125375613</t>
  </si>
  <si>
    <t>59 - Medal [Event] - Crafted - Wolf</t>
  </si>
  <si>
    <t>https://i.postimg.cc/Kcq3JjqW/img_icon_medal_310110093.png</t>
  </si>
  <si>
    <t>https://ik.imagekit.io/alaaalaa6171/092%20Whole%20Cake%20Island%20-%20Sanji%20-%20Medal%20_Boeuf%20Jarret%20Jarrer_.png?updatedAt=1770076419639</t>
  </si>
  <si>
    <t>https://ik.imagekit.io/alaaalaa6171/092%20Whole%20Cake%20Island%20-%20Sanji%20-%20Medal%20_Boeuf%20Jarret%20Jarrer_%20_Colored_.png?updatedAt=1770076419012</t>
  </si>
  <si>
    <t>https://ik.imagekit.io/alaaalaa6171/092%20Whole%20Cake%20Island%20-%20Sanji%20-%20Medal%20_Boeuf%20Jarret%20Jarrer_%20-%20Piece.png?updatedAt=1770076418889</t>
  </si>
  <si>
    <t>https://ik.imagekit.io/alaaalaa6171/092%20Whole%20Cake%20Island%20-%20Sanji%20-%20Medal%20_Boeuf%20Jarret%20Jarrer_%20-%20Piece%20_Colored_.png?updatedAt=1770076418495</t>
  </si>
  <si>
    <t>092 Whole Cake Island - Sanji</t>
  </si>
  <si>
    <t>279 Great Pirate - Gol D. Roger - Medal _The Man Who Had Everything_.png</t>
  </si>
  <si>
    <t>250 - Okuchi-no-Makami ~ Yamato - Medal - Crafted [Colored] -  [Namuji Glacier Fang]</t>
  </si>
  <si>
    <t>img_icon_medal_310200058.png</t>
  </si>
  <si>
    <t>https://ik.imagekit.io/alaaalaa6171/Event%20Medals/img_icon_medal_310200058.png?updatedAt=1770125375596</t>
  </si>
  <si>
    <t>58 - Medal [Event] - Crafted - Happosui Army</t>
  </si>
  <si>
    <t>https://i.postimg.cc/jqgnZ2gk/img_icon_medal_310110092.png</t>
  </si>
  <si>
    <t>https://ik.imagekit.io/alaaalaa6171/091%20The%20Seven%20Warlords%20of%20the%20Sea%20-%20Jinbe%20-%20Medal%20_Jinbe_.png?updatedAt=1770076418277</t>
  </si>
  <si>
    <t>https://ik.imagekit.io/alaaalaa6171/091%20The%20Seven%20Warlords%20of%20the%20Sea%20-%20Jinbe%20-%20Medal%20_Jinbe_%20_Colored_.png?updatedAt=1770076418066</t>
  </si>
  <si>
    <t>https://ik.imagekit.io/alaaalaa6171/091%20The%20Seven%20Warlords%20of%20the%20Sea%20-%20Jinbe%20-%20Medal%20_Jinbe_%20-%20Piece.png?updatedAt=1770076417775</t>
  </si>
  <si>
    <t>https://ik.imagekit.io/alaaalaa6171/091%20The%20Seven%20Warlords%20of%20the%20Sea%20-%20Jinbe%20-%20Medal%20_Jinbe_%20-%20Piece%20_Colored_.png?updatedAt=1770076417234</t>
  </si>
  <si>
    <t>091 The Seven Warlords of the Sea - Jinbe</t>
  </si>
  <si>
    <t>279 Great Pirate - Gol D. Roger - Medal _The Man Who Had Everything_ - Piece.png</t>
  </si>
  <si>
    <t>251 - Raid on Onigashima ~ Nami - Medal - Crafted [Colored] -  [Raid Nami]</t>
  </si>
  <si>
    <t>img_icon_medal_310200057.png</t>
  </si>
  <si>
    <t>https://ik.imagekit.io/alaaalaa6171/Event%20Medals/img_icon_medal_310200057.png?updatedAt=1770125375300</t>
  </si>
  <si>
    <t>57 - Medal [Event] - Crafted - Warrior</t>
  </si>
  <si>
    <t>https://i.postimg.cc/rynRQsnJ/img_icon_medal_310110091.png</t>
  </si>
  <si>
    <t>https://ik.imagekit.io/alaaalaa6171/090%20Imprisoned%20Bride%20-%20Nami%20-%20Medal%20_Bride_.png?updatedAt=1770076416379</t>
  </si>
  <si>
    <t>https://ik.imagekit.io/alaaalaa6171/090%20Imprisoned%20Bride%20-%20Nami%20-%20Medal%20_Bride_%20_Colored_.png?updatedAt=1770076416349</t>
  </si>
  <si>
    <t>https://ik.imagekit.io/alaaalaa6171/090%20Imprisoned%20Bride%20-%20Nami%20-%20Medal%20_Bride_%20-%20Piece.png?updatedAt=1770076416315</t>
  </si>
  <si>
    <t>https://ik.imagekit.io/alaaalaa6171/090%20Imprisoned%20Bride%20-%20Nami%20-%20Medal%20_Bride_%20-%20Piece%20_Colored_.png?updatedAt=1770076416304</t>
  </si>
  <si>
    <t>090 Imprisoned Bride - Nami</t>
  </si>
  <si>
    <t>279 Great Pirate - Gol D. Roger - Medal _The Man Who Had Everything_ - Piece _Colored_.png</t>
  </si>
  <si>
    <t>252 - Raid on Onigashima ~ Usopp - Medal - Crafted [Colored] -  [Raid Usopp]</t>
  </si>
  <si>
    <t>img_icon_medal_310200056.png</t>
  </si>
  <si>
    <t>https://ik.imagekit.io/alaaalaa6171/Event%20Medals/img_icon_medal_310200056.png?updatedAt=1770125375524</t>
  </si>
  <si>
    <t>56 - Medal [Event] - Crafted - Champion</t>
  </si>
  <si>
    <t>https://i.postimg.cc/c19tXC9B/img_icon_medal_310110090.png</t>
  </si>
  <si>
    <t>https://ik.imagekit.io/alaaalaa6171/089%20Thriller%20Park%20Pirates_Mysterious%20Four%20-%20Perona%20-%20Medal%20_Perona_.png?updatedAt=1770076416170</t>
  </si>
  <si>
    <t>https://ik.imagekit.io/alaaalaa6171/089%20Thriller%20Park%20Pirates_Mysterious%20Four%20-%20Perona%20-%20Medal%20_Perona_%20_Colored_.png?updatedAt=1770076416158</t>
  </si>
  <si>
    <t>https://ik.imagekit.io/alaaalaa6171/089%20Thriller%20Park%20Pirates_Mysterious%20Four%20-%20Perona%20-%20Medal%20_Perona_%20-%20Piece.png?updatedAt=1770076416554</t>
  </si>
  <si>
    <t>https://ik.imagekit.io/alaaalaa6171/089%20Thriller%20Park%20Pirates_Mysterious%20Four%20-%20Perona%20-%20Medal%20_Perona_%20-%20Piece%20_Colored_.png?updatedAt=1770076416487</t>
  </si>
  <si>
    <t>089 Thriller Park Pirates / Mysterious Four - Perona</t>
  </si>
  <si>
    <t>279 Great Pirate - Gol D. Roger - Medal _The Man Who Had Everything_ _Colored_.png</t>
  </si>
  <si>
    <t>253 - Flying Pirates_Captain ~ Vander Decken IX - Medal - Crafted [Colored] -  [Vander Decken IX]</t>
  </si>
  <si>
    <t>img_icon_medal_310200055.png</t>
  </si>
  <si>
    <t>https://ik.imagekit.io/alaaalaa6171/Event%20Medals/img_icon_medal_310200055.png?updatedAt=1770125375456</t>
  </si>
  <si>
    <t>55 - Medal [Event] - Crafted - Rain</t>
  </si>
  <si>
    <t>https://i.postimg.cc/CMPnm5Pc/img_icon_medal_310110089.png</t>
  </si>
  <si>
    <t>https://ik.imagekit.io/alaaalaa6171/088%20Legendary%20Samurai%20Zombie%20-%20Ryuma%20-%20Medal%20_Ryuma_.png?updatedAt=1770076416086</t>
  </si>
  <si>
    <t>https://ik.imagekit.io/alaaalaa6171/088%20Legendary%20Samurai%20Zombie%20-%20Ryuma%20-%20Medal%20_Ryuma_%20_Colored_.png?updatedAt=1770076416107</t>
  </si>
  <si>
    <t>https://ik.imagekit.io/alaaalaa6171/088%20Legendary%20Samurai%20Zombie%20-%20Ryuma%20-%20Medal%20_Ryuma_%20-%20Piece.png?updatedAt=1770076416120</t>
  </si>
  <si>
    <t>https://ik.imagekit.io/alaaalaa6171/088%20Legendary%20Samurai%20Zombie%20-%20Ryuma%20-%20Medal%20_Ryuma_%20-%20Piece%20_Colored_.png?updatedAt=1770076416097</t>
  </si>
  <si>
    <t>088 Legendary Samurai Zombie - Ryuma</t>
  </si>
  <si>
    <t>278 Whole Cake Island - Carrot - Medal _Carrot (Whole Cake Island)_.png</t>
  </si>
  <si>
    <t>254 - Caribou Pirates_Captain ~ Caribou - Medal - Crafted [Colored] -  [Caribou]</t>
  </si>
  <si>
    <t>img_icon_medal_310200054.png</t>
  </si>
  <si>
    <t>https://ik.imagekit.io/alaaalaa6171/Event%20Medals/img_icon_medal_310200054.png?updatedAt=1770125375938</t>
  </si>
  <si>
    <t>54 - Medal [Event] - Crafted - Pursuer</t>
  </si>
  <si>
    <t>https://i.postimg.cc/cCbKHkt8/img_icon_medal_310110088.png</t>
  </si>
  <si>
    <t>https://ik.imagekit.io/alaaalaa6171/087%20Ray%20of%20Hope%20-%20Nightmare%20Luffy%20-%20Medal%20_Nightmare_.png?updatedAt=1770076416060</t>
  </si>
  <si>
    <t>https://ik.imagekit.io/alaaalaa6171/087%20Ray%20of%20Hope%20-%20Nightmare%20Luffy%20-%20Medal%20_Nightmare_%20_Colored_.png?updatedAt=1770076416082</t>
  </si>
  <si>
    <t>https://ik.imagekit.io/alaaalaa6171/087%20Ray%20of%20Hope%20-%20Nightmare%20Luffy%20-%20Medal%20_Nightmare_%20-%20Piece.png?updatedAt=1770076416067</t>
  </si>
  <si>
    <t>https://ik.imagekit.io/alaaalaa6171/087%20Ray%20of%20Hope%20-%20Nightmare%20Luffy%20-%20Medal%20_Nightmare_%20-%20Piece%20_Colored_.png?updatedAt=1770076416077</t>
  </si>
  <si>
    <t>087 Ray of Hope - Nightmare Luffy</t>
  </si>
  <si>
    <t>278 Whole Cake Island - Carrot - Medal _Carrot (Whole Cake Island)_ - Piece.png</t>
  </si>
  <si>
    <t>255 - Ryugu Kingdom_King ~ Neptune - Medal - Crafted [Colored] -  [Neptune]</t>
  </si>
  <si>
    <t>img_icon_medal_310200053.png</t>
  </si>
  <si>
    <t>https://ik.imagekit.io/alaaalaa6171/Event%20Medals/img_icon_medal_310200053.png?updatedAt=1770125375282</t>
  </si>
  <si>
    <t>53 - Medal [Event] - Crafted - Beckman</t>
  </si>
  <si>
    <t>https://i.postimg.cc/HnhJxv8J/img_icon_medal_310110086.png</t>
  </si>
  <si>
    <t>https://ik.imagekit.io/alaaalaa6171/086%20Big%20Mom%20Pirates_'Sweet%203'%20General%20-%20Charlotte%20Katakuri%20-%20Medal%20_Katakuri_.png?updatedAt=1770076416115</t>
  </si>
  <si>
    <t>https://ik.imagekit.io/alaaalaa6171/086%20Big%20Mom%20Pirates_'Sweet%203'%20General%20-%20Charlotte%20Katakuri%20-%20Medal%20_Katakuri_%20_Colored_.png?updatedAt=1770076416113</t>
  </si>
  <si>
    <t>https://ik.imagekit.io/alaaalaa6171/086%20Big%20Mom%20Pirates_'Sweet%203'%20General%20-%20Charlotte%20Katakuri%20-%20Medal%20_Katakuri_%20-%20Piece.png?updatedAt=1770076416084</t>
  </si>
  <si>
    <t>https://ik.imagekit.io/alaaalaa6171/086%20Big%20Mom%20Pirates_'Sweet%203'%20General%20-%20Charlotte%20Katakuri%20-%20Medal%20_Katakuri_%20-%20Piece%20_Colored_.png?updatedAt=1770076416073</t>
  </si>
  <si>
    <t>086 Big Mom Pirates / "Sweet 3" General - Charlotte Katakuri</t>
  </si>
  <si>
    <t>278 Whole Cake Island - Carrot - Medal _Carrot (Whole Cake Island)_ - Piece _Colored_.png</t>
  </si>
  <si>
    <t>256 - New Fish-Man Pirates_Captain ~ Hody Jones - Medal - Crafted [Colored] -  [Shark Pack]</t>
  </si>
  <si>
    <t>img_icon_medal_310200052.png</t>
  </si>
  <si>
    <t>https://ik.imagekit.io/alaaalaa6171/Event%20Medals/img_icon_medal_310200052.png?updatedAt=1770125375370</t>
  </si>
  <si>
    <t>52 - Medal [Event] - Crafted - Drought</t>
  </si>
  <si>
    <t>https://i.postimg.cc/0jB6QXKK/img_icon_medal_310110087.png</t>
  </si>
  <si>
    <t>https://ik.imagekit.io/alaaalaa6171/085%20Big%20Mom%20Pirates_Captain%20-%20Charlotte%20Linlin%20-%20Medal%20_Big%20Mom_.png?updatedAt=1770076416042</t>
  </si>
  <si>
    <t>https://ik.imagekit.io/alaaalaa6171/085%20Big%20Mom%20Pirates_Captain%20-%20Charlotte%20Linlin%20-%20Medal%20_Big%20Mom_%20_Colored_.png?updatedAt=1770076416040</t>
  </si>
  <si>
    <t>https://ik.imagekit.io/alaaalaa6171/085%20Big%20Mom%20Pirates_Captain%20-%20Charlotte%20Linlin%20-%20Medal%20_Big%20Mom_%20-%20Piece.png?updatedAt=1770076416067</t>
  </si>
  <si>
    <t>https://ik.imagekit.io/alaaalaa6171/085%20Big%20Mom%20Pirates_Captain%20-%20Charlotte%20Linlin%20-%20Medal%20_Big%20Mom_%20-%20Piece%20_Colored_.png?updatedAt=1770076416039</t>
  </si>
  <si>
    <t>085 Big Mom Pirates / Captain - Charlotte Linlin</t>
  </si>
  <si>
    <t>278 Whole Cake Island - Carrot - Medal _Carrot (Whole Cake Island)_ _Colored_.png</t>
  </si>
  <si>
    <t>257 - Battle of Monsters on Onigashima ~ Kid &amp; Law - Medal - Crafted [Colored] -  [Kid &amp; Law]</t>
  </si>
  <si>
    <t>img_icon_medal_310200051.png</t>
  </si>
  <si>
    <t>https://ik.imagekit.io/alaaalaa6171/Event%20Medals/img_icon_medal_310200051.png?updatedAt=1770125375533</t>
  </si>
  <si>
    <t>51 - Medal [Event] - Crafted - Plague</t>
  </si>
  <si>
    <t>https://i.postimg.cc/1Xjgt7Vn/img_icon_medal_310110085.png</t>
  </si>
  <si>
    <t>https://ik.imagekit.io/alaaalaa6171/084%20Land%20of%20Wano%20-%20Zorojuro%20-%20Medal%20_Ultra%20Tiger%20Hunt_.png?updatedAt=1770076416103</t>
  </si>
  <si>
    <t>https://ik.imagekit.io/alaaalaa6171/084%20Land%20of%20Wano%20-%20Zorojuro%20-%20Medal%20_Ultra%20Tiger%20Hunt_%20_Colored_.png?updatedAt=1770076416021</t>
  </si>
  <si>
    <t>https://ik.imagekit.io/alaaalaa6171/084%20Land%20of%20Wano%20-%20Zorojuro%20-%20Medal%20_Ultra%20Tiger%20Hunt_%20-%20Piece.png?updatedAt=1770076416022</t>
  </si>
  <si>
    <t>https://ik.imagekit.io/alaaalaa6171/084%20Land%20of%20Wano%20-%20Zorojuro%20-%20Medal%20_Ultra%20Tiger%20Hunt_%20-%20Piece%20_Colored_.png?updatedAt=1770076416017</t>
  </si>
  <si>
    <t>084 Land of Wano - Zorojuro</t>
  </si>
  <si>
    <t>277 Heir to the Shogun of Wano - Kozuki Oden - Medal _Paradise Waterfall_.png</t>
  </si>
  <si>
    <t>258 - Raid on Onigashima ~ Killer - Medal - Crafted [Colored] -  [Raid Killer]</t>
  </si>
  <si>
    <t>img_icon_medal_310200050.png</t>
  </si>
  <si>
    <t>https://ik.imagekit.io/alaaalaa6171/Event%20Medals/img_icon_medal_310200050.png?updatedAt=1770125375613</t>
  </si>
  <si>
    <t>50 - Medal [Event] - Crafted - Koala</t>
  </si>
  <si>
    <t>https://i.postimg.cc/1Xjgt7VR/img_icon_medal_310110084.png</t>
  </si>
  <si>
    <t>https://ik.imagekit.io/alaaalaa6171/083%20Land%20of%20Wano%20-%20Basil%20Hawkins%20-%20Medal%20_Hawkins_.png?updatedAt=1770076416032</t>
  </si>
  <si>
    <t>https://ik.imagekit.io/alaaalaa6171/083%20Land%20of%20Wano%20-%20Basil%20Hawkins%20-%20Medal%20_Hawkins_%20_Colored_.png?updatedAt=1770076415988</t>
  </si>
  <si>
    <t>https://ik.imagekit.io/alaaalaa6171/083%20Land%20of%20Wano%20-%20Basil%20Hawkins%20-%20Medal%20_Hawkins_%20-%20Piece.png?updatedAt=1770076416009</t>
  </si>
  <si>
    <t>https://ik.imagekit.io/alaaalaa6171/083%20Land%20of%20Wano%20-%20Basil%20Hawkins%20-%20Medal%20_Hawkins_%20-%20Piece%20_Colored_.png?updatedAt=1770076416041</t>
  </si>
  <si>
    <t>083 Land of Wano - Basil Hawkins</t>
  </si>
  <si>
    <t>277 Heir to the Shogun of Wano - Kozuki Oden - Medal _Paradise Waterfall_ - Piece.png</t>
  </si>
  <si>
    <t>259 - Singer of the New Genesis ~ Uta - Medal - Crafted [Colored] -  [Shanks`` Daughter]</t>
  </si>
  <si>
    <t>img_icon_medal_310200049.png</t>
  </si>
  <si>
    <t>https://ik.imagekit.io/alaaalaa6171/Event%20Medals/img_icon_medal_310200049.png?updatedAt=1770125375293</t>
  </si>
  <si>
    <t>49 - Medal [Event] - Crafted - Miracle Worker</t>
  </si>
  <si>
    <t>https://i.postimg.cc/4ySKd2H3/img_icon_medal_310110083.png</t>
  </si>
  <si>
    <t>https://ik.imagekit.io/alaaalaa6171/082%20Land%20of%20Wano%20-%20Trafalgar%20Law%20-%20Medal%20_ROOM_.png?updatedAt=1770076415993</t>
  </si>
  <si>
    <t>https://ik.imagekit.io/alaaalaa6171/082%20Land%20of%20Wano%20-%20Trafalgar%20Law%20-%20Medal%20_ROOM_%20_Colored_.png?updatedAt=1770076416016</t>
  </si>
  <si>
    <t>https://ik.imagekit.io/alaaalaa6171/082%20Land%20of%20Wano%20-%20Trafalgar%20Law%20-%20Medal%20_ROOM_%20-%20Piece.png?updatedAt=1770076416011</t>
  </si>
  <si>
    <t>https://ik.imagekit.io/alaaalaa6171/082%20Land%20of%20Wano%20-%20Trafalgar%20Law%20-%20Medal%20_ROOM_%20-%20Piece%20_Colored_.png?updatedAt=1770076416020</t>
  </si>
  <si>
    <t>082 Land of Wano - Trafalgar Law</t>
  </si>
  <si>
    <t>277 Heir to the Shogun of Wano - Kozuki Oden - Medal _Paradise Waterfall_ - Piece _Colored_.png</t>
  </si>
  <si>
    <t>260 - Gear Five ~ Monkey D. Luffy - Medal - Crafted [Colored] -  [Gear Five]</t>
  </si>
  <si>
    <t>img_icon_medal_310200048.png</t>
  </si>
  <si>
    <t>https://ik.imagekit.io/alaaalaa6171/Event%20Medals/img_icon_medal_310200048.png?updatedAt=1770125375755</t>
  </si>
  <si>
    <t>48 - Medal [Event] - Crafted - Chiffon</t>
  </si>
  <si>
    <t>https://i.postimg.cc/BbV867Pb/img_icon_medal_310110081.png</t>
  </si>
  <si>
    <t>https://ik.imagekit.io/alaaalaa6171/081%20The%20Seven%20Warlords%20of%20the%20Sea%20-%20Don%20Quixote%20Doflamingo%20-%20Medal%20_Billow_White_.png?updatedAt=1770076415976</t>
  </si>
  <si>
    <t>https://ik.imagekit.io/alaaalaa6171/081%20The%20Seven%20Warlords%20of%20the%20Sea%20-%20Don%20Quixote%20Doflamingo%20-%20Medal%20_Billow_White_%20_Colored_.png?updatedAt=1770076415983</t>
  </si>
  <si>
    <t>https://ik.imagekit.io/alaaalaa6171/081%20The%20Seven%20Warlords%20of%20the%20Sea%20-%20Don%20Quixote%20Doflamingo%20-%20Medal%20_Billow_White_%20-%20Piece.png?updatedAt=1770076416021</t>
  </si>
  <si>
    <t>https://ik.imagekit.io/alaaalaa6171/081%20The%20Seven%20Warlords%20of%20the%20Sea%20-%20Don%20Quixote%20Doflamingo%20-%20Medal%20_Billow_White_%20-%20Piece%20_Colored_.png?updatedAt=1770076416090</t>
  </si>
  <si>
    <t>081 The Seven Warlords of the Sea - Don Quixote Doflamingo</t>
  </si>
  <si>
    <t>277 Heir to the Shogun of Wano - Kozuki Oden - Medal _Paradise Waterfall_ _Colored_.png</t>
  </si>
  <si>
    <t>261 - Raid on Onigashima ~ Sanji - Medal - Crafted [Colored] -  [Raid Sanji]</t>
  </si>
  <si>
    <t>img_icon_medal_310200047.png</t>
  </si>
  <si>
    <t>https://ik.imagekit.io/alaaalaa6171/Event%20Medals/img_icon_medal_310200047.png?updatedAt=1770125375568</t>
  </si>
  <si>
    <t>47 - Medal [Event] - Crafted - Memo_Memo</t>
  </si>
  <si>
    <t>https://i.postimg.cc/BbV867Pt/img_icon_medal_310110082.png</t>
  </si>
  <si>
    <t>https://ik.imagekit.io/alaaalaa6171/080%20Gear%20Four_Bounceman%20-%20Monkey%20D.%20Luffy%20-%20Medal%20_King%20Kong%20Gun_.png?updatedAt=1770076416011</t>
  </si>
  <si>
    <t>https://ik.imagekit.io/alaaalaa6171/080%20Gear%20Four_Bounceman%20-%20Monkey%20D.%20Luffy%20-%20Medal%20_King%20Kong%20Gun_%20_Colored_.png?updatedAt=1770076416005</t>
  </si>
  <si>
    <t>https://ik.imagekit.io/alaaalaa6171/080%20Gear%20Four_Bounceman%20-%20Monkey%20D.%20Luffy%20-%20Medal%20_King%20Kong%20Gun_%20-%20Piece.png?updatedAt=1770076416004</t>
  </si>
  <si>
    <t>https://ik.imagekit.io/alaaalaa6171/080%20Gear%20Four_Bounceman%20-%20Monkey%20D.%20Luffy%20-%20Medal%20_King%20Kong%20Gun_%20-%20Piece%20_Colored_.png?updatedAt=1770076416030</t>
  </si>
  <si>
    <t>080 Gear Four / Bounceman - Monkey D. Luffy</t>
  </si>
  <si>
    <t>276 Great Pirate - Edward Newgate - Medal _The Man Who Shook the World_.png</t>
  </si>
  <si>
    <t>262 - Animal Kingdom Pirates_Tobi Roppo ~ Sasaki - Medal - Crafted [Colored] -  [Heliceratops]</t>
  </si>
  <si>
    <t>img_icon_medal_310200046.png</t>
  </si>
  <si>
    <t>https://ik.imagekit.io/alaaalaa6171/Event%20Medals/img_icon_medal_310200046.png?updatedAt=1770125375778</t>
  </si>
  <si>
    <t>46 - Medal [Event] - Crafted - Mark_Mark</t>
  </si>
  <si>
    <t>https://i.postimg.cc/Gt5B2gTd/img_icon_medal_310110080.png</t>
  </si>
  <si>
    <t>https://ik.imagekit.io/alaaalaa6171/079%20STAMPEDE%20-%20Sabo%20-%20Medal%20_Sabo%20(STAMPEDE)_.png?updatedAt=1770076416001</t>
  </si>
  <si>
    <t>https://ik.imagekit.io/alaaalaa6171/079%20STAMPEDE%20-%20Sabo%20-%20Medal%20_Sabo%20(STAMPEDE)_%20_Colored_.png?updatedAt=1770076415987</t>
  </si>
  <si>
    <t>https://ik.imagekit.io/alaaalaa6171/079%20STAMPEDE%20-%20Sabo%20-%20Medal%20_Sabo%20(STAMPEDE)_%20-%20Piece.png?updatedAt=1770076416027</t>
  </si>
  <si>
    <t>https://ik.imagekit.io/alaaalaa6171/079%20STAMPEDE%20-%20Sabo%20-%20Medal%20_Sabo%20(STAMPEDE)_%20-%20Piece%20_Colored_.png?updatedAt=1770076415950</t>
  </si>
  <si>
    <t>079 STAMPEDE - Sabo</t>
  </si>
  <si>
    <t>276 Great Pirate - Edward Newgate - Medal _The Man Who Shook the World_ - Piece.png</t>
  </si>
  <si>
    <t>263 - Lunarian ~ Alber - Medal - Crafted [Colored] -  [Imperial Flame]</t>
  </si>
  <si>
    <t>img_icon_medal_310200045.png</t>
  </si>
  <si>
    <t>https://ik.imagekit.io/alaaalaa6171/Event%20Medals/img_icon_medal_310200045.png?updatedAt=1770125375374</t>
  </si>
  <si>
    <t>45 - Medal [Event] - Crafted - Hody</t>
  </si>
  <si>
    <t>https://i.postimg.cc/mk5cDp1G/img_icon_medal_310110076.png</t>
  </si>
  <si>
    <t>https://ik.imagekit.io/alaaalaa6171/078%20STAMPEDE%20-%20Monkey%20D.%20Luffy%20-%20Medal%20_Luffy%20(STAMPEDE)_.png?updatedAt=1770076415933</t>
  </si>
  <si>
    <t>https://ik.imagekit.io/alaaalaa6171/078%20STAMPEDE%20-%20Monkey%20D.%20Luffy%20-%20Medal%20_Luffy%20(STAMPEDE)_%20_Colored_.png?updatedAt=1770076415945</t>
  </si>
  <si>
    <t>https://ik.imagekit.io/alaaalaa6171/078%20STAMPEDE%20-%20Monkey%20D.%20Luffy%20-%20Medal%20_Luffy%20(STAMPEDE)_%20-%20Piece.png?updatedAt=1770076415934</t>
  </si>
  <si>
    <t>https://ik.imagekit.io/alaaalaa6171/078%20STAMPEDE%20-%20Monkey%20D.%20Luffy%20-%20Medal%20_Luffy%20(STAMPEDE)_%20-%20Piece%20_Colored_.png?updatedAt=1770076415927</t>
  </si>
  <si>
    <t>078 STAMPEDE - Monkey D. Luffy</t>
  </si>
  <si>
    <t>276 Great Pirate - Edward Newgate - Medal _The Man Who Shook the World_ - Piece _Colored_.png</t>
  </si>
  <si>
    <t>264 - Cyborg ~ Queen - Medal - Crafted [Colored] -  [Flying Pan]</t>
  </si>
  <si>
    <t>img_icon_medal_310200044.png</t>
  </si>
  <si>
    <t>https://ik.imagekit.io/alaaalaa6171/Event%20Medals/img_icon_medal_310200044.png?updatedAt=1770125375620</t>
  </si>
  <si>
    <t>44 - Medal [Event] - Crafted - Wild Zombie</t>
  </si>
  <si>
    <t>https://i.postimg.cc/90n4MgwV/img_icon_medal_310110077.png</t>
  </si>
  <si>
    <t>https://ik.imagekit.io/alaaalaa6171/077%20STAMPEDE%20-%20Smoker%20-%20Medal%20_Smoker%20(STAMPEDE)_.png?updatedAt=1770076415954</t>
  </si>
  <si>
    <t>https://ik.imagekit.io/alaaalaa6171/077%20STAMPEDE%20-%20Smoker%20-%20Medal%20_Smoker%20(STAMPEDE)_%20_Colored_.png?updatedAt=1770076415942</t>
  </si>
  <si>
    <t>https://ik.imagekit.io/alaaalaa6171/077%20STAMPEDE%20-%20Smoker%20-%20Medal%20_Smoker%20(STAMPEDE)_%20-%20Piece.png?updatedAt=1770076415945</t>
  </si>
  <si>
    <t>https://ik.imagekit.io/alaaalaa6171/077%20STAMPEDE%20-%20Smoker%20-%20Medal%20_Smoker%20(STAMPEDE)_%20-%20Piece%20_Colored_.png?updatedAt=1770076415923</t>
  </si>
  <si>
    <t>077 STAMPEDE - Smoker</t>
  </si>
  <si>
    <t>276 Great Pirate - Edward Newgate - Medal _The Man Who Shook the World_ _Colored_.png</t>
  </si>
  <si>
    <t>265 - Revolutionary Army_Solider ~ Hack - Medal - Crafted [Colored] -  [Hack]</t>
  </si>
  <si>
    <t>img_icon_medal_310200043.png</t>
  </si>
  <si>
    <t>https://ik.imagekit.io/alaaalaa6171/Event%20Medals/img_icon_medal_310200043.png?updatedAt=1770125375384</t>
  </si>
  <si>
    <t>43 - Medal [Event] - Crafted - Genie</t>
  </si>
  <si>
    <t>https://i.postimg.cc/6qm73b4B/img_icon_medal_310110079.png</t>
  </si>
  <si>
    <t>https://ik.imagekit.io/alaaalaa6171/076%20Navy%20Infiltrator%20-%20Portgaz%20D.%20Ace%20-%20Medal%20_Fire%20Pillar_.png?updatedAt=1770076415910</t>
  </si>
  <si>
    <t>https://ik.imagekit.io/alaaalaa6171/076%20Navy%20Infiltrator%20-%20Portgaz%20D.%20Ace%20-%20Medal%20_Fire%20Pillar_%20_Colored_.png?updatedAt=1770076415929</t>
  </si>
  <si>
    <t>https://ik.imagekit.io/alaaalaa6171/076%20Navy%20Infiltrator%20-%20Portgaz%20D.%20Ace%20-%20Medal%20_Fire%20Pillar_%20-%20Piece.png?updatedAt=1770076415907</t>
  </si>
  <si>
    <t>https://ik.imagekit.io/alaaalaa6171/076%20Navy%20Infiltrator%20-%20Portgaz%20D.%20Ace%20-%20Medal%20_Fire%20Pillar_%20-%20Piece%20_Colored_.png?updatedAt=1770076415958</t>
  </si>
  <si>
    <t>076 Navy Infiltrator - Portgaz D. Ace</t>
  </si>
  <si>
    <t>275 Fire Fist Ogre Princess - Ace &amp; Yamato - Medal _Ace &amp; Yamato_.png</t>
  </si>
  <si>
    <t>266 - Revolutionary Army_Officer ~ Inazuma - Medal - Crafted [Colored] -  [Inazuma]</t>
  </si>
  <si>
    <t>img_icon_medal_310200042.png</t>
  </si>
  <si>
    <t>https://ik.imagekit.io/alaaalaa6171/Event%20Medals/img_icon_medal_310200042.png?updatedAt=1770125376044</t>
  </si>
  <si>
    <t>42 - Medal [Event] - Crafted - Bis_Bis</t>
  </si>
  <si>
    <t>https://i.postimg.cc/1Xjgt7V9/img_icon_medal_310110078.png</t>
  </si>
  <si>
    <t>https://ik.imagekit.io/alaaalaa6171/075%20Impel%20Down_Prisoner%20-%20Crocodile%20-%20Medal%20_Sables_.png?updatedAt=1770076415936</t>
  </si>
  <si>
    <t>https://ik.imagekit.io/alaaalaa6171/075%20Impel%20Down_Prisoner%20-%20Crocodile%20-%20Medal%20_Sables_%20_Colored_.png?updatedAt=1770076415937</t>
  </si>
  <si>
    <t>https://ik.imagekit.io/alaaalaa6171/075%20Impel%20Down_Prisoner%20-%20Crocodile%20-%20Medal%20_Sables_%20-%20Piece.png?updatedAt=1770076415875</t>
  </si>
  <si>
    <t>https://ik.imagekit.io/alaaalaa6171/075%20Impel%20Down_Prisoner%20-%20Crocodile%20-%20Medal%20_Sables_%20-%20Piece%20_Colored_.png?updatedAt=1770076415874</t>
  </si>
  <si>
    <t>075 Impel Down / Prisoner - Crocodile</t>
  </si>
  <si>
    <t>275 Fire Fist Ogre Princess - Ace &amp; Yamato - Medal _Ace &amp; Yamato_ - Piece.png</t>
  </si>
  <si>
    <t>267 - Revolutionary Army_Captain of the Northern Forces ~ Karasu - Medal - Crafted [Colored] -  [Karasu]</t>
  </si>
  <si>
    <t>img_icon_medal_310200041.png</t>
  </si>
  <si>
    <t>https://ik.imagekit.io/alaaalaa6171/Event%20Medals/img_icon_medal_310200041.png?updatedAt=1770125375585</t>
  </si>
  <si>
    <t>41 - Medal [Event] - Crafted - Wring_Wring</t>
  </si>
  <si>
    <t>https://i.postimg.cc/ZnM9Rsvz/img_icon_medal_310110075.png</t>
  </si>
  <si>
    <t>https://ik.imagekit.io/alaaalaa6171/074%20Bikini%20-%20Boa%20Hancock%20-%20Medal%20_Bikini%20Hancock_.png?updatedAt=1770076415858</t>
  </si>
  <si>
    <t>https://ik.imagekit.io/alaaalaa6171/074%20Bikini%20-%20Boa%20Hancock%20-%20Medal%20_Bikini%20Hancock_%20_Colored_.png?updatedAt=1770076415867</t>
  </si>
  <si>
    <t>https://ik.imagekit.io/alaaalaa6171/074%20Bikini%20-%20Boa%20Hancock%20-%20Medal%20_Bikini%20Hancock_%20-%20Piece.png?updatedAt=1770076415825</t>
  </si>
  <si>
    <t>https://ik.imagekit.io/alaaalaa6171/074%20Bikini%20-%20Boa%20Hancock%20-%20Medal%20_Bikini%20Hancock_%20-%20Piece%20_Colored_.png?updatedAt=1770076415824</t>
  </si>
  <si>
    <t>074 Bikini - Boa Hancock</t>
  </si>
  <si>
    <t>275 Fire Fist Ogre Princess - Ace &amp; Yamato - Medal _Ace &amp; Yamato_ - Piece _Colored_.png</t>
  </si>
  <si>
    <t>268 - Revolutionary Army_Captain of the Eastern Forces ~ Belo Betty - Medal - Crafted [Colored] -  [Belo Betty]</t>
  </si>
  <si>
    <t>img_icon_medal_310200040.png</t>
  </si>
  <si>
    <t>https://ik.imagekit.io/alaaalaa6171/Event%20Medals/img_icon_medal_310200040.png?updatedAt=1770125375722</t>
  </si>
  <si>
    <t>40 - Medal [Event] - Crafted - Evening Shower</t>
  </si>
  <si>
    <t>https://i.postimg.cc/SRvXs1YF/img_icon_medal_310110074.png</t>
  </si>
  <si>
    <t>https://ik.imagekit.io/alaaalaa6171/073%20Bikini%20-%20Nami%20-%20Medal%20_Bikini%20Nami_.png?updatedAt=1770076415847</t>
  </si>
  <si>
    <t>https://ik.imagekit.io/alaaalaa6171/073%20Bikini%20-%20Nami%20-%20Medal%20_Bikini%20Nami_%20_Colored_.png?updatedAt=1770076415847</t>
  </si>
  <si>
    <t>https://ik.imagekit.io/alaaalaa6171/073%20Bikini%20-%20Nami%20-%20Medal%20_Bikini%20Nami_%20-%20Piece.png?updatedAt=1770076415865</t>
  </si>
  <si>
    <t>https://ik.imagekit.io/alaaalaa6171/073%20Bikini%20-%20Nami%20-%20Medal%20_Bikini%20Nami_%20-%20Piece%20_Colored_.png?updatedAt=1770076415833</t>
  </si>
  <si>
    <t>073 Bikini - Nami</t>
  </si>
  <si>
    <t>275 Fire Fist Ogre Princess - Ace &amp; Yamato - Medal _Ace &amp; Yamato_ _Colored_.png</t>
  </si>
  <si>
    <t>269 - Animal Kingdom Pirates_Tobi Roppo ~ Black Maria - Medal - Crafted [Colored] -  [Spider_Spider]</t>
  </si>
  <si>
    <t>img_icon_medal_310200039.png</t>
  </si>
  <si>
    <t>https://ik.imagekit.io/alaaalaa6171/Event%20Medals/img_icon_medal_310200039.png?updatedAt=1770125375500</t>
  </si>
  <si>
    <t>39 - Medal [Event] - Crafted - Foxfire</t>
  </si>
  <si>
    <t>https://i.postimg.cc/WzHD3YqR/img_icon_medal_310110073.png</t>
  </si>
  <si>
    <t>https://ik.imagekit.io/alaaalaa6171/072%202%20Years%20Later_Ship%20Carpenter%20-%20Franky%20-%20Medal%20_Radical_.png?updatedAt=1770076415843</t>
  </si>
  <si>
    <t>https://ik.imagekit.io/alaaalaa6171/072%202%20Years%20Later_Ship%20Carpenter%20-%20Franky%20-%20Medal%20_Radical_%20_Colored_.png?updatedAt=1770076415805</t>
  </si>
  <si>
    <t>https://ik.imagekit.io/alaaalaa6171/072%202%20Years%20Later_Ship%20Carpenter%20-%20Franky%20-%20Medal%20_Radical_%20-%20Piece.png?updatedAt=1770076415798</t>
  </si>
  <si>
    <t>https://ik.imagekit.io/alaaalaa6171/072%202%20Years%20Later_Ship%20Carpenter%20-%20Franky%20-%20Medal%20_Radical_%20-%20Piece%20_Colored_.png?updatedAt=1770076415823</t>
  </si>
  <si>
    <t>072 2 Years Later / Ship Carpenter - Franky</t>
  </si>
  <si>
    <t>274 Shogun of Wano - Kozuki Momonosuke - Medal _Shogun of Wano_.png</t>
  </si>
  <si>
    <t>270 - Raid on Onigashima ~ Tony Tony Chopper - Medal - Crafted [Colored] -  [Raid Chopper]</t>
  </si>
  <si>
    <t>img_icon_medal_310200038.png</t>
  </si>
  <si>
    <t>https://ik.imagekit.io/alaaalaa6171/Event%20Medals/img_icon_medal_310200038.png?updatedAt=1770125375807</t>
  </si>
  <si>
    <t>38 - Medal [Event] - Crafted - Gas_Gas</t>
  </si>
  <si>
    <t>https://i.postimg.cc/nrPszSjg/img_icon_medal_310110072.png</t>
  </si>
  <si>
    <t>https://ik.imagekit.io/alaaalaa6171/071%202%20Years%20Later_Musician%20-%20Brook%20-%20Medal%20_Blizzard%20Slice_.png?updatedAt=1770076415870</t>
  </si>
  <si>
    <t>https://ik.imagekit.io/alaaalaa6171/071%202%20Years%20Later_Musician%20-%20Brook%20-%20Medal%20_Blizzard%20Slice_%20_Colored_.png?updatedAt=1770076415762</t>
  </si>
  <si>
    <t>https://ik.imagekit.io/alaaalaa6171/071%202%20Years%20Later_Musician%20-%20Brook%20-%20Medal%20_Blizzard%20Slice_%20-%20Piece.png?updatedAt=1770076415793</t>
  </si>
  <si>
    <t>https://ik.imagekit.io/alaaalaa6171/071%202%20Years%20Later_Musician%20-%20Brook%20-%20Medal%20_Blizzard%20Slice_%20-%20Piece%20_Colored_.png?updatedAt=1770076415768</t>
  </si>
  <si>
    <t>071 2 Years Later / Musician - Brook</t>
  </si>
  <si>
    <t>274 Shogun of Wano - Kozuki Momonosuke - Medal _Shogun of Wano_ - Piece.png</t>
  </si>
  <si>
    <t>271 - Raid on Onigashima ~ Franky - Medal - Crafted [Colored] -  [Raid Franky]</t>
  </si>
  <si>
    <t>img_icon_medal_310200037.png</t>
  </si>
  <si>
    <t>https://ik.imagekit.io/alaaalaa6171/Event%20Medals/img_icon_medal_310200037.png?updatedAt=1770125375730</t>
  </si>
  <si>
    <t>37 - Medal [Event] - Crafted - Vergo</t>
  </si>
  <si>
    <t>https://i.postimg.cc/HnhJxvcK/img_icon_medal_310110071.png</t>
  </si>
  <si>
    <t>https://ik.imagekit.io/alaaalaa6171/070%202%20Years%20Later_Archaeologist%20-%20Nico%20Robin%20-%20Medal%20_Mille%20Fleurs_.png?updatedAt=1770076415761</t>
  </si>
  <si>
    <t>https://ik.imagekit.io/alaaalaa6171/070%202%20Years%20Later_Archaeologist%20-%20Nico%20Robin%20-%20Medal%20_Mille%20Fleurs_%20_Colored_.png?updatedAt=1770076415766</t>
  </si>
  <si>
    <t>https://ik.imagekit.io/alaaalaa6171/070%202%20Years%20Later_Archaeologist%20-%20Nico%20Robin%20-%20Medal%20_Mille%20Fleurs_%20-%20Piece.png?updatedAt=1770076415737</t>
  </si>
  <si>
    <t>https://ik.imagekit.io/alaaalaa6171/070%202%20Years%20Later_Archaeologist%20-%20Nico%20Robin%20-%20Medal%20_Mille%20Fleurs_%20-%20Piece%20_Colored_.png?updatedAt=1770076415721</t>
  </si>
  <si>
    <t>070 2 Years Later / Archaeologist - Nico Robin</t>
  </si>
  <si>
    <t>274 Shogun of Wano - Kozuki Momonosuke - Medal _Shogun of Wano_ - Piece _Colored_.png</t>
  </si>
  <si>
    <t>272 - Land of Wano ~ Otama &amp; Komachiyo - Medal - Crafted [Colored] -  [Otama &amp; Komachiyo]</t>
  </si>
  <si>
    <t>img_icon_medal_310200036.png</t>
  </si>
  <si>
    <t>https://ik.imagekit.io/alaaalaa6171/Event%20Medals/img_icon_medal_310200036.png?updatedAt=1770125375534</t>
  </si>
  <si>
    <t>36 - Medal [Event] - Crafted - Ann</t>
  </si>
  <si>
    <t>https://i.postimg.cc/gjTwJtXf/img_icon_medal_310110070.png</t>
  </si>
  <si>
    <t>https://ik.imagekit.io/alaaalaa6171/069%202%20Years%20Later_Doctor%20-%20Tony%20Tony%20Chopper%20-%20Medal%20_Bed%20Rest_.png?updatedAt=1770076415735</t>
  </si>
  <si>
    <t>https://ik.imagekit.io/alaaalaa6171/069%202%20Years%20Later_Doctor%20-%20Tony%20Tony%20Chopper%20-%20Medal%20_Bed%20Rest_%20_Colored_.png?updatedAt=1770076415716</t>
  </si>
  <si>
    <t>https://ik.imagekit.io/alaaalaa6171/069%202%20Years%20Later_Doctor%20-%20Tony%20Tony%20Chopper%20-%20Medal%20_Bed%20Rest_%20-%20Piece.png?updatedAt=1770076415709</t>
  </si>
  <si>
    <t>https://ik.imagekit.io/alaaalaa6171/069%202%20Years%20Later_Doctor%20-%20Tony%20Tony%20Chopper%20-%20Medal%20_Bed%20Rest_%20-%20Piece%20_Colored_.png?updatedAt=1770076415730</t>
  </si>
  <si>
    <t>069 2 Years Later / Doctor - Tony Tony Chopper</t>
  </si>
  <si>
    <t>274 Shogun of Wano - Kozuki Momonosuke - Medal _Shogun of Wano_ _Colored_.png</t>
  </si>
  <si>
    <t>273 - Navy HQ_Admiral Ryokugyu ~ [Aramaki] - Medal - Crafted [Colored] -  [Ryokugyu]</t>
  </si>
  <si>
    <t>img_icon_medal_310200035.png</t>
  </si>
  <si>
    <t>https://ik.imagekit.io/alaaalaa6171/Event%20Medals/img_icon_medal_310200035.png?updatedAt=1770125375536</t>
  </si>
  <si>
    <t>35 - Medal [Event] - Crafted - Lucci (STAMPEDE)</t>
  </si>
  <si>
    <t>https://i.postimg.cc/kGpV4Y6H/img_icon_medal_310110069.png</t>
  </si>
  <si>
    <t>https://ik.imagekit.io/alaaalaa6171/068%20Navy%20HQ_Admiral%20Kizaru%20-%20_Borsalino_%20-%20Medal%20_Kizaru_.png?updatedAt=1770076415674</t>
  </si>
  <si>
    <t>https://ik.imagekit.io/alaaalaa6171/068%20Navy%20HQ_Admiral%20Kizaru%20-%20_Borsalino_%20-%20Medal%20_Kizaru_%20_Colored_.png?updatedAt=1770076415677</t>
  </si>
  <si>
    <t>https://ik.imagekit.io/alaaalaa6171/068%20Navy%20HQ_Admiral%20Kizaru%20-%20_Borsalino_%20-%20Medal%20_Kizaru_%20-%20Piece.png?updatedAt=1770076415664</t>
  </si>
  <si>
    <t>https://ik.imagekit.io/alaaalaa6171/068%20Navy%20HQ_Admiral%20Kizaru%20-%20_Borsalino_%20-%20Medal%20_Kizaru_%20-%20Piece%20_Colored_.png?updatedAt=1770076415661</t>
  </si>
  <si>
    <t>068 Navy HQ / Admiral Kizaru - [Borsalino]</t>
  </si>
  <si>
    <t>273 Navy HQ_Admiral Ryokugyu - _Aramaki_ - Medal _Ryokugyu_.png</t>
  </si>
  <si>
    <t>274 - Shogun of Wano ~ Kozuki Momonosuke - Medal - Crafted [Colored] -  [Shogun of Wano]</t>
  </si>
  <si>
    <t>img_icon_medal_310200034.png</t>
  </si>
  <si>
    <t>https://ik.imagekit.io/alaaalaa6171/Event%20Medals/img_icon_medal_310200034.png?updatedAt=1770125375700</t>
  </si>
  <si>
    <t>34 - Medal [Event] - Crafted - Tashigi (STAMPEDE)</t>
  </si>
  <si>
    <t>https://i.postimg.cc/C51Bwp50/img_icon_medal_310110067.png</t>
  </si>
  <si>
    <t>https://ik.imagekit.io/alaaalaa6171/067%20Bonney%20Pirates_Captain%20-%20Jewelry%20Bonney%20-%20Medal%20_Bonney_.png?updatedAt=1770076415619</t>
  </si>
  <si>
    <t>https://ik.imagekit.io/alaaalaa6171/067%20Bonney%20Pirates_Captain%20-%20Jewelry%20Bonney%20-%20Medal%20_Bonney_%20_Colored_.png?updatedAt=1770076415625</t>
  </si>
  <si>
    <t>https://ik.imagekit.io/alaaalaa6171/067%20Bonney%20Pirates_Captain%20-%20Jewelry%20Bonney%20-%20Medal%20_Bonney_%20-%20Piece.png?updatedAt=1770076415635</t>
  </si>
  <si>
    <t>https://ik.imagekit.io/alaaalaa6171/067%20Bonney%20Pirates_Captain%20-%20Jewelry%20Bonney%20-%20Medal%20_Bonney_%20-%20Piece%20_Colored_.png?updatedAt=1770076415567</t>
  </si>
  <si>
    <t>067 Bonney Pirates / Captain - Jewelry Bonney</t>
  </si>
  <si>
    <t>273 Navy HQ_Admiral Ryokugyu - _Aramaki_ - Medal _Ryokugyu_ - Piece.png</t>
  </si>
  <si>
    <t>275 - Fire Fist Ogre Princess ~ Ace &amp; Yamato - Medal - Crafted [Colored] -  [Ace &amp; Yamato]</t>
  </si>
  <si>
    <t>img_icon_medal_310200033.png</t>
  </si>
  <si>
    <t>https://ik.imagekit.io/alaaalaa6171/Event%20Medals/img_icon_medal_310200033.png?updatedAt=1770125376035</t>
  </si>
  <si>
    <t>33 - Medal [Event] - Crafted - Festa</t>
  </si>
  <si>
    <t>https://i.postimg.cc/zvcLB2bP/img_icon_medal_310110068.png</t>
  </si>
  <si>
    <t>https://ik.imagekit.io/alaaalaa6171/066%202%20Years%20Later_Sharp%20Shooter%20-%20Usopp%20-%20Medal%20_Green%20Star_.png?updatedAt=1770076415563</t>
  </si>
  <si>
    <t>https://ik.imagekit.io/alaaalaa6171/066%202%20Years%20Later_Sharp%20Shooter%20-%20Usopp%20-%20Medal%20_Green%20Star_%20_Colored_.png?updatedAt=1770076415581</t>
  </si>
  <si>
    <t>https://ik.imagekit.io/alaaalaa6171/066%202%20Years%20Later_Sharp%20Shooter%20-%20Usopp%20-%20Medal%20_Green%20Star_%20-%20Piece.png?updatedAt=1770076415564</t>
  </si>
  <si>
    <t>https://ik.imagekit.io/alaaalaa6171/066%202%20Years%20Later_Sharp%20Shooter%20-%20Usopp%20-%20Medal%20_Green%20Star_%20-%20Piece%20_Colored_.png?updatedAt=1770076415432</t>
  </si>
  <si>
    <t>066 2 Years Later / Sharp Shooter - Usopp</t>
  </si>
  <si>
    <t>273 Navy HQ_Admiral Ryokugyu - _Aramaki_ - Medal _Ryokugyu_ - Piece _Colored_.png</t>
  </si>
  <si>
    <t>276 - Great Pirate ~ Edward Newgate - Medal - Crafted [Colored] -  [The Man Who Shook the World]</t>
  </si>
  <si>
    <t>img_icon_medal_310200032.png</t>
  </si>
  <si>
    <t>https://ik.imagekit.io/alaaalaa6171/Event%20Medals/img_icon_medal_310200032.png?updatedAt=1770125376018</t>
  </si>
  <si>
    <t>32 - Medal [Event] - Crafted - Bullet (STAMPEDE)</t>
  </si>
  <si>
    <t>https://i.postimg.cc/zvBbqYv1/img_icon_medal_310110066.png</t>
  </si>
  <si>
    <t>https://ik.imagekit.io/alaaalaa6171/065%202%20Years%20Later_Cook%20-%20Sanji%20-%20Medal%20_Concasser_.png?updatedAt=1770076414794</t>
  </si>
  <si>
    <t>https://ik.imagekit.io/alaaalaa6171/065%202%20Years%20Later_Cook%20-%20Sanji%20-%20Medal%20_Concasser_%20_Colored_.png?updatedAt=1770076414735</t>
  </si>
  <si>
    <t>https://ik.imagekit.io/alaaalaa6171/065%202%20Years%20Later_Cook%20-%20Sanji%20-%20Medal%20_Concasser_%20-%20Piece.png?updatedAt=1770076414741</t>
  </si>
  <si>
    <t>https://ik.imagekit.io/alaaalaa6171/065%202%20Years%20Later_Cook%20-%20Sanji%20-%20Medal%20_Concasser_%20-%20Piece%20_Colored_.png?updatedAt=1770076414731</t>
  </si>
  <si>
    <t>065 2 Years Later / Cook - Sanji</t>
  </si>
  <si>
    <t>273 Navy HQ_Admiral Ryokugyu - _Aramaki_ - Medal _Ryokugyu_ _Colored_.png</t>
  </si>
  <si>
    <t>277 - Heir to the Shogun of Wano ~ Kozuki Oden - Medal - Crafted [Colored] -  [Paradise Waterfall]</t>
  </si>
  <si>
    <t>img_icon_medal_310200031.png</t>
  </si>
  <si>
    <t>https://ik.imagekit.io/alaaalaa6171/Event%20Medals/img_icon_medal_310200031.png?updatedAt=1770125375595</t>
  </si>
  <si>
    <t>31 - Medal [Event] - Crafted - Genius Jester</t>
  </si>
  <si>
    <t>https://i.postimg.cc/tJTZ9GJj/img_icon_medal_310110065.png</t>
  </si>
  <si>
    <t>https://ik.imagekit.io/alaaalaa6171/064%20Revolutoonary%20Army_Chief%20of%20Staff%20-%20Sabo%20-%20Medal%20_Sabo_.png?updatedAt=1770076413478</t>
  </si>
  <si>
    <t>https://ik.imagekit.io/alaaalaa6171/064%20Revolutoonary%20Army_Chief%20of%20Staff%20-%20Sabo%20-%20Medal%20_Sabo_%20_Colored_.png?updatedAt=1770076413422</t>
  </si>
  <si>
    <t>https://ik.imagekit.io/alaaalaa6171/064%20Revolutoonary%20Army_Chief%20of%20Staff%20-%20Sabo%20-%20Medal%20_Sabo_%20-%20Piece.png?updatedAt=1770076412917</t>
  </si>
  <si>
    <t>https://ik.imagekit.io/alaaalaa6171/064%20Revolutoonary%20Army_Chief%20of%20Staff%20-%20Sabo%20-%20Medal%20_Sabo_%20-%20Piece%20_Colored_.png?updatedAt=1770076412668</t>
  </si>
  <si>
    <t>064 Revolutoonary Army / Chief of Staff - Sabo</t>
  </si>
  <si>
    <t>Carrot (Whole Cake Island)</t>
  </si>
  <si>
    <t>272 Land of Wano - Otama &amp; Komachiyo - Medal _Otama &amp; Komachiyo_.png</t>
  </si>
  <si>
    <t>278 - Whole Cake Island ~ Carrot - Medal - Crafted [Colored] -  [Carrot (Whole Cake Island)]</t>
  </si>
  <si>
    <t>img_icon_medal_310200030.png</t>
  </si>
  <si>
    <t>https://ik.imagekit.io/alaaalaa6171/Event%20Medals/img_icon_medal_310200030.png?updatedAt=1770125375736</t>
  </si>
  <si>
    <t>30 - Medal [Event] - Crafted - Red Hair</t>
  </si>
  <si>
    <t>https://i.postimg.cc/Kjzkmhjh/img_icon_medal_310110064.png</t>
  </si>
  <si>
    <t>https://ik.imagekit.io/alaaalaa6171/063%202%20Years%20Later_Navigator%20-%20Nami%20-%20Medal%20_Thunder_.png?updatedAt=1770076412416</t>
  </si>
  <si>
    <t>https://ik.imagekit.io/alaaalaa6171/063%202%20Years%20Later_Navigator%20-%20Nami%20-%20Medal%20_Thunder_%20_Colored_.png?updatedAt=1770076412243</t>
  </si>
  <si>
    <t>https://ik.imagekit.io/alaaalaa6171/063%202%20Years%20Later_Navigator%20-%20Nami%20-%20Medal%20_Thunder_%20-%20Piece.png?updatedAt=1770076412092</t>
  </si>
  <si>
    <t>https://ik.imagekit.io/alaaalaa6171/063%202%20Years%20Later_Navigator%20-%20Nami%20-%20Medal%20_Thunder_%20-%20Piece%20_Colored_.png?updatedAt=1770076411546</t>
  </si>
  <si>
    <t>063 2 Years Later / Navigator - Nami</t>
  </si>
  <si>
    <t>272 Land of Wano - Otama &amp; Komachiyo - Medal _Otama &amp; Komachiyo_ - Piece.png</t>
  </si>
  <si>
    <t>279 - Great Pirate ~ Gol D. Roger - Medal - Crafted [Colored] -  [The Man Who Had Everything]</t>
  </si>
  <si>
    <t>img_icon_medal_310200029.png</t>
  </si>
  <si>
    <t>https://ik.imagekit.io/alaaalaa6171/Event%20Medals/img_icon_medal_310200029.png?updatedAt=1770125375473</t>
  </si>
  <si>
    <t>29 - Medal [Event] - Crafted - Magician</t>
  </si>
  <si>
    <t>https://i.postimg.cc/XqJGn6JR/img_icon_medal_310110062.png</t>
  </si>
  <si>
    <t>https://ik.imagekit.io/alaaalaa6171/062%202%20Years%20Later_Combatant%20-%20Roronoa%20Zoro%20-%20Medal%20_Dragon%20Quake_.png?updatedAt=1770076410934</t>
  </si>
  <si>
    <t>https://ik.imagekit.io/alaaalaa6171/062%202%20Years%20Later_Combatant%20-%20Roronoa%20Zoro%20-%20Medal%20_Dragon%20Quake_%20_Colored_.png?updatedAt=1770076410922</t>
  </si>
  <si>
    <t>https://ik.imagekit.io/alaaalaa6171/062%202%20Years%20Later_Combatant%20-%20Roronoa%20Zoro%20-%20Medal%20_Dragon%20Quake_%20-%20Piece.png?updatedAt=1770076410951</t>
  </si>
  <si>
    <t>https://ik.imagekit.io/alaaalaa6171/062%202%20Years%20Later_Combatant%20-%20Roronoa%20Zoro%20-%20Medal%20_Dragon%20Quake_%20-%20Piece%20_Colored_.png?updatedAt=1770076410936</t>
  </si>
  <si>
    <t>062 2 Years Later / Combatant - Roronoa Zoro</t>
  </si>
  <si>
    <t>272 Land of Wano - Otama &amp; Komachiyo - Medal _Otama &amp; Komachiyo_ - Piece _Colored_.png</t>
  </si>
  <si>
    <t>280 - Ex-Roger Pirates_First Mate ~ Silvers Rayleigh - Medal - Crafted [Colored] -  [The Dark King`s Flash]</t>
  </si>
  <si>
    <t>img_icon_medal_310200028.png</t>
  </si>
  <si>
    <t>https://ik.imagekit.io/alaaalaa6171/Event%20Medals/img_icon_medal_310200028.png?updatedAt=1770125375985</t>
  </si>
  <si>
    <t>28 - Medal [Event] - Crafted - Gang</t>
  </si>
  <si>
    <t>https://i.postimg.cc/PJxpdnJs/img_icon_medal_310110063.png</t>
  </si>
  <si>
    <t>https://ik.imagekit.io/alaaalaa6171/061%20Alabasta_Princess%20-%20Nefeltari%20Vivi%20-%20Medal%20_Vivi_.png?updatedAt=1770076410913</t>
  </si>
  <si>
    <t>https://ik.imagekit.io/alaaalaa6171/061%20Alabasta_Princess%20-%20Nefeltari%20Vivi%20-%20Medal%20_Vivi_%20_Colored_.png?updatedAt=1770076410944</t>
  </si>
  <si>
    <t>https://ik.imagekit.io/alaaalaa6171/061%20Alabasta_Princess%20-%20Nefeltari%20Vivi%20-%20Medal%20_Vivi_%20-%20Piece.png?updatedAt=1770076410902</t>
  </si>
  <si>
    <t>https://ik.imagekit.io/alaaalaa6171/061%20Alabasta_Princess%20-%20Nefeltari%20Vivi%20-%20Medal%20_Vivi_%20-%20Piece%20_Colored_.png?updatedAt=1770076410906</t>
  </si>
  <si>
    <t>061 Alabasta / Princess - Nefeltari Vivi</t>
  </si>
  <si>
    <t>272 Land of Wano - Otama &amp; Komachiyo - Medal _Otama &amp; Komachiyo_ _Colored_.png</t>
  </si>
  <si>
    <t>281 - The Sky Knight ~ Ganfor - Medal - Crafted [Colored] -  [Ganfor]</t>
  </si>
  <si>
    <t>img_icon_medal_310200027.png</t>
  </si>
  <si>
    <t>https://ik.imagekit.io/alaaalaa6171/Event%20Medals/img_icon_medal_310200027.png?updatedAt=1770125375451</t>
  </si>
  <si>
    <t>27 - Medal [Event] - Crafted - Helmeppo Chief Petty Officer</t>
  </si>
  <si>
    <t>https://i.postimg.cc/3NR43QNM/img_icon_medal_310110061.png</t>
  </si>
  <si>
    <t>https://ik.imagekit.io/alaaalaa6171/060%202%20Years%20Later_Captain%20-%20Monkey%20D.%20Luffy%20-%20Medal%20_Elephant%20Gatling_.png?updatedAt=1770076410886</t>
  </si>
  <si>
    <t>https://ik.imagekit.io/alaaalaa6171/060%202%20Years%20Later_Captain%20-%20Monkey%20D.%20Luffy%20-%20Medal%20_Elephant%20Gatling_%20_Colored_.png?updatedAt=1770076410946</t>
  </si>
  <si>
    <t>https://ik.imagekit.io/alaaalaa6171/060%202%20Years%20Later_Captain%20-%20Monkey%20D.%20Luffy%20-%20Medal%20_Elephant%20Gatling_%20-%20Piece.png?updatedAt=1770076410932</t>
  </si>
  <si>
    <t>https://ik.imagekit.io/alaaalaa6171/060%202%20Years%20Later_Captain%20-%20Monkey%20D.%20Luffy%20-%20Medal%20_Elephant%20Gatling_%20-%20Piece%20_Colored_.png?updatedAt=1770076410907</t>
  </si>
  <si>
    <t>060 2 Years Later / Captain - Monkey D. Luffy</t>
  </si>
  <si>
    <t>271 Raid on Onigashima - Franky - Medal _Raid Franky_.png</t>
  </si>
  <si>
    <t>282 - The Great Warrior of Shandora ~ Kalgara - Medal - Crafted [Colored] -  [The Great Warrior Kalgara]</t>
  </si>
  <si>
    <t>img_icon_medal_310200026.png</t>
  </si>
  <si>
    <t>https://ik.imagekit.io/alaaalaa6171/Event%20Medals/img_icon_medal_310200026.png?updatedAt=1770125375798</t>
  </si>
  <si>
    <t>26 - Medal [Event] - Crafted - Koby Master Chief Petty Officer</t>
  </si>
  <si>
    <t>https://i.postimg.cc/L5XYmFXr/img_icon_medal_310110059.png</t>
  </si>
  <si>
    <t>https://ik.imagekit.io/alaaalaa6171/059%20Heart%20Pirates_Captain%20-%20Trafalger%20Law%20-%20Medal%20_Law_.png?updatedAt=1770076410939</t>
  </si>
  <si>
    <t>https://ik.imagekit.io/alaaalaa6171/059%20Heart%20Pirates_Captain%20-%20Trafalger%20Law%20-%20Medal%20_Law_%20_Colored_.png?updatedAt=1770076410875</t>
  </si>
  <si>
    <t>https://ik.imagekit.io/alaaalaa6171/059%20Heart%20Pirates_Captain%20-%20Trafalger%20Law%20-%20Medal%20_Law_%20-%20Piece.png?updatedAt=1770076410897</t>
  </si>
  <si>
    <t>https://ik.imagekit.io/alaaalaa6171/059%20Heart%20Pirates_Captain%20-%20Trafalger%20Law%20-%20Medal%20_Law_%20-%20Piece%20_Colored_.png?updatedAt=1770076410858</t>
  </si>
  <si>
    <t>059 Heart Pirates / Captain - Trafalger Law</t>
  </si>
  <si>
    <t>271 Raid on Onigashima - Franky - Medal _Raid Franky_ - Piece.png</t>
  </si>
  <si>
    <t>283 - Lvneel Kingdom_Exploration Ship Admiral ~ Mont Blanc Noland - Medal - Crafted [Colored] -  [Shandia`s Savior]</t>
  </si>
  <si>
    <t>img_icon_medal_310200025.png</t>
  </si>
  <si>
    <t>https://ik.imagekit.io/alaaalaa6171/Event%20Medals/img_icon_medal_310200025.png?updatedAt=1770125375288</t>
  </si>
  <si>
    <t>25 - Medal [Event] - Crafted - Roar of the Sea</t>
  </si>
  <si>
    <t>https://i.postimg.cc/Wz3Fsc3x/img_icon_medal_310110060.png</t>
  </si>
  <si>
    <t>https://ik.imagekit.io/alaaalaa6171/058%20Kid%20Pirates_Captain%20-%20Eustass%20Kid%20-%20Medal%20_Kid_.png?updatedAt=1770076410938</t>
  </si>
  <si>
    <t>https://ik.imagekit.io/alaaalaa6171/058%20Kid%20Pirates_Captain%20-%20Eustass%20Kid%20-%20Medal%20_Kid_%20_Colored_.png?updatedAt=1770076410927</t>
  </si>
  <si>
    <t>https://ik.imagekit.io/alaaalaa6171/058%20Kid%20Pirates_Captain%20-%20Eustass%20Kid%20-%20Medal%20_Kid_%20-%20Piece.png?updatedAt=1770076410934</t>
  </si>
  <si>
    <t>https://ik.imagekit.io/alaaalaa6171/058%20Kid%20Pirates_Captain%20-%20Eustass%20Kid%20-%20Medal%20_Kid_%20-%20Piece%20_Colored_.png?updatedAt=1770076410893</t>
  </si>
  <si>
    <t>058 Kid Pirates / Captain - Eustass Kid</t>
  </si>
  <si>
    <t>271 Raid on Onigashima - Franky - Medal _Raid Franky_ - Piece _Colored_.png</t>
  </si>
  <si>
    <t>284 - Fake Straw Hat Pirates_Captain ~ Demaro Black - Medal - Crafted [Colored] -  [Demaro Black]</t>
  </si>
  <si>
    <t>img_icon_medal_310200024.png</t>
  </si>
  <si>
    <t>https://ik.imagekit.io/alaaalaa6171/Event%20Medals/img_icon_medal_310200024.png?updatedAt=1770125375569</t>
  </si>
  <si>
    <t>24 - Medal [Event] - Crafted - Red Flag</t>
  </si>
  <si>
    <t>https://i.postimg.cc/wMvy9YvP/img_icon_medal_310110058.png</t>
  </si>
  <si>
    <t>https://ik.imagekit.io/alaaalaa6171/057%20Bellamy%20Pirates_Captain%20-%20Bellamy%20-%20Medal%20_Bellamy_.png?updatedAt=1770076410858</t>
  </si>
  <si>
    <t>https://ik.imagekit.io/alaaalaa6171/057%20Bellamy%20Pirates_Captain%20-%20Bellamy%20-%20Medal%20_Bellamy_%20_Colored_.png?updatedAt=1770076410839</t>
  </si>
  <si>
    <t>https://ik.imagekit.io/alaaalaa6171/057%20Bellamy%20Pirates_Captain%20-%20Bellamy%20-%20Medal%20_Bellamy_%20-%20Piece.png?updatedAt=1770076410851</t>
  </si>
  <si>
    <t>https://ik.imagekit.io/alaaalaa6171/057%20Bellamy%20Pirates_Captain%20-%20Bellamy%20-%20Medal%20_Bellamy_%20-%20Piece%20_Colored_.png?updatedAt=1770076410848</t>
  </si>
  <si>
    <t>057 Bellamy Pirates / Captain - Bellamy</t>
  </si>
  <si>
    <t>271 Raid on Onigashima - Franky - Medal _Raid Franky_ _Colored_.png</t>
  </si>
  <si>
    <t>285 - The Most Defensive Man in the World ~ Sentomaru - Medal - Crafted [Colored] -  [Axe]</t>
  </si>
  <si>
    <t>img_icon_medal_310200023.png</t>
  </si>
  <si>
    <t>https://ik.imagekit.io/alaaalaa6171/Event%20Medals/img_icon_medal_310200023.png?updatedAt=1770125375464</t>
  </si>
  <si>
    <t>23 - Medal [Event] - Crafted - Ace (Child)</t>
  </si>
  <si>
    <t>https://i.postimg.cc/d31kJc1p/img_icon_medal_310110057.png</t>
  </si>
  <si>
    <t>https://ik.imagekit.io/alaaalaa6171/056%20Arm%20Point%20-%20Tony%20Tony%20Chopper%20-%20Medal%20_Arm%20Point_.png?updatedAt=1770076410852</t>
  </si>
  <si>
    <t>https://ik.imagekit.io/alaaalaa6171/056%20Arm%20Point%20-%20Tony%20Tony%20Chopper%20-%20Medal%20_Arm%20Point_%20_Colored_.png?updatedAt=1770076410823</t>
  </si>
  <si>
    <t>https://ik.imagekit.io/alaaalaa6171/056%20Arm%20Point%20-%20Tony%20Tony%20Chopper%20-%20Medal%20_Arm%20Point_%20-%20Piece.png?updatedAt=1770076410908</t>
  </si>
  <si>
    <t>https://ik.imagekit.io/alaaalaa6171/056%20Arm%20Point%20-%20Tony%20Tony%20Chopper%20-%20Medal%20_Arm%20Point_%20-%20Piece%20_Colored_.png?updatedAt=1770076410837</t>
  </si>
  <si>
    <t>056 Arm Point - Tony Tony Chopper</t>
  </si>
  <si>
    <t>270 Raid on Onigashima - Tony Tony Chopper - Medal _Raid Chopper_.png</t>
  </si>
  <si>
    <t>286 - The Navy's Human Weapon ~ Pacifista - Medal - Crafted [Colored] -  [Pacifista]</t>
  </si>
  <si>
    <t>img_icon_medal_310200022.png</t>
  </si>
  <si>
    <t>https://ik.imagekit.io/alaaalaa6171/Event%20Medals/img_icon_medal_310200022.png?updatedAt=1770125374821</t>
  </si>
  <si>
    <t>22 - Medal [Event] - Crafted - Sabo (Child)</t>
  </si>
  <si>
    <t>https://i.postimg.cc/x8CJ9VCZ/img_icon_medal_310110056.png</t>
  </si>
  <si>
    <t>https://ik.imagekit.io/alaaalaa6171/055%20108%20Pound%20Phoenix%20-%20Roronoa%20Zoro%20-%20Medal%20_108%20Pound%20Phoenix_.png?updatedAt=1770076410813</t>
  </si>
  <si>
    <t>https://ik.imagekit.io/alaaalaa6171/055%20108%20Pound%20Phoenix%20-%20Roronoa%20Zoro%20-%20Medal%20_108%20Pound%20Phoenix_%20_Colored_.png?updatedAt=1770076410816</t>
  </si>
  <si>
    <t>https://ik.imagekit.io/alaaalaa6171/055%20108%20Pound%20Phoenix%20-%20Roronoa%20Zoro%20-%20Medal%20_108%20Pound%20Phoenix_%20-%20Piece.png?updatedAt=1770076410855</t>
  </si>
  <si>
    <t>https://ik.imagekit.io/alaaalaa6171/055%20108%20Pound%20Phoenix%20-%20Roronoa%20Zoro%20-%20Medal%20_108%20Pound%20Phoenix_%20-%20Piece%20_Colored_.png?updatedAt=1770076410820</t>
  </si>
  <si>
    <t>055 108 Pound Phoenix - Roronoa Zoro</t>
  </si>
  <si>
    <t>270 Raid on Onigashima - Tony Tony Chopper - Medal _Raid Chopper_ - Piece.png</t>
  </si>
  <si>
    <t>287 - Egghead ~ Monkey D. Luffy - Medal - Crafted [Colored] -  [Egghead Luffy]</t>
  </si>
  <si>
    <t>img_icon_medal_310200021.png</t>
  </si>
  <si>
    <t>https://ik.imagekit.io/alaaalaa6171/Event%20Medals/img_icon_medal_310200021.png?updatedAt=1770125375761</t>
  </si>
  <si>
    <t>21 - Medal [Event] - Crafted - Attendant of Dressrosa</t>
  </si>
  <si>
    <t>https://i.postimg.cc/vTBgGwB0/img_icon_medal_310110051.png</t>
  </si>
  <si>
    <t>https://ik.imagekit.io/alaaalaa6171/054%20The%20Seven%20Warlords%20of%20the%20Sea%20-%20Gecko%20Moria%20-%20Medal%20_Moria_.png?updatedAt=1770076410798</t>
  </si>
  <si>
    <t>https://ik.imagekit.io/alaaalaa6171/054%20The%20Seven%20Warlords%20of%20the%20Sea%20-%20Gecko%20Moria%20-%20Medal%20_Moria_%20_Colored_.png?updatedAt=1770076410929</t>
  </si>
  <si>
    <t>https://ik.imagekit.io/alaaalaa6171/054%20The%20Seven%20Warlords%20of%20the%20Sea%20-%20Gecko%20Moria%20-%20Medal%20_Moria_%20-%20Piece.png?updatedAt=1770076410808</t>
  </si>
  <si>
    <t>https://ik.imagekit.io/alaaalaa6171/054%20The%20Seven%20Warlords%20of%20the%20Sea%20-%20Gecko%20Moria%20-%20Medal%20_Moria_%20-%20Piece%20_Colored_.png?updatedAt=1770076410826</t>
  </si>
  <si>
    <t>054 The Seven Warlords of the Sea - Gecko Moria</t>
  </si>
  <si>
    <t>270 Raid on Onigashima - Tony Tony Chopper - Medal _Raid Chopper_ - Piece _Colored_.png</t>
  </si>
  <si>
    <t>288 - Seraphim ~ S-Snake - Medal - Crafted [Colored] -  [S_Snake]</t>
  </si>
  <si>
    <t>img_icon_medal_310200020.png</t>
  </si>
  <si>
    <t>https://ik.imagekit.io/alaaalaa6171/Event%20Medals/img_icon_medal_310200020.png?updatedAt=1770125375555</t>
  </si>
  <si>
    <t>20 - Medal [Event] - Crafted - Mermaid Princess</t>
  </si>
  <si>
    <t>https://i.postimg.cc/HnxcT1xv/img_icon_medal_310110054.png</t>
  </si>
  <si>
    <t>https://ik.imagekit.io/alaaalaa6171/053%20The%20Seven%20Warlords%20of%20the%20Sea%20-%20Hancock%20-%20Medal%20_Hancock_.png?updatedAt=1770076410773</t>
  </si>
  <si>
    <t>https://ik.imagekit.io/alaaalaa6171/053%20The%20Seven%20Warlords%20of%20the%20Sea%20-%20Hancock%20-%20Medal%20_Hancock_%20_Colored_.png?updatedAt=1770076410791</t>
  </si>
  <si>
    <t>https://ik.imagekit.io/alaaalaa6171/053%20The%20Seven%20Warlords%20of%20the%20Sea%20-%20Hancock%20-%20Medal%20_Hancock_%20-%20Piece.png?updatedAt=1770076410782</t>
  </si>
  <si>
    <t>https://ik.imagekit.io/alaaalaa6171/053%20The%20Seven%20Warlords%20of%20the%20Sea%20-%20Hancock%20-%20Medal%20_Hancock_%20-%20Piece%20_Colored_.png?updatedAt=1770076410766</t>
  </si>
  <si>
    <t>053 The Seven Warlords of the Sea - Hancock</t>
  </si>
  <si>
    <t>270 Raid on Onigashima - Tony Tony Chopper - Medal _Raid Chopper_ _Colored_.png</t>
  </si>
  <si>
    <t>289 - Egghead ~ Roronoa Zoro - Medal - Crafted [Colored] -  [Egghead Zoro]</t>
  </si>
  <si>
    <t>img_icon_medal_310200019.png</t>
  </si>
  <si>
    <t>https://ik.imagekit.io/alaaalaa6171/Event%20Medals/img_icon_medal_310200019.png?updatedAt=1770125375548</t>
  </si>
  <si>
    <t>19 - Medal [Event] - Crafted - Mad Monk</t>
  </si>
  <si>
    <t>https://i.postimg.cc/FzRdhXRj/img_icon_medal_310110043.png</t>
  </si>
  <si>
    <t>https://ik.imagekit.io/alaaalaa6171/052%20Baroque%20Works_Vice%20President%20-%20Ms.%20All%20Sunday%20-%20Medal%20_Ms.%20All%20Sunday_.png?updatedAt=1770076410754</t>
  </si>
  <si>
    <t>https://ik.imagekit.io/alaaalaa6171/052%20Baroque%20Works_Vice%20President%20-%20Ms.%20All%20Sunday%20-%20Medal%20_Ms.%20All%20Sunday_%20_Colored_.png?updatedAt=1770076410781</t>
  </si>
  <si>
    <t>https://ik.imagekit.io/alaaalaa6171/052%20Baroque%20Works_Vice%20President%20-%20Ms.%20All%20Sunday%20-%20Medal%20_Ms.%20All%20Sunday_%20-%20Piece.png?updatedAt=1770076410765</t>
  </si>
  <si>
    <t>https://ik.imagekit.io/alaaalaa6171/052%20Baroque%20Works_Vice%20President%20-%20Ms.%20All%20Sunday%20-%20Medal%20_Ms.%20All%20Sunday_%20-%20Piece%20_Colored_.png?updatedAt=1770076410754</t>
  </si>
  <si>
    <t>052 Baroque Works / Vice President - Ms. All Sunday</t>
  </si>
  <si>
    <t>269 Animal Kingdom Pirates_Tobi Roppo - Black Maria - Medal _Spider_Spider_.png</t>
  </si>
  <si>
    <t>290 - Seraphim ~ S-Hawk - Medal - Crafted [Colored] -  [S_Hawk]</t>
  </si>
  <si>
    <t>img_icon_medal_310200018.png</t>
  </si>
  <si>
    <t>https://ik.imagekit.io/alaaalaa6171/Event%20Medals/img_icon_medal_310200018.png?updatedAt=1770125375262</t>
  </si>
  <si>
    <t>18 - Medal [Event] - Crafted - Murder Machine</t>
  </si>
  <si>
    <t>https://i.postimg.cc/NFM9QvM8/img_icon_medal_310110044.png</t>
  </si>
  <si>
    <t>https://ik.imagekit.io/alaaalaa6171/051%20Baroque%20Works_Officer%20Agent%20-%20Bon%20Clay,%20aka%20Mr.%202%20-%20Medal%20_Mr.%202_.png?updatedAt=1770076410746</t>
  </si>
  <si>
    <t>https://ik.imagekit.io/alaaalaa6171/051%20Baroque%20Works_Officer%20Agent%20-%20Bon%20Clay,%20aka%20Mr.%202%20-%20Medal%20_Mr.%202_%20_Colored_.png?updatedAt=1770076410736</t>
  </si>
  <si>
    <t>https://ik.imagekit.io/alaaalaa6171/051%20Baroque%20Works_Officer%20Agent%20-%20Bon%20Clay,%20aka%20Mr.%202%20-%20Medal%20_Mr.%202_%20-%20Piece.png?updatedAt=1770076410730</t>
  </si>
  <si>
    <t>https://ik.imagekit.io/alaaalaa6171/051%20Baroque%20Works_Officer%20Agent%20-%20Bon%20Clay,%20aka%20Mr.%202%20-%20Medal%20_Mr.%202_%20-%20Piece%20_Colored_.png?updatedAt=1770076410729</t>
  </si>
  <si>
    <t>051 Baroque Works / Officer Agent - Bon Clay, aka Mr. 2</t>
  </si>
  <si>
    <t>269 Animal Kingdom Pirates_Tobi Roppo - Black Maria - Medal _Spider_Spider_ - Piece.png</t>
  </si>
  <si>
    <t>291 - CP9 ~ Blueno - Medal - Crafted [Colored] -  [Blueno]</t>
  </si>
  <si>
    <t>img_icon_medal_310200017.png</t>
  </si>
  <si>
    <t>https://ik.imagekit.io/alaaalaa6171/Event%20Medals/img_icon_medal_310200017.png?updatedAt=1770125376003</t>
  </si>
  <si>
    <t>17 - Medal [Event] - Crafted - Swamp Challenge</t>
  </si>
  <si>
    <t>https://i.postimg.cc/XqJGn6J8/img_icon_medal_310110049.png</t>
  </si>
  <si>
    <t>https://ik.imagekit.io/alaaalaa6171/050%20Navy%20HQ_Admiral%20Aokiji%20-%20_Kuzan_%20-%20Medal%20_Aokiji_.png?updatedAt=1770076410776</t>
  </si>
  <si>
    <t>https://ik.imagekit.io/alaaalaa6171/050%20Navy%20HQ_Admiral%20Aokiji%20-%20_Kuzan_%20-%20Medal%20_Aokiji_%20_Colored_.png?updatedAt=1770076410761</t>
  </si>
  <si>
    <t>https://ik.imagekit.io/alaaalaa6171/050%20Navy%20HQ_Admiral%20Aokiji%20-%20_Kuzan_%20-%20Medal%20_Aokiji_%20-%20Piece.png?updatedAt=1770076410731</t>
  </si>
  <si>
    <t>https://ik.imagekit.io/alaaalaa6171/050%20Navy%20HQ_Admiral%20Aokiji%20-%20_Kuzan_%20-%20Medal%20_Aokiji_%20-%20Piece%20_Colored_.png?updatedAt=1770076410694</t>
  </si>
  <si>
    <t>050 Navy HQ / Admiral Aokiji - [Kuzan]</t>
  </si>
  <si>
    <t>269 Animal Kingdom Pirates_Tobi Roppo - Black Maria - Medal _Spider_Spider_ - Piece _Colored_.png</t>
  </si>
  <si>
    <t>292 - CP9 ~ Jabra - Medal - Crafted [Colored] -  [Jabra]</t>
  </si>
  <si>
    <t>img_icon_medal_310200016.png</t>
  </si>
  <si>
    <t>https://ik.imagekit.io/alaaalaa6171/Event%20Medals/img_icon_medal_310200016.png?updatedAt=1770125375815</t>
  </si>
  <si>
    <t>16 - Medal [Event] - Crafted - Iron Challenge</t>
  </si>
  <si>
    <t>https://i.postimg.cc/mkDzTWD5/img_icon_medal_310110055.png</t>
  </si>
  <si>
    <t>https://ik.imagekit.io/alaaalaa6171/049%20Navy%20HQ_Admiral%20Akainu%20-%20_Sakazuki_%20-%20Medal%20_Akainu_.png?updatedAt=1770076410700</t>
  </si>
  <si>
    <t>https://ik.imagekit.io/alaaalaa6171/049%20Navy%20HQ_Admiral%20Akainu%20-%20_Sakazuki_%20-%20Medal%20_Akainu_%20_Colored_.png?updatedAt=1770076410677</t>
  </si>
  <si>
    <t>https://ik.imagekit.io/alaaalaa6171/049%20Navy%20HQ_Admiral%20Akainu%20-%20_Sakazuki_%20-%20Medal%20_Akainu_%20-%20Piece.png?updatedAt=1770076410691</t>
  </si>
  <si>
    <t>https://ik.imagekit.io/alaaalaa6171/049%20Navy%20HQ_Admiral%20Akainu%20-%20_Sakazuki_%20-%20Medal%20_Akainu_%20-%20Piece%20_Colored_.png?updatedAt=1770076410663</t>
  </si>
  <si>
    <t>049 Navy HQ / Admiral Akainu - [Sakazuki]</t>
  </si>
  <si>
    <t>269 Animal Kingdom Pirates_Tobi Roppo - Black Maria - Medal _Spider_Spider_ _Colored_.png</t>
  </si>
  <si>
    <t>293 - Awakened Form ~ Rob Lucci - Medal - Crafted [Colored] -  [Hand Pistol]</t>
  </si>
  <si>
    <t>img_icon_medal_310200015.png</t>
  </si>
  <si>
    <t>https://ik.imagekit.io/alaaalaa6171/Event%20Medals/img_icon_medal_310200015.png?updatedAt=1770125375562</t>
  </si>
  <si>
    <t>15 - Medal [Event] - Crafted - First Son of the Sea</t>
  </si>
  <si>
    <t>https://i.postimg.cc/x8CJ9VCx/img_icon_medal_310110053.png</t>
  </si>
  <si>
    <t>https://ik.imagekit.io/alaaalaa6171/048%20Whitebeard%20Pirates_2nd%20Division%20Commander%20-%20Portgaz%20D.%20Ace%20-%20Medal%20_Fire%20Fist_.png?updatedAt=1770076410752</t>
  </si>
  <si>
    <t>https://ik.imagekit.io/alaaalaa6171/048%20Whitebeard%20Pirates_2nd%20Division%20Commander%20-%20Portgaz%20D.%20Ace%20-%20Medal%20_Fire%20Fist_%20_Colored_.png?updatedAt=1770076410676</t>
  </si>
  <si>
    <t>https://ik.imagekit.io/alaaalaa6171/048%20Whitebeard%20Pirates_2nd%20Division%20Commander%20-%20Portgaz%20D.%20Ace%20-%20Medal%20_Fire%20Fist_%20-%20Piece.png?updatedAt=1770076410665</t>
  </si>
  <si>
    <t>https://ik.imagekit.io/alaaalaa6171/048%20Whitebeard%20Pirates_2nd%20Division%20Commander%20-%20Portgaz%20D.%20Ace%20-%20Medal%20_Fire%20Fist_%20-%20Piece%20_Colored_.png?updatedAt=1770076410672</t>
  </si>
  <si>
    <t>048 Whitebeard Pirates / 2nd Division Commander - Portgaz D. Ace</t>
  </si>
  <si>
    <t>268 Revolutionary Army_Captain of the Eastern Forces - Belo Betty - Medal _Belo Betty_.png</t>
  </si>
  <si>
    <t>294 - Awakened Form ~ Kaku - Medal - Crafted [Colored] -  [Nose Pistol]</t>
  </si>
  <si>
    <t>img_icon_medal_310200014.png</t>
  </si>
  <si>
    <t>https://ik.imagekit.io/alaaalaa6171/Event%20Medals/img_icon_medal_310200014.png?updatedAt=1770125375496</t>
  </si>
  <si>
    <t>14 - Medal [Event] - Crafted - Heavenly Demon</t>
  </si>
  <si>
    <t>https://i.postimg.cc/gjJXGbJ4/img_icon_medal_310110048.png</t>
  </si>
  <si>
    <t>https://ik.imagekit.io/alaaalaa6171/047%20Whitebeard%20Pirates_Captain%20Whitebeard%20-%20Edward%20Newgate%20-%20Medal%20_Whitebeard_.png?updatedAt=1770076410658</t>
  </si>
  <si>
    <t>https://ik.imagekit.io/alaaalaa6171/047%20Whitebeard%20Pirates_Captain%20Whitebeard%20-%20Edward%20Newgate%20-%20Medal%20_Whitebeard_%20_Colored_.png?updatedAt=1770076410680</t>
  </si>
  <si>
    <t>https://ik.imagekit.io/alaaalaa6171/047%20Whitebeard%20Pirates_Captain%20Whitebeard%20-%20Edward%20Newgate%20-%20Medal%20_Whitebeard_%20-%20Piece.png?updatedAt=1770076410653</t>
  </si>
  <si>
    <t>https://ik.imagekit.io/alaaalaa6171/047%20Whitebeard%20Pirates_Captain%20Whitebeard%20-%20Edward%20Newgate%20-%20Medal%20_Whitebeard_%20-%20Piece%20_Colored_.png?updatedAt=1770076410641</t>
  </si>
  <si>
    <t>047 Whitebeard Pirates / Captain Whitebeard - Edward Newgate</t>
  </si>
  <si>
    <t>268 Revolutionary Army_Captain of the Eastern Forces - Belo Betty - Medal _Belo Betty_ - Piece.png</t>
  </si>
  <si>
    <t>295 - Vegapunk's Spy ~ Stussy - Medal - Crafted [Colored] -  [Vegapunk`s Spy]</t>
  </si>
  <si>
    <t>img_icon_medal_310200013.png</t>
  </si>
  <si>
    <t>https://ik.imagekit.io/alaaalaa6171/Event%20Medals/img_icon_medal_310200013.png?updatedAt=1770125375403</t>
  </si>
  <si>
    <t>13 - Medal [Event] - Crafted - Mr. 3</t>
  </si>
  <si>
    <t>https://i.postimg.cc/Vv6rzP6B/img_icon_medal_310110046.png</t>
  </si>
  <si>
    <t>https://ik.imagekit.io/alaaalaa6171/046%20Kami%20-%20Eneru%20-%20Medal%20_Eneru_.png?updatedAt=1770076410643</t>
  </si>
  <si>
    <t>https://ik.imagekit.io/alaaalaa6171/046%20Kami%20-%20Eneru%20-%20Medal%20_Eneru_%20_Colored_.png?updatedAt=1770076410658</t>
  </si>
  <si>
    <t>https://ik.imagekit.io/alaaalaa6171/046%20Kami%20-%20Eneru%20-%20Medal%20_Eneru_%20-%20Piece.png?updatedAt=1770076410668</t>
  </si>
  <si>
    <t>https://ik.imagekit.io/alaaalaa6171/046%20Kami%20-%20Eneru%20-%20Medal%20_Eneru_%20-%20Piece%20_Colored_.png?updatedAt=1770076410647</t>
  </si>
  <si>
    <t>046 Kami - Eneru</t>
  </si>
  <si>
    <t>268 Revolutionary Army_Captain of the Eastern Forces - Belo Betty - Medal _Belo Betty_ - Piece _Colored_.png</t>
  </si>
  <si>
    <t>296 - Divine Departure ~ Shanks - Medal - Crafted [Colored] -  [Red_Haired Divine Departure]</t>
  </si>
  <si>
    <t>img_icon_medal_310200012.png</t>
  </si>
  <si>
    <t>https://ik.imagekit.io/alaaalaa6171/Event%20Medals/img_icon_medal_310200012.png?updatedAt=1770125375548</t>
  </si>
  <si>
    <t>12 - Medal [Event] - Crafted - Mr. 1</t>
  </si>
  <si>
    <t>https://i.postimg.cc/bJLSXwzL/img_icon_medal_310110038.png</t>
  </si>
  <si>
    <t>https://ik.imagekit.io/alaaalaa6171/045%20The%20Seven%20Warlords%20of%20the%20Sea%20-%20Crocodile%20-%20Medal%20_Mr.%20Zero_.png?updatedAt=1770076410669</t>
  </si>
  <si>
    <t>https://ik.imagekit.io/alaaalaa6171/045%20The%20Seven%20Warlords%20of%20the%20Sea%20-%20Crocodile%20-%20Medal%20_Mr.%20Zero_%20_Colored_.png?updatedAt=1770076410608</t>
  </si>
  <si>
    <t>https://ik.imagekit.io/alaaalaa6171/045%20The%20Seven%20Warlords%20of%20the%20Sea%20-%20Crocodile%20-%20Medal%20_Mr.%20Zero_%20-%20Piece.png?updatedAt=1770076410598</t>
  </si>
  <si>
    <t>https://ik.imagekit.io/alaaalaa6171/045%20The%20Seven%20Warlords%20of%20the%20Sea%20-%20Crocodile%20-%20Medal%20_Mr.%20Zero_%20-%20Piece%20_Colored_.png?updatedAt=1770076410603</t>
  </si>
  <si>
    <t>045 The Seven Warlords of the Sea - Crocodile</t>
  </si>
  <si>
    <t>268 Revolutionary Army_Captain of the Eastern Forces - Belo Betty - Medal _Belo Betty_ _Colored_.png</t>
  </si>
  <si>
    <t>297 - The Blue ~ Dorry - Medal - Crafted [Colored] -  [Dorry]</t>
  </si>
  <si>
    <t>img_icon_medal_310200011.png</t>
  </si>
  <si>
    <t>https://ik.imagekit.io/alaaalaa6171/Event%20Medals/img_icon_medal_310200011.png?updatedAt=1770125375977</t>
  </si>
  <si>
    <t>11 - Medal [Event] - Crafted - Tsuru</t>
  </si>
  <si>
    <t>https://i.postimg.cc/JnKHwz1q/img_icon_medal_310110037.png</t>
  </si>
  <si>
    <t>https://ik.imagekit.io/alaaalaa6171/044%20Peacock%20Slasher%20-%20Nefeltari%20Vivi%20-%20Medal%20_Peacock_.png?updatedAt=1770076410663</t>
  </si>
  <si>
    <t>https://ik.imagekit.io/alaaalaa6171/044%20Peacock%20Slasher%20-%20Nefeltari%20Vivi%20-%20Medal%20_Peacock_%20_Colored_.png?updatedAt=1770076410606</t>
  </si>
  <si>
    <t>https://ik.imagekit.io/alaaalaa6171/044%20Peacock%20Slasher%20-%20Nefeltari%20Vivi%20-%20Medal%20_Peacock_%20-%20Piece.png?updatedAt=1770076410574</t>
  </si>
  <si>
    <t>https://ik.imagekit.io/alaaalaa6171/044%20Peacock%20Slasher%20-%20Nefeltari%20Vivi%20-%20Medal%20_Peacock_%20-%20Piece%20_Colored_.png?updatedAt=1770076410555</t>
  </si>
  <si>
    <t>044 Peacock Slasher - Nefeltari Vivi</t>
  </si>
  <si>
    <t>267 Revolutionary Army_Captain of the Northern Forces - Karasu - Medal _Karasu_.png</t>
  </si>
  <si>
    <t>298 - The Red ~ Broggy - Medal - Crafted [Colored] -  [Broggy]</t>
  </si>
  <si>
    <t>img_icon_medal_310200010.png</t>
  </si>
  <si>
    <t>https://ik.imagekit.io/alaaalaa6171/Event%20Medals/img_icon_medal_310200010.png?updatedAt=1770125375338</t>
  </si>
  <si>
    <t>10 - Medal [Event] - Crafted - Glint_Glint</t>
  </si>
  <si>
    <t>https://i.postimg.cc/NMb2hjgk/img_icon_medal_310110036.png</t>
  </si>
  <si>
    <t>https://ik.imagekit.io/alaaalaa6171/043%20Gum-Gum%20Storm%20-%20Monkey%20D.%20Luffy%20-%20Medal%20_Storm_.png?updatedAt=1770076410575</t>
  </si>
  <si>
    <t>https://ik.imagekit.io/alaaalaa6171/043%20Gum-Gum%20Storm%20-%20Monkey%20D.%20Luffy%20-%20Medal%20_Storm_%20_Colored_.png?updatedAt=1770076410556</t>
  </si>
  <si>
    <t>https://ik.imagekit.io/alaaalaa6171/043%20Gum-Gum%20Storm%20-%20Monkey%20D.%20Luffy%20-%20Medal%20_Storm_%20-%20Piece.png?updatedAt=1770076410562</t>
  </si>
  <si>
    <t>https://ik.imagekit.io/alaaalaa6171/043%20Gum-Gum%20Storm%20-%20Monkey%20D.%20Luffy%20-%20Medal%20_Storm_%20-%20Piece%20_Colored_.png?updatedAt=1770076410567</t>
  </si>
  <si>
    <t>043 Gum-Gum Storm - Monkey D. Luffy</t>
  </si>
  <si>
    <t>267 Revolutionary Army_Captain of the Northern Forces - Karasu - Medal _Karasu_ - Piece.png</t>
  </si>
  <si>
    <t>299 - Happy Halloween ~ Uta - Medal - Crafted [Colored] -  [Halloween Uta]</t>
  </si>
  <si>
    <t>img_icon_medal_310200009.png</t>
  </si>
  <si>
    <t>https://ik.imagekit.io/alaaalaa6171/Event%20Medals/img_icon_medal_310200009.png?updatedAt=1770125376053</t>
  </si>
  <si>
    <t>9 - Medal [Event] - Crafted - Jackal</t>
  </si>
  <si>
    <t>https://i.postimg.cc/1tMVx39D/img_icon_medal_310110033.png</t>
  </si>
  <si>
    <t>https://ik.imagekit.io/alaaalaa6171/042%20Drum%20Kingdom_Former%20Ruler%20-%20Wapol%20-%20Medal%20_Wapol_.png?updatedAt=1770076410546</t>
  </si>
  <si>
    <t>https://ik.imagekit.io/alaaalaa6171/042%20Drum%20Kingdom_Former%20Ruler%20-%20Wapol%20-%20Medal%20_Wapol_%20_Colored_.png?updatedAt=1770076410522</t>
  </si>
  <si>
    <t>https://ik.imagekit.io/alaaalaa6171/042%20Drum%20Kingdom_Former%20Ruler%20-%20Wapol%20-%20Medal%20_Wapol_%20-%20Piece.png?updatedAt=1770076410475</t>
  </si>
  <si>
    <t>https://ik.imagekit.io/alaaalaa6171/042%20Drum%20Kingdom_Former%20Ruler%20-%20Wapol%20-%20Medal%20_Wapol_%20-%20Piece%20_Colored_.png?updatedAt=1770076410517</t>
  </si>
  <si>
    <t>042 Drum Kingdom / Former Ruler - Wapol</t>
  </si>
  <si>
    <t>267 Revolutionary Army_Captain of the Northern Forces - Karasu - Medal _Karasu_ - Piece _Colored_.png</t>
  </si>
  <si>
    <t>300 - Punk-02 ~ Lilith - Medal - Crafted [Colored] -  [Punk_02]</t>
  </si>
  <si>
    <t>img_icon_medal_310200008.png</t>
  </si>
  <si>
    <t>https://ik.imagekit.io/alaaalaa6171/Event%20Medals/img_icon_medal_310200008.png?updatedAt=1770125375969</t>
  </si>
  <si>
    <t>8 - Medal [Event] - Crafted - Falcon</t>
  </si>
  <si>
    <t>https://i.postimg.cc/j5vnVSsf/img_icon_medal_310110031.png</t>
  </si>
  <si>
    <t>https://ik.imagekit.io/alaaalaa6171/041%20Navy%20HQ_Captain%20-%20Smoker%20-%20Medal%20_Smoker_.png?updatedAt=1770076410505</t>
  </si>
  <si>
    <t>https://ik.imagekit.io/alaaalaa6171/041%20Navy%20HQ_Captain%20-%20Smoker%20-%20Medal%20_Smoker_%20_Colored_.png?updatedAt=1770076410481</t>
  </si>
  <si>
    <t>https://ik.imagekit.io/alaaalaa6171/041%20Navy%20HQ_Captain%20-%20Smoker%20-%20Medal%20_Smoker_%20-%20Piece.png?updatedAt=1770076410464</t>
  </si>
  <si>
    <t>https://ik.imagekit.io/alaaalaa6171/041%20Navy%20HQ_Captain%20-%20Smoker%20-%20Medal%20_Smoker_%20-%20Piece%20_Colored_.png?updatedAt=1770076410464</t>
  </si>
  <si>
    <t>041 Navy HQ / Captain - Smoker</t>
  </si>
  <si>
    <t>267 Revolutionary Army_Captain of the Northern Forces - Karasu - Medal _Karasu_ _Colored_.png</t>
  </si>
  <si>
    <t>301 - Seraphim ~ S-Bear - Medal - Crafted [Colored] -  [S_Bear]</t>
  </si>
  <si>
    <t>img_icon_medal_310200007.png</t>
  </si>
  <si>
    <t>https://ik.imagekit.io/alaaalaa6171/Event%20Medals/img_icon_medal_310200007.png?updatedAt=1770125374781</t>
  </si>
  <si>
    <t>7 - Medal [Event] - Crafted - Diamond</t>
  </si>
  <si>
    <t>https://i.postimg.cc/hvjzKRj1/img_icon_medal_310110047.png</t>
  </si>
  <si>
    <t>https://ik.imagekit.io/alaaalaa6171/040%2030%20Million%20Berry%20Bounty%20-%20Monkey%20D.%20Luffy%20-%20Medal%20_Battle_Ax_.png?updatedAt=1770076410397</t>
  </si>
  <si>
    <t>https://ik.imagekit.io/alaaalaa6171/040%2030%20Million%20Berry%20Bounty%20-%20Monkey%20D.%20Luffy%20-%20Medal%20_Battle_Ax_%20_Colored_.png?updatedAt=1770076410433</t>
  </si>
  <si>
    <t>https://ik.imagekit.io/alaaalaa6171/040%2030%20Million%20Berry%20Bounty%20-%20Monkey%20D.%20Luffy%20-%20Medal%20_Battle_Ax_%20-%20Piece.png?updatedAt=1770076410355</t>
  </si>
  <si>
    <t>https://ik.imagekit.io/alaaalaa6171/040%2030%20Million%20Berry%20Bounty%20-%20Monkey%20D.%20Luffy%20-%20Medal%20_Battle_Ax_%20-%20Piece%20_Colored_.png?updatedAt=1770076410338</t>
  </si>
  <si>
    <t>040 30 Million Berry Bounty - Monkey D. Luffy</t>
  </si>
  <si>
    <t>266 Revolutionary Army_Officer - Inazuma - Medal _Inazuma_.png</t>
  </si>
  <si>
    <t>302 - Punk-05 ~ Atlas - Medal - Crafted [Colored] -  [Punk_05]</t>
  </si>
  <si>
    <t>img_icon_medal_310200006.png</t>
  </si>
  <si>
    <t>https://ik.imagekit.io/alaaalaa6171/Event%20Medals/img_icon_medal_310200006.png?updatedAt=1770125375744</t>
  </si>
  <si>
    <t>6 - Medal [Event] - Crafted - Phoenix</t>
  </si>
  <si>
    <t>https://i.postimg.cc/85wf8z1s/img_icon_medal_310110027.png</t>
  </si>
  <si>
    <t>https://ik.imagekit.io/alaaalaa6171/039%20Arlong%20Pirates_Captain%20-%20Arlong%20-%20Medal%20_Saw_.png?updatedAt=1770076410323</t>
  </si>
  <si>
    <t>https://ik.imagekit.io/alaaalaa6171/039%20Arlong%20Pirates_Captain%20-%20Arlong%20-%20Medal%20_Saw_%20_Colored_.png?updatedAt=1770076410322</t>
  </si>
  <si>
    <t>https://ik.imagekit.io/alaaalaa6171/039%20Arlong%20Pirates_Captain%20-%20Arlong%20-%20Medal%20_Saw_%20-%20Piece.png?updatedAt=1770076410295</t>
  </si>
  <si>
    <t>https://ik.imagekit.io/alaaalaa6171/039%20Arlong%20Pirates_Captain%20-%20Arlong%20-%20Medal%20_Saw_%20-%20Piece%20_Colored_.png?updatedAt=1770076410299</t>
  </si>
  <si>
    <t>039 Arlong Pirates / Captain - Arlong</t>
  </si>
  <si>
    <t>266 Revolutionary Army_Officer - Inazuma - Medal _Inazuma_ - Piece.png</t>
  </si>
  <si>
    <t>303 - Punk-06 ~ York - Medal - Crafted [Colored] -  [Punk_06]</t>
  </si>
  <si>
    <t>img_icon_medal_310200005.png</t>
  </si>
  <si>
    <t>https://ik.imagekit.io/alaaalaa6171/Event%20Medals/img_icon_medal_310200005.png?updatedAt=1770125375209</t>
  </si>
  <si>
    <t>4 - Medal [Event] - Crafted - Zoro (Child)</t>
  </si>
  <si>
    <t>https://i.postimg.cc/xCgNr10N/img_icon_medal_310110030.png</t>
  </si>
  <si>
    <t>https://ik.imagekit.io/alaaalaa6171/038%20The%20Seven%20Warlords%20of%20the%20Sea%20-%20Dracule%20Mihawk%20-%20Medal%20_Hawk_Eye_.png?updatedAt=1770076410303</t>
  </si>
  <si>
    <t>https://ik.imagekit.io/alaaalaa6171/038%20The%20Seven%20Warlords%20of%20the%20Sea%20-%20Dracule%20Mihawk%20-%20Medal%20_Hawk_Eye_%20_Colored_.png?updatedAt=1770076410308</t>
  </si>
  <si>
    <t>https://ik.imagekit.io/alaaalaa6171/038%20The%20Seven%20Warlords%20of%20the%20Sea%20-%20Dracule%20Mihawk%20-%20Medal%20_Hawk_Eye_%20-%20Piece.png?updatedAt=1770076410210</t>
  </si>
  <si>
    <t>https://ik.imagekit.io/alaaalaa6171/038%20The%20Seven%20Warlords%20of%20the%20Sea%20-%20Dracule%20Mihawk%20-%20Medal%20_Hawk_Eye_%20-%20Piece%20_Colored_.png?updatedAt=1770076409027</t>
  </si>
  <si>
    <t>038 The Seven Warlords of the Sea - Dracule Mihawk</t>
  </si>
  <si>
    <t>266 Revolutionary Army_Officer - Inazuma - Medal _Inazuma_ - Piece _Colored_.png</t>
  </si>
  <si>
    <t>304 - Seraphim ~ S-Shark - Medal - Crafted [Colored] -  [S_Shark]</t>
  </si>
  <si>
    <t>img_icon_medal_310200004.png</t>
  </si>
  <si>
    <t>https://ik.imagekit.io/alaaalaa6171/Event%20Medals/img_icon_medal_310200004.png?updatedAt=1770125374749</t>
  </si>
  <si>
    <t>3 - Medal [Event] - Crafted - Luffy (Child)</t>
  </si>
  <si>
    <t>https://i.postimg.cc/nzT98hHX/img_icon_medal_310110029.png</t>
  </si>
  <si>
    <t>https://ik.imagekit.io/alaaalaa6171/037%20Girl%20from%20Syrub%20Village%20-%20Kaya%20-%20Medal%20_Kaya_.png?updatedAt=1770076408491</t>
  </si>
  <si>
    <t>https://ik.imagekit.io/alaaalaa6171/037%20Girl%20from%20Syrub%20Village%20-%20Kaya%20-%20Medal%20_Kaya_%20_Colored_.png?updatedAt=1770076408255</t>
  </si>
  <si>
    <t>https://ik.imagekit.io/alaaalaa6171/037%20Girl%20from%20Syrub%20Village%20-%20Kaya%20-%20Medal%20_Kaya_%20-%20Piece.png?updatedAt=1770076407685</t>
  </si>
  <si>
    <t>https://ik.imagekit.io/alaaalaa6171/037%20Girl%20from%20Syrub%20Village%20-%20Kaya%20-%20Medal%20_Kaya_%20-%20Piece%20_Colored_.png?updatedAt=1770076407474</t>
  </si>
  <si>
    <t>037 Girl from Syrub Village - Kaya</t>
  </si>
  <si>
    <t>266 Revolutionary Army_Officer - Inazuma - Medal _Inazuma_ _Colored_.png</t>
  </si>
  <si>
    <t>305 - Egghead ~ Sanji - Medal - Crafted [Colored] -  [Egghead Sanji]</t>
  </si>
  <si>
    <t>img_icon_medal_310200003.png</t>
  </si>
  <si>
    <t>https://ik.imagekit.io/alaaalaa6171/Event%20Medals/img_icon_medal_310200003.png?updatedAt=1770125375230</t>
  </si>
  <si>
    <t>5 - Medal [Event] - Crafted - Rumble_Rumble</t>
  </si>
  <si>
    <t>https://i.postimg.cc/j5vnVSs5/img_icon_medal_310110025.png</t>
  </si>
  <si>
    <t>https://ik.imagekit.io/alaaalaa6171/036%20Red-Haired%20Pirates_Sharp%20Shooter%20-%20Yasopp%20-%20Medal%20_Yasopp_.png?updatedAt=1770076407212</t>
  </si>
  <si>
    <t>https://ik.imagekit.io/alaaalaa6171/036%20Red-Haired%20Pirates_Sharp%20Shooter%20-%20Yasopp%20-%20Medal%20_Yasopp_%20_Colored_.png?updatedAt=1770076407171</t>
  </si>
  <si>
    <t>https://ik.imagekit.io/alaaalaa6171/036%20Red-Haired%20Pirates_Sharp%20Shooter%20-%20Yasopp%20-%20Medal%20_Yasopp_%20-%20Piece.png?updatedAt=1770076407123</t>
  </si>
  <si>
    <t>https://ik.imagekit.io/alaaalaa6171/036%20Red-Haired%20Pirates_Sharp%20Shooter%20-%20Yasopp%20-%20Medal%20_Yasopp_%20-%20Piece%20_Colored_.png?updatedAt=1770076406986</t>
  </si>
  <si>
    <t>036 Red-Haired Pirates / Sharp Shooter - Yasopp</t>
  </si>
  <si>
    <t>265 Revolutionary Army_Solider - Hack - Medal _Hack_.png</t>
  </si>
  <si>
    <t>306 - Egghead ~ Jewelry Bonney - Medal - Crafted [Colored] -  [Egghead Bonney]</t>
  </si>
  <si>
    <t>img_icon_medal_310200002.png</t>
  </si>
  <si>
    <t>https://ik.imagekit.io/alaaalaa6171/Event%20Medals/img_icon_medal_310200002.png?updatedAt=1770125375790</t>
  </si>
  <si>
    <t>2 - Medal [Event] - Crafted - Patty</t>
  </si>
  <si>
    <t>https://i.postimg.cc/9M1w3QWr/img_icon_medal_310110028.png</t>
  </si>
  <si>
    <t>https://ik.imagekit.io/alaaalaa6171/035%20Red-Haired%20Pirates_Captain%20-%20Shanks%20-%20Medal%20_Shanks_.png?updatedAt=1770076406868</t>
  </si>
  <si>
    <t>https://ik.imagekit.io/alaaalaa6171/035%20Red-Haired%20Pirates_Captain%20-%20Shanks%20-%20Medal%20_Shanks_%20_Colored_.png?updatedAt=1770076406622</t>
  </si>
  <si>
    <t>https://ik.imagekit.io/alaaalaa6171/035%20Red-Haired%20Pirates_Captain%20-%20Shanks%20-%20Medal%20_Shanks_%20-%20Piece.png?updatedAt=1770076405151</t>
  </si>
  <si>
    <t>https://ik.imagekit.io/alaaalaa6171/035%20Red-Haired%20Pirates_Captain%20-%20Shanks%20-%20Medal%20_Shanks_%20-%20Piece%20_Colored_.png?updatedAt=1770076405203</t>
  </si>
  <si>
    <t>035 Red-Haired Pirates / Captain - Shanks</t>
  </si>
  <si>
    <t>265 Revolutionary Army_Solider - Hack - Medal _Hack_ - Piece.png</t>
  </si>
  <si>
    <t>307 - Navy HQ_Lt. Commander ~ Helmeppo - Medal - Crafted [Colored] -  [Lt. Commander Helmeppo]</t>
  </si>
  <si>
    <t>img_icon_medal_310200001.png</t>
  </si>
  <si>
    <t>https://ik.imagekit.io/alaaalaa6171/Event%20Medals/img_icon_medal_310200001.png?updatedAt=1770125375249</t>
  </si>
  <si>
    <t>1 - Medal [Event] - Crafted - Mohji</t>
  </si>
  <si>
    <t>https://i.postimg.cc/C51Bwp1b/img_icon_medal_310110042.png</t>
  </si>
  <si>
    <t>https://ik.imagekit.io/alaaalaa6171/034%20Obe-Sword%20Style%20Iai%20Lion%20Song%20-%20Roronoa%20Zoro%20-%20Medal%20_Lion%20Song_.png?updatedAt=1770076405225</t>
  </si>
  <si>
    <t>https://ik.imagekit.io/alaaalaa6171/034%20Obe-Sword%20Style%20Iai%20Lion%20Song%20-%20Roronoa%20Zoro%20-%20Medal%20_Lion%20Song_%20_Colored_.png?updatedAt=1770076405279</t>
  </si>
  <si>
    <t>https://ik.imagekit.io/alaaalaa6171/034%20Obe-Sword%20Style%20Iai%20Lion%20Song%20-%20Roronoa%20Zoro%20-%20Medal%20_Lion%20Song_%20-%20Piece.png?updatedAt=1770076405073</t>
  </si>
  <si>
    <t>https://ik.imagekit.io/alaaalaa6171/034%20Obe-Sword%20Style%20Iai%20Lion%20Song%20-%20Roronoa%20Zoro%20-%20Medal%20_Lion%20Song_%20-%20Piece%20_Colored_.png?updatedAt=1770076405020</t>
  </si>
  <si>
    <t>034 Obe-Sword Style Iai Lion Song - Roronoa Zoro</t>
  </si>
  <si>
    <t>265 Revolutionary Army_Solider - Hack - Medal _Hack_ - Piece _Colored_.png</t>
  </si>
  <si>
    <t>308 - Legendary Hero ~ Monkey D. Garp - Medal - Crafted [Colored] -  [Galaxy Impact]</t>
  </si>
  <si>
    <t>https://i.postimg.cc/RhF6vxFf/img_icon_medal_310110040.png</t>
  </si>
  <si>
    <t>https://ik.imagekit.io/alaaalaa6171/033%20Veau%20Vengeance%20-%20Sanji%20-%20Medal%20_Veau_.png?updatedAt=1770076405503</t>
  </si>
  <si>
    <t>https://ik.imagekit.io/alaaalaa6171/033%20Veau%20Vengeance%20-%20Sanji%20-%20Medal%20_Veau_%20_Colored_.png?updatedAt=1770076405372</t>
  </si>
  <si>
    <t>https://ik.imagekit.io/alaaalaa6171/033%20Veau%20Vengeance%20-%20Sanji%20-%20Medal%20_Veau_%20-%20Piece.png?updatedAt=1770076405041</t>
  </si>
  <si>
    <t>https://ik.imagekit.io/alaaalaa6171/033%20Veau%20Vengeance%20-%20Sanji%20-%20Medal%20_Veau_%20-%20Piece%20_Colored_.png?updatedAt=1770076405556</t>
  </si>
  <si>
    <t>033 Veau Vengeance - Sanji</t>
  </si>
  <si>
    <t>265 Revolutionary Army_Solider - Hack - Medal _Hack_ _Colored_.png</t>
  </si>
  <si>
    <t>309 - Navy HQ_Captain ~ Koby - Medal - Crafted [Colored] -  [The Future of the Navy]</t>
  </si>
  <si>
    <t>https://i.postimg.cc/5y0YfW0z/img_icon_medal_310110039.png</t>
  </si>
  <si>
    <t>https://ik.imagekit.io/alaaalaa6171/032%205t%20Hammer%20-%20Usopp%20-%20Medal%20_Pound_.png?updatedAt=1770076405165</t>
  </si>
  <si>
    <t>https://ik.imagekit.io/alaaalaa6171/032%205t%20Hammer%20-%20Usopp%20-%20Medal%20_Pound_%20_Colored_.png?updatedAt=1770076405456</t>
  </si>
  <si>
    <t>https://ik.imagekit.io/alaaalaa6171/032%205t%20Hammer%20-%20Usopp%20-%20Medal%20_Pound_%20-%20Piece.png?updatedAt=1770076404980</t>
  </si>
  <si>
    <t>https://ik.imagekit.io/alaaalaa6171/032%205t%20Hammer%20-%20Usopp%20-%20Medal%20_Pound_%20-%20Piece%20_Colored_.png?updatedAt=1770076405421</t>
  </si>
  <si>
    <t>032 5t Hammer - Usopp</t>
  </si>
  <si>
    <t>264 Cyborg - Queen - Medal _Flying Pan_.png</t>
  </si>
  <si>
    <t>310 - Blackbeard Pirates ~ Kuzan - Medal - Crafted [Colored] -  [Former Senior Apprentice]</t>
  </si>
  <si>
    <t>https://i.postimg.cc/qqRhpHRy/img_icon_medal_310110041.png</t>
  </si>
  <si>
    <t>https://ik.imagekit.io/alaaalaa6171/031%20Climate%20Baton%20-%20Nami%20-%20Medal%20_Climate%20Baton_.png?updatedAt=1770076405440</t>
  </si>
  <si>
    <t>https://ik.imagekit.io/alaaalaa6171/031%20Climate%20Baton%20-%20Nami%20-%20Medal%20_Climate%20Baton_%20_Colored_.png?updatedAt=1770076405605</t>
  </si>
  <si>
    <t>https://ik.imagekit.io/alaaalaa6171/031%20Climate%20Baton%20-%20Nami%20-%20Medal%20_Climate%20Baton_%20-%20Piece.png?updatedAt=1770076405277</t>
  </si>
  <si>
    <t>https://ik.imagekit.io/alaaalaa6171/031%20Climate%20Baton%20-%20Nami%20-%20Medal%20_Climate%20Baton_%20-%20Piece%20_Colored_.png?updatedAt=1770076405392</t>
  </si>
  <si>
    <t>031 Climate Baton - Nami</t>
  </si>
  <si>
    <t>264 Cyborg - Queen - Medal _Flying Pan_ - Piece.png</t>
  </si>
  <si>
    <t>311 - Assistant Fish-Man Karate Master ~ Koala - Medal - Crafted [Colored] -  [Revolutionary Army Female Solider]</t>
  </si>
  <si>
    <t>https://i.postimg.cc/zBpHmGJW/img_icon_medal_310110032.png</t>
  </si>
  <si>
    <t>https://ik.imagekit.io/alaaalaa6171/030%20Baroque%20Works_Frontier%20Agents%20-%20Ms.%20Wednesday%20-%20Medal%20_Slip_Slip_.png?updatedAt=1770076405258</t>
  </si>
  <si>
    <t>https://ik.imagekit.io/alaaalaa6171/030%20Baroque%20Works_Frontier%20Agents%20-%20Ms.%20Wednesday%20-%20Medal%20_Slip_Slip_%20_Colored_.png?updatedAt=1770076405238</t>
  </si>
  <si>
    <t>https://ik.imagekit.io/alaaalaa6171/030%20Baroque%20Works_Frontier%20Agents%20-%20Ms.%20Wednesday%20-%20Medal%20_Slip_Slip_%20-%20Piece.png?updatedAt=1770076404982</t>
  </si>
  <si>
    <t>https://ik.imagekit.io/alaaalaa6171/030%20Baroque%20Works_Frontier%20Agents%20-%20Ms.%20Wednesday%20-%20Medal%20_Slip_Slip_%20-%20Piece%20_Colored_.png?updatedAt=1770076405335</t>
  </si>
  <si>
    <t>030 Baroque Works / Frontier Agents - Ms. Wednesday</t>
  </si>
  <si>
    <t>264 Cyborg - Queen - Medal _Flying Pan_ - Piece _Colored_.png</t>
  </si>
  <si>
    <t>312 - Flame Emperor ~ Sabo - Medal - Crafted [Colored] -  [Rock Check]</t>
  </si>
  <si>
    <t>https://i.postimg.cc/DZ54Vw2Q/img_icon_medal_310110034.png</t>
  </si>
  <si>
    <t>https://ik.imagekit.io/alaaalaa6171/029%20Slip-Slip%20Fruit%20-%20Alvida%20-%20Medal%20_Tashigi_.png?updatedAt=1770076405401</t>
  </si>
  <si>
    <t>https://ik.imagekit.io/alaaalaa6171/029%20Slip-Slip%20Fruit%20-%20Alvida%20-%20Medal%20_Tashigi_%20_Colored_.png?updatedAt=1770076405256</t>
  </si>
  <si>
    <t>https://ik.imagekit.io/alaaalaa6171/029%20Slip-Slip%20Fruit%20-%20Alvida%20-%20Medal%20_Tashigi_%20-%20Piece.png?updatedAt=1770076404985</t>
  </si>
  <si>
    <t>https://ik.imagekit.io/alaaalaa6171/029%20Slip-Slip%20Fruit%20-%20Alvida%20-%20Medal%20_Tashigi_%20-%20Piece%20_Colored_.png?updatedAt=1770076405082</t>
  </si>
  <si>
    <t>029 Slip-Slip Fruit - Alvida</t>
  </si>
  <si>
    <t>264 Cyborg - Queen - Medal _Flying Pan_ _Colored_.png</t>
  </si>
  <si>
    <t>313 - Germa 66 ~ Vinsmoke Ichiji - Medal - Crafted [Colored] -  [Ichiji]</t>
  </si>
  <si>
    <t>https://i.postimg.cc/j5vnVSsh/img_icon_medal_310110035.png</t>
  </si>
  <si>
    <t>https://ik.imagekit.io/alaaalaa6171/028%20Navy%20HQ_Master%20Chief%20Petty%20Officer%20-%20Tashigi%20-%20Medal%20_Ms.%20Wednesday_.png?updatedAt=1770076405186</t>
  </si>
  <si>
    <t>https://ik.imagekit.io/alaaalaa6171/028%20Navy%20HQ_Master%20Chief%20Petty%20Officer%20-%20Tashigi%20-%20Medal%20_Ms.%20Wednesday_%20_Colored_.png?updatedAt=1770076405318</t>
  </si>
  <si>
    <t>https://ik.imagekit.io/alaaalaa6171/028%20Navy%20HQ_Master%20Chief%20Petty%20Officer%20-%20Tashigi%20-%20Medal%20_Ms.%20Wednesday_%20-%20Piece.png?updatedAt=1770076404982</t>
  </si>
  <si>
    <t>https://ik.imagekit.io/alaaalaa6171/028%20Navy%20HQ_Master%20Chief%20Petty%20Officer%20-%20Tashigi%20-%20Medal%20_Ms.%20Wednesday_%20-%20Piece%20_Colored_.png?updatedAt=1770076405035</t>
  </si>
  <si>
    <t>028 Navy HQ / Master Chief Petty Officer - Tashigi</t>
  </si>
  <si>
    <t>263 Lunarian - Alber - Medal _Imperial Flame_.png</t>
  </si>
  <si>
    <t>314 - Germa 66 ~ Vinsmoke Neji - Medal - Crafted [Colored] -  [Neji]</t>
  </si>
  <si>
    <t>https://i.postimg.cc/qRp6Z3dB/img_icon_medal_310110014.png</t>
  </si>
  <si>
    <t>https://ik.imagekit.io/alaaalaa6171/027%20Arlong%20Pirates_Officer%20-%20Choo%20-%20Medal%20_Kuroobi_.png?updatedAt=1770076405325</t>
  </si>
  <si>
    <t>https://ik.imagekit.io/alaaalaa6171/027%20Arlong%20Pirates_Officer%20-%20Choo%20-%20Medal%20_Kuroobi_%20_Colored_.png?updatedAt=1770076405269</t>
  </si>
  <si>
    <t>https://ik.imagekit.io/alaaalaa6171/027%20Arlong%20Pirates_Officer%20-%20Choo%20-%20Medal%20_Kuroobi_%20-%20Piece.png?updatedAt=1770076404986</t>
  </si>
  <si>
    <t>https://ik.imagekit.io/alaaalaa6171/027%20Arlong%20Pirates_Officer%20-%20Choo%20-%20Medal%20_Kuroobi_%20-%20Piece%20_Colored_.png?updatedAt=1770076405574</t>
  </si>
  <si>
    <t>027 Arlong Pirates / Officer - Choo</t>
  </si>
  <si>
    <t>263 Lunarian - Alber - Medal _Imperial Flame_ - Piece.png</t>
  </si>
  <si>
    <t>315 - Germa 66 ~ Vinsmoke Yonji - Medal - Crafted [Colored] -  [Yonji]</t>
  </si>
  <si>
    <t>https://i.postimg.cc/hjKQ3dqv/img_icon_medal_310110017.png</t>
  </si>
  <si>
    <t>https://ik.imagekit.io/alaaalaa6171/026%20Arlong%20Pirates_Officer%20-%20Kuroobi%20-%20Medal%20_Choo_.png?updatedAt=1770076405228</t>
  </si>
  <si>
    <t>https://ik.imagekit.io/alaaalaa6171/026%20Arlong%20Pirates_Officer%20-%20Kuroobi%20-%20Medal%20_Choo_%20_Colored_.png?updatedAt=1770076405415</t>
  </si>
  <si>
    <t>https://ik.imagekit.io/alaaalaa6171/026%20Arlong%20Pirates_Officer%20-%20Kuroobi%20-%20Medal%20_Choo_%20-%20Piece.png?updatedAt=1770076405145</t>
  </si>
  <si>
    <t>https://ik.imagekit.io/alaaalaa6171/026%20Arlong%20Pirates_Officer%20-%20Kuroobi%20-%20Medal%20_Choo_%20-%20Piece%20_Colored_.png?updatedAt=1770076405344</t>
  </si>
  <si>
    <t>026 Arlong Pirates / Officer - Kuroobi</t>
  </si>
  <si>
    <t>263 Lunarian - Alber - Medal _Imperial Flame_ - Piece _Colored_.png</t>
  </si>
  <si>
    <t>316 - Strong-Strong Fruit ~ Jesus Burgess - Medal - Crafted [Colored] -  [Gallion Lariat]</t>
  </si>
  <si>
    <t>https://i.postimg.cc/xCgNr10Y/img_icon_medal_310110019.png</t>
  </si>
  <si>
    <t>https://ik.imagekit.io/alaaalaa6171/025%20Arlong%20Pirates_Officer%20-%20Hatchan%20-%20Medal%20_Hachi_.png?updatedAt=1770076405293</t>
  </si>
  <si>
    <t>https://ik.imagekit.io/alaaalaa6171/025%20Arlong%20Pirates_Officer%20-%20Hatchan%20-%20Medal%20_Hachi_%20_Colored_.png?updatedAt=1770076405390</t>
  </si>
  <si>
    <t>https://ik.imagekit.io/alaaalaa6171/025%20Arlong%20Pirates_Officer%20-%20Hatchan%20-%20Medal%20_Hachi_%20-%20Piece.png?updatedAt=1770076405209</t>
  </si>
  <si>
    <t>https://ik.imagekit.io/alaaalaa6171/025%20Arlong%20Pirates_Officer%20-%20Hatchan%20-%20Medal%20_Hachi_%20-%20Piece%20_Colored_.png?updatedAt=1770076405407</t>
  </si>
  <si>
    <t>025 Arlong Pirates / Officer - Hatchan</t>
  </si>
  <si>
    <t>263 Lunarian - Alber - Medal _Imperial Flame_ _Colored_.png</t>
  </si>
  <si>
    <t>317 - Clear-Clear Fruit ~ Shiryu - Medal - Crafted [Colored] -  [Invisible Strike]</t>
  </si>
  <si>
    <t>https://i.postimg.cc/C1JnyxFF/img_icon_medal_310110023.png</t>
  </si>
  <si>
    <t>https://ik.imagekit.io/alaaalaa6171/024%20Krieg%60s%20Pirate%20Armada_Admiral%20-%20Don%20Krieg%20-%20Medal%20_Don%20Krieg_.png?updatedAt=1770076405263</t>
  </si>
  <si>
    <t>https://ik.imagekit.io/alaaalaa6171/024%20Krieg%60s%20Pirate%20Armada_Admiral%20-%20Don%20Krieg%20-%20Medal%20_Don%20Krieg_%20_Colored_.png?updatedAt=1770076405396</t>
  </si>
  <si>
    <t>https://ik.imagekit.io/alaaalaa6171/024%20Krieg%60s%20Pirate%20Armada_Admiral%20-%20Don%20Krieg%20-%20Medal%20_Don%20Krieg_%20-%20Piece.png?updatedAt=1770076404974</t>
  </si>
  <si>
    <t>https://ik.imagekit.io/alaaalaa6171/024%20Krieg%60s%20Pirate%20Armada_Admiral%20-%20Don%20Krieg%20-%20Medal%20_Don%20Krieg_%20-%20Piece%20_Colored_.png?updatedAt=1770076405020</t>
  </si>
  <si>
    <t>024 Krieg`s Pirate Armada / Admiral - Don Krieg</t>
  </si>
  <si>
    <t>262 Animal Kingdom Pirates_Tobi Roppo - Sasaki - Medal _Heliceratops_.png</t>
  </si>
  <si>
    <t>318 - Celestial Dragon ~ St. Charlos - Medal - Crafted [Colored] -  [St. Charlos]</t>
  </si>
  <si>
    <t>https://i.postimg.cc/9M1w3QWQ/img_icon_medal_310110022.png</t>
  </si>
  <si>
    <t>https://ik.imagekit.io/alaaalaa6171/023%20Krieg%60s%20Pirate%20Armada_Battle%20Commander%20-%20Gin%20-%20Medal%20_Gin_.png?updatedAt=1770076405125</t>
  </si>
  <si>
    <t>https://ik.imagekit.io/alaaalaa6171/023%20Krieg%60s%20Pirate%20Armada_Battle%20Commander%20-%20Gin%20-%20Medal%20_Gin_%20_Colored_.png?updatedAt=1770076405152</t>
  </si>
  <si>
    <t>https://ik.imagekit.io/alaaalaa6171/023%20Krieg%60s%20Pirate%20Armada_Battle%20Commander%20-%20Gin%20-%20Medal%20_Gin_%20-%20Piece.png?updatedAt=1770076405327</t>
  </si>
  <si>
    <t>https://ik.imagekit.io/alaaalaa6171/023%20Krieg%60s%20Pirate%20Armada_Battle%20Commander%20-%20Gin%20-%20Medal%20_Gin_%20-%20Piece%20_Colored_.png?updatedAt=1770076405564</t>
  </si>
  <si>
    <t>023 Krieg`s Pirate Armada / Battle Commander - Gin</t>
  </si>
  <si>
    <t>262 Animal Kingdom Pirates_Tobi Roppo - Sasaki - Medal _Heliceratops_ - Piece.png</t>
  </si>
  <si>
    <t>319 - Tontatta Pirates_Captain ~ Leo - Medal - Crafted [Colored] -  [Leo]</t>
  </si>
  <si>
    <t>https://i.postimg.cc/XJxBMYVj/img_icon_medal_310110024.png</t>
  </si>
  <si>
    <t>https://ik.imagekit.io/alaaalaa6171/022%20Baratie_Head%20Chef%20-%20Zeff%20-%20Medal%20_Zeff_.png?updatedAt=1770076405263</t>
  </si>
  <si>
    <t>https://ik.imagekit.io/alaaalaa6171/022%20Baratie_Head%20Chef%20-%20Zeff%20-%20Medal%20_Zeff_%20_Colored_.png?updatedAt=1770076405366</t>
  </si>
  <si>
    <t>https://ik.imagekit.io/alaaalaa6171/022%20Baratie_Head%20Chef%20-%20Zeff%20-%20Medal%20_Zeff_%20-%20Piece.png?updatedAt=1770076405446</t>
  </si>
  <si>
    <t>https://ik.imagekit.io/alaaalaa6171/022%20Baratie_Head%20Chef%20-%20Zeff%20-%20Medal%20_Zeff_%20-%20Piece%20_Colored_.png?updatedAt=1770076405359</t>
  </si>
  <si>
    <t>022 Baratie / Head Chef - Zeff</t>
  </si>
  <si>
    <t>262 Animal Kingdom Pirates_Tobi Roppo - Sasaki - Medal _Heliceratops_ - Piece _Colored_.png</t>
  </si>
  <si>
    <t>320 - Happosui Army_13th Chief ~ Sai - Medal - Crafted [Colored] -  [Sai]</t>
  </si>
  <si>
    <t>https://i.postimg.cc/xCgNr109/img_icon_medal_310110021.png</t>
  </si>
  <si>
    <t>https://ik.imagekit.io/alaaalaa6171/021%20Black%20Cat%20Pirates_Former%20Captain%20-%20Captain%20Kuro%20-%20Medal%20_Kuro_.png?updatedAt=1770076405353</t>
  </si>
  <si>
    <t>https://ik.imagekit.io/alaaalaa6171/021%20Black%20Cat%20Pirates_Former%20Captain%20-%20Captain%20Kuro%20-%20Medal%20_Kuro_%20_Colored_.png?updatedAt=1770076405568</t>
  </si>
  <si>
    <t>https://ik.imagekit.io/alaaalaa6171/021%20Black%20Cat%20Pirates_Former%20Captain%20-%20Captain%20Kuro%20-%20Medal%20_Kuro_%20-%20Piece.png?updatedAt=1770076404922</t>
  </si>
  <si>
    <t>https://ik.imagekit.io/alaaalaa6171/021%20Black%20Cat%20Pirates_Former%20Captain%20-%20Captain%20Kuro%20-%20Medal%20_Kuro_%20-%20Piece%20_Colored_.png?updatedAt=1770076405548</t>
  </si>
  <si>
    <t>021 Black Cat Pirates / Former Captain - Captain Kuro</t>
  </si>
  <si>
    <t>262 Animal Kingdom Pirates_Tobi Roppo - Sasaki - Medal _Heliceratops_ _Colored_.png</t>
  </si>
  <si>
    <t>321 - Davy Back Fight ~ Monkey D. Luffy - Medal - Crafted [Colored] -  [Flail]</t>
  </si>
  <si>
    <t>https://i.postimg.cc/C1JnyxF5/img_icon_medal_310110026.png</t>
  </si>
  <si>
    <t>https://ik.imagekit.io/alaaalaa6171/020%20Buggy%20Pirates_Captain%20-%20Buggy%20-%20Medal%20_Buggy_.png?updatedAt=1770076405242</t>
  </si>
  <si>
    <t>https://ik.imagekit.io/alaaalaa6171/020%20Buggy%20Pirates_Captain%20-%20Buggy%20-%20Medal%20_Buggy_%20_Colored_.png?updatedAt=1770076405220</t>
  </si>
  <si>
    <t>https://ik.imagekit.io/alaaalaa6171/020%20Buggy%20Pirates_Captain%20-%20Buggy%20-%20Medal%20_Buggy_%20-%20Piece.png?updatedAt=1770076405309</t>
  </si>
  <si>
    <t>https://ik.imagekit.io/alaaalaa6171/020%20Buggy%20Pirates_Captain%20-%20Buggy%20-%20Medal%20_Buggy_%20-%20Piece%20_Colored_.png?updatedAt=1770076405344</t>
  </si>
  <si>
    <t>020 Buggy Pirates / Captain - Buggy</t>
  </si>
  <si>
    <t>261 Raid on Onigashima - Sanji - Medal _Raid Sanji_.png</t>
  </si>
  <si>
    <t>322 - Foxy Pirates_Captain ~ Foxy - Medal - Crafted [Colored] -  [Foxy]</t>
  </si>
  <si>
    <t>https://i.postimg.cc/xC9NFzS1/img_icon_medal_310110015.png</t>
  </si>
  <si>
    <t>https://ik.imagekit.io/alaaalaa6171/019%20Bounty%20Hunter%20-%20Johnny%20-%20Medal%20_Johnny_.png?updatedAt=1770076405202</t>
  </si>
  <si>
    <t>https://ik.imagekit.io/alaaalaa6171/019%20Bounty%20Hunter%20-%20Johnny%20-%20Medal%20_Johnny_%20_Colored_.png?updatedAt=1770076405196</t>
  </si>
  <si>
    <t>https://ik.imagekit.io/alaaalaa6171/019%20Bounty%20Hunter%20-%20Johnny%20-%20Medal%20_Johnny_%20-%20Piece.png?updatedAt=1770076404914</t>
  </si>
  <si>
    <t>https://ik.imagekit.io/alaaalaa6171/019%20Bounty%20Hunter%20-%20Johnny%20-%20Medal%20_Johnny_%20-%20Piece%20_Colored_.png?updatedAt=1770076405274</t>
  </si>
  <si>
    <t>019 Bounty Hunter - Johnny</t>
  </si>
  <si>
    <t>261 Raid on Onigashima - Sanji - Medal _Raid Sanji_ - Piece.png</t>
  </si>
  <si>
    <t>323 - Davy Back Fight ~ Sanji 1 - Medal - Crafted [Colored] -  [Armée de l’Air Power Shoot]</t>
  </si>
  <si>
    <t>https://i.postimg.cc/HxT8PyCV/img_icon_medal_310110018.png</t>
  </si>
  <si>
    <t>https://ik.imagekit.io/alaaalaa6171/018%20Bounty%20Hunter%20-%20Yosaku%20-%20Medal%20_Yosaku_.png?updatedAt=1770076405589</t>
  </si>
  <si>
    <t>https://ik.imagekit.io/alaaalaa6171/018%20Bounty%20Hunter%20-%20Yosaku%20-%20Medal%20_Yosaku_%20_Colored_.png?updatedAt=1770076405142</t>
  </si>
  <si>
    <t>https://ik.imagekit.io/alaaalaa6171/018%20Bounty%20Hunter%20-%20Yosaku%20-%20Medal%20_Yosaku_%20-%20Piece.png?updatedAt=1770076404878</t>
  </si>
  <si>
    <t>https://ik.imagekit.io/alaaalaa6171/018%20Bounty%20Hunter%20-%20Yosaku%20-%20Medal%20_Yosaku_%20-%20Piece%20_Colored_.png?updatedAt=1770076405400</t>
  </si>
  <si>
    <t>018 Bounty Hunter - Yosaku</t>
  </si>
  <si>
    <t>261 Raid on Onigashima - Sanji - Medal _Raid Sanji_ - Piece _Colored_.png</t>
  </si>
  <si>
    <t>324 - Ama no Murakumo Sword Kizaru ~ [Borsalino] - Medal - Crafted [Colored] -  [Borsalino]</t>
  </si>
  <si>
    <t>https://i.postimg.cc/Y9tLyWBJ/img_icon_medal_310110008.png</t>
  </si>
  <si>
    <t>https://ik.imagekit.io/alaaalaa6171/017%20Black%20Cat%20Pirates_Guard%20-%20Butchie%20-%20Medal%20_Butchie_.png?updatedAt=1770076405404</t>
  </si>
  <si>
    <t>https://ik.imagekit.io/alaaalaa6171/017%20Black%20Cat%20Pirates_Guard%20-%20Butchie%20-%20Medal%20_Butchie_%20_Colored_.png?updatedAt=1770076405383</t>
  </si>
  <si>
    <t>https://ik.imagekit.io/alaaalaa6171/017%20Black%20Cat%20Pirates_Guard%20-%20Butchie%20-%20Medal%20_Butchie_%20-%20Piece.png?updatedAt=1770076404928</t>
  </si>
  <si>
    <t>https://ik.imagekit.io/alaaalaa6171/017%20Black%20Cat%20Pirates_Guard%20-%20Butchie%20-%20Medal%20_Butchie_%20-%20Piece%20_Colored_.png?updatedAt=1770076405120</t>
  </si>
  <si>
    <t>017 Black Cat Pirates / Guard - Butchie</t>
  </si>
  <si>
    <t>261 Raid on Onigashima - Sanji - Medal _Raid Sanji_ _Colored_.png</t>
  </si>
  <si>
    <t>325 - Groves of Wrath Ryokugyu ~ [Aramaki] - Medal - Crafted [Colored] -  [Aramaki]</t>
  </si>
  <si>
    <t>https://i.postimg.cc/vBXxRZQb/img_icon_medal_310110020.png</t>
  </si>
  <si>
    <t>https://ik.imagekit.io/alaaalaa6171/016%20Black%20Cat%20Pirates_Captain%20-%20Django%20-%20Medal%20_Django_.png?updatedAt=1770076405572</t>
  </si>
  <si>
    <t>https://ik.imagekit.io/alaaalaa6171/016%20Black%20Cat%20Pirates_Captain%20-%20Django%20-%20Medal%20_Django_%20_Colored_.png?updatedAt=1770076405450</t>
  </si>
  <si>
    <t>https://ik.imagekit.io/alaaalaa6171/016%20Black%20Cat%20Pirates_Captain%20-%20Django%20-%20Medal%20_Django_%20-%20Piece.png?updatedAt=1770076405314</t>
  </si>
  <si>
    <t>https://ik.imagekit.io/alaaalaa6171/016%20Black%20Cat%20Pirates_Captain%20-%20Django%20-%20Medal%20_Django_%20-%20Piece%20_Colored_.png?updatedAt=1770076405190</t>
  </si>
  <si>
    <t>016 Black Cat Pirates / Captain - Django</t>
  </si>
  <si>
    <t>260 Gear Five - Monkey D. Luffy - Medal _Gear Five_.png</t>
  </si>
  <si>
    <t>326 - Blind Swordsman Fujitora ~ [Issho] - Medal - Crafted [Colored] -  [Issho]</t>
  </si>
  <si>
    <t>https://i.postimg.cc/26CLXZfm/img_icon_medal_310110011.png</t>
  </si>
  <si>
    <t>https://ik.imagekit.io/alaaalaa6171/015%20Buggy%20Pirates_Chief%20of%20Staff%20-%20Cabaji%20-%20Medal%20_Cabaji_.png?updatedAt=1770076405321</t>
  </si>
  <si>
    <t>https://ik.imagekit.io/alaaalaa6171/015%20Buggy%20Pirates_Chief%20of%20Staff%20-%20Cabaji%20-%20Medal%20_Cabaji_%20_Colored_.png?updatedAt=1770076405581</t>
  </si>
  <si>
    <t>https://ik.imagekit.io/alaaalaa6171/015%20Buggy%20Pirates_Chief%20of%20Staff%20-%20Cabaji%20-%20Medal%20_Cabaji_%20-%20Piece.png?updatedAt=1770076404914</t>
  </si>
  <si>
    <t>https://ik.imagekit.io/alaaalaa6171/015%20Buggy%20Pirates_Chief%20of%20Staff%20-%20Cabaji%20-%20Medal%20_Cabaji_%20-%20Piece%20_Colored_.png?updatedAt=1770076405210</t>
  </si>
  <si>
    <t>015 Buggy Pirates / Chief of Staff - Cabaji</t>
  </si>
  <si>
    <t>260 Gear Five - Monkey D. Luffy - Medal _Gear Five_ - Piece.png</t>
  </si>
  <si>
    <t>327 - Egghead ~ Nami - Medal - Crafted [Colored] -  [Egghead Nami]</t>
  </si>
  <si>
    <t>https://i.postimg.cc/FRhknLQs/img_icon_medal_310110016.png</t>
  </si>
  <si>
    <t>https://ik.imagekit.io/alaaalaa6171/014%20Navy%20Captain%20-%20Morgan%20-%20Medal%20_Morgan_.png?updatedAt=1770076405130</t>
  </si>
  <si>
    <t>https://ik.imagekit.io/alaaalaa6171/014%20Navy%20Captain%20-%20Morgan%20-%20Medal%20_Morgan_%20_Colored_.png?updatedAt=1770076405562</t>
  </si>
  <si>
    <t>https://ik.imagekit.io/alaaalaa6171/014%20Navy%20Captain%20-%20Morgan%20-%20Medal%20_Morgan_%20-%20Piece.png?updatedAt=1770076404940</t>
  </si>
  <si>
    <t>https://ik.imagekit.io/alaaalaa6171/014%20Navy%20Captain%20-%20Morgan%20-%20Medal%20_Morgan_%20-%20Piece%20_Colored_.png?updatedAt=1770076405580</t>
  </si>
  <si>
    <t>014 Navy Captain - Morgan</t>
  </si>
  <si>
    <t>260 Gear Five - Monkey D. Luffy - Medal _Gear Five_ - Piece _Colored_.png</t>
  </si>
  <si>
    <t>328 - Egghead ~ Usopp - Medal - Crafted [Colored] -  [Egghead Usopp]</t>
  </si>
  <si>
    <t>https://i.postimg.cc/j5Rnk7rY/img_icon_medal_310110010.png</t>
  </si>
  <si>
    <t>https://ik.imagekit.io/alaaalaa6171/013%20The%20Idiot%20Son%20-%20Helmeppo%20-%20Medal%20_Helmeppo_.png?updatedAt=1770076405112</t>
  </si>
  <si>
    <t>https://ik.imagekit.io/alaaalaa6171/013%20The%20Idiot%20Son%20-%20Helmeppo%20-%20Medal%20_Helmeppo_%20_Colored_.png?updatedAt=1770076405301</t>
  </si>
  <si>
    <t>https://ik.imagekit.io/alaaalaa6171/013%20The%20Idiot%20Son%20-%20Helmeppo%20-%20Medal%20_Helmeppo_%20-%20Piece.png?updatedAt=1770076405011</t>
  </si>
  <si>
    <t>https://ik.imagekit.io/alaaalaa6171/013%20The%20Idiot%20Son%20-%20Helmeppo%20-%20Medal%20_Helmeppo_%20-%20Piece%20_Colored_.png?updatedAt=1770076404858</t>
  </si>
  <si>
    <t>013 The Idiot Son - Helmeppo</t>
  </si>
  <si>
    <t>260 Gear Five - Monkey D. Luffy - Medal _Gear Five_ _Colored_.png</t>
  </si>
  <si>
    <t>329 - The Four Emperors ~ Monkey D. Luffy - Medal - Crafted [Colored] -  [Star Gun]</t>
  </si>
  <si>
    <t>https://i.postimg.cc/Kzm3sMyb/img_icon_medal_310110012.png</t>
  </si>
  <si>
    <t>https://ik.imagekit.io/alaaalaa6171/012%20Alvida%20Pirates_Captain%20-%20Alvida%20-%20Medal%20_Alvida_.png?updatedAt=1770076404845</t>
  </si>
  <si>
    <t>https://ik.imagekit.io/alaaalaa6171/012%20Alvida%20Pirates_Captain%20-%20Alvida%20-%20Medal%20_Alvida_%20_Colored_.png?updatedAt=1770076404998</t>
  </si>
  <si>
    <t>https://ik.imagekit.io/alaaalaa6171/012%20Alvida%20Pirates_Captain%20-%20Alvida%20-%20Medal%20_Alvida_%20-%20Piece.png?updatedAt=1770076404959</t>
  </si>
  <si>
    <t>https://ik.imagekit.io/alaaalaa6171/012%20Alvida%20Pirates_Captain%20-%20Alvida%20-%20Medal%20_Alvida_%20-%20Piece%20_Colored_.png?updatedAt=1770076405284</t>
  </si>
  <si>
    <t>012 Alvida Pirates / Captain - Alvida</t>
  </si>
  <si>
    <t>259 Singer of the New Genesis - Uta - Medal _Shanks`` Daughter_.png</t>
  </si>
  <si>
    <t>330 - Egghead ~ Brook - Medal - Crafted [Colored] -  [Egghead Brook]</t>
  </si>
  <si>
    <t>https://i.postimg.cc/W3sqfkPR/img_icon_medal_310110009.png</t>
  </si>
  <si>
    <t>https://ik.imagekit.io/alaaalaa6171/011%20Chore%20Boy%20-%20Koby%20-%20Medal%20_Koby_.png?updatedAt=1770076404792</t>
  </si>
  <si>
    <t>https://ik.imagekit.io/alaaalaa6171/011%20Chore%20Boy%20-%20Koby%20-%20Medal%20_Koby_%20_Colored_.png?updatedAt=1770076404711</t>
  </si>
  <si>
    <t>https://ik.imagekit.io/alaaalaa6171/011%20Chore%20Boy%20-%20Koby%20-%20Medal%20_Koby_%20-%20Piece.png?updatedAt=1770076405306</t>
  </si>
  <si>
    <t>https://ik.imagekit.io/alaaalaa6171/011%20Chore%20Boy%20-%20Koby%20-%20Medal%20_Koby_%20-%20Piece%20_Colored_.png?updatedAt=1770076404732</t>
  </si>
  <si>
    <t>011 Chore Boy - Koby</t>
  </si>
  <si>
    <t>259 Singer of the New Genesis - Uta - Medal _Shanks`` Daughter_ - Piece.png</t>
  </si>
  <si>
    <t>331 - Egghead ~ Tony Tony Chopper - Medal - Crafted [Colored] -  [Egghead Chopper]</t>
  </si>
  <si>
    <t>https://i.postimg.cc/gJGLBZPz/img_icon_medal_310110013.png</t>
  </si>
  <si>
    <t>https://ik.imagekit.io/alaaalaa6171/010%20Mountain%20Bandits_Leader%20-%20Higuma%20the%20Bear%20-%20Medal%20_Higuma_.png?updatedAt=1770076405180</t>
  </si>
  <si>
    <t>https://ik.imagekit.io/alaaalaa6171/010%20Mountain%20Bandits_Leader%20-%20Higuma%20the%20Bear%20-%20Medal%20_Higuma_%20_Colored_.png?updatedAt=1770076405388</t>
  </si>
  <si>
    <t>https://ik.imagekit.io/alaaalaa6171/010%20Mountain%20Bandits_Leader%20-%20Higuma%20the%20Bear%20-%20Medal%20_Higuma_%20-%20Piece.png?updatedAt=1770076471471</t>
  </si>
  <si>
    <t>https://ik.imagekit.io/alaaalaa6171/010%20Mountain%20Bandits_Leader%20-%20Higuma%20the%20Bear%20-%20Medal%20_Higuma_%20-%20Piece%20_Colored_.png?updatedAt=1770076471388</t>
  </si>
  <si>
    <t>010 Mountain Bandits / Leader - Higuma the Bear</t>
  </si>
  <si>
    <t>259 Singer of the New Genesis - Uta - Medal _Shanks`` Daughter_ - Piece _Colored_.png</t>
  </si>
  <si>
    <t>332 - Egghead ~ Nico Robin - Medal - Crafted [Colored] -  [Egghead Robin]</t>
  </si>
  <si>
    <t>https://i.postimg.cc/0jQM91Qt/img_icon_medal_310110052.png</t>
  </si>
  <si>
    <t>https://ik.imagekit.io/alaaalaa6171/009%20Straw%20Hat%20Pirates_Musician%20-%20Brook%20-%20Medal%20_Brook_.png?updatedAt=1770076471365</t>
  </si>
  <si>
    <t>https://ik.imagekit.io/alaaalaa6171/009%20Straw%20Hat%20Pirates_Musician%20-%20Brook%20-%20Medal%20_Brook_%20_Colored_.png?updatedAt=1770076471365</t>
  </si>
  <si>
    <t>https://ik.imagekit.io/alaaalaa6171/009%20Straw%20Hat%20Pirates_Musician%20-%20Brook%20-%20Medal%20_Brook_%20-%20Piece.png?updatedAt=1770076471432</t>
  </si>
  <si>
    <t>https://ik.imagekit.io/alaaalaa6171/009%20Straw%20Hat%20Pirates_Musician%20-%20Brook%20-%20Medal%20_Brook_%20-%20Piece%20_Colored_.png?updatedAt=1770076471403</t>
  </si>
  <si>
    <t>009 Straw Hat Pirates / Musician - Brook</t>
  </si>
  <si>
    <t>259 Singer of the New Genesis - Uta - Medal _Shanks`` Daughter_ _Colored_.png</t>
  </si>
  <si>
    <t>333 - The Five Elders ~ St. Jaygarcia Saturn - Medal - Crafted [Colored] -  [St. Jaygarcia Saturn]</t>
  </si>
  <si>
    <t>https://i.postimg.cc/prThPMTC/img_icon_medal_310110050.png</t>
  </si>
  <si>
    <t>https://ik.imagekit.io/alaaalaa6171/008%20Straw%20Hat%20Pirates_Ship%20Carpenter%20-%20Franky%20-%20Medal%20_Franky_.png?updatedAt=1770076471391</t>
  </si>
  <si>
    <t>https://ik.imagekit.io/alaaalaa6171/008%20Straw%20Hat%20Pirates_Ship%20Carpenter%20-%20Franky%20-%20Medal%20_Franky_%20_Colored_.png?updatedAt=1770076471460</t>
  </si>
  <si>
    <t>https://ik.imagekit.io/alaaalaa6171/008%20Straw%20Hat%20Pirates_Ship%20Carpenter%20-%20Franky%20-%20Medal%20_Franky_%20-%20Piece.png?updatedAt=1770076471379</t>
  </si>
  <si>
    <t>https://ik.imagekit.io/alaaalaa6171/008%20Straw%20Hat%20Pirates_Ship%20Carpenter%20-%20Franky%20-%20Medal%20_Franky_%20-%20Piece%20_Colored_.png?updatedAt=1770076471354</t>
  </si>
  <si>
    <t>008 Straw Hat Pirates / Ship Carpenter - Franky</t>
  </si>
  <si>
    <t>258 Raid on Onigashima - Killer - Medal _Raid Killer_.png</t>
  </si>
  <si>
    <t>334 - Egghead ~ Franky - Medal - Crafted [Colored] -  [Egghead Franky]</t>
  </si>
  <si>
    <t>https://i.postimg.cc/LXmg01Fc/img_icon_medal_310110007.png</t>
  </si>
  <si>
    <t>https://ik.imagekit.io/alaaalaa6171/007%20Straw%20Hat%20Pirates_Archaeologist%20-%20Nico%20Robin%20-%20Medal%20_Robin_.png?updatedAt=1770076471360</t>
  </si>
  <si>
    <t>https://ik.imagekit.io/alaaalaa6171/007%20Straw%20Hat%20Pirates_Archaeologist%20-%20Nico%20Robin%20-%20Medal%20_Robin_%20_Colored_.png?updatedAt=1770076471422</t>
  </si>
  <si>
    <t>https://ik.imagekit.io/alaaalaa6171/007%20Straw%20Hat%20Pirates_Archaeologist%20-%20Nico%20Robin%20-%20Medal%20_Robin_%20-%20Piece.png?updatedAt=1770076471408</t>
  </si>
  <si>
    <t>https://ik.imagekit.io/alaaalaa6171/007%20Straw%20Hat%20Pirates_Archaeologist%20-%20Nico%20Robin%20-%20Medal%20_Robin_%20-%20Piece%20_Colored_.png?updatedAt=1770076471385</t>
  </si>
  <si>
    <t>007 Straw Hat Pirates / Archaeologist - Nico Robin</t>
  </si>
  <si>
    <t>258 Raid on Onigashima - Killer - Medal _Raid Killer_ - Piece.png</t>
  </si>
  <si>
    <t>335 - Egghead ~ Jinbe - Medal - Crafted [Colored] -  [Egghead Jinbe]</t>
  </si>
  <si>
    <t>https://i.postimg.cc/yd73rZC2/img_icon_medal_310110006.png</t>
  </si>
  <si>
    <t>https://ik.imagekit.io/alaaalaa6171/006%20Straw%20Hat%20Pirates_Doctor%20-%20Tony%20Tony%20Chopper%20-%20Medal%20_Chopper_.png?updatedAt=1770076471454</t>
  </si>
  <si>
    <t>https://ik.imagekit.io/alaaalaa6171/006%20Straw%20Hat%20Pirates_Doctor%20-%20Tony%20Tony%20Chopper%20-%20Medal%20_Chopper_%20_Colored_.png?updatedAt=1770076471383</t>
  </si>
  <si>
    <t>https://ik.imagekit.io/alaaalaa6171/006%20Straw%20Hat%20Pirates_Doctor%20-%20Tony%20Tony%20Chopper%20-%20Medal%20_Chopper_%20-%20Piece.png?updatedAt=1770076471350</t>
  </si>
  <si>
    <t>https://ik.imagekit.io/alaaalaa6171/006%20Straw%20Hat%20Pirates_Doctor%20-%20Tony%20Tony%20Chopper%20-%20Medal%20_Chopper_%20-%20Piece%20_Colored_.png?updatedAt=1770076471370</t>
  </si>
  <si>
    <t>006 Straw Hat Pirates / Doctor - Tony Tony Chopper</t>
  </si>
  <si>
    <t>258 Raid on Onigashima - Killer - Medal _Raid Killer_ - Piece _Colored_.png</t>
  </si>
  <si>
    <t>336 - Father and Daughter ~ Kuma &amp; Bonney - Medal - Crafted [Colored] -  [Kuma &amp; Bonney]</t>
  </si>
  <si>
    <t>https://i.postimg.cc/50fQkCWr/img_icon_medal_310110004.png</t>
  </si>
  <si>
    <t>https://ik.imagekit.io/alaaalaa6171/005%20Straw%20Hat%20Pirates_Cook%20-%20Sanji%20-%20Medal%20_Sanji_.png?updatedAt=1770076471409</t>
  </si>
  <si>
    <t>https://ik.imagekit.io/alaaalaa6171/005%20Straw%20Hat%20Pirates_Cook%20-%20Sanji%20-%20Medal%20_Sanji_%20_Colored_.png?updatedAt=1770076471395</t>
  </si>
  <si>
    <t>https://ik.imagekit.io/alaaalaa6171/005%20Straw%20Hat%20Pirates_Cook%20-%20Sanji%20-%20Medal%20_Sanji_%20-%20Piece.png?updatedAt=1770076471378</t>
  </si>
  <si>
    <t>https://ik.imagekit.io/alaaalaa6171/005%20Straw%20Hat%20Pirates_Cook%20-%20Sanji%20-%20Medal%20_Sanji_%20-%20Piece%20_Colored_.png?updatedAt=1770076471443</t>
  </si>
  <si>
    <t>005 Straw Hat Pirates / Cook - Sanji</t>
  </si>
  <si>
    <t>258 Raid on Onigashima - Killer - Medal _Raid Killer_ _Colored_.png</t>
  </si>
  <si>
    <t>337 - Genius Scientist ~ Vegapunk - Medal - Crafted [Colored] -  [Genius Scientist]</t>
  </si>
  <si>
    <t>https://i.postimg.cc/76qJQ2rW/img_icon_medal_310110003.png</t>
  </si>
  <si>
    <t>https://ik.imagekit.io/alaaalaa6171/004%20Straw%20Hat%20Pirates_Sharp%20Shooter%20-%20Usopp%20-%20Medal%20_Usopp_.png?updatedAt=1770076471367</t>
  </si>
  <si>
    <t>https://ik.imagekit.io/alaaalaa6171/004%20Straw%20Hat%20Pirates_Sharp%20Shooter%20-%20Usopp%20-%20Medal%20_Usopp_%20_Colored_.png?updatedAt=1770076471345</t>
  </si>
  <si>
    <t>https://ik.imagekit.io/alaaalaa6171/004%20Straw%20Hat%20Pirates_Sharp%20Shooter%20-%20Usopp%20-%20Medal%20_Usopp_%20-%20Piece.png?updatedAt=1770076471286</t>
  </si>
  <si>
    <t>https://ik.imagekit.io/alaaalaa6171/004%20Straw%20Hat%20Pirates_Sharp%20Shooter%20-%20Usopp%20-%20Medal%20_Usopp_%20-%20Piece%20_Colored_.png?updatedAt=1770076471386</t>
  </si>
  <si>
    <t>004 Straw Hat Pirates / Sharp Shooter - Usopp</t>
  </si>
  <si>
    <t>257 Battle of Monsters on Onigashima - Kid &amp; Law - Medal _Kid &amp; Law_.png</t>
  </si>
  <si>
    <t>338 - Winner Island ~ Bepo - Medal - Crafted [Colored] -  [Winner Island Bepo]</t>
  </si>
  <si>
    <t>https://i.postimg.cc/1tyVYq12/img_icon_medal_310110005.png</t>
  </si>
  <si>
    <t>https://ik.imagekit.io/alaaalaa6171/003%20Straw%20Hat%20Pirates_Navigator%20-%20Nami%20-%20Medal%20_Nami_.png?updatedAt=1770076471383</t>
  </si>
  <si>
    <t>https://ik.imagekit.io/alaaalaa6171/003%20Straw%20Hat%20Pirates_Navigator%20-%20Nami%20-%20Medal%20_Nami_%20_Colored_.png?updatedAt=1770076471372</t>
  </si>
  <si>
    <t>https://ik.imagekit.io/alaaalaa6171/003%20Straw%20Hat%20Pirates_Navigator%20-%20Nami%20-%20Medal%20_Nami_%20-%20Piece.png?updatedAt=1770076471325</t>
  </si>
  <si>
    <t>https://ik.imagekit.io/alaaalaa6171/003%20Straw%20Hat%20Pirates_Navigator%20-%20Nami%20-%20Medal%20_Nami_%20-%20Piece%20_Colored_.png?updatedAt=1770076471437</t>
  </si>
  <si>
    <t>003 Straw Hat Pirates / Navigator - Nami</t>
  </si>
  <si>
    <t>257 Battle of Monsters on Onigashima - Kid &amp; Law - Medal _Kid &amp; Law_ - Piece.png</t>
  </si>
  <si>
    <t>339 - Winner Island ~ Trafalgar Law - Medal - Crafted [Colored] -  [Winner Island Law]</t>
  </si>
  <si>
    <t>https://i.postimg.cc/4dXHF9RF/img_icon_medal_310110002.png</t>
  </si>
  <si>
    <t>https://ik.imagekit.io/alaaalaa6171/002%20Straw%20Hat%20Pirates_Combatant%20-%20Roronoa%20Zoro%20-%20Medal%20_Zoro_.png?updatedAt=1770076471263</t>
  </si>
  <si>
    <t>https://ik.imagekit.io/alaaalaa6171/002%20Straw%20Hat%20Pirates_Combatant%20-%20Roronoa%20Zoro%20-%20Medal%20_Zoro_%20_Colored_.png?updatedAt=1770076471255</t>
  </si>
  <si>
    <t>https://ik.imagekit.io/alaaalaa6171/002%20Straw%20Hat%20Pirates_Combatant%20-%20Roronoa%20Zoro%20-%20Medal%20_Zoro_%20-%20Piece.png?updatedAt=1770076471404</t>
  </si>
  <si>
    <t>https://ik.imagekit.io/alaaalaa6171/002%20Straw%20Hat%20Pirates_Combatant%20-%20Roronoa%20Zoro%20-%20Medal%20_Zoro_%20-%20Piece%20_Colored_.png?updatedAt=1770076471390</t>
  </si>
  <si>
    <t>002 Straw Hat Pirates / Combatant - Roronoa Zoro</t>
  </si>
  <si>
    <t>257 Battle of Monsters on Onigashima - Kid &amp; Law - Medal _Kid &amp; Law_ - Piece _Colored_.png</t>
  </si>
  <si>
    <t>340 - ASL ~ Ace &amp; Sabo &amp; Luffy - Medal - Crafted [Colored] -  [ASL Ace &amp; Sabo &amp; Luffy]</t>
  </si>
  <si>
    <t>https://i.postimg.cc/wv9RbmYW/img_icon_medal_310110001.png</t>
  </si>
  <si>
    <t>https://ik.imagekit.io/alaaalaa6171/001%20Straw%20Hat%20Pirates_Captain%20-%20Monkey%20D.%20Luffy%20-%20Medal%20_Luffy_.png?updatedAt=1770076471327</t>
  </si>
  <si>
    <t>https://ik.imagekit.io/alaaalaa6171/001%20Straw%20Hat%20Pirates_Captain%20-%20Monkey%20D.%20Luffy%20-%20Medal%20_Luffy_%20_Colored_.png?updatedAt=1770076471379</t>
  </si>
  <si>
    <t>https://ik.imagekit.io/alaaalaa6171/001%20Straw%20Hat%20Pirates_Captain%20-%20Monkey%20D.%20Luffy%20-%20Medal%20_Luffy_%20-%20Piece.png?updatedAt=1770076471287</t>
  </si>
  <si>
    <t>https://ik.imagekit.io/alaaalaa6171/001%20Straw%20Hat%20Pirates_Captain%20-%20Monkey%20D.%20Luffy%20-%20Medal%20_Luffy_%20-%20Piece%20_Colored_.png?updatedAt=1770076471255</t>
  </si>
  <si>
    <t>001 Straw Hat Pirates / Captain - Monkey D. Luffy</t>
  </si>
  <si>
    <t>257 Battle of Monsters on Onigashima - Kid &amp; Law - Medal _Kid &amp; Law_ _Colored_.png</t>
  </si>
  <si>
    <t>341 - The Four Emperors ~ Marshall D. Teach - Medal - Crafted [Colored] -  [Black Vortex]</t>
  </si>
  <si>
    <t>256 New Fish-Man Pirates_Captain - Hody Jones - Medal _Shark Pack_.png</t>
  </si>
  <si>
    <t>256 New Fish-Man Pirates_Captain - Hody Jones - Medal _Shark Pack_ - Piece.png</t>
  </si>
  <si>
    <t>256 New Fish-Man Pirates_Captain - Hody Jones - Medal _Shark Pack_ - Piece _Colored_.png</t>
  </si>
  <si>
    <t>256 New Fish-Man Pirates_Captain - Hody Jones - Medal _Shark Pack_ _Colored_.png</t>
  </si>
  <si>
    <t>255 Ryugu Kingdom_King - Neptune - Medal _Neptune_.png</t>
  </si>
  <si>
    <t>255 Ryugu Kingdom_King - Neptune - Medal _Neptune_ - Piece.png</t>
  </si>
  <si>
    <t>255 Ryugu Kingdom_King - Neptune - Medal _Neptune_ - Piece _Colored_.png</t>
  </si>
  <si>
    <t>255 Ryugu Kingdom_King - Neptune - Medal _Neptune_ _Colored_.png</t>
  </si>
  <si>
    <t>254 Caribou Pirates_Captain - Caribou - Medal _Caribou_.png</t>
  </si>
  <si>
    <t>254 Caribou Pirates_Captain - Caribou - Medal _Caribou_ - Piece.png</t>
  </si>
  <si>
    <t>254 Caribou Pirates_Captain - Caribou - Medal _Caribou_ - Piece _Colored_.png</t>
  </si>
  <si>
    <t>254 Caribou Pirates_Captain - Caribou - Medal _Caribou_ _Colored_.png</t>
  </si>
  <si>
    <t>253 Flying Pirates_Captain - Vander Decken IX - Medal _Vander Decken IX_.png</t>
  </si>
  <si>
    <t>253 Flying Pirates_Captain - Vander Decken IX - Medal _Vander Decken IX_ - Piece.png</t>
  </si>
  <si>
    <t>253 Flying Pirates_Captain - Vander Decken IX - Medal _Vander Decken IX_ - Piece _Colored_.png</t>
  </si>
  <si>
    <t>253 Flying Pirates_Captain - Vander Decken IX - Medal _Vander Decken IX_ _Colored_.png</t>
  </si>
  <si>
    <t>252 Raid on Onigashima - Usopp - Medal _Raid Usopp_.png</t>
  </si>
  <si>
    <t>252 Raid on Onigashima - Usopp - Medal _Raid Usopp_ - Piece.png</t>
  </si>
  <si>
    <t>252 Raid on Onigashima - Usopp - Medal _Raid Usopp_ - Piece _Colored_.png</t>
  </si>
  <si>
    <t>252 Raid on Onigashima - Usopp - Medal _Raid Usopp_ _Colored_.png</t>
  </si>
  <si>
    <t>251 Raid on Onigashima - Nami - Medal _Raid Nami_.png</t>
  </si>
  <si>
    <t>251 Raid on Onigashima - Nami - Medal _Raid Nami_ - Piece.png</t>
  </si>
  <si>
    <t>251 Raid on Onigashima - Nami - Medal _Raid Nami_ - Piece _Colored_.png</t>
  </si>
  <si>
    <t>251 Raid on Onigashima - Nami - Medal _Raid Nami_ _Colored_.png</t>
  </si>
  <si>
    <t>250 Okuchi-no-Makami - Yamato - Medal _Namuji Glacier Fang_.png</t>
  </si>
  <si>
    <t>250 Okuchi-no-Makami - Yamato - Medal _Namuji Glacier Fang_ - Piece.png</t>
  </si>
  <si>
    <t>250 Okuchi-no-Makami - Yamato - Medal _Namuji Glacier Fang_ - Piece _Colored_.png</t>
  </si>
  <si>
    <t>250 Okuchi-no-Makami - Yamato - Medal _Namuji Glacier Fang_ _Colored_.png</t>
  </si>
  <si>
    <t>249 Raid on Onigashima - Brook - Medal _Raid Brook_.png</t>
  </si>
  <si>
    <t>249 Raid on Onigashima - Brook - Medal _Raid Brook_ - Piece.png</t>
  </si>
  <si>
    <t>249 Raid on Onigashima - Brook - Medal _Raid Brook_ - Piece _Colored_.png</t>
  </si>
  <si>
    <t>249 Raid on Onigashima - Brook - Medal _Raid Brook_ _Colored_.png</t>
  </si>
  <si>
    <t>248 Raid on Onigashima - Nico Robin - Medal _Raid Robin_.png</t>
  </si>
  <si>
    <t>248 Raid on Onigashima - Nico Robin - Medal _Raid Robin_ - Piece.png</t>
  </si>
  <si>
    <t>248 Raid on Onigashima - Nico Robin - Medal _Raid Robin_ - Piece _Colored_.png</t>
  </si>
  <si>
    <t>248 Raid on Onigashima - Nico Robin - Medal _Raid Robin_ _Colored_.png</t>
  </si>
  <si>
    <t>247 Triple-X-Level Boxer - Ideo - Medal _Ideo_.png</t>
  </si>
  <si>
    <t>247 Triple-X-Level Boxer - Ideo - Medal _Ideo_ - Piece.png</t>
  </si>
  <si>
    <t>247 Triple-X-Level Boxer - Ideo - Medal _Ideo_ - Piece _Colored_.png</t>
  </si>
  <si>
    <t>247 Triple-X-Level Boxer - Ideo - Medal _Ideo_ _Colored_.png</t>
  </si>
  <si>
    <t>246 The Kingdom of Prodence_King - Elizabello II - Medal _Elizabello II_.png</t>
  </si>
  <si>
    <t>246 The Kingdom of Prodence_King - Elizabello II - Medal _Elizabello II_ - Piece.png</t>
  </si>
  <si>
    <t>246 The Kingdom of Prodence_King - Elizabello II - Medal _Elizabello II_ - Piece _Colored_.png</t>
  </si>
  <si>
    <t>246 The Kingdom of Prodence_King - Elizabello II - Medal _Elizabello II_ _Colored_.png</t>
  </si>
  <si>
    <t>245 Disciple of the Martial Arts - Kung Fu Jugon - Medal _Kung Fu Jugon_.png</t>
  </si>
  <si>
    <t>245 Disciple of the Martial Arts - Kung Fu Jugon - Medal _Kung Fu Jugon_ - Piece.png</t>
  </si>
  <si>
    <t>245 Disciple of the Martial Arts - Kung Fu Jugon - Medal _Kung Fu Jugon_ - Piece _Colored_.png</t>
  </si>
  <si>
    <t>245 Disciple of the Martial Arts - Kung Fu Jugon - Medal _Kung Fu Jugon_ _Colored_.png</t>
  </si>
  <si>
    <t>244 Slicing Winds of Rommel - Hakuba - Medal _Hakuba_.png</t>
  </si>
  <si>
    <t>244 Slicing Winds of Rommel - Hakuba - Medal _Hakuba_ - Piece.png</t>
  </si>
  <si>
    <t>244 Slicing Winds of Rommel - Hakuba - Medal _Hakuba_ - Piece _Colored_.png</t>
  </si>
  <si>
    <t>244 Slicing Winds of Rommel - Hakuba - Medal _Hakuba_ _Colored_.png</t>
  </si>
  <si>
    <t>243 Former Happosui Army_12th Chief - Chin Jao - Medal _Chin Jao_.png</t>
  </si>
  <si>
    <t>243 Former Happosui Army_12th Chief - Chin Jao - Medal _Chin Jao_ - Piece.png</t>
  </si>
  <si>
    <t>243 Former Happosui Army_12th Chief - Chin Jao - Medal _Chin Jao_ - Piece _Colored_.png</t>
  </si>
  <si>
    <t>243 Former Happosui Army_12th Chief - Chin Jao - Medal _Chin Jao_ _Colored_.png</t>
  </si>
  <si>
    <t>242 Big Mom Pirates_Crewmate - Charoltte Oven - Medal _Oven_.png</t>
  </si>
  <si>
    <t>242 Big Mom Pirates_Crewmate - Charoltte Oven - Medal _Oven_ - Piece.png</t>
  </si>
  <si>
    <t>242 Big Mom Pirates_Crewmate - Charoltte Oven - Medal _Oven_ - Piece _Colored_.png</t>
  </si>
  <si>
    <t>242 Big Mom Pirates_Crewmate - Charoltte Oven - Medal _Oven_ _Colored_.png</t>
  </si>
  <si>
    <t>241 Leader of the Whale Forest Guardians - Pedro - Medal _Leader_.png</t>
  </si>
  <si>
    <t>241 Leader of the Whale Forest Guardians - Pedro - Medal _Leader_ - Piece.png</t>
  </si>
  <si>
    <t>241 Leader of the Whale Forest Guardians - Pedro - Medal _Leader_ - Piece _Colored_.png</t>
  </si>
  <si>
    <t>241 Leader of the Whale Forest Guardians - Pedro - Medal _Leader_ _Colored_.png</t>
  </si>
  <si>
    <t>240 Big Mom Pirates_Crewmate - Charlotte Brulee - Medal _Brulee_.png</t>
  </si>
  <si>
    <t>240 Big Mom Pirates_Crewmate - Charlotte Brulee - Medal _Brulee_ - Piece.png</t>
  </si>
  <si>
    <t>240 Big Mom Pirates_Crewmate - Charlotte Brulee - Medal _Brulee_ - Piece _Colored_.png</t>
  </si>
  <si>
    <t>240 Big Mom Pirates_Crewmate - Charlotte Brulee - Medal _Brulee_ _Colored_.png</t>
  </si>
  <si>
    <t>239 Big Mom Pirates_'Sweet 3' General - Charlotte Cracker - Medal _Cracker_.png</t>
  </si>
  <si>
    <t>239 Big Mom Pirates_'Sweet 3' General - Charlotte Cracker - Medal _Cracker_ - Piece.png</t>
  </si>
  <si>
    <t>239 Big Mom Pirates_'Sweet 3' General - Charlotte Cracker - Medal _Cracker_ - Piece _Colored_.png</t>
  </si>
  <si>
    <t>239 Big Mom Pirates_'Sweet 3' General - Charlotte Cracker - Medal _Cracker_ _Colored_.png</t>
  </si>
  <si>
    <t>238 First Act as a Married Couple - Charlotte Pudding - Medal _Mrs. Pudding_.png</t>
  </si>
  <si>
    <t>238 First Act as a Married Couple - Charlotte Pudding - Medal _Mrs. Pudding_ - Piece.png</t>
  </si>
  <si>
    <t>238 First Act as a Married Couple - Charlotte Pudding - Medal _Mrs. Pudding_ - Piece _Colored_.png</t>
  </si>
  <si>
    <t>238 First Act as a Married Couple - Charlotte Pudding - Medal _Mrs. Pudding_ _Colored_.png</t>
  </si>
  <si>
    <t>237 Animal Kingdom Pirates_Tobi Roppo - Who`s-Who - Medal _Who`s_Who_.png</t>
  </si>
  <si>
    <t>237 Animal Kingdom Pirates_Tobi Roppo - Who`s-Who - Medal _Who`s_Who_ - Piece.png</t>
  </si>
  <si>
    <t>237 Animal Kingdom Pirates_Tobi Roppo - Who`s-Who - Medal _Who`s_Who_ - Piece _Colored_.png</t>
  </si>
  <si>
    <t>237 Animal Kingdom Pirates_Tobi Roppo - Who`s-Who - Medal _Who`s_Who_ _Colored_.png</t>
  </si>
  <si>
    <t>236 Raid on Onigashima - Jinbe - Medal _Raid Jinbe_.png</t>
  </si>
  <si>
    <t>236 Raid on Onigashima - Jinbe - Medal _Raid Jinbe_ - Piece.png</t>
  </si>
  <si>
    <t>236 Raid on Onigashima - Jinbe - Medal _Raid Jinbe_ - Piece _Colored_.png</t>
  </si>
  <si>
    <t>236 Raid on Onigashima - Jinbe - Medal _Raid Jinbe_ _Colored_.png</t>
  </si>
  <si>
    <t>235 Raid on Onigashima - Roronoa Zoro - Medal _Enma_.png</t>
  </si>
  <si>
    <t>235 Raid on Onigashima - Roronoa Zoro - Medal _Enma_ - Piece.png</t>
  </si>
  <si>
    <t>235 Raid on Onigashima - Roronoa Zoro - Medal _Enma_ - Piece _Colored_.png</t>
  </si>
  <si>
    <t>235 Raid on Onigashima - Roronoa Zoro - Medal _Enma_ _Colored_.png</t>
  </si>
  <si>
    <t>234 Battle of Monsters on Onigashima - Kaido - Medal _Conqueror of Three Worlds Raganaraku_.png</t>
  </si>
  <si>
    <t>234 Battle of Monsters on Onigashima - Kaido - Medal _Conqueror of Three Worlds Raganaraku_ - Piece.png</t>
  </si>
  <si>
    <t>234 Battle of Monsters on Onigashima - Kaido - Medal _Conqueror of Three Worlds Raganaraku_ - Piece _Colored_.png</t>
  </si>
  <si>
    <t>234 Battle of Monsters on Onigashima - Kaido - Medal _Conqueror of Three Worlds Raganaraku_ _Colored_.png</t>
  </si>
  <si>
    <t>233 Battle of Monsters on Onigashima - Olin the Oiran - Medal _Olin_.png</t>
  </si>
  <si>
    <t>233 Battle of Monsters on Onigashima - Olin the Oiran - Medal _Olin_ - Piece.png</t>
  </si>
  <si>
    <t>233 Battle of Monsters on Onigashima - Olin the Oiran - Medal _Olin_ - Piece _Colored_.png</t>
  </si>
  <si>
    <t>233 Battle of Monsters on Onigashima - Olin the Oiran - Medal _Olin_ _Colored_.png</t>
  </si>
  <si>
    <t>232 ODYSSEY - Adio Suerte - Medal _Adio_.png</t>
  </si>
  <si>
    <t>232 ODYSSEY - Adio Suerte - Medal _Adio_ - Piece.png</t>
  </si>
  <si>
    <t>232 ODYSSEY - Adio Suerte - Medal _Adio_ - Piece _Colored_.png</t>
  </si>
  <si>
    <t>232 ODYSSEY - Adio Suerte - Medal _Adio_ _Colored_.png</t>
  </si>
  <si>
    <t>231 Animal Kingdom Pirates_Lead Performer - King - Medal _King_.png</t>
  </si>
  <si>
    <t>231 Animal Kingdom Pirates_Lead Performer - King - Medal _King_ - Piece.png</t>
  </si>
  <si>
    <t>231 Animal Kingdom Pirates_Lead Performer - King - Medal _King_ - Piece _Colored_.png</t>
  </si>
  <si>
    <t>231 Animal Kingdom Pirates_Lead Performer - King - Medal _King_ _Colored_.png</t>
  </si>
  <si>
    <t>230 Top Secret Special Force Captain of 'Sword' - X. Drake - Medal _X Calibur_.png</t>
  </si>
  <si>
    <t>230 Top Secret Special Force Captain of 'Sword' - X. Drake - Medal _X Calibur_ - Piece.png</t>
  </si>
  <si>
    <t>230 Top Secret Special Force Captain of 'Sword' - X. Drake - Medal _X Calibur_ - Piece _Colored_.png</t>
  </si>
  <si>
    <t>230 Top Secret Special Force Captain of 'Sword' - X. Drake - Medal _X Calibur_ _Colored_.png</t>
  </si>
  <si>
    <t>229 Hyogoro Family_Big Boss - Hyogoro - Medal _Hyogoro_.png</t>
  </si>
  <si>
    <t>229 Hyogoro Family_Big Boss - Hyogoro - Medal _Hyogoro_ - Piece.png</t>
  </si>
  <si>
    <t>229 Hyogoro Family_Big Boss - Hyogoro - Medal _Hyogoro_ - Piece _Colored_.png</t>
  </si>
  <si>
    <t>229 Hyogoro Family_Big Boss - Hyogoro - Medal _Hyogoro_ _Colored_.png</t>
  </si>
  <si>
    <t>228 Kozuki Clan_Servant - Raizo - Medal _Raizo_.png</t>
  </si>
  <si>
    <t>228 Kozuki Clan_Servant - Raizo - Medal _Raizo_ - Piece.png</t>
  </si>
  <si>
    <t>228 Kozuki Clan_Servant - Raizo - Medal _Raizo_ - Piece _Colored_.png</t>
  </si>
  <si>
    <t>228 Kozuki Clan_Servant - Raizo - Medal _Raizo_ _Colored_.png</t>
  </si>
  <si>
    <t>227 Veteran Kunoichi - Shinobu - Medal _Shinobu_.png</t>
  </si>
  <si>
    <t>227 Veteran Kunoichi - Shinobu - Medal _Shinobu_ - Piece.png</t>
  </si>
  <si>
    <t>227 Veteran Kunoichi - Shinobu - Medal _Shinobu_ - Piece _Colored_.png</t>
  </si>
  <si>
    <t>227 Veteran Kunoichi - Shinobu - Medal _Shinobu_ _Colored_.png</t>
  </si>
  <si>
    <t>226 Don Quixote Pirates_Supreme Officer - Trebol - Medal _Trebol_.png</t>
  </si>
  <si>
    <t>226 Don Quixote Pirates_Supreme Officer - Trebol - Medal _Trebol_ - Piece.png</t>
  </si>
  <si>
    <t>226 Don Quixote Pirates_Supreme Officer - Trebol - Medal _Trebol_ - Piece _Colored_.png</t>
  </si>
  <si>
    <t>226 Don Quixote Pirates_Supreme Officer - Trebol - Medal _Trebol_ _Colored_.png</t>
  </si>
  <si>
    <t>225 Don Quixote Pirates_Supreme Officer - Diamante - Medal _Ripple_Ripple_.png</t>
  </si>
  <si>
    <t>225 Don Quixote Pirates_Supreme Officer - Diamante - Medal _Ripple_Ripple_ - Piece.png</t>
  </si>
  <si>
    <t>225 Don Quixote Pirates_Supreme Officer - Diamante - Medal _Ripple_Ripple_ - Piece _Colored_.png</t>
  </si>
  <si>
    <t>225 Don Quixote Pirates_Supreme Officer - Diamante - Medal _Ripple_Ripple_ _Colored_.png</t>
  </si>
  <si>
    <t>224 The Bullet of Dressrosa - Bellamy - Medal _Boing_Boing_.png</t>
  </si>
  <si>
    <t>224 The Bullet of Dressrosa - Bellamy - Medal _Boing_Boing_ - Piece.png</t>
  </si>
  <si>
    <t>224 The Bullet of Dressrosa - Bellamy - Medal _Boing_Boing_ - Piece _Colored_.png</t>
  </si>
  <si>
    <t>224 The Bullet of Dressrosa - Bellamy - Medal _Boing_Boing_ _Colored_.png</t>
  </si>
  <si>
    <t>223 FILM RED - Usopp - Medal _Usopp (FILM RED)_.png</t>
  </si>
  <si>
    <t>223 FILM RED - Usopp - Medal _Usopp (FILM RED)_ - Piece.png</t>
  </si>
  <si>
    <t>223 FILM RED - Usopp - Medal _Usopp (FILM RED)_ - Piece _Colored_.png</t>
  </si>
  <si>
    <t>223 FILM RED - Usopp - Medal _Usopp (FILM RED)_ _Colored_.png</t>
  </si>
  <si>
    <t>222 FILM RED - Yasopp - Medal _Yasopp (FILM RED)_.png</t>
  </si>
  <si>
    <t>222 FILM RED - Yasopp - Medal _Yasopp (FILM RED)_ - Piece.png</t>
  </si>
  <si>
    <t>222 FILM RED - Yasopp - Medal _Yasopp (FILM RED)_ - Piece _Colored_.png</t>
  </si>
  <si>
    <t>222 FILM RED - Yasopp - Medal _Yasopp (FILM RED)_ _Colored_.png</t>
  </si>
  <si>
    <t>221 FILM RED - Tony Tony Chopper - Medal _Chopper (FILM RED)_.png</t>
  </si>
  <si>
    <t>221 FILM RED - Tony Tony Chopper - Medal _Chopper (FILM RED)_ - Piece.png</t>
  </si>
  <si>
    <t>221 FILM RED - Tony Tony Chopper - Medal _Chopper (FILM RED)_ - Piece _Colored_.png</t>
  </si>
  <si>
    <t>221 FILM RED - Tony Tony Chopper - Medal _Chopper (FILM RED)_ _Colored_.png</t>
  </si>
  <si>
    <t>220 FILM RED - Nami - Medal _Nami (FILM RED)_.png</t>
  </si>
  <si>
    <t>220 FILM RED - Nami - Medal _Nami (FILM RED)_ - Piece.png</t>
  </si>
  <si>
    <t>220 FILM RED - Nami - Medal _Nami (FILM RED)_ - Piece _Colored_.png</t>
  </si>
  <si>
    <t>220 FILM RED - Nami - Medal _Nami (FILM RED)_ _Colored_.png</t>
  </si>
  <si>
    <t>219 FILM RED - Ben Beckman - Medal _Beckman (FILM RED)_.png</t>
  </si>
  <si>
    <t>219 FILM RED - Ben Beckman - Medal _Beckman (FILM RED)_ - Piece.png</t>
  </si>
  <si>
    <t>219 FILM RED - Ben Beckman - Medal _Beckman (FILM RED)_ - Piece _Colored_.png</t>
  </si>
  <si>
    <t>219 FILM RED - Ben Beckman - Medal _Beckman (FILM RED)_ _Colored_.png</t>
  </si>
  <si>
    <t>218 FILM RED - Shanks - Medal _Shanks (FILM RED)_.png</t>
  </si>
  <si>
    <t>218 FILM RED - Shanks - Medal _Shanks (FILM RED)_ - Piece.png</t>
  </si>
  <si>
    <t>218 FILM RED - Shanks - Medal _Shanks (FILM RED)_ - Piece _Colored_.png</t>
  </si>
  <si>
    <t>218 FILM RED - Shanks - Medal _Shanks (FILM RED)_ _Colored_.png</t>
  </si>
  <si>
    <t>217 FILM RED - Monkey D. Luffy - Medal _Luffy (FILM RED)_.png</t>
  </si>
  <si>
    <t>217 FILM RED - Monkey D. Luffy - Medal _Luffy (FILM RED)_ - Piece.png</t>
  </si>
  <si>
    <t>217 FILM RED - Monkey D. Luffy - Medal _Luffy (FILM RED)_ - Piece _Colored_.png</t>
  </si>
  <si>
    <t>217 FILM RED - Monkey D. Luffy - Medal _Luffy (FILM RED)_ _Colored_.png</t>
  </si>
  <si>
    <t>216 FILM RED - Uta - Medal _Uta_.png</t>
  </si>
  <si>
    <t>216 FILM RED - Uta - Medal _Uta_ - Piece.png</t>
  </si>
  <si>
    <t>216 FILM RED - Uta - Medal _Uta_ - Piece _Colored_.png</t>
  </si>
  <si>
    <t>216 FILM RED - Uta - Medal _Uta_ _Colored_.png</t>
  </si>
  <si>
    <t>215 FILM Z - Zephyr - Medal _Zephyr_.png</t>
  </si>
  <si>
    <t>215 FILM Z - Zephyr - Medal _Zephyr_ - Piece.png</t>
  </si>
  <si>
    <t>215 FILM Z - Zephyr - Medal _Zephyr_ - Piece _Colored_.png</t>
  </si>
  <si>
    <t>215 FILM Z - Zephyr - Medal _Zephyr_ _Colored_.png</t>
  </si>
  <si>
    <t>214 FILM GOLD - Gild Tesoro - Medal _Tesoro_.png</t>
  </si>
  <si>
    <t>214 FILM GOLD - Gild Tesoro - Medal _Tesoro_ - Piece.png</t>
  </si>
  <si>
    <t>214 FILM GOLD - Gild Tesoro - Medal _Tesoro_ - Piece _Colored_.png</t>
  </si>
  <si>
    <t>214 FILM GOLD - Gild Tesoro - Medal _Tesoro_ _Colored_.png</t>
  </si>
  <si>
    <t>213 FILM STRONG WORLD - Shiki - Medal _Shiki_.png</t>
  </si>
  <si>
    <t>213 FILM STRONG WORLD - Shiki - Medal _Shiki_ - Piece.png</t>
  </si>
  <si>
    <t>213 FILM STRONG WORLD - Shiki - Medal _Shiki_ - Piece _Colored_.png</t>
  </si>
  <si>
    <t>213 FILM STRONG WORLD - Shiki - Medal _Shiki_ _Colored_.png</t>
  </si>
  <si>
    <t>212 STAMPEDE - Boa Hancock - Medal _Hancock (STAMPEDE)_.png</t>
  </si>
  <si>
    <t>212 STAMPEDE - Boa Hancock - Medal _Hancock (STAMPEDE)_ - Piece.png</t>
  </si>
  <si>
    <t>212 STAMPEDE - Boa Hancock - Medal _Hancock (STAMPEDE)_ - Piece _Colored_.png</t>
  </si>
  <si>
    <t>212 STAMPEDE - Boa Hancock - Medal _Hancock (STAMPEDE)_ _Colored_.png</t>
  </si>
  <si>
    <t>211 Land of Wano - Marco - Medal _Phoenix Brand_.png</t>
  </si>
  <si>
    <t>211 Land of Wano - Marco - Medal _Phoenix Brand_ - Piece.png</t>
  </si>
  <si>
    <t>211 Land of Wano - Marco - Medal _Phoenix Brand_ - Piece _Colored_.png</t>
  </si>
  <si>
    <t>211 Land of Wano - Marco - Medal _Phoenix Brand_ _Colored_.png</t>
  </si>
  <si>
    <t>210 Big Mom Pirates_Crewmate - Charlotte Perospero - Medal _Perospero_.png</t>
  </si>
  <si>
    <t>210 Big Mom Pirates_Crewmate - Charlotte Perospero - Medal _Perospero_ - Piece.png</t>
  </si>
  <si>
    <t>210 Big Mom Pirates_Crewmate - Charlotte Perospero - Medal _Perospero_ - Piece _Colored_.png</t>
  </si>
  <si>
    <t>210 Big Mom Pirates_Crewmate - Charlotte Perospero - Medal _Perospero_ _Colored_.png</t>
  </si>
  <si>
    <t>209 Animal Kingdom Pirates_Tobi Roppo - Ulti - Medal _Spinosaurus_.png</t>
  </si>
  <si>
    <t>209 Animal Kingdom Pirates_Tobi Roppo - Ulti - Medal _Spinosaurus_ - Piece.png</t>
  </si>
  <si>
    <t>209 Animal Kingdom Pirates_Tobi Roppo - Ulti - Medal _Spinosaurus_ - Piece _Colored_.png</t>
  </si>
  <si>
    <t>209 Animal Kingdom Pirates_Tobi Roppo - Ulti - Medal _Spinosaurus_ _Colored_.png</t>
  </si>
  <si>
    <t>208 Animal Kingdom Pirates_Tobi Roppo - Page One - Medal _Pachycephalosaurus_.png</t>
  </si>
  <si>
    <t>208 Animal Kingdom Pirates_Tobi Roppo - Page One - Medal _Pachycephalosaurus_ - Piece.png</t>
  </si>
  <si>
    <t>208 Animal Kingdom Pirates_Tobi Roppo - Page One - Medal _Pachycephalosaurus_ - Piece _Colored_.png</t>
  </si>
  <si>
    <t>208 Animal Kingdom Pirates_Tobi Roppo - Page One - Medal _Pachycephalosaurus_ _Colored_.png</t>
  </si>
  <si>
    <t>207 Shandian Warrior - Wyper - Medal _Wyper_.png</t>
  </si>
  <si>
    <t>207 Shandian Warrior - Wyper - Medal _Wyper_ - Piece.png</t>
  </si>
  <si>
    <t>207 Shandian Warrior - Wyper - Medal _Wyper_ - Piece _Colored_.png</t>
  </si>
  <si>
    <t>207 Shandian Warrior - Wyper - Medal _Wyper_ _Colored_.png</t>
  </si>
  <si>
    <t>206 Land of Wano - Franosuke - Medal _Franosuke_.png</t>
  </si>
  <si>
    <t>206 Land of Wano - Franosuke - Medal _Franosuke_ - Piece.png</t>
  </si>
  <si>
    <t>206 Land of Wano - Franosuke - Medal _Franosuke_ - Piece _Colored_.png</t>
  </si>
  <si>
    <t>206 Land of Wano - Franosuke - Medal _Franosuke_ _Colored_.png</t>
  </si>
  <si>
    <t>205 Land of Wano - Usohachi - Medal _Usohachi_.png</t>
  </si>
  <si>
    <t>205 Land of Wano - Usohachi - Medal _Usohachi_ - Piece.png</t>
  </si>
  <si>
    <t>205 Land of Wano - Usohachi - Medal _Usohachi_ - Piece _Colored_.png</t>
  </si>
  <si>
    <t>205 Land of Wano - Usohachi - Medal _Usohachi_ _Colored_.png</t>
  </si>
  <si>
    <t>204 Blackbeard Pirates_Former Head Jailer of Impel Down - Shiryu - Medal _Shiryu_.png</t>
  </si>
  <si>
    <t>204 Blackbeard Pirates_Former Head Jailer of Impel Down - Shiryu - Medal _Shiryu_ - Piece.png</t>
  </si>
  <si>
    <t>204 Blackbeard Pirates_Former Head Jailer of Impel Down - Shiryu - Medal _Shiryu_ - Piece _Colored_.png</t>
  </si>
  <si>
    <t>204 Blackbeard Pirates_Former Head Jailer of Impel Down - Shiryu - Medal _Shiryu_ _Colored_.png</t>
  </si>
  <si>
    <t>203 Whitebeard Pirates_3rd Division Commander - Jozu - Medal _Jozu_.png</t>
  </si>
  <si>
    <t>203 Whitebeard Pirates_3rd Division Commander - Jozu - Medal _Jozu_ - Piece.png</t>
  </si>
  <si>
    <t>203 Whitebeard Pirates_3rd Division Commander - Jozu - Medal _Jozu_ - Piece _Colored_.png</t>
  </si>
  <si>
    <t>203 Whitebeard Pirates_3rd Division Commander - Jozu - Medal _Jozu_ _Colored_.png</t>
  </si>
  <si>
    <t>202 Whitebeard Pirates_5th Division Commander - Vista - Medal _Vista_.png</t>
  </si>
  <si>
    <t>202 Whitebeard Pirates_5th Division Commander - Vista - Medal _Vista_ - Piece.png</t>
  </si>
  <si>
    <t>202 Whitebeard Pirates_5th Division Commander - Vista - Medal _Vista_ - Piece _Colored_.png</t>
  </si>
  <si>
    <t>202 Whitebeard Pirates_5th Division Commander - Vista - Medal _Vista_ _Colored_.png</t>
  </si>
  <si>
    <t>201 Blackbeard Pirates_Helsman 'Champ' - Jesus Burgess - Medal _Burgess_.png</t>
  </si>
  <si>
    <t>201 Blackbeard Pirates_Helsman 'Champ' - Jesus Burgess - Medal _Burgess_ - Piece.png</t>
  </si>
  <si>
    <t>201 Blackbeard Pirates_Helsman 'Champ' - Jesus Burgess - Medal _Burgess_ - Piece _Colored_.png</t>
  </si>
  <si>
    <t>201 Blackbeard Pirates_Helsman 'Champ' - Jesus Burgess - Medal _Burgess_ _Colored_.png</t>
  </si>
  <si>
    <t>200 Stealth Black - Soba Mask - Medal _Soba Mask_.png</t>
  </si>
  <si>
    <t>200 Stealth Black - Soba Mask - Medal _Soba Mask_ - Piece.png</t>
  </si>
  <si>
    <t>200 Stealth Black - Soba Mask - Medal _Soba Mask_ - Piece _Colored_.png</t>
  </si>
  <si>
    <t>200 Stealth Black - Soba Mask - Medal _Soba Mask_ _Colored_.png</t>
  </si>
  <si>
    <t>199 Germa 66_Generalissimo - Vinsmoke Judge 1 - Medal _Judge_.png</t>
  </si>
  <si>
    <t>199 Germa 66_Generalissimo - Vinsmoke Judge 1 - Medal _Judge_ - Piece.png</t>
  </si>
  <si>
    <t>199 Germa 66_Generalissimo - Vinsmoke Judge 1 - Medal _Judge_ - Piece _Colored_.png</t>
  </si>
  <si>
    <t>199 Germa 66_Generalissimo - Vinsmoke Judge 1 - Medal _Judge_ _Colored_.png</t>
  </si>
  <si>
    <t>198 Man Who Dreams of Becoming the King of the Pirates - Monkey D. Luffy - Medal _Straw Hat_.png</t>
  </si>
  <si>
    <t>198 Man Who Dreams of Becoming the King of the Pirates - Monkey D. Luffy - Medal _Straw Hat_ - Piece.png</t>
  </si>
  <si>
    <t>198 Man Who Dreams of Becoming the King of the Pirates - Monkey D. Luffy - Medal _Straw Hat_ - Piece _Colored_.png</t>
  </si>
  <si>
    <t>198 Man Who Dreams of Becoming the King of the Pirates - Monkey D. Luffy - Medal _Straw Hat_ _Colored_.png</t>
  </si>
  <si>
    <t>197 The Strongest Creature Alive - Kaido - Medal _Blast Breath_.png</t>
  </si>
  <si>
    <t>197 The Strongest Creature Alive - Kaido - Medal _Blast Breath_ - Piece.png</t>
  </si>
  <si>
    <t>197 The Strongest Creature Alive - Kaido - Medal _Blast Breath_ - Piece _Colored_.png</t>
  </si>
  <si>
    <t>197 The Strongest Creature Alive - Kaido - Medal _Blast Breath_ _Colored_.png</t>
  </si>
  <si>
    <t>196 Animal Kingdom Pirates_Lead Performer - Queen - Medal _Queen_.png</t>
  </si>
  <si>
    <t>196 Animal Kingdom Pirates_Lead Performer - Queen - Medal _Queen_ - Piece.png</t>
  </si>
  <si>
    <t>196 Animal Kingdom Pirates_Lead Performer - Queen - Medal _Queen_ - Piece _Colored_.png</t>
  </si>
  <si>
    <t>196 Animal Kingdom Pirates_Lead Performer - Queen - Medal _Queen_ _Colored_.png</t>
  </si>
  <si>
    <t>195 Animal Kingdom Pirates_Lead Performer - Jack - Medal _Jack_.png</t>
  </si>
  <si>
    <t>195 Animal Kingdom Pirates_Lead Performer - Jack - Medal _Jack_ - Piece.png</t>
  </si>
  <si>
    <t>195 Animal Kingdom Pirates_Lead Performer - Jack - Medal _Jack_ - Piece _Colored_.png</t>
  </si>
  <si>
    <t>195 Animal Kingdom Pirates_Lead Performer - Jack - Medal _Jack_ _Colored_.png</t>
  </si>
  <si>
    <t>194 Kaido`s Son - Yamato - Medal _Kaido`s Son_.png</t>
  </si>
  <si>
    <t>194 Kaido`s Son - Yamato - Medal _Kaido`s Son_ - Piece.png</t>
  </si>
  <si>
    <t>194 Kaido`s Son - Yamato - Medal _Kaido`s Son_ - Piece _Colored_.png</t>
  </si>
  <si>
    <t>194 Kaido`s Son - Yamato - Medal _Kaido`s Son_ _Colored_.png</t>
  </si>
  <si>
    <t>193 Former Whitebeard Pirates_16th Division Commander - Izo - Medal _Izo_.png</t>
  </si>
  <si>
    <t>193 Former Whitebeard Pirates_16th Division Commander - Izo - Medal _Izo_ - Piece.png</t>
  </si>
  <si>
    <t>193 Former Whitebeard Pirates_16th Division Commander - Izo - Medal _Izo_ - Piece _Colored_.png</t>
  </si>
  <si>
    <t>193 Former Whitebeard Pirates_16th Division Commander - Izo - Medal _Izo_ _Colored_.png</t>
  </si>
  <si>
    <t>192 Kurozumi Spy - Kurozumi Kanjuro - Medal _Kanjuro_.png</t>
  </si>
  <si>
    <t>192 Kurozumi Spy - Kurozumi Kanjuro - Medal _Kanjuro_ - Piece.png</t>
  </si>
  <si>
    <t>192 Kurozumi Spy - Kurozumi Kanjuro - Medal _Kanjuro_ - Piece _Colored_.png</t>
  </si>
  <si>
    <t>192 Kurozumi Spy - Kurozumi Kanjuro - Medal _Kanjuro_ _Colored_.png</t>
  </si>
  <si>
    <t>191 Roger Pirates_First Mate - Silvers Rayleigh - Medal _The Dark King_.png</t>
  </si>
  <si>
    <t>191 Roger Pirates_First Mate - Silvers Rayleigh - Medal _The Dark King_ - Piece.png</t>
  </si>
  <si>
    <t>191 Roger Pirates_First Mate - Silvers Rayleigh - Medal _The Dark King_ - Piece _Colored_.png</t>
  </si>
  <si>
    <t>191 Roger Pirates_First Mate - Silvers Rayleigh - Medal _The Dark King_ _Colored_.png</t>
  </si>
  <si>
    <t>190 Whole Cake Island - Jinbe - Medal _Boss_.png</t>
  </si>
  <si>
    <t>190 Whole Cake Island - Jinbe - Medal _Boss_ - Piece.png</t>
  </si>
  <si>
    <t>190 Whole Cake Island - Jinbe - Medal _Boss_ - Piece _Colored_.png</t>
  </si>
  <si>
    <t>190 Whole Cake Island - Jinbe - Medal _Boss_ _Colored_.png</t>
  </si>
  <si>
    <t>189 Big Mom Pirates_Crewmate - Charlotte Pudding 1 - Medal _Pudding_.png</t>
  </si>
  <si>
    <t>189 Big Mom Pirates_Crewmate - Charlotte Pudding 1 - Medal _Pudding_ - Piece.png</t>
  </si>
  <si>
    <t>189 Big Mom Pirates_Crewmate - Charlotte Pudding 1 - Medal _Pudding_ - Piece _Colored_.png</t>
  </si>
  <si>
    <t>189 Big Mom Pirates_Crewmate - Charlotte Pudding 1 - Medal _Pudding_ _Colored_.png</t>
  </si>
  <si>
    <t>188 Whole Cake Island - Brook - Medal _Soul King_.png</t>
  </si>
  <si>
    <t>188 Whole Cake Island - Brook - Medal _Soul King_ - Piece.png</t>
  </si>
  <si>
    <t>188 Whole Cake Island - Brook - Medal _Soul King_ - Piece _Colored_.png</t>
  </si>
  <si>
    <t>188 Whole Cake Island - Brook - Medal _Soul King_ _Colored_.png</t>
  </si>
  <si>
    <t>187 Whole Cake Island - Nami - Medal _Sorcery Climate Baton_.png</t>
  </si>
  <si>
    <t>187 Whole Cake Island - Nami - Medal _Sorcery Climate Baton_ - Piece.png</t>
  </si>
  <si>
    <t>187 Whole Cake Island - Nami - Medal _Sorcery Climate Baton_ - Piece _Colored_.png</t>
  </si>
  <si>
    <t>187 Whole Cake Island - Nami - Medal _Sorcery Climate Baton_ _Colored_.png</t>
  </si>
  <si>
    <t>186 Don Quixote Pirates_Officer - Monet - Medal _Monet_.png</t>
  </si>
  <si>
    <t>186 Don Quixote Pirates_Officer - Monet - Medal _Monet_ - Piece.png</t>
  </si>
  <si>
    <t>186 Don Quixote Pirates_Officer - Monet - Medal _Monet_ - Piece _Colored_.png</t>
  </si>
  <si>
    <t>186 Don Quixote Pirates_Officer - Monet - Medal _Monet_ _Colored_.png</t>
  </si>
  <si>
    <t>185 Don Quixote Pirates_Supreme Officer - Vergo - Medal _Bamboo Demon_.png</t>
  </si>
  <si>
    <t>185 Don Quixote Pirates_Supreme Officer - Vergo - Medal _Bamboo Demon_ - Piece.png</t>
  </si>
  <si>
    <t>185 Don Quixote Pirates_Supreme Officer - Vergo - Medal _Bamboo Demon_ - Piece _Colored_.png</t>
  </si>
  <si>
    <t>185 Don Quixote Pirates_Supreme Officer - Vergo - Medal _Bamboo Demon_ _Colored_.png</t>
  </si>
  <si>
    <t>184 Don Quixote Pirates_Special Officer - Sugar - Medal _Sugar_.png</t>
  </si>
  <si>
    <t>184 Don Quixote Pirates_Special Officer - Sugar - Medal _Sugar_ - Piece.png</t>
  </si>
  <si>
    <t>184 Don Quixote Pirates_Special Officer - Sugar - Medal _Sugar_ - Piece _Colored_.png</t>
  </si>
  <si>
    <t>184 Don Quixote Pirates_Special Officer - Sugar - Medal _Sugar_ _Colored_.png</t>
  </si>
  <si>
    <t>183 Don Quixote Pirates_Captain - Don Quixote Doflamingo - Medal _Young Master_.png</t>
  </si>
  <si>
    <t>183 Don Quixote Pirates_Captain - Don Quixote Doflamingo - Medal _Young Master_ - Piece.png</t>
  </si>
  <si>
    <t>183 Don Quixote Pirates_Captain - Don Quixote Doflamingo - Medal _Young Master_ - Piece _Colored_.png</t>
  </si>
  <si>
    <t>183 Don Quixote Pirates_Captain - Don Quixote Doflamingo - Medal _Young Master_ _Colored_.png</t>
  </si>
  <si>
    <t>182 Don Quixote Pirates_Officer - Señor Pink - Medal _Hard_Boiled_.png</t>
  </si>
  <si>
    <t>182 Don Quixote Pirates_Officer - Señor Pink - Medal _Hard_Boiled_ - Piece.png</t>
  </si>
  <si>
    <t>182 Don Quixote Pirates_Officer - Señor Pink - Medal _Hard_Boiled_ - Piece _Colored_.png</t>
  </si>
  <si>
    <t>182 Don Quixote Pirates_Officer - Señor Pink - Medal _Hard_Boiled_ _Colored_.png</t>
  </si>
  <si>
    <t>181 Don Quixote Pirates_Servant Assassin - Baby 5 - Medal _Baby 5_.png</t>
  </si>
  <si>
    <t>181 Don Quixote Pirates_Servant Assassin - Baby 5 - Medal _Baby 5_ - Piece.png</t>
  </si>
  <si>
    <t>181 Don Quixote Pirates_Servant Assassin - Baby 5 - Medal _Baby 5_ - Piece _Colored_.png</t>
  </si>
  <si>
    <t>181 Don Quixote Pirates_Servant Assassin - Baby 5 - Medal _Baby 5_ _Colored_.png</t>
  </si>
  <si>
    <t>180 Navy HQ_Science Team Captain - Sentomaru - Medal _Sentomaru_.png</t>
  </si>
  <si>
    <t>180 Navy HQ_Science Team Captain - Sentomaru - Medal _Sentomaru_ - Piece.png</t>
  </si>
  <si>
    <t>180 Navy HQ_Science Team Captain - Sentomaru - Medal _Sentomaru_ - Piece _Colored_.png</t>
  </si>
  <si>
    <t>180 Navy HQ_Science Team Captain - Sentomaru - Medal _Sentomaru_ _Colored_.png</t>
  </si>
  <si>
    <t>179 Navy HQ_Master Chief Petty Officer - Koby - Medal _Koby (Paramount War)_.png</t>
  </si>
  <si>
    <t>179 Navy HQ_Master Chief Petty Officer - Koby - Medal _Koby (Paramount War)_ - Piece.png</t>
  </si>
  <si>
    <t>179 Navy HQ_Master Chief Petty Officer - Koby - Medal _Koby (Paramount War)_ - Piece _Colored_.png</t>
  </si>
  <si>
    <t>179 Navy HQ_Master Chief Petty Officer - Koby - Medal _Koby (Paramount War)_ _Colored_.png</t>
  </si>
  <si>
    <t>178 Navy HQ_Fleet Admiral Akainu - _Sakazuki_ - Medal _Fleet Admiral Akainu_.png</t>
  </si>
  <si>
    <t>178 Navy HQ_Fleet Admiral Akainu - _Sakazuki_ - Medal _Fleet Admiral Akainu_ - Piece.png</t>
  </si>
  <si>
    <t>178 Navy HQ_Fleet Admiral Akainu - _Sakazuki_ - Medal _Fleet Admiral Akainu_ - Piece _Colored_.png</t>
  </si>
  <si>
    <t>178 Navy HQ_Fleet Admiral Akainu - _Sakazuki_ - Medal _Fleet Admiral Akainu_ _Colored_.png</t>
  </si>
  <si>
    <t>177 Land of Wano - Bonekichi - Medal _Ice_Burn_.png</t>
  </si>
  <si>
    <t>177 Land of Wano - Bonekichi - Medal _Ice_Burn_ - Piece.png</t>
  </si>
  <si>
    <t>177 Land of Wano - Bonekichi - Medal _Ice_Burn_ - Piece _Colored_.png</t>
  </si>
  <si>
    <t>177 Land of Wano - Bonekichi - Medal _Ice_Burn_ _Colored_.png</t>
  </si>
  <si>
    <t>176 Land of Wano - Orobi - Medal _Delphinium_.png</t>
  </si>
  <si>
    <t>176 Land of Wano - Orobi - Medal _Delphinium_ - Piece.png</t>
  </si>
  <si>
    <t>176 Land of Wano - Orobi - Medal _Delphinium_ - Piece _Colored_.png</t>
  </si>
  <si>
    <t>176 Land of Wano - Orobi - Medal _Delphinium_ _Colored_.png</t>
  </si>
  <si>
    <t>175 Princess and Loyal Partner - Vivi &amp; Karoo - Medal _Vivi &amp; Karoo_.png</t>
  </si>
  <si>
    <t>175 Princess and Loyal Partner - Vivi &amp; Karoo - Medal _Vivi &amp; Karoo_ - Piece.png</t>
  </si>
  <si>
    <t>175 Princess and Loyal Partner - Vivi &amp; Karoo - Medal _Vivi &amp; Karoo_ - Piece _Colored_.png</t>
  </si>
  <si>
    <t>175 Princess and Loyal Partner - Vivi &amp; Karoo - Medal _Vivi &amp; Karoo_ _Colored_.png</t>
  </si>
  <si>
    <t>174 Lieutenant Royal Guard of Alabasta - Pell - Medal _Pell_.png</t>
  </si>
  <si>
    <t>174 Lieutenant Royal Guard of Alabasta - Pell - Medal _Pell_ - Piece.png</t>
  </si>
  <si>
    <t>174 Lieutenant Royal Guard of Alabasta - Pell - Medal _Pell_ - Piece _Colored_.png</t>
  </si>
  <si>
    <t>174 Lieutenant Royal Guard of Alabasta - Pell - Medal _Pell_ _Colored_.png</t>
  </si>
  <si>
    <t>173 Baroque Works_Officer Agent - Ms. Goldenweek - Medal _Ms. Goldenweek_.png</t>
  </si>
  <si>
    <t>173 Baroque Works_Officer Agent - Ms. Goldenweek - Medal _Ms. Goldenweek_ - Piece.png</t>
  </si>
  <si>
    <t>173 Baroque Works_Officer Agent - Ms. Goldenweek - Medal _Ms. Goldenweek_ - Piece _Colored_.png</t>
  </si>
  <si>
    <t>173 Baroque Works_Officer Agent - Ms. Goldenweek - Medal _Ms. Goldenweek_ _Colored_.png</t>
  </si>
  <si>
    <t>172 Baroque Works_Officer Agent - Mr. 3 - Medal _Galdino_.png</t>
  </si>
  <si>
    <t>172 Baroque Works_Officer Agent - Mr. 3 - Medal _Galdino_ - Piece.png</t>
  </si>
  <si>
    <t>172 Baroque Works_Officer Agent - Mr. 3 - Medal _Galdino_ - Piece _Colored_.png</t>
  </si>
  <si>
    <t>172 Baroque Works_Officer Agent - Mr. 3 - Medal _Galdino_ _Colored_.png</t>
  </si>
  <si>
    <t>171 Raid on Onigashima - Trafalger Law - Medal _Raid Law_.png</t>
  </si>
  <si>
    <t>171 Raid on Onigashima - Trafalger Law - Medal _Raid Law_ - Piece.png</t>
  </si>
  <si>
    <t>171 Raid on Onigashima - Trafalger Law - Medal _Raid Law_ - Piece _Colored_.png</t>
  </si>
  <si>
    <t>171 Raid on Onigashima - Trafalger Law - Medal _Raid Law_ _Colored_.png</t>
  </si>
  <si>
    <t>170 Raid on Onigashima - Eustass Kid - Medal _Raid Kid_.png</t>
  </si>
  <si>
    <t>170 Raid on Onigashima - Eustass Kid - Medal _Raid Kid_ - Piece.png</t>
  </si>
  <si>
    <t>170 Raid on Onigashima - Eustass Kid - Medal _Raid Kid_ - Piece _Colored_.png</t>
  </si>
  <si>
    <t>170 Raid on Onigashima - Eustass Kid - Medal _Raid Kid_ _Colored_.png</t>
  </si>
  <si>
    <t>169 Impel Down_Prisoner - Bon Clay, aka Mr. 2 - Medal _Memoir of that Summer Day_.png</t>
  </si>
  <si>
    <t>169 Impel Down_Prisoner - Bon Clay, aka Mr. 2 - Medal _Memoir of that Summer Day_ - Piece.png</t>
  </si>
  <si>
    <t>169 Impel Down_Prisoner - Bon Clay, aka Mr. 2 - Medal _Memoir of that Summer Day_ - Piece _Colored_.png</t>
  </si>
  <si>
    <t>169 Impel Down_Prisoner - Bon Clay, aka Mr. 2 - Medal _Memoir of that Summer Day_ _Colored_.png</t>
  </si>
  <si>
    <t>168 Raid on Onigashima - Monkey D. Luffy - Medal _Raid Luffy_.png</t>
  </si>
  <si>
    <t>168 Raid on Onigashima - Monkey D. Luffy - Medal _Raid Luffy_ - Piece.png</t>
  </si>
  <si>
    <t>168 Raid on Onigashima - Monkey D. Luffy - Medal _Raid Luffy_ - Piece _Colored_.png</t>
  </si>
  <si>
    <t>168 Raid on Onigashima - Monkey D. Luffy - Medal _Raid Luffy_ _Colored_.png</t>
  </si>
  <si>
    <t>167 Enies Lobby - Nico Robin - Medal _Candula_.png</t>
  </si>
  <si>
    <t>167 Enies Lobby - Nico Robin - Medal _Candula_ - Piece.png</t>
  </si>
  <si>
    <t>167 Enies Lobby - Nico Robin - Medal _Candula_ - Piece _Colored_.png</t>
  </si>
  <si>
    <t>167 Enies Lobby - Nico Robin - Medal _Candula_ _Colored_.png</t>
  </si>
  <si>
    <t>166 Monster Point - Tony Tony Chopper - Medal _Palm_.png</t>
  </si>
  <si>
    <t>166 Monster Point - Tony Tony Chopper - Medal _Palm_ - Piece.png</t>
  </si>
  <si>
    <t>166 Monster Point - Tony Tony Chopper - Medal _Palm_ - Piece _Colored_.png</t>
  </si>
  <si>
    <t>166 Monster Point - Tony Tony Chopper - Medal _Palm_ _Colored_.png</t>
  </si>
  <si>
    <t>165 King of the Night - Cat Viper - Medal _Cat Viper_.png</t>
  </si>
  <si>
    <t>165 King of the Night - Cat Viper - Medal _Cat Viper_ - Piece.png</t>
  </si>
  <si>
    <t>165 King of the Night - Cat Viper - Medal _Cat Viper_ - Piece _Colored_.png</t>
  </si>
  <si>
    <t>165 King of the Night - Cat Viper - Medal _Cat Viper_ _Colored_.png</t>
  </si>
  <si>
    <t>164 King of the Day - Dogstorm - Medal _Duke Dogstorm_.png</t>
  </si>
  <si>
    <t>164 King of the Day - Dogstorm - Medal _Duke Dogstorm_ - Piece.png</t>
  </si>
  <si>
    <t>164 King of the Day - Dogstorm - Medal _Duke Dogstorm_ - Piece _Colored_.png</t>
  </si>
  <si>
    <t>164 King of the Day - Dogstorm - Medal _Duke Dogstorm_ _Colored_.png</t>
  </si>
  <si>
    <t>163 The Guardian of the Forest - Gaimon - Medal _Gaimon_.png</t>
  </si>
  <si>
    <t>163 The Guardian of the Forest - Gaimon - Medal _Gaimon_ - Piece.png</t>
  </si>
  <si>
    <t>163 The Guardian of the Forest - Gaimon - Medal _Gaimon_ - Piece _Colored_.png</t>
  </si>
  <si>
    <t>163 The Guardian of the Forest - Gaimon - Medal _Gaimon_ _Colored_.png</t>
  </si>
  <si>
    <t>162 Iron Pirate - General Franky - Medal _General Franky_.png</t>
  </si>
  <si>
    <t>162 Iron Pirate - General Franky - Medal _General Franky_ - Piece.png</t>
  </si>
  <si>
    <t>162 Iron Pirate - General Franky - Medal _General Franky_ - Piece _Colored_.png</t>
  </si>
  <si>
    <t>162 Iron Pirate - General Franky - Medal _General Franky_ _Colored_.png</t>
  </si>
  <si>
    <t>161 Savior - God Usopp - Medal _God Usopp_.png</t>
  </si>
  <si>
    <t>161 Savior - God Usopp - Medal _God Usopp_ - Piece.png</t>
  </si>
  <si>
    <t>161 Savior - God Usopp - Medal _God Usopp_ - Piece _Colored_.png</t>
  </si>
  <si>
    <t>161 Savior - God Usopp - Medal _God Usopp_ _Colored_.png</t>
  </si>
  <si>
    <t>160 Revolutionary Army_Officer - Koala 1 - Medal _Assistant Fish_Man Karate Master_.png</t>
  </si>
  <si>
    <t>160 Revolutionary Army_Officer - Koala 1 - Medal _Assistant Fish_Man Karate Master_ - Piece.png</t>
  </si>
  <si>
    <t>160 Revolutionary Army_Officer - Koala 1 - Medal _Assistant Fish_Man Karate Master_ - Piece _Colored_.png</t>
  </si>
  <si>
    <t>160 Revolutionary Army_Officer - Koala 1 - Medal _Assistant Fish_Man Karate Master_ _Colored_.png</t>
  </si>
  <si>
    <t>159 Minks - Carrot - Medal _Carrot_.png</t>
  </si>
  <si>
    <t>159 Minks - Carrot - Medal _Carrot_ - Piece.png</t>
  </si>
  <si>
    <t>159 Minks - Carrot - Medal _Carrot_ - Piece _Colored_.png</t>
  </si>
  <si>
    <t>159 Minks - Carrot - Medal _Carrot_ _Colored_.png</t>
  </si>
  <si>
    <t>158 Roger`s Rival - Edward Newgate - Medal _Tremor_Tremor_.png</t>
  </si>
  <si>
    <t>158 Roger`s Rival - Edward Newgate - Medal _Tremor_Tremor_ - Piece.png</t>
  </si>
  <si>
    <t>158 Roger`s Rival - Edward Newgate - Medal _Tremor_Tremor_ - Piece _Colored_.png</t>
  </si>
  <si>
    <t>158 Roger`s Rival - Edward Newgate - Medal _Tremor_Tremor_ _Colored_.png</t>
  </si>
  <si>
    <t>157 Hero of the Navy - Monkey D. Garb - Medal _Hero_.png</t>
  </si>
  <si>
    <t>157 Hero of the Navy - Monkey D. Garb - Medal _Hero_ - Piece.png</t>
  </si>
  <si>
    <t>157 Hero of the Navy - Monkey D. Garb - Medal _Hero_ - Piece _Colored_.png</t>
  </si>
  <si>
    <t>157 Hero of the Navy - Monkey D. Garb - Medal _Hero_ _Colored_.png</t>
  </si>
  <si>
    <t>156 Kozuki Clan_Servant - Ashura Doji - Medal _Ashura Doji_.png</t>
  </si>
  <si>
    <t>156 Kozuki Clan_Servant - Ashura Doji - Medal _Ashura Doji_ - Piece.png</t>
  </si>
  <si>
    <t>156 Kozuki Clan_Servant - Ashura Doji - Medal _Ashura Doji_ - Piece _Colored_.png</t>
  </si>
  <si>
    <t>156 Kozuki Clan_Servant - Ashura Doji - Medal _Ashura Doji_ _Colored_.png</t>
  </si>
  <si>
    <t>155 Kyoshiro Family_Boss - Napping Kyoshiro - Medal _Napping Kyoshiro_.png</t>
  </si>
  <si>
    <t>155 Kyoshiro Family_Boss - Napping Kyoshiro - Medal _Napping Kyoshiro_ - Piece.png</t>
  </si>
  <si>
    <t>155 Kyoshiro Family_Boss - Napping Kyoshiro - Medal _Napping Kyoshiro_ - Piece _Colored_.png</t>
  </si>
  <si>
    <t>155 Kyoshiro Family_Boss - Napping Kyoshiro - Medal _Napping Kyoshiro_ _Colored_.png</t>
  </si>
  <si>
    <t>154 King of the Pirates - Gol D. Roger - Medal _Roger_.png</t>
  </si>
  <si>
    <t>154 King of the Pirates - Gol D. Roger - Medal _Roger_ - Piece.png</t>
  </si>
  <si>
    <t>154 King of the Pirates - Gol D. Roger - Medal _Roger_ - Piece _Colored_.png</t>
  </si>
  <si>
    <t>154 King of the Pirates - Gol D. Roger - Medal _Roger_ _Colored_.png</t>
  </si>
  <si>
    <t>153 Land of Wano - Chopperemon - Medal _Chopperemon_.png</t>
  </si>
  <si>
    <t>153 Land of Wano - Chopperemon - Medal _Chopperemon_ - Piece.png</t>
  </si>
  <si>
    <t>153 Land of Wano - Chopperemon - Medal _Chopperemon_ - Piece _Colored_.png</t>
  </si>
  <si>
    <t>153 Land of Wano - Chopperemon - Medal _Chopperemon_ _Colored_.png</t>
  </si>
  <si>
    <t>152 Kozuki Clan_Servant - Kawamatsu - Medal _Kawamatsu_.png</t>
  </si>
  <si>
    <t>152 Kozuki Clan_Servant - Kawamatsu - Medal _Kawamatsu_ - Piece.png</t>
  </si>
  <si>
    <t>152 Kozuki Clan_Servant - Kawamatsu - Medal _Kawamatsu_ - Piece _Colored_.png</t>
  </si>
  <si>
    <t>152 Kozuki Clan_Servant - Kawamatsu - Medal _Kawamatsu_ _Colored_.png</t>
  </si>
  <si>
    <t>151 Most Handsome Swordman in the Land of Wano - Kikunojo - Medal _Kikunojo_.png</t>
  </si>
  <si>
    <t>151 Most Handsome Swordman in the Land of Wano - Kikunojo - Medal _Kikunojo_ - Piece.png</t>
  </si>
  <si>
    <t>151 Most Handsome Swordman in the Land of Wano - Kikunojo - Medal _Kikunojo_ - Piece _Colored_.png</t>
  </si>
  <si>
    <t>151 Most Handsome Swordman in the Land of Wano - Kikunojo - Medal _Kikunojo_ _Colored_.png</t>
  </si>
  <si>
    <t>150 Daimyo of Kuri - Kozuki Oden - Medal _Kozuki Oden_.png</t>
  </si>
  <si>
    <t>150 Daimyo of Kuri - Kozuki Oden - Medal _Kozuki Oden_ - Piece.png</t>
  </si>
  <si>
    <t>150 Daimyo of Kuri - Kozuki Oden - Medal _Kozuki Oden_ - Piece _Colored_.png</t>
  </si>
  <si>
    <t>150 Daimyo of Kuri - Kozuki Oden - Medal _Kozuki Oden_ _Colored_.png</t>
  </si>
  <si>
    <t>149 Fire Fist - Portgaz D. Ace 1 - Medal _Cross Fire_.png</t>
  </si>
  <si>
    <t>149 Fire Fist - Portgaz D. Ace 1 - Medal _Cross Fire_ - Piece.png</t>
  </si>
  <si>
    <t>149 Fire Fist - Portgaz D. Ace 1 - Medal _Cross Fire_ - Piece _Colored_.png</t>
  </si>
  <si>
    <t>149 Fire Fist - Portgaz D. Ace 1 - Medal _Cross Fire_ _Colored_.png</t>
  </si>
  <si>
    <t>148 Royal Wedding - Sanji - Medal _Sky Walk_.png</t>
  </si>
  <si>
    <t>148 Royal Wedding - Sanji - Medal _Sky Walk_ - Piece.png</t>
  </si>
  <si>
    <t>148 Royal Wedding - Sanji - Medal _Sky Walk_ - Piece _Colored_.png</t>
  </si>
  <si>
    <t>148 Royal Wedding - Sanji - Medal _Sky Walk_ _Colored_.png</t>
  </si>
  <si>
    <t>147 The Billion-Fold World Trichiliocosm - Roronoa Zoro - Medal _The Billion_Fold World Trichiliocosm_.png</t>
  </si>
  <si>
    <t>147 The Billion-Fold World Trichiliocosm - Roronoa Zoro - Medal _The Billion_Fold World Trichiliocosm_ - Piece.png</t>
  </si>
  <si>
    <t>147 The Billion-Fold World Trichiliocosm - Roronoa Zoro - Medal _The Billion_Fold World Trichiliocosm_ - Piece _Colored_.png</t>
  </si>
  <si>
    <t>147 The Billion-Fold World Trichiliocosm - Roronoa Zoro - Medal _The Billion_Fold World Trichiliocosm_ _Colored_.png</t>
  </si>
  <si>
    <t>146 Luffy &amp; Law Pirate Alliance - Monkey D. Luffy 1 - Medal _Fire_Fist Pistol Red Hawk_.png</t>
  </si>
  <si>
    <t>146 Luffy &amp; Law Pirate Alliance - Monkey D. Luffy 1 - Medal _Fire_Fist Pistol Red Hawk_ - Piece.png</t>
  </si>
  <si>
    <t>146 Luffy &amp; Law Pirate Alliance - Monkey D. Luffy 1 - Medal _Fire_Fist Pistol Red Hawk_ - Piece _Colored_.png</t>
  </si>
  <si>
    <t>146 Luffy &amp; Law Pirate Alliance - Monkey D. Luffy 1 - Medal _Fire_Fist Pistol Red Hawk_ _Colored_.png</t>
  </si>
  <si>
    <t>145 Kozuki Clan_Servant - Kin'emon - Medal _Kin``emon_.png</t>
  </si>
  <si>
    <t>145 Kozuki Clan_Servant - Kin'emon - Medal _Kin``emon_ - Piece.png</t>
  </si>
  <si>
    <t>145 Kozuki Clan_Servant - Kin'emon - Medal _Kin``emon_ - Piece _Colored_.png</t>
  </si>
  <si>
    <t>145 Kozuki Clan_Servant - Kin'emon - Medal _Kin``emon_ _Colored_.png</t>
  </si>
  <si>
    <t>144 Former Navy Admiral - Kuzan - Medal _Pheasant Peck_.png</t>
  </si>
  <si>
    <t>144 Former Navy Admiral - Kuzan - Medal _Pheasant Peck_ - Piece.png</t>
  </si>
  <si>
    <t>144 Former Navy Admiral - Kuzan - Medal _Pheasant Peck_ - Piece _Colored_.png</t>
  </si>
  <si>
    <t>144 Former Navy Admiral - Kuzan - Medal _Pheasant Peck_ _Colored_.png</t>
  </si>
  <si>
    <t>143 Punk Hazard - Smoker (Chambres) - Medal _Smoker (Chambres)_.png</t>
  </si>
  <si>
    <t>143 Punk Hazard - Smoker (Chambres) - Medal _Smoker (Chambres)_ - Piece.png</t>
  </si>
  <si>
    <t>143 Punk Hazard - Smoker (Chambres) - Medal _Smoker (Chambres)_ - Piece _Colored_.png</t>
  </si>
  <si>
    <t>143 Punk Hazard - Smoker (Chambres) - Medal _Smoker (Chambres)_ _Colored_.png</t>
  </si>
  <si>
    <t>142 The Parmount War - Gecko Moria - Medal _Spiky Shadow Iizard_.png</t>
  </si>
  <si>
    <t>142 The Parmount War - Gecko Moria - Medal _Spiky Shadow Iizard_ - Piece.png</t>
  </si>
  <si>
    <t>142 The Parmount War - Gecko Moria - Medal _Spiky Shadow Iizard_ - Piece _Colored_.png</t>
  </si>
  <si>
    <t>142 The Parmount War - Gecko Moria - Medal _Spiky Shadow Iizard_ _Colored_.png</t>
  </si>
  <si>
    <t>141 The Parmount War - Crocodile - Medal _Crescent Cutlass_.png</t>
  </si>
  <si>
    <t>141 The Parmount War - Crocodile - Medal _Crescent Cutlass_ - Piece.png</t>
  </si>
  <si>
    <t>141 The Parmount War - Crocodile - Medal _Crescent Cutlass_ - Piece _Colored_.png</t>
  </si>
  <si>
    <t>141 The Parmount War - Crocodile - Medal _Crescent Cutlass_ _Colored_.png</t>
  </si>
  <si>
    <t>140 Ghost Princess - Perona - Medal _Negative Ghost_.png</t>
  </si>
  <si>
    <t>140 Ghost Princess - Perona - Medal _Negative Ghost_ - Piece.png</t>
  </si>
  <si>
    <t>140 Ghost Princess - Perona - Medal _Negative Ghost_ - Piece _Colored_.png</t>
  </si>
  <si>
    <t>140 Ghost Princess - Perona - Medal _Negative Ghost_ _Colored_.png</t>
  </si>
  <si>
    <t>139 Kuja Pirates_Captain - Boa Hancock - Medal _Perfume Femur_.png</t>
  </si>
  <si>
    <t>139 Kuja Pirates_Captain - Boa Hancock - Medal _Perfume Femur_ - Piece.png</t>
  </si>
  <si>
    <t>139 Kuja Pirates_Captain - Boa Hancock - Medal _Perfume Femur_ - Piece _Colored_.png</t>
  </si>
  <si>
    <t>139 Kuja Pirates_Captain - Boa Hancock - Medal _Perfume Femur_ _Colored_.png</t>
  </si>
  <si>
    <t>138 The Greatest Swordman in the World - Dracule Mihawk - Medal _The Master Swordman_.png</t>
  </si>
  <si>
    <t>138 The Greatest Swordman in the World - Dracule Mihawk - Medal _The Master Swordman_ - Piece.png</t>
  </si>
  <si>
    <t>138 The Greatest Swordman in the World - Dracule Mihawk - Medal _The Master Swordman_ - Piece _Colored_.png</t>
  </si>
  <si>
    <t>138 The Greatest Swordman in the World - Dracule Mihawk - Medal _The Master Swordman_ _Colored_.png</t>
  </si>
  <si>
    <t>137 Former World Government_Science Division Member - Caesar Clown - Medal _Caesar_.png</t>
  </si>
  <si>
    <t>137 Former World Government_Science Division Member - Caesar Clown - Medal _Caesar_ - Piece.png</t>
  </si>
  <si>
    <t>137 Former World Government_Science Division Member - Caesar Clown - Medal _Caesar_ - Piece _Colored_.png</t>
  </si>
  <si>
    <t>137 Former World Government_Science Division Member - Caesar Clown - Medal _Caesar_ _Colored_.png</t>
  </si>
  <si>
    <t>136 The Seven Warlords of the Sea - Buggy - Medal _Chop_Chop_.png</t>
  </si>
  <si>
    <t>136 The Seven Warlords of the Sea - Buggy - Medal _Chop_Chop_ - Piece.png</t>
  </si>
  <si>
    <t>136 The Seven Warlords of the Sea - Buggy - Medal _Chop_Chop_ - Piece _Colored_.png</t>
  </si>
  <si>
    <t>136 The Seven Warlords of the Sea - Buggy - Medal _Chop_Chop_ _Colored_.png</t>
  </si>
  <si>
    <t>135 Superhuman - Charlotte Katakuri - Medal _Buzz Cut Mochi_.png</t>
  </si>
  <si>
    <t>135 Superhuman - Charlotte Katakuri - Medal _Buzz Cut Mochi_ - Piece.png</t>
  </si>
  <si>
    <t>135 Superhuman - Charlotte Katakuri - Medal _Buzz Cut Mochi_ - Piece _Colored_.png</t>
  </si>
  <si>
    <t>135 Superhuman - Charlotte Katakuri - Medal _Buzz Cut Mochi_ _Colored_.png</t>
  </si>
  <si>
    <t>134 Hunger Pangs - Charlotte Linlin - Medal _Ikoku Sovereignty_.png</t>
  </si>
  <si>
    <t>134 Hunger Pangs - Charlotte Linlin - Medal _Ikoku Sovereignty_ - Piece.png</t>
  </si>
  <si>
    <t>134 Hunger Pangs - Charlotte Linlin - Medal _Ikoku Sovereignty_ - Piece _Colored_.png</t>
  </si>
  <si>
    <t>134 Hunger Pangs - Charlotte Linlin - Medal _Ikoku Sovereignty_ _Colored_.png</t>
  </si>
  <si>
    <t>133 Don Quixote Family_Officer - Corazon - Medal _Corazon_.png</t>
  </si>
  <si>
    <t>133 Don Quixote Family_Officer - Corazon - Medal _Corazon_ - Piece.png</t>
  </si>
  <si>
    <t>133 Don Quixote Family_Officer - Corazon - Medal _Corazon_ - Piece _Colored_.png</t>
  </si>
  <si>
    <t>133 Don Quixote Family_Officer - Corazon - Medal _Corazon_ _Colored_.png</t>
  </si>
  <si>
    <t>132 The Undefeated Woman - Rebecca - Medal _Rebecca_.png</t>
  </si>
  <si>
    <t>132 The Undefeated Woman - Rebecca - Medal _Rebecca_ - Piece.png</t>
  </si>
  <si>
    <t>132 The Undefeated Woman - Rebecca - Medal _Rebecca_ - Piece _Colored_.png</t>
  </si>
  <si>
    <t>132 The Undefeated Woman - Rebecca - Medal _Rebecca_ _Colored_.png</t>
  </si>
  <si>
    <t>131 Surgeon of Death - Trafalger Law - Medal _Scalpel_.png</t>
  </si>
  <si>
    <t>131 Surgeon of Death - Trafalger Law - Medal _Scalpel_ - Piece.png</t>
  </si>
  <si>
    <t>131 Surgeon of Death - Trafalger Law - Medal _Scalpel_ - Piece _Colored_.png</t>
  </si>
  <si>
    <t>131 Surgeon of Death - Trafalger Law - Medal _Scalpel_ _Colored_.png</t>
  </si>
  <si>
    <t>130 Amaru - Eneru - Medal _Mamaragan_.png</t>
  </si>
  <si>
    <t>130 Amaru - Eneru - Medal _Mamaragan_ - Piece.png</t>
  </si>
  <si>
    <t>130 Amaru - Eneru - Medal _Mamaragan_ - Piece _Colored_.png</t>
  </si>
  <si>
    <t>130 Amaru - Eneru - Medal _Mamaragan_ _Colored_.png</t>
  </si>
  <si>
    <t>129 CP0 - Rob Lucci - Medal _Six King Pistol_.png</t>
  </si>
  <si>
    <t>129 CP0 - Rob Lucci - Medal _Six King Pistol_ - Piece.png</t>
  </si>
  <si>
    <t>129 CP0 - Rob Lucci - Medal _Six King Pistol_ - Piece _Colored_.png</t>
  </si>
  <si>
    <t>129 CP0 - Rob Lucci - Medal _Six King Pistol_ _Colored_.png</t>
  </si>
  <si>
    <t>128 Land of Wano - Luffytaro - Medal _Sumo Slap_.png</t>
  </si>
  <si>
    <t>128 Land of Wano - Luffytaro - Medal _Sumo Slap_ - Piece.png</t>
  </si>
  <si>
    <t>128 Land of Wano - Luffytaro - Medal _Sumo Slap_ - Piece _Colored_.png</t>
  </si>
  <si>
    <t>128 Land of Wano - Luffytaro - Medal _Sumo Slap_ _Colored_.png</t>
  </si>
  <si>
    <t>127 Land of Wano - Onami - Medal _Ninpo Iightning Blast_.png</t>
  </si>
  <si>
    <t>127 Land of Wano - Onami - Medal _Ninpo Iightning Blast_ - Piece.png</t>
  </si>
  <si>
    <t>127 Land of Wano - Onami - Medal _Ninpo Iightning Blast_ - Piece _Colored_.png</t>
  </si>
  <si>
    <t>127 Land of Wano - Onami - Medal _Ninpo Iightning Blast_ _Colored_.png</t>
  </si>
  <si>
    <t>126 Land of Wano - X.Drake - Medal _Drake_.png</t>
  </si>
  <si>
    <t>126 Land of Wano - X.Drake - Medal _Drake_ - Piece.png</t>
  </si>
  <si>
    <t>126 Land of Wano - X.Drake - Medal _Drake_ - Piece _Colored_.png</t>
  </si>
  <si>
    <t>126 Land of Wano - X.Drake - Medal _Drake_ _Colored_.png</t>
  </si>
  <si>
    <t>125 New World - Eustass Kid - Medal _Repel_.png</t>
  </si>
  <si>
    <t>125 New World - Eustass Kid - Medal _Repel_ - Piece.png</t>
  </si>
  <si>
    <t>125 New World - Eustass Kid - Medal _Repel_ - Piece _Colored_.png</t>
  </si>
  <si>
    <t>125 New World - Eustass Kid - Medal _Repel_ _Colored_.png</t>
  </si>
  <si>
    <t>124 Kid Pirates_Fighter - Killer - Medal _Killer_.png</t>
  </si>
  <si>
    <t>124 Kid Pirates_Fighter - Killer - Medal _Killer_ - Piece.png</t>
  </si>
  <si>
    <t>124 Kid Pirates_Fighter - Killer - Medal _Killer_ - Piece _Colored_.png</t>
  </si>
  <si>
    <t>124 Kid Pirates_Fighter - Killer - Medal _Killer_ _Colored_.png</t>
  </si>
  <si>
    <t>123 On-Air Pirates_Captain - Scratchmen Apoo - Medal _Apoo_.png</t>
  </si>
  <si>
    <t>123 On-Air Pirates_Captain - Scratchmen Apoo - Medal _Apoo_ - Piece.png</t>
  </si>
  <si>
    <t>123 On-Air Pirates_Captain - Scratchmen Apoo - Medal _Apoo_ - Piece _Colored_.png</t>
  </si>
  <si>
    <t>123 On-Air Pirates_Captain - Scratchmen Apoo - Medal _Apoo_ _Colored_.png</t>
  </si>
  <si>
    <t>122 Fallen Monk Pirates_Captain 'Mad Monk' - Urouge - Medal _Urouge_.png</t>
  </si>
  <si>
    <t>122 Fallen Monk Pirates_Captain 'Mad Monk' - Urouge - Medal _Urouge_ - Piece.png</t>
  </si>
  <si>
    <t>122 Fallen Monk Pirates_Captain 'Mad Monk' - Urouge - Medal _Urouge_ - Piece _Colored_.png</t>
  </si>
  <si>
    <t>122 Fallen Monk Pirates_Captain 'Mad Monk' - Urouge - Medal _Urouge_ _Colored_.png</t>
  </si>
  <si>
    <t>121 Navy HQ_Fleet Admiral - Sengoku - Medal _Sengoku_.png</t>
  </si>
  <si>
    <t>121 Navy HQ_Fleet Admiral - Sengoku - Medal _Sengoku_ - Piece.png</t>
  </si>
  <si>
    <t>121 Navy HQ_Fleet Admiral - Sengoku - Medal _Sengoku_ - Piece _Colored_.png</t>
  </si>
  <si>
    <t>121 Navy HQ_Fleet Admiral - Sengoku - Medal _Sengoku_ _Colored_.png</t>
  </si>
  <si>
    <t>120 The Pirate King`s Right Arm The Dark King - Silvers Rayleigh - Medal _Rayleigh_.png</t>
  </si>
  <si>
    <t>120 The Pirate King`s Right Arm The Dark King - Silvers Rayleigh - Medal _Rayleigh_ - Piece.png</t>
  </si>
  <si>
    <t>120 The Pirate King`s Right Arm The Dark King - Silvers Rayleigh - Medal _Rayleigh_ - Piece _Colored_.png</t>
  </si>
  <si>
    <t>120 The Pirate King`s Right Arm The Dark King - Silvers Rayleigh - Medal _Rayleigh_ _Colored_.png</t>
  </si>
  <si>
    <t>119 Gear Four_Snakeman - Monkey D. Luffy - Medal _King Cobra_.png</t>
  </si>
  <si>
    <t>119 Gear Four_Snakeman - Monkey D. Luffy - Medal _King Cobra_ - Piece.png</t>
  </si>
  <si>
    <t>119 Gear Four_Snakeman - Monkey D. Luffy - Medal _King Cobra_ - Piece _Colored_.png</t>
  </si>
  <si>
    <t>119 Gear Four_Snakeman - Monkey D. Luffy - Medal _King Cobra_ _Colored_.png</t>
  </si>
  <si>
    <t>118 Revolutoonary Army - Emporio Ivankov - Medal _Ivankov_.png</t>
  </si>
  <si>
    <t>118 Revolutoonary Army - Emporio Ivankov - Medal _Ivankov_ - Piece.png</t>
  </si>
  <si>
    <t>118 Revolutoonary Army - Emporio Ivankov - Medal _Ivankov_ - Piece _Colored_.png</t>
  </si>
  <si>
    <t>118 Revolutoonary Army - Emporio Ivankov - Medal _Ivankov_ _Colored_.png</t>
  </si>
  <si>
    <t>117 Impel Down_Warden - Magellan - Medal _Magellan_.png</t>
  </si>
  <si>
    <t>117 Impel Down_Warden - Magellan - Medal _Magellan_ - Piece.png</t>
  </si>
  <si>
    <t>117 Impel Down_Warden - Magellan - Medal _Magellan_ - Piece _Colored_.png</t>
  </si>
  <si>
    <t>117 Impel Down_Warden - Magellan - Medal _Magellan_ _Colored_.png</t>
  </si>
  <si>
    <t>116 Gerand Line Navel Base 5_Vice Admiral - Smoker 1 - Medal _Mad Dog of the Navy_.png</t>
  </si>
  <si>
    <t>116 Gerand Line Navel Base 5_Vice Admiral - Smoker 1 - Medal _Mad Dog of the Navy_ - Piece.png</t>
  </si>
  <si>
    <t>116 Gerand Line Navel Base 5_Vice Admiral - Smoker 1 - Medal _Mad Dog of the Navy_ - Piece _Colored_.png</t>
  </si>
  <si>
    <t>116 Gerand Line Navel Base 5_Vice Admiral - Smoker 1 - Medal _Mad Dog of the Navy_ _Colored_.png</t>
  </si>
  <si>
    <t>115 Grand Line Naval Base 5_Captain - Tashigi - Medal _Cutting Mist_.png</t>
  </si>
  <si>
    <t>115 Grand Line Naval Base 5_Captain - Tashigi - Medal _Cutting Mist_ - Piece.png</t>
  </si>
  <si>
    <t>115 Grand Line Naval Base 5_Captain - Tashigi - Medal _Cutting Mist_ - Piece _Colored_.png</t>
  </si>
  <si>
    <t>115 Grand Line Naval Base 5_Captain - Tashigi - Medal _Cutting Mist_ _Colored_.png</t>
  </si>
  <si>
    <t>114 Navy HQ_Rear Admiral - Hina - Medal _Hina_.png</t>
  </si>
  <si>
    <t>114 Navy HQ_Rear Admiral - Hina - Medal _Hina_ - Piece.png</t>
  </si>
  <si>
    <t>114 Navy HQ_Rear Admiral - Hina - Medal _Hina_ - Piece _Colored_.png</t>
  </si>
  <si>
    <t>114 Navy HQ_Rear Admiral - Hina - Medal _Hina_ _Colored_.png</t>
  </si>
  <si>
    <t>113 STAMPEDE - Douglas Bullet - Medal _The Demon Heir_.png</t>
  </si>
  <si>
    <t>113 STAMPEDE - Douglas Bullet - Medal _The Demon Heir_ - Piece.png</t>
  </si>
  <si>
    <t>113 STAMPEDE - Douglas Bullet - Medal _The Demon Heir_ - Piece _Colored_.png</t>
  </si>
  <si>
    <t>113 STAMPEDE - Douglas Bullet - Medal _The Demon Heir_ _Colored_.png</t>
  </si>
  <si>
    <t>112 The King of the Snipers - Sniper King - Medal _Fire Bird_.png</t>
  </si>
  <si>
    <t>112 The King of the Snipers - Sniper King - Medal _Fire Bird_ - Piece.png</t>
  </si>
  <si>
    <t>112 The King of the Snipers - Sniper King - Medal _Fire Bird_ - Piece _Colored_.png</t>
  </si>
  <si>
    <t>112 The King of the Snipers - Sniper King - Medal _Fire Bird_ _Colored_.png</t>
  </si>
  <si>
    <t>111 CP9 - Kaku - Medal _Kaku_.png</t>
  </si>
  <si>
    <t>111 CP9 - Kaku - Medal _Kaku_ - Piece.png</t>
  </si>
  <si>
    <t>111 CP9 - Kaku - Medal _Kaku_ - Piece _Colored_.png</t>
  </si>
  <si>
    <t>111 CP9 - Kaku - Medal _Kaku_ _Colored_.png</t>
  </si>
  <si>
    <t>110 CP9 - Rob Lucci - Medal _Lucci_.png</t>
  </si>
  <si>
    <t>110 CP9 - Rob Lucci - Medal _Lucci_ - Piece.png</t>
  </si>
  <si>
    <t>110 CP9 - Rob Lucci - Medal _Lucci_ - Piece _Colored_.png</t>
  </si>
  <si>
    <t>110 CP9 - Rob Lucci - Medal _Lucci_ _Colored_.png</t>
  </si>
  <si>
    <t>109 Luffy`s Brother - Sabo - Medal _Flame Dragon King_.png</t>
  </si>
  <si>
    <t>109 Luffy`s Brother - Sabo - Medal _Flame Dragon King_ - Piece.png</t>
  </si>
  <si>
    <t>109 Luffy`s Brother - Sabo - Medal _Flame Dragon King_ - Piece _Colored_.png</t>
  </si>
  <si>
    <t>109 Luffy`s Brother - Sabo - Medal _Flame Dragon King_ _Colored_.png</t>
  </si>
  <si>
    <t>108 Navy HQ_Admiral Fujitora - _Issho_ - Medal _Fujitora_.png</t>
  </si>
  <si>
    <t>108 Navy HQ_Admiral Fujitora - _Issho_ - Medal _Fujitora_ - Piece.png</t>
  </si>
  <si>
    <t>108 Navy HQ_Admiral Fujitora - _Issho_ - Medal _Fujitora_ - Piece _Colored_.png</t>
  </si>
  <si>
    <t>108 Navy HQ_Admiral Fujitora - _Issho_ - Medal _Fujitora_ _Colored_.png</t>
  </si>
  <si>
    <t>107 Beautiful Pirates_Captain - Cavendish - Medal _Cavendish_.png</t>
  </si>
  <si>
    <t>107 Beautiful Pirates_Captain - Cavendish - Medal _Cavendish_ - Piece.png</t>
  </si>
  <si>
    <t>107 Beautiful Pirates_Captain - Cavendish - Medal _Cavendish_ - Piece _Colored_.png</t>
  </si>
  <si>
    <t>107 Beautiful Pirates_Captain - Cavendish - Medal _Cavendish_ _Colored_.png</t>
  </si>
  <si>
    <t>106 Barto Club_Captain - Bartolomeo - Medal _Bartolomeo_.png</t>
  </si>
  <si>
    <t>106 Barto Club_Captain - Bartolomeo - Medal _Bartolomeo_ - Piece.png</t>
  </si>
  <si>
    <t>106 Barto Club_Captain - Bartolomeo - Medal _Bartolomeo_ - Piece _Colored_.png</t>
  </si>
  <si>
    <t>106 Barto Club_Captain - Bartolomeo - Medal _Bartolomeo_ _Colored_.png</t>
  </si>
  <si>
    <t>105 The Parmount War - Monkey D. Luffy 1 - Medal _Jet Rocket_.png</t>
  </si>
  <si>
    <t>105 The Parmount War - Monkey D. Luffy 1 - Medal _Jet Rocket_ - Piece.png</t>
  </si>
  <si>
    <t>105 The Parmount War - Monkey D. Luffy 1 - Medal _Jet Rocket_ - Piece _Colored_.png</t>
  </si>
  <si>
    <t>105 The Parmount War - Monkey D. Luffy 1 - Medal _Jet Rocket_ _Colored_.png</t>
  </si>
  <si>
    <t>104 The Four Emperors - Shanks - Medal _Griffon_.png</t>
  </si>
  <si>
    <t>104 The Four Emperors - Shanks - Medal _Griffon_ - Piece.png</t>
  </si>
  <si>
    <t>104 The Four Emperors - Shanks - Medal _Griffon_ - Piece _Colored_.png</t>
  </si>
  <si>
    <t>104 The Four Emperors - Shanks - Medal _Griffon_ _Colored_.png</t>
  </si>
  <si>
    <t>103 The Seven Warlords of the Sea - Marshall D. Teach - Medal _Teech_.png</t>
  </si>
  <si>
    <t>103 The Seven Warlords of the Sea - Marshall D. Teach - Medal _Teech_ - Piece.png</t>
  </si>
  <si>
    <t>103 The Seven Warlords of the Sea - Marshall D. Teach - Medal _Teech_ - Piece _Colored_.png</t>
  </si>
  <si>
    <t>103 The Seven Warlords of the Sea - Marshall D. Teach - Medal _Teech_ _Colored_.png</t>
  </si>
  <si>
    <t>102 Navy HQ_Vice Admiral - Monkey D. Garb - Medal _Garp_.png</t>
  </si>
  <si>
    <t>102 Navy HQ_Vice Admiral - Monkey D. Garb - Medal _Garp_ - Piece.png</t>
  </si>
  <si>
    <t>102 Navy HQ_Vice Admiral - Monkey D. Garb - Medal _Garp_ - Piece _Colored_.png</t>
  </si>
  <si>
    <t>102 Navy HQ_Vice Admiral - Monkey D. Garb - Medal _Garp_ _Colored_.png</t>
  </si>
  <si>
    <t>101 Whitebeard Pirates_1st Division Commander - Marco - Medal _Marco_.png</t>
  </si>
  <si>
    <t>101 Whitebeard Pirates_1st Division Commander - Marco - Medal _Marco_ - Piece.png</t>
  </si>
  <si>
    <t>101 Whitebeard Pirates_1st Division Commander - Marco - Medal _Marco_ - Piece _Colored_.png</t>
  </si>
  <si>
    <t>101 Whitebeard Pirates_1st Division Commander - Marco - Medal _Marco_ _Colored_.png</t>
  </si>
  <si>
    <t>100 Son of the King of the Pirates - Portgaz D. Ace - Medal _Flame Emperor_.png</t>
  </si>
  <si>
    <t>100 Son of the King of the Pirates - Portgaz D. Ace - Medal _Flame Emperor_ - Piece.png</t>
  </si>
  <si>
    <t>100 Son of the King of the Pirates - Portgaz D. Ace - Medal _Flame Emperor_ - Piece _Colored_.png</t>
  </si>
  <si>
    <t>100 Son of the King of the Pirates - Portgaz D. Ace - Medal _Flame Emperor_ _Colored_.png</t>
  </si>
  <si>
    <t>099 Animal Kingdom Pirates_Supreme Commander - Kaido - Medal _Kaido_.png</t>
  </si>
  <si>
    <t>099 Animal Kingdom Pirates_Supreme Commander - Kaido - Medal _Kaido_ - Piece.png</t>
  </si>
  <si>
    <t>099 Animal Kingdom Pirates_Supreme Commander - Kaido - Medal _Kaido_ - Piece _Colored_.png</t>
  </si>
  <si>
    <t>099 Animal Kingdom Pirates_Supreme Commander - Kaido - Medal _Kaido_ _Colored_.png</t>
  </si>
  <si>
    <t>098 Happy Holiday - Nico Robin - Medal _Cuerpo Fleurs_.png</t>
  </si>
  <si>
    <t>098 Happy Holiday - Nico Robin - Medal _Cuerpo Fleurs_ - Piece.png</t>
  </si>
  <si>
    <t>098 Happy Holiday - Nico Robin - Medal _Cuerpo Fleurs_ - Piece _Colored_.png</t>
  </si>
  <si>
    <t>098 Happy Holiday - Nico Robin - Medal _Cuerpo Fleurs_ _Colored_.png</t>
  </si>
  <si>
    <t>097 Happy Holiday - Franky - Medal _Nipple Iight_.png</t>
  </si>
  <si>
    <t>097 Happy Holiday - Franky - Medal _Nipple Iight_ - Piece.png</t>
  </si>
  <si>
    <t>097 Happy Holiday - Franky - Medal _Nipple Iight_ - Piece _Colored_.png</t>
  </si>
  <si>
    <t>097 Happy Holiday - Franky - Medal _Nipple Iight_ _Colored_.png</t>
  </si>
  <si>
    <t>096 Happy Holiday - Tony Tony Chopper - Medal _Snow Creature_.png</t>
  </si>
  <si>
    <t>096 Happy Holiday - Tony Tony Chopper - Medal _Snow Creature_ - Piece.png</t>
  </si>
  <si>
    <t>096 Happy Holiday - Tony Tony Chopper - Medal _Snow Creature_ - Piece _Colored_.png</t>
  </si>
  <si>
    <t>096 Happy Holiday - Tony Tony Chopper - Medal _Snow Creature_ _Colored_.png</t>
  </si>
  <si>
    <t>095 The Seven Warlords of the Sea - Bartholomew Kuma - Medal _Kuma_.png</t>
  </si>
  <si>
    <t>095 The Seven Warlords of the Sea - Bartholomew Kuma - Medal _Kuma_ - Piece.png</t>
  </si>
  <si>
    <t>095 The Seven Warlords of the Sea - Bartholomew Kuma - Medal _Kuma_ - Piece _Colored_.png</t>
  </si>
  <si>
    <t>095 The Seven Warlords of the Sea - Bartholomew Kuma - Medal _Kuma_ _Colored_.png</t>
  </si>
  <si>
    <t>094 Germa 66 - Vinsmoke Reiju - Medal _Reiju_.png</t>
  </si>
  <si>
    <t>094 Germa 66 - Vinsmoke Reiju - Medal _Reiju_ - Piece.png</t>
  </si>
  <si>
    <t>094 Germa 66 - Vinsmoke Reiju - Medal _Reiju_ - Piece _Colored_.png</t>
  </si>
  <si>
    <t>094 Germa 66 - Vinsmoke Reiju - Medal _Reiju_ _Colored_.png</t>
  </si>
  <si>
    <t>093 Firetank Pirates_Godfather - Capone Bege - Medal _Bege_.png</t>
  </si>
  <si>
    <t>093 Firetank Pirates_Godfather - Capone Bege - Medal _Bege_ - Piece.png</t>
  </si>
  <si>
    <t>093 Firetank Pirates_Godfather - Capone Bege - Medal _Bege_ - Piece _Colored_.png</t>
  </si>
  <si>
    <t>093 Firetank Pirates_Godfather - Capone Bege - Medal _Bege_ _Colored_.png</t>
  </si>
  <si>
    <t>092 Whole Cake Island - Sanji - Medal _Boeuf Jarret Jarrer_.png</t>
  </si>
  <si>
    <t>092 Whole Cake Island - Sanji - Medal _Boeuf Jarret Jarrer_ - Piece.png</t>
  </si>
  <si>
    <t>092 Whole Cake Island - Sanji - Medal _Boeuf Jarret Jarrer_ - Piece _Colored_.png</t>
  </si>
  <si>
    <t>092 Whole Cake Island - Sanji - Medal _Boeuf Jarret Jarrer_ _Colored_.png</t>
  </si>
  <si>
    <t>091 The Seven Warlords of the Sea - Jinbe - Medal _Jinbe_.png</t>
  </si>
  <si>
    <t>091 The Seven Warlords of the Sea - Jinbe - Medal _Jinbe_ - Piece.png</t>
  </si>
  <si>
    <t>091 The Seven Warlords of the Sea - Jinbe - Medal _Jinbe_ - Piece _Colored_.png</t>
  </si>
  <si>
    <t>091 The Seven Warlords of the Sea - Jinbe - Medal _Jinbe_ _Colored_.png</t>
  </si>
  <si>
    <t>090 Imprisoned Bride - Nami - Medal _Bride_.png</t>
  </si>
  <si>
    <t>090 Imprisoned Bride - Nami - Medal _Bride_ - Piece.png</t>
  </si>
  <si>
    <t>090 Imprisoned Bride - Nami - Medal _Bride_ - Piece _Colored_.png</t>
  </si>
  <si>
    <t>090 Imprisoned Bride - Nami - Medal _Bride_ _Colored_.png</t>
  </si>
  <si>
    <t>089 Thriller Park Pirates_Mysterious Four - Perona - Medal _Perona_.png</t>
  </si>
  <si>
    <t>089 Thriller Park Pirates_Mysterious Four - Perona - Medal _Perona_ - Piece.png</t>
  </si>
  <si>
    <t>089 Thriller Park Pirates_Mysterious Four - Perona - Medal _Perona_ - Piece _Colored_.png</t>
  </si>
  <si>
    <t>089 Thriller Park Pirates_Mysterious Four - Perona - Medal _Perona_ _Colored_.png</t>
  </si>
  <si>
    <t>088 Legendary Samurai Zombie - Ryuma - Medal _Ryuma_.png</t>
  </si>
  <si>
    <t>088 Legendary Samurai Zombie - Ryuma - Medal _Ryuma_ - Piece.png</t>
  </si>
  <si>
    <t>088 Legendary Samurai Zombie - Ryuma - Medal _Ryuma_ - Piece _Colored_.png</t>
  </si>
  <si>
    <t>088 Legendary Samurai Zombie - Ryuma - Medal _Ryuma_ _Colored_.png</t>
  </si>
  <si>
    <t>087 Ray of Hope - Nightmare Luffy - Medal _Nightmare_.png</t>
  </si>
  <si>
    <t>087 Ray of Hope - Nightmare Luffy - Medal _Nightmare_ - Piece.png</t>
  </si>
  <si>
    <t>087 Ray of Hope - Nightmare Luffy - Medal _Nightmare_ - Piece _Colored_.png</t>
  </si>
  <si>
    <t>087 Ray of Hope - Nightmare Luffy - Medal _Nightmare_ _Colored_.png</t>
  </si>
  <si>
    <t>086 Big Mom Pirates_'Sweet 3' General - Charlotte Katakuri - Medal _Katakuri_.png</t>
  </si>
  <si>
    <t>086 Big Mom Pirates_'Sweet 3' General - Charlotte Katakuri - Medal _Katakuri_ - Piece.png</t>
  </si>
  <si>
    <t>086 Big Mom Pirates_'Sweet 3' General - Charlotte Katakuri - Medal _Katakuri_ - Piece _Colored_.png</t>
  </si>
  <si>
    <t>086 Big Mom Pirates_'Sweet 3' General - Charlotte Katakuri - Medal _Katakuri_ _Colored_.png</t>
  </si>
  <si>
    <t>085 Big Mom Pirates_Captain - Charlotte Linlin - Medal _Big Mom_.png</t>
  </si>
  <si>
    <t>085 Big Mom Pirates_Captain - Charlotte Linlin - Medal _Big Mom_ - Piece.png</t>
  </si>
  <si>
    <t>085 Big Mom Pirates_Captain - Charlotte Linlin - Medal _Big Mom_ - Piece _Colored_.png</t>
  </si>
  <si>
    <t>085 Big Mom Pirates_Captain - Charlotte Linlin - Medal _Big Mom_ _Colored_.png</t>
  </si>
  <si>
    <t>084 Land of Wano - Zorojuro - Medal _Ultra Tiger Hunt_.png</t>
  </si>
  <si>
    <t>084 Land of Wano - Zorojuro - Medal _Ultra Tiger Hunt_ - Piece.png</t>
  </si>
  <si>
    <t>084 Land of Wano - Zorojuro - Medal _Ultra Tiger Hunt_ - Piece _Colored_.png</t>
  </si>
  <si>
    <t>084 Land of Wano - Zorojuro - Medal _Ultra Tiger Hunt_ _Colored_.png</t>
  </si>
  <si>
    <t>083 Land of Wano - Basil Hawkins - Medal _Hawkins_.png</t>
  </si>
  <si>
    <t>083 Land of Wano - Basil Hawkins - Medal _Hawkins_ - Piece.png</t>
  </si>
  <si>
    <t>083 Land of Wano - Basil Hawkins - Medal _Hawkins_ - Piece _Colored_.png</t>
  </si>
  <si>
    <t>083 Land of Wano - Basil Hawkins - Medal _Hawkins_ _Colored_.png</t>
  </si>
  <si>
    <t>082 Land of Wano - Trafalgar Law - Medal _ROOM_.png</t>
  </si>
  <si>
    <t>082 Land of Wano - Trafalgar Law - Medal _ROOM_ - Piece.png</t>
  </si>
  <si>
    <t>082 Land of Wano - Trafalgar Law - Medal _ROOM_ - Piece _Colored_.png</t>
  </si>
  <si>
    <t>082 Land of Wano - Trafalgar Law - Medal _ROOM_ _Colored_.png</t>
  </si>
  <si>
    <t>081 The Seven Warlords of the Sea - Don Quixote Doflamingo - Medal _Billow_White_.png</t>
  </si>
  <si>
    <t>081 The Seven Warlords of the Sea - Don Quixote Doflamingo - Medal _Billow_White_ - Piece.png</t>
  </si>
  <si>
    <t>081 The Seven Warlords of the Sea - Don Quixote Doflamingo - Medal _Billow_White_ - Piece _Colored_.png</t>
  </si>
  <si>
    <t>081 The Seven Warlords of the Sea - Don Quixote Doflamingo - Medal _Billow_White_ _Colored_.png</t>
  </si>
  <si>
    <t>080 Gear Four_Bounceman - Monkey D. Luffy - Medal _King Kong Gun_.png</t>
  </si>
  <si>
    <t>080 Gear Four_Bounceman - Monkey D. Luffy - Medal _King Kong Gun_ - Piece.png</t>
  </si>
  <si>
    <t>080 Gear Four_Bounceman - Monkey D. Luffy - Medal _King Kong Gun_ - Piece _Colored_.png</t>
  </si>
  <si>
    <t>080 Gear Four_Bounceman - Monkey D. Luffy - Medal _King Kong Gun_ _Colored_.png</t>
  </si>
  <si>
    <t>079 STAMPEDE - Sabo - Medal _Sabo (STAMPEDE)_.png</t>
  </si>
  <si>
    <t>079 STAMPEDE - Sabo - Medal _Sabo (STAMPEDE)_ - Piece.png</t>
  </si>
  <si>
    <t>079 STAMPEDE - Sabo - Medal _Sabo (STAMPEDE)_ - Piece _Colored_.png</t>
  </si>
  <si>
    <t>079 STAMPEDE - Sabo - Medal _Sabo (STAMPEDE)_ _Colored_.png</t>
  </si>
  <si>
    <t>078 STAMPEDE - Monkey D. Luffy - Medal _Luffy (STAMPEDE)_.png</t>
  </si>
  <si>
    <t>078 STAMPEDE - Monkey D. Luffy - Medal _Luffy (STAMPEDE)_ - Piece.png</t>
  </si>
  <si>
    <t>078 STAMPEDE - Monkey D. Luffy - Medal _Luffy (STAMPEDE)_ - Piece _Colored_.png</t>
  </si>
  <si>
    <t>078 STAMPEDE - Monkey D. Luffy - Medal _Luffy (STAMPEDE)_ _Colored_.png</t>
  </si>
  <si>
    <t>077 STAMPEDE - Smoker - Medal _Smoker (STAMPEDE)_.png</t>
  </si>
  <si>
    <t>077 STAMPEDE - Smoker - Medal _Smoker (STAMPEDE)_ - Piece.png</t>
  </si>
  <si>
    <t>077 STAMPEDE - Smoker - Medal _Smoker (STAMPEDE)_ - Piece _Colored_.png</t>
  </si>
  <si>
    <t>077 STAMPEDE - Smoker - Medal _Smoker (STAMPEDE)_ _Colored_.png</t>
  </si>
  <si>
    <t>076 Navy Infiltrator - Portgaz D. Ace - Medal _Fire Pillar_.png</t>
  </si>
  <si>
    <t>076 Navy Infiltrator - Portgaz D. Ace - Medal _Fire Pillar_ - Piece.png</t>
  </si>
  <si>
    <t>076 Navy Infiltrator - Portgaz D. Ace - Medal _Fire Pillar_ - Piece _Colored_.png</t>
  </si>
  <si>
    <t>076 Navy Infiltrator - Portgaz D. Ace - Medal _Fire Pillar_ _Colored_.png</t>
  </si>
  <si>
    <t>075 Impel Down_Prisoner - Crocodile - Medal _Sables_.png</t>
  </si>
  <si>
    <t>075 Impel Down_Prisoner - Crocodile - Medal _Sables_ - Piece.png</t>
  </si>
  <si>
    <t>075 Impel Down_Prisoner - Crocodile - Medal _Sables_ - Piece _Colored_.png</t>
  </si>
  <si>
    <t>075 Impel Down_Prisoner - Crocodile - Medal _Sables_ _Colored_.png</t>
  </si>
  <si>
    <t>074 Bikini - Boa Hancock - Medal _Bikini Hancock_.png</t>
  </si>
  <si>
    <t>074 Bikini - Boa Hancock - Medal _Bikini Hancock_ - Piece.png</t>
  </si>
  <si>
    <t>074 Bikini - Boa Hancock - Medal _Bikini Hancock_ - Piece _Colored_.png</t>
  </si>
  <si>
    <t>074 Bikini - Boa Hancock - Medal _Bikini Hancock_ _Colored_.png</t>
  </si>
  <si>
    <t>073 Bikini - Nami - Medal _Bikini Nami_.png</t>
  </si>
  <si>
    <t>073 Bikini - Nami - Medal _Bikini Nami_ - Piece.png</t>
  </si>
  <si>
    <t>073 Bikini - Nami - Medal _Bikini Nami_ - Piece _Colored_.png</t>
  </si>
  <si>
    <t>073 Bikini - Nami - Medal _Bikini Nami_ _Colored_.png</t>
  </si>
  <si>
    <t>072 2 Years Later_Ship Carpenter - Franky - Medal _Radical_.png</t>
  </si>
  <si>
    <t>072 2 Years Later_Ship Carpenter - Franky - Medal _Radical_ - Piece.png</t>
  </si>
  <si>
    <t>072 2 Years Later_Ship Carpenter - Franky - Medal _Radical_ - Piece _Colored_.png</t>
  </si>
  <si>
    <t>072 2 Years Later_Ship Carpenter - Franky - Medal _Radical_ _Colored_.png</t>
  </si>
  <si>
    <t>071 2 Years Later_Musician - Brook - Medal _Blizzard Slice_.png</t>
  </si>
  <si>
    <t>071 2 Years Later_Musician - Brook - Medal _Blizzard Slice_ - Piece.png</t>
  </si>
  <si>
    <t>071 2 Years Later_Musician - Brook - Medal _Blizzard Slice_ - Piece _Colored_.png</t>
  </si>
  <si>
    <t>071 2 Years Later_Musician - Brook - Medal _Blizzard Slice_ _Colored_.png</t>
  </si>
  <si>
    <t>070 2 Years Later_Archaeologist - Nico Robin - Medal _Mille Fleurs_.png</t>
  </si>
  <si>
    <t>070 2 Years Later_Archaeologist - Nico Robin - Medal _Mille Fleurs_ - Piece.png</t>
  </si>
  <si>
    <t>070 2 Years Later_Archaeologist - Nico Robin - Medal _Mille Fleurs_ - Piece _Colored_.png</t>
  </si>
  <si>
    <t>070 2 Years Later_Archaeologist - Nico Robin - Medal _Mille Fleurs_ _Colored_.png</t>
  </si>
  <si>
    <t>069 2 Years Later_Doctor - Tony Tony Chopper - Medal _Bed Rest_.png</t>
  </si>
  <si>
    <t>069 2 Years Later_Doctor - Tony Tony Chopper - Medal _Bed Rest_ - Piece.png</t>
  </si>
  <si>
    <t>069 2 Years Later_Doctor - Tony Tony Chopper - Medal _Bed Rest_ - Piece _Colored_.png</t>
  </si>
  <si>
    <t>069 2 Years Later_Doctor - Tony Tony Chopper - Medal _Bed Rest_ _Colored_.png</t>
  </si>
  <si>
    <t>068 Navy HQ_Admiral Kizaru - _Borsalino_ - Medal _Kizaru_.png</t>
  </si>
  <si>
    <t>068 Navy HQ_Admiral Kizaru - _Borsalino_ - Medal _Kizaru_ - Piece.png</t>
  </si>
  <si>
    <t>068 Navy HQ_Admiral Kizaru - _Borsalino_ - Medal _Kizaru_ - Piece _Colored_.png</t>
  </si>
  <si>
    <t>068 Navy HQ_Admiral Kizaru - _Borsalino_ - Medal _Kizaru_ _Colored_.png</t>
  </si>
  <si>
    <t>067 Bonney Pirates_Captain - Jewelry Bonney - Medal _Bonney_.png</t>
  </si>
  <si>
    <t>067 Bonney Pirates_Captain - Jewelry Bonney - Medal _Bonney_ - Piece.png</t>
  </si>
  <si>
    <t>067 Bonney Pirates_Captain - Jewelry Bonney - Medal _Bonney_ - Piece _Colored_.png</t>
  </si>
  <si>
    <t>067 Bonney Pirates_Captain - Jewelry Bonney - Medal _Bonney_ _Colored_.png</t>
  </si>
  <si>
    <t>066 2 Years Later_Sharp Shooter - Usopp - Medal _Green Star_.png</t>
  </si>
  <si>
    <t>066 2 Years Later_Sharp Shooter - Usopp - Medal _Green Star_ - Piece.png</t>
  </si>
  <si>
    <t>066 2 Years Later_Sharp Shooter - Usopp - Medal _Green Star_ - Piece _Colored_.png</t>
  </si>
  <si>
    <t>066 2 Years Later_Sharp Shooter - Usopp - Medal _Green Star_ _Colored_.png</t>
  </si>
  <si>
    <t>065 2 Years Later_Cook - Sanji - Medal _Concasser_.png</t>
  </si>
  <si>
    <t>065 2 Years Later_Cook - Sanji - Medal _Concasser_ - Piece.png</t>
  </si>
  <si>
    <t>065 2 Years Later_Cook - Sanji - Medal _Concasser_ - Piece _Colored_.png</t>
  </si>
  <si>
    <t>065 2 Years Later_Cook - Sanji - Medal _Concasser_ _Colored_.png</t>
  </si>
  <si>
    <t>064 Revolutoonary Army_Chief of Staff - Sabo - Medal _Sabo_.png</t>
  </si>
  <si>
    <t>064 Revolutoonary Army_Chief of Staff - Sabo - Medal _Sabo_ - Piece.png</t>
  </si>
  <si>
    <t>064 Revolutoonary Army_Chief of Staff - Sabo - Medal _Sabo_ - Piece _Colored_.png</t>
  </si>
  <si>
    <t>064 Revolutoonary Army_Chief of Staff - Sabo - Medal _Sabo_ _Colored_.png</t>
  </si>
  <si>
    <t>063 2 Years Later_Navigator - Nami - Medal _Thunder_.png</t>
  </si>
  <si>
    <t>063 2 Years Later_Navigator - Nami - Medal _Thunder_ - Piece.png</t>
  </si>
  <si>
    <t>063 2 Years Later_Navigator - Nami - Medal _Thunder_ - Piece _Colored_.png</t>
  </si>
  <si>
    <t>063 2 Years Later_Navigator - Nami - Medal _Thunder_ _Colored_.png</t>
  </si>
  <si>
    <t>062 2 Years Later_Combatant - Roronoa Zoro - Medal _Dragon Quake_.png</t>
  </si>
  <si>
    <t>062 2 Years Later_Combatant - Roronoa Zoro - Medal _Dragon Quake_ - Piece.png</t>
  </si>
  <si>
    <t>062 2 Years Later_Combatant - Roronoa Zoro - Medal _Dragon Quake_ - Piece _Colored_.png</t>
  </si>
  <si>
    <t>062 2 Years Later_Combatant - Roronoa Zoro - Medal _Dragon Quake_ _Colored_.png</t>
  </si>
  <si>
    <t>061 Alabasta_Princess - Nefeltari Vivi - Medal _Vivi_.png</t>
  </si>
  <si>
    <t>061 Alabasta_Princess - Nefeltari Vivi - Medal _Vivi_ - Piece.png</t>
  </si>
  <si>
    <t>061 Alabasta_Princess - Nefeltari Vivi - Medal _Vivi_ - Piece _Colored_.png</t>
  </si>
  <si>
    <t>061 Alabasta_Princess - Nefeltari Vivi - Medal _Vivi_ _Colored_.png</t>
  </si>
  <si>
    <t>060 2 Years Later_Captain - Monkey D. Luffy - Medal _Elephant Gatling_.png</t>
  </si>
  <si>
    <t>060 2 Years Later_Captain - Monkey D. Luffy - Medal _Elephant Gatling_ - Piece.png</t>
  </si>
  <si>
    <t>060 2 Years Later_Captain - Monkey D. Luffy - Medal _Elephant Gatling_ - Piece _Colored_.png</t>
  </si>
  <si>
    <t>060 2 Years Later_Captain - Monkey D. Luffy - Medal _Elephant Gatling_ _Colored_.png</t>
  </si>
  <si>
    <t>059 Heart Pirates_Captain - Trafalger Law - Medal _Law_.png</t>
  </si>
  <si>
    <t>059 Heart Pirates_Captain - Trafalger Law - Medal _Law_ - Piece.png</t>
  </si>
  <si>
    <t>059 Heart Pirates_Captain - Trafalger Law - Medal _Law_ - Piece _Colored_.png</t>
  </si>
  <si>
    <t>059 Heart Pirates_Captain - Trafalger Law - Medal _Law_ _Colored_.png</t>
  </si>
  <si>
    <t>058 Kid Pirates_Captain - Eustass Kid - Medal _Kid_.png</t>
  </si>
  <si>
    <t>058 Kid Pirates_Captain - Eustass Kid - Medal _Kid_ - Piece.png</t>
  </si>
  <si>
    <t>058 Kid Pirates_Captain - Eustass Kid - Medal _Kid_ - Piece _Colored_.png</t>
  </si>
  <si>
    <t>058 Kid Pirates_Captain - Eustass Kid - Medal _Kid_ _Colored_.png</t>
  </si>
  <si>
    <t>057 Bellamy Pirates_Captain - Bellamy - Medal _Bellamy_.png</t>
  </si>
  <si>
    <t>057 Bellamy Pirates_Captain - Bellamy - Medal _Bellamy_ - Piece.png</t>
  </si>
  <si>
    <t>057 Bellamy Pirates_Captain - Bellamy - Medal _Bellamy_ - Piece _Colored_.png</t>
  </si>
  <si>
    <t>057 Bellamy Pirates_Captain - Bellamy - Medal _Bellamy_ _Colored_.png</t>
  </si>
  <si>
    <t>056 Arm Point - Tony Tony Chopper - Medal _Arm Point_.png</t>
  </si>
  <si>
    <t>056 Arm Point - Tony Tony Chopper - Medal _Arm Point_ - Piece.png</t>
  </si>
  <si>
    <t>056 Arm Point - Tony Tony Chopper - Medal _Arm Point_ - Piece _Colored_.png</t>
  </si>
  <si>
    <t>056 Arm Point - Tony Tony Chopper - Medal _Arm Point_ _Colored_.png</t>
  </si>
  <si>
    <t>055 108 Pound Phoenix - Roronoa Zoro - Medal _108 Pound Phoenix_.png</t>
  </si>
  <si>
    <t>055 108 Pound Phoenix - Roronoa Zoro - Medal _108 Pound Phoenix_ - Piece.png</t>
  </si>
  <si>
    <t>055 108 Pound Phoenix - Roronoa Zoro - Medal _108 Pound Phoenix_ - Piece _Colored_.png</t>
  </si>
  <si>
    <t>055 108 Pound Phoenix - Roronoa Zoro - Medal _108 Pound Phoenix_ _Colored_.png</t>
  </si>
  <si>
    <t>054 The Seven Warlords of the Sea - Gecko Moria - Medal _Moria_.png</t>
  </si>
  <si>
    <t>054 The Seven Warlords of the Sea - Gecko Moria - Medal _Moria_ - Piece.png</t>
  </si>
  <si>
    <t>054 The Seven Warlords of the Sea - Gecko Moria - Medal _Moria_ - Piece _Colored_.png</t>
  </si>
  <si>
    <t>054 The Seven Warlords of the Sea - Gecko Moria - Medal _Moria_ _Colored_.png</t>
  </si>
  <si>
    <t>053 The Seven Warlords of the Sea - Hancock - Medal _Hancock_.png</t>
  </si>
  <si>
    <t>053 The Seven Warlords of the Sea - Hancock - Medal _Hancock_ - Piece.png</t>
  </si>
  <si>
    <t>053 The Seven Warlords of the Sea - Hancock - Medal _Hancock_ - Piece _Colored_.png</t>
  </si>
  <si>
    <t>053 The Seven Warlords of the Sea - Hancock - Medal _Hancock_ _Colored_.png</t>
  </si>
  <si>
    <t>052 Baroque Works_Vice President - Ms. All Sunday - Medal _Ms. All Sunday_.png</t>
  </si>
  <si>
    <t>052 Baroque Works_Vice President - Ms. All Sunday - Medal _Ms. All Sunday_ - Piece.png</t>
  </si>
  <si>
    <t>052 Baroque Works_Vice President - Ms. All Sunday - Medal _Ms. All Sunday_ - Piece _Colored_.png</t>
  </si>
  <si>
    <t>052 Baroque Works_Vice President - Ms. All Sunday - Medal _Ms. All Sunday_ _Colored_.png</t>
  </si>
  <si>
    <t>051 Baroque Works_Officer Agent - Bon Clay, aka Mr. 2 - Medal _Mr. 2_.png</t>
  </si>
  <si>
    <t>051 Baroque Works_Officer Agent - Bon Clay, aka Mr. 2 - Medal _Mr. 2_ - Piece.png</t>
  </si>
  <si>
    <t>051 Baroque Works_Officer Agent - Bon Clay, aka Mr. 2 - Medal _Mr. 2_ - Piece _Colored_.png</t>
  </si>
  <si>
    <t>051 Baroque Works_Officer Agent - Bon Clay, aka Mr. 2 - Medal _Mr. 2_ _Colored_.png</t>
  </si>
  <si>
    <t>050 Navy HQ_Admiral Aokiji - _Kuzan_ - Medal _Aokiji_.png</t>
  </si>
  <si>
    <t>050 Navy HQ_Admiral Aokiji - _Kuzan_ - Medal _Aokiji_ - Piece.png</t>
  </si>
  <si>
    <t>050 Navy HQ_Admiral Aokiji - _Kuzan_ - Medal _Aokiji_ - Piece _Colored_.png</t>
  </si>
  <si>
    <t>050 Navy HQ_Admiral Aokiji - _Kuzan_ - Medal _Aokiji_ _Colored_.png</t>
  </si>
  <si>
    <t>049 Navy HQ_Admiral Akainu - _Sakazuki_ - Medal _Akainu_.png</t>
  </si>
  <si>
    <t>049 Navy HQ_Admiral Akainu - _Sakazuki_ - Medal _Akainu_ - Piece.png</t>
  </si>
  <si>
    <t>049 Navy HQ_Admiral Akainu - _Sakazuki_ - Medal _Akainu_ - Piece _Colored_.png</t>
  </si>
  <si>
    <t>049 Navy HQ_Admiral Akainu - _Sakazuki_ - Medal _Akainu_ _Colored_.png</t>
  </si>
  <si>
    <t>048 Whitebeard Pirates_2nd Division Commander - Portgaz D. Ace - Medal _Fire Fist_.png</t>
  </si>
  <si>
    <t>048 Whitebeard Pirates_2nd Division Commander - Portgaz D. Ace - Medal _Fire Fist_ - Piece.png</t>
  </si>
  <si>
    <t>048 Whitebeard Pirates_2nd Division Commander - Portgaz D. Ace - Medal _Fire Fist_ - Piece _Colored_.png</t>
  </si>
  <si>
    <t>048 Whitebeard Pirates_2nd Division Commander - Portgaz D. Ace - Medal _Fire Fist_ _Colored_.png</t>
  </si>
  <si>
    <t>047 Whitebeard Pirates_Captain Whitebeard - Edward Newgate - Medal _Whitebeard_.png</t>
  </si>
  <si>
    <t>047 Whitebeard Pirates_Captain Whitebeard - Edward Newgate - Medal _Whitebeard_ - Piece.png</t>
  </si>
  <si>
    <t>047 Whitebeard Pirates_Captain Whitebeard - Edward Newgate - Medal _Whitebeard_ - Piece _Colored_.png</t>
  </si>
  <si>
    <t>047 Whitebeard Pirates_Captain Whitebeard - Edward Newgate - Medal _Whitebeard_ _Colored_.png</t>
  </si>
  <si>
    <t>046 Kami - Eneru - Medal _Eneru_.png</t>
  </si>
  <si>
    <t>046 Kami - Eneru - Medal _Eneru_ - Piece.png</t>
  </si>
  <si>
    <t>046 Kami - Eneru - Medal _Eneru_ - Piece _Colored_.png</t>
  </si>
  <si>
    <t>046 Kami - Eneru - Medal _Eneru_ _Colored_.png</t>
  </si>
  <si>
    <t>045 The Seven Warlords of the Sea - Crocodile - Medal _Mr. Zero_.png</t>
  </si>
  <si>
    <t>045 The Seven Warlords of the Sea - Crocodile - Medal _Mr. Zero_ - Piece.png</t>
  </si>
  <si>
    <t>045 The Seven Warlords of the Sea - Crocodile - Medal _Mr. Zero_ - Piece _Colored_.png</t>
  </si>
  <si>
    <t>045 The Seven Warlords of the Sea - Crocodile - Medal _Mr. Zero_ _Colored_.png</t>
  </si>
  <si>
    <t>044 Peacock Slasher - Nefeltari Vivi - Medal _Peacock_.png</t>
  </si>
  <si>
    <t>044 Peacock Slasher - Nefeltari Vivi - Medal _Peacock_ - Piece.png</t>
  </si>
  <si>
    <t>044 Peacock Slasher - Nefeltari Vivi - Medal _Peacock_ - Piece _Colored_.png</t>
  </si>
  <si>
    <t>044 Peacock Slasher - Nefeltari Vivi - Medal _Peacock_ _Colored_.png</t>
  </si>
  <si>
    <t>043 Gum-Gum Storm - Monkey D. Luffy - Medal _Storm_.png</t>
  </si>
  <si>
    <t>043 Gum-Gum Storm - Monkey D. Luffy - Medal _Storm_ - Piece.png</t>
  </si>
  <si>
    <t>043 Gum-Gum Storm - Monkey D. Luffy - Medal _Storm_ - Piece _Colored_.png</t>
  </si>
  <si>
    <t>043 Gum-Gum Storm - Monkey D. Luffy - Medal _Storm_ _Colored_.png</t>
  </si>
  <si>
    <t>042 Drum Kingdom_Former Ruler - Wapol - Medal _Wapol_.png</t>
  </si>
  <si>
    <t>042 Drum Kingdom_Former Ruler - Wapol - Medal _Wapol_ - Piece.png</t>
  </si>
  <si>
    <t>042 Drum Kingdom_Former Ruler - Wapol - Medal _Wapol_ - Piece _Colored_.png</t>
  </si>
  <si>
    <t>042 Drum Kingdom_Former Ruler - Wapol - Medal _Wapol_ _Colored_.png</t>
  </si>
  <si>
    <t>041 Navy HQ_Captain - Smoker - Medal _Smoker_.png</t>
  </si>
  <si>
    <t>041 Navy HQ_Captain - Smoker - Medal _Smoker_ - Piece.png</t>
  </si>
  <si>
    <t>041 Navy HQ_Captain - Smoker - Medal _Smoker_ - Piece _Colored_.png</t>
  </si>
  <si>
    <t>041 Navy HQ_Captain - Smoker - Medal _Smoker_ _Colored_.png</t>
  </si>
  <si>
    <t>040 30 Million Berry Bounty - Monkey D. Luffy - Medal _Battle_Ax_.png</t>
  </si>
  <si>
    <t>040 30 Million Berry Bounty - Monkey D. Luffy - Medal _Battle_Ax_ - Piece.png</t>
  </si>
  <si>
    <t>040 30 Million Berry Bounty - Monkey D. Luffy - Medal _Battle_Ax_ - Piece _Colored_.png</t>
  </si>
  <si>
    <t>040 30 Million Berry Bounty - Monkey D. Luffy - Medal _Battle_Ax_ _Colored_.png</t>
  </si>
  <si>
    <t>039 Arlong Pirates_Captain - Arlong - Medal _Saw_.png</t>
  </si>
  <si>
    <t>039 Arlong Pirates_Captain - Arlong - Medal _Saw_ - Piece.png</t>
  </si>
  <si>
    <t>039 Arlong Pirates_Captain - Arlong - Medal _Saw_ - Piece _Colored_.png</t>
  </si>
  <si>
    <t>039 Arlong Pirates_Captain - Arlong - Medal _Saw_ _Colored_.png</t>
  </si>
  <si>
    <t>038 The Seven Warlords of the Sea - Dracule Mihawk - Medal _Hawk_Eye_.png</t>
  </si>
  <si>
    <t>038 The Seven Warlords of the Sea - Dracule Mihawk - Medal _Hawk_Eye_ - Piece.png</t>
  </si>
  <si>
    <t>038 The Seven Warlords of the Sea - Dracule Mihawk - Medal _Hawk_Eye_ - Piece _Colored_.png</t>
  </si>
  <si>
    <t>038 The Seven Warlords of the Sea - Dracule Mihawk - Medal _Hawk_Eye_ _Colored_.png</t>
  </si>
  <si>
    <t>037 Girl from Syrub Village - Kaya - Medal _Kaya_.png</t>
  </si>
  <si>
    <t>037 Girl from Syrub Village - Kaya - Medal _Kaya_ - Piece.png</t>
  </si>
  <si>
    <t>037 Girl from Syrub Village - Kaya - Medal _Kaya_ - Piece _Colored_.png</t>
  </si>
  <si>
    <t>037 Girl from Syrub Village - Kaya - Medal _Kaya_ _Colored_.png</t>
  </si>
  <si>
    <t>036 Red-Haired Pirates_Sharp Shooter - Yasopp - Medal _Yasopp_.png</t>
  </si>
  <si>
    <t>036 Red-Haired Pirates_Sharp Shooter - Yasopp - Medal _Yasopp_ - Piece.png</t>
  </si>
  <si>
    <t>036 Red-Haired Pirates_Sharp Shooter - Yasopp - Medal _Yasopp_ - Piece _Colored_.png</t>
  </si>
  <si>
    <t>036 Red-Haired Pirates_Sharp Shooter - Yasopp - Medal _Yasopp_ _Colored_.png</t>
  </si>
  <si>
    <t>035 Red-Haired Pirates_Captain - Shanks - Medal _Shanks_.png</t>
  </si>
  <si>
    <t>035 Red-Haired Pirates_Captain - Shanks - Medal _Shanks_ - Piece.png</t>
  </si>
  <si>
    <t>035 Red-Haired Pirates_Captain - Shanks - Medal _Shanks_ - Piece _Colored_.png</t>
  </si>
  <si>
    <t>035 Red-Haired Pirates_Captain - Shanks - Medal _Shanks_ _Colored_.png</t>
  </si>
  <si>
    <t>034 Obe-Sword Style Iai Lion Song - Roronoa Zoro - Medal _Lion Song_.png</t>
  </si>
  <si>
    <t>034 Obe-Sword Style Iai Lion Song - Roronoa Zoro - Medal _Lion Song_ - Piece.png</t>
  </si>
  <si>
    <t>034 Obe-Sword Style Iai Lion Song - Roronoa Zoro - Medal _Lion Song_ - Piece _Colored_.png</t>
  </si>
  <si>
    <t>034 Obe-Sword Style Iai Lion Song - Roronoa Zoro - Medal _Lion Song_ _Colored_.png</t>
  </si>
  <si>
    <t>033 Veau Vengeance - Sanji - Medal _Veau_.png</t>
  </si>
  <si>
    <t>033 Veau Vengeance - Sanji - Medal _Veau_ - Piece.png</t>
  </si>
  <si>
    <t>033 Veau Vengeance - Sanji - Medal _Veau_ - Piece _Colored_.png</t>
  </si>
  <si>
    <t>033 Veau Vengeance - Sanji - Medal _Veau_ _Colored_.png</t>
  </si>
  <si>
    <t>032 5t Hammer - Usopp - Medal _Pound_.png</t>
  </si>
  <si>
    <t>032 5t Hammer - Usopp - Medal _Pound_ - Piece.png</t>
  </si>
  <si>
    <t>032 5t Hammer - Usopp - Medal _Pound_ - Piece _Colored_.png</t>
  </si>
  <si>
    <t>032 5t Hammer - Usopp - Medal _Pound_ _Colored_.png</t>
  </si>
  <si>
    <t>031 Climate Baton - Nami - Medal _Climate Baton_.png</t>
  </si>
  <si>
    <t>031 Climate Baton - Nami - Medal _Climate Baton_ - Piece.png</t>
  </si>
  <si>
    <t>031 Climate Baton - Nami - Medal _Climate Baton_ - Piece _Colored_.png</t>
  </si>
  <si>
    <t>031 Climate Baton - Nami - Medal _Climate Baton_ _Colored_.png</t>
  </si>
  <si>
    <t>030 Baroque Works_Frontier Agents - Ms. Wednesday - Medal _Slip_Slip_.png</t>
  </si>
  <si>
    <t>030 Baroque Works_Frontier Agents - Ms. Wednesday - Medal _Slip_Slip_ - Piece.png</t>
  </si>
  <si>
    <t>030 Baroque Works_Frontier Agents - Ms. Wednesday - Medal _Slip_Slip_ - Piece _Colored_.png</t>
  </si>
  <si>
    <t>030 Baroque Works_Frontier Agents - Ms. Wednesday - Medal _Slip_Slip_ _Colored_.png</t>
  </si>
  <si>
    <t>029 Slip-Slip Fruit - Alvida - Medal _Tashigi_.png</t>
  </si>
  <si>
    <t>029 Slip-Slip Fruit - Alvida - Medal _Tashigi_ - Piece.png</t>
  </si>
  <si>
    <t>029 Slip-Slip Fruit - Alvida - Medal _Tashigi_ - Piece _Colored_.png</t>
  </si>
  <si>
    <t>029 Slip-Slip Fruit - Alvida - Medal _Tashigi_ _Colored_.png</t>
  </si>
  <si>
    <t>028 Navy HQ_Master Chief Petty Officer - Tashigi - Medal _Ms. Wednesday_.png</t>
  </si>
  <si>
    <t>028 Navy HQ_Master Chief Petty Officer - Tashigi - Medal _Ms. Wednesday_ - Piece.png</t>
  </si>
  <si>
    <t>028 Navy HQ_Master Chief Petty Officer - Tashigi - Medal _Ms. Wednesday_ - Piece _Colored_.png</t>
  </si>
  <si>
    <t>028 Navy HQ_Master Chief Petty Officer - Tashigi - Medal _Ms. Wednesday_ _Colored_.png</t>
  </si>
  <si>
    <t>027 Arlong Pirates_Officer - Choo - Medal _Kuroobi_.png</t>
  </si>
  <si>
    <t>027 Arlong Pirates_Officer - Choo - Medal _Kuroobi_ - Piece.png</t>
  </si>
  <si>
    <t>027 Arlong Pirates_Officer - Choo - Medal _Kuroobi_ - Piece _Colored_.png</t>
  </si>
  <si>
    <t>027 Arlong Pirates_Officer - Choo - Medal _Kuroobi_ _Colored_.png</t>
  </si>
  <si>
    <t>026 Arlong Pirates_Officer - Kuroobi - Medal _Choo_.png</t>
  </si>
  <si>
    <t>026 Arlong Pirates_Officer - Kuroobi - Medal _Choo_ - Piece.png</t>
  </si>
  <si>
    <t>026 Arlong Pirates_Officer - Kuroobi - Medal _Choo_ - Piece _Colored_.png</t>
  </si>
  <si>
    <t>026 Arlong Pirates_Officer - Kuroobi - Medal _Choo_ _Colored_.png</t>
  </si>
  <si>
    <t>025 Arlong Pirates_Officer - Hatchan - Medal _Hachi_.png</t>
  </si>
  <si>
    <t>025 Arlong Pirates_Officer - Hatchan - Medal _Hachi_ - Piece.png</t>
  </si>
  <si>
    <t>025 Arlong Pirates_Officer - Hatchan - Medal _Hachi_ - Piece _Colored_.png</t>
  </si>
  <si>
    <t>025 Arlong Pirates_Officer - Hatchan - Medal _Hachi_ _Colored_.png</t>
  </si>
  <si>
    <t>024 Krieg`s Pirate Armada_Admiral - Don Krieg - Medal _Don Krieg_.png</t>
  </si>
  <si>
    <t>024 Krieg`s Pirate Armada_Admiral - Don Krieg - Medal _Don Krieg_ - Piece.png</t>
  </si>
  <si>
    <t>024 Krieg`s Pirate Armada_Admiral - Don Krieg - Medal _Don Krieg_ - Piece _Colored_.png</t>
  </si>
  <si>
    <t>024 Krieg`s Pirate Armada_Admiral - Don Krieg - Medal _Don Krieg_ _Colored_.png</t>
  </si>
  <si>
    <t>023 Krieg`s Pirate Armada_Battle Commander - Gin - Medal _Gin_.png</t>
  </si>
  <si>
    <t>023 Krieg`s Pirate Armada_Battle Commander - Gin - Medal _Gin_ - Piece.png</t>
  </si>
  <si>
    <t>023 Krieg`s Pirate Armada_Battle Commander - Gin - Medal _Gin_ - Piece _Colored_.png</t>
  </si>
  <si>
    <t>023 Krieg`s Pirate Armada_Battle Commander - Gin - Medal _Gin_ _Colored_.png</t>
  </si>
  <si>
    <t>022 Baratie_Head Chef - Zeff - Medal _Zeff_.png</t>
  </si>
  <si>
    <t>022 Baratie_Head Chef - Zeff - Medal _Zeff_ - Piece.png</t>
  </si>
  <si>
    <t>022 Baratie_Head Chef - Zeff - Medal _Zeff_ - Piece _Colored_.png</t>
  </si>
  <si>
    <t>022 Baratie_Head Chef - Zeff - Medal _Zeff_ _Colored_.png</t>
  </si>
  <si>
    <t>021 Black Cat Pirates_Former Captain - Captain Kuro - Medal _Kuro_.png</t>
  </si>
  <si>
    <t>021 Black Cat Pirates_Former Captain - Captain Kuro - Medal _Kuro_ - Piece.png</t>
  </si>
  <si>
    <t>021 Black Cat Pirates_Former Captain - Captain Kuro - Medal _Kuro_ - Piece _Colored_.png</t>
  </si>
  <si>
    <t>021 Black Cat Pirates_Former Captain - Captain Kuro - Medal _Kuro_ _Colored_.png</t>
  </si>
  <si>
    <t>020 Buggy Pirates_Captain - Buggy - Medal _Buggy_.png</t>
  </si>
  <si>
    <t>020 Buggy Pirates_Captain - Buggy - Medal _Buggy_ - Piece.png</t>
  </si>
  <si>
    <t>020 Buggy Pirates_Captain - Buggy - Medal _Buggy_ - Piece _Colored_.png</t>
  </si>
  <si>
    <t>020 Buggy Pirates_Captain - Buggy - Medal _Buggy_ _Colored_.png</t>
  </si>
  <si>
    <t>019 Bounty Hunter - Johnny - Medal _Johnny_.png</t>
  </si>
  <si>
    <t>019 Bounty Hunter - Johnny - Medal _Johnny_ - Piece.png</t>
  </si>
  <si>
    <t>019 Bounty Hunter - Johnny - Medal _Johnny_ - Piece _Colored_.png</t>
  </si>
  <si>
    <t>019 Bounty Hunter - Johnny - Medal _Johnny_ _Colored_.png</t>
  </si>
  <si>
    <t>018 Bounty Hunter - Yosaku - Medal _Yosaku_.png</t>
  </si>
  <si>
    <t>018 Bounty Hunter - Yosaku - Medal _Yosaku_ - Piece.png</t>
  </si>
  <si>
    <t>018 Bounty Hunter - Yosaku - Medal _Yosaku_ - Piece _Colored_.png</t>
  </si>
  <si>
    <t>018 Bounty Hunter - Yosaku - Medal _Yosaku_ _Colored_.png</t>
  </si>
  <si>
    <t>017 Black Cat Pirates_Guard - Butchie - Medal _Butchie_.png</t>
  </si>
  <si>
    <t>017 Black Cat Pirates_Guard - Butchie - Medal _Butchie_ - Piece.png</t>
  </si>
  <si>
    <t>017 Black Cat Pirates_Guard - Butchie - Medal _Butchie_ - Piece _Colored_.png</t>
  </si>
  <si>
    <t>017 Black Cat Pirates_Guard - Butchie - Medal _Butchie_ _Colored_.png</t>
  </si>
  <si>
    <t>016 Black Cat Pirates_Captain - Django - Medal _Django_.png</t>
  </si>
  <si>
    <t>016 Black Cat Pirates_Captain - Django - Medal _Django_ - Piece.png</t>
  </si>
  <si>
    <t>016 Black Cat Pirates_Captain - Django - Medal _Django_ - Piece _Colored_.png</t>
  </si>
  <si>
    <t>016 Black Cat Pirates_Captain - Django - Medal _Django_ _Colored_.png</t>
  </si>
  <si>
    <t>015 Buggy Pirates_Chief of Staff - Cabaji - Medal _Cabaji_.png</t>
  </si>
  <si>
    <t>015 Buggy Pirates_Chief of Staff - Cabaji - Medal _Cabaji_ - Piece.png</t>
  </si>
  <si>
    <t>015 Buggy Pirates_Chief of Staff - Cabaji - Medal _Cabaji_ - Piece _Colored_.png</t>
  </si>
  <si>
    <t>015 Buggy Pirates_Chief of Staff - Cabaji - Medal _Cabaji_ _Colored_.png</t>
  </si>
  <si>
    <t>014 Navy Captain - Morgan - Medal _Morgan_.png</t>
  </si>
  <si>
    <t>014 Navy Captain - Morgan - Medal _Morgan_ - Piece.png</t>
  </si>
  <si>
    <t>014 Navy Captain - Morgan - Medal _Morgan_ - Piece _Colored_.png</t>
  </si>
  <si>
    <t>014 Navy Captain - Morgan - Medal _Morgan_ _Colored_.png</t>
  </si>
  <si>
    <t>013 The Idiot Son - Helmeppo - Medal _Helmeppo_.png</t>
  </si>
  <si>
    <t>013 The Idiot Son - Helmeppo - Medal _Helmeppo_ - Piece.png</t>
  </si>
  <si>
    <t>013 The Idiot Son - Helmeppo - Medal _Helmeppo_ - Piece _Colored_.png</t>
  </si>
  <si>
    <t>013 The Idiot Son - Helmeppo - Medal _Helmeppo_ _Colored_.png</t>
  </si>
  <si>
    <t>012 Alvida Pirates_Captain - Alvida - Medal _Alvida_.png</t>
  </si>
  <si>
    <t>012 Alvida Pirates_Captain - Alvida - Medal _Alvida_ - Piece.png</t>
  </si>
  <si>
    <t>012 Alvida Pirates_Captain - Alvida - Medal _Alvida_ - Piece _Colored_.png</t>
  </si>
  <si>
    <t>012 Alvida Pirates_Captain - Alvida - Medal _Alvida_ _Colored_.png</t>
  </si>
  <si>
    <t>011 Chore Boy - Koby - Medal _Koby_.png</t>
  </si>
  <si>
    <t>011 Chore Boy - Koby - Medal _Koby_ - Piece.png</t>
  </si>
  <si>
    <t>011 Chore Boy - Koby - Medal _Koby_ - Piece _Colored_.png</t>
  </si>
  <si>
    <t>011 Chore Boy - Koby - Medal _Koby_ _Colored_.png</t>
  </si>
  <si>
    <t>010 Mountain Bandits_Leader - Higuma the Bear - Medal _Higuma_.png</t>
  </si>
  <si>
    <t>010 Mountain Bandits_Leader - Higuma the Bear - Medal _Higuma_ - Piece.png</t>
  </si>
  <si>
    <t>010 Mountain Bandits_Leader - Higuma the Bear - Medal _Higuma_ - Piece _Colored_.png</t>
  </si>
  <si>
    <t>010 Mountain Bandits_Leader - Higuma the Bear - Medal _Higuma_ _Colored_.png</t>
  </si>
  <si>
    <t>009 Straw Hat Pirates_Musician - Brook - Medal _Brook_.png</t>
  </si>
  <si>
    <t>009 Straw Hat Pirates_Musician - Brook - Medal _Brook_ - Piece.png</t>
  </si>
  <si>
    <t>009 Straw Hat Pirates_Musician - Brook - Medal _Brook_ - Piece _Colored_.png</t>
  </si>
  <si>
    <t>009 Straw Hat Pirates_Musician - Brook - Medal _Brook_ _Colored_.png</t>
  </si>
  <si>
    <t>008 Straw Hat Pirates_Ship Carpenter - Franky - Medal _Franky_.png</t>
  </si>
  <si>
    <t>008 Straw Hat Pirates_Ship Carpenter - Franky - Medal _Franky_ - Piece.png</t>
  </si>
  <si>
    <t>008 Straw Hat Pirates_Ship Carpenter - Franky - Medal _Franky_ - Piece _Colored_.png</t>
  </si>
  <si>
    <t>008 Straw Hat Pirates_Ship Carpenter - Franky - Medal _Franky_ _Colored_.png</t>
  </si>
  <si>
    <t>007 Straw Hat Pirates_Archaeologist - Nico Robin - Medal _Robin_.png</t>
  </si>
  <si>
    <t>007 Straw Hat Pirates_Archaeologist - Nico Robin - Medal _Robin_ - Piece.png</t>
  </si>
  <si>
    <t>007 Straw Hat Pirates_Archaeologist - Nico Robin - Medal _Robin_ - Piece _Colored_.png</t>
  </si>
  <si>
    <t>007 Straw Hat Pirates_Archaeologist - Nico Robin - Medal _Robin_ _Colored_.png</t>
  </si>
  <si>
    <t>006 Straw Hat Pirates_Doctor - Tony Tony Chopper - Medal _Chopper_.png</t>
  </si>
  <si>
    <t>006 Straw Hat Pirates_Doctor - Tony Tony Chopper - Medal _Chopper_ - Piece.png</t>
  </si>
  <si>
    <t>006 Straw Hat Pirates_Doctor - Tony Tony Chopper - Medal _Chopper_ - Piece _Colored_.png</t>
  </si>
  <si>
    <t>006 Straw Hat Pirates_Doctor - Tony Tony Chopper - Medal _Chopper_ _Colored_.png</t>
  </si>
  <si>
    <t>005 Straw Hat Pirates_Cook - Sanji - Medal _Sanji_.png</t>
  </si>
  <si>
    <t>005 Straw Hat Pirates_Cook - Sanji - Medal _Sanji_ - Piece.png</t>
  </si>
  <si>
    <t>005 Straw Hat Pirates_Cook - Sanji - Medal _Sanji_ - Piece _Colored_.png</t>
  </si>
  <si>
    <t>005 Straw Hat Pirates_Cook - Sanji - Medal _Sanji_ _Colored_.png</t>
  </si>
  <si>
    <t>004 Straw Hat Pirates_Sharp Shooter - Usopp - Medal _Usopp_.png</t>
  </si>
  <si>
    <t>004 Straw Hat Pirates_Sharp Shooter - Usopp - Medal _Usopp_ - Piece.png</t>
  </si>
  <si>
    <t>004 Straw Hat Pirates_Sharp Shooter - Usopp - Medal _Usopp_ - Piece _Colored_.png</t>
  </si>
  <si>
    <t>004 Straw Hat Pirates_Sharp Shooter - Usopp - Medal _Usopp_ _Colored_.png</t>
  </si>
  <si>
    <t>003 Straw Hat Pirates_Navigator - Nami - Medal _Nami_.png</t>
  </si>
  <si>
    <t>003 Straw Hat Pirates_Navigator - Nami - Medal _Nami_ - Piece.png</t>
  </si>
  <si>
    <t>003 Straw Hat Pirates_Navigator - Nami - Medal _Nami_ - Piece _Colored_.png</t>
  </si>
  <si>
    <t>003 Straw Hat Pirates_Navigator - Nami - Medal _Nami_ _Colored_.png</t>
  </si>
  <si>
    <t>002 Straw Hat Pirates_Combatant - Roronoa Zoro - Medal _Zoro_.png</t>
  </si>
  <si>
    <t>002 Straw Hat Pirates_Combatant - Roronoa Zoro - Medal _Zoro_ - Piece.png</t>
  </si>
  <si>
    <t>002 Straw Hat Pirates_Combatant - Roronoa Zoro - Medal _Zoro_ - Piece _Colored_.png</t>
  </si>
  <si>
    <t>002 Straw Hat Pirates_Combatant - Roronoa Zoro - Medal _Zoro_ _Colored_.png</t>
  </si>
  <si>
    <t>001 Straw Hat Pirates_Captain - Monkey D. Luffy - Medal _Luffy_.png</t>
  </si>
  <si>
    <t>001 Straw Hat Pirates_Captain - Monkey D. Luffy - Medal _Luffy_ - Piece.png</t>
  </si>
  <si>
    <t>001 Straw Hat Pirates_Captain - Monkey D. Luffy - Medal _Luffy_ - Piece _Colored_.png</t>
  </si>
  <si>
    <t>001 Straw Hat Pirates_Captain - Monkey D. Luffy - Medal _Luffy_ _Colored_.png</t>
  </si>
  <si>
    <t>All Traits</t>
  </si>
  <si>
    <t>Multi Traits Helper Column</t>
  </si>
  <si>
    <t>CHANCE</t>
  </si>
  <si>
    <t>PERCENTAGE</t>
  </si>
  <si>
    <t>TIME</t>
  </si>
  <si>
    <t>TAGS HELPER</t>
  </si>
  <si>
    <t>When your HP is 70% or more</t>
  </si>
  <si>
    <t/>
  </si>
  <si>
    <t>Boost the cooldown reduction speed of dodge</t>
  </si>
  <si>
    <t>13%</t>
  </si>
  <si>
    <t>When you are in your Enemy`s Treasure Area and the Treasure Gauge is 50% or more</t>
  </si>
  <si>
    <t>Boost capture speed</t>
  </si>
  <si>
    <t>8%</t>
  </si>
  <si>
    <t>When attacking an enemy in the area around your captured Treasure</t>
  </si>
  <si>
    <t>Increase damage dealt</t>
  </si>
  <si>
    <t>5%</t>
  </si>
  <si>
    <t>When attacked by a character type ``Navy`` enemy</t>
  </si>
  <si>
    <t>Reduce damage recieved</t>
  </si>
  <si>
    <t>3%</t>
  </si>
  <si>
    <t>After KOing an enemy</t>
  </si>
  <si>
    <t>Recover HP</t>
  </si>
  <si>
    <t>When in the area around your enemy`s Treasure</t>
  </si>
  <si>
    <t>Boost the cooldown reduction speed of Skill 2</t>
  </si>
  <si>
    <t>When attacking an enemy with Skill 2</t>
  </si>
  <si>
    <t>When in the Treasure Area</t>
  </si>
  <si>
    <t>When in the area around your captured Treasure</t>
  </si>
  <si>
    <t>Boost the cooldown reduction speed of Skill 1</t>
  </si>
  <si>
    <t>When attacking an enemy with the Element you are strong against</t>
  </si>
  <si>
    <t>When you capture the Treasure</t>
  </si>
  <si>
    <t>When you are Downed</t>
  </si>
  <si>
    <t>Reduce the cooldown time of Skill 2</t>
  </si>
  <si>
    <t>4%</t>
  </si>
  <si>
    <t>When Critical occurs</t>
  </si>
  <si>
    <t>2%</t>
  </si>
  <si>
    <t>When attacking a character type ``Fish_Man`` enemy</t>
  </si>
  <si>
    <t>1%</t>
  </si>
  <si>
    <t>When you Knockback an enemy</t>
  </si>
  <si>
    <t>When performing a Perfect Dodge</t>
  </si>
  <si>
    <t>Reduce the cooldown time of Skill 1</t>
  </si>
  <si>
    <t>When attacking an enemy that is capturing Treasure</t>
  </si>
  <si>
    <t>When an ally is KO`d (not including you)</t>
  </si>
  <si>
    <t>When attacking a character type ``Power users`` enemy</t>
  </si>
  <si>
    <t>When using Skill 2</t>
  </si>
  <si>
    <t>When attacking a character type ``Zoan`` enemy</t>
  </si>
  <si>
    <t>When attacking an enemy in the area around your enemy`s Treasure</t>
  </si>
  <si>
    <t>When enemies are inflicted with Recovery Block</t>
  </si>
  <si>
    <t>6%</t>
  </si>
  <si>
    <t>When attacked by a character type ``Straw Hat Pirates`` enemy</t>
  </si>
  <si>
    <t>When your HP is 50% or less</t>
  </si>
  <si>
    <t>When attacked by an enemy</t>
  </si>
  <si>
    <t>When your team has more Treasure secured</t>
  </si>
  <si>
    <t>When hit with Knockback by enemy</t>
  </si>
  <si>
    <t>When your allies are near the Treasure area where you are at</t>
  </si>
  <si>
    <t>When attacking an enemy whose DEF is boosted</t>
  </si>
  <si>
    <t>When attacking an enemy inflicted With Sing_Sing</t>
  </si>
  <si>
    <t>When using Skill 1</t>
  </si>
  <si>
    <t>When your team has less Treasure secured</t>
  </si>
  <si>
    <t>When enemies are inflicted with Freeze</t>
  </si>
  <si>
    <t>When attacking an enemy with the same Element</t>
  </si>
  <si>
    <t>When attacked by an enemy inflicted with Aflame</t>
  </si>
  <si>
    <t>When enemies are inflicted with Shock</t>
  </si>
  <si>
    <t>Increase Normal Attack damage dealt</t>
  </si>
  <si>
    <t>When your allies are not near the Treasure area where you are at</t>
  </si>
  <si>
    <t>SPD Boosted</t>
  </si>
  <si>
    <t>20 second(s)</t>
  </si>
  <si>
    <t>When Respawned</t>
  </si>
  <si>
    <t>CRIT Boosted</t>
  </si>
  <si>
    <t>90%</t>
  </si>
  <si>
    <t>When attacking a character type ``Logia`` enemy</t>
  </si>
  <si>
    <t>When there are 90 seconds or less remaining</t>
  </si>
  <si>
    <t>For 90 seconds after the battle has started</t>
  </si>
  <si>
    <t>When there are 60 seconds or less remaining</t>
  </si>
  <si>
    <t>Increase damage dealt to Defenders</t>
  </si>
  <si>
    <t>10%</t>
  </si>
  <si>
    <t>30% chance</t>
  </si>
  <si>
    <t>Nullify Aflame</t>
  </si>
  <si>
    <t>When attacking an enemy</t>
  </si>
  <si>
    <t>1% chance</t>
  </si>
  <si>
    <t>Inflict Shock</t>
  </si>
  <si>
    <t>5 second(s)</t>
  </si>
  <si>
    <t>When attacking an enemy inflicted With Aflame</t>
  </si>
  <si>
    <t>When attacking an enemy inflicted With Stun</t>
  </si>
  <si>
    <t>Inflict Poison</t>
  </si>
  <si>
    <t>14 second(s)</t>
  </si>
  <si>
    <t>Nullify Stun</t>
  </si>
  <si>
    <t>When your team loses the Treasure</t>
  </si>
  <si>
    <t>Nullify Freeze</t>
  </si>
  <si>
    <t>120%</t>
  </si>
  <si>
    <t>Nullify Tremor</t>
  </si>
  <si>
    <t>Nullify Shock</t>
  </si>
  <si>
    <t>12%</t>
  </si>
  <si>
    <t>When your HP is 10% or less</t>
  </si>
  <si>
    <t>Increase Treasure Gauge recovery amount</t>
  </si>
  <si>
    <t>When your HP is 30% or less</t>
  </si>
  <si>
    <t>When your HP is 7% or less</t>
  </si>
  <si>
    <t>Increase Treasure Gauge amount when you capture the Treasure</t>
  </si>
  <si>
    <t>7%</t>
  </si>
  <si>
    <t>40%</t>
  </si>
  <si>
    <t>When attacking an enemy whose ATK are boosted</t>
  </si>
  <si>
    <t>When you or an ally captures Treasure</t>
  </si>
  <si>
    <t>When you Down an enemy</t>
  </si>
  <si>
    <t>When attacked by a character type ``Power users`` enemy</t>
  </si>
  <si>
    <t>When attacked by an enemy whose ATK is boosted</t>
  </si>
  <si>
    <t>When you or an ally KOs an enemy</t>
  </si>
  <si>
    <t>When the equipped character is character type ``Cipher Pol``</t>
  </si>
  <si>
    <t>When you are in your Enemy`s Treasure Area and the Treasure Gauge is 50% or less</t>
  </si>
  <si>
    <t>When attacking an enemy with a Normal Attack</t>
  </si>
  <si>
    <t>When an enemy begins capturing one of your team`s Treasure Areas</t>
  </si>
  <si>
    <t>When enemies are inflicted with Aflame</t>
  </si>
  <si>
    <t>When you are in your team`s Treasure Area and the Trasure Gauge is 80% or more</t>
  </si>
  <si>
    <t>After reciving damage from an enemy which is more than 30% of your max HP</t>
  </si>
  <si>
    <t>When a damage_dealing Shock infliction has been nullifed</t>
  </si>
  <si>
    <t>When your HP is 50% or more</t>
  </si>
  <si>
    <t>When the equipped character is character type ``Straw Hat Pirates``</t>
  </si>
  <si>
    <t>When inflicted with Shock by enemies</t>
  </si>
  <si>
    <t>When the equipped character is character type ``Long_Range Normal Attacks``</t>
  </si>
  <si>
    <t>When Treasure Gauge is recovered to 100%</t>
  </si>
  <si>
    <t>When attacking an enemy inflicted With Shock</t>
  </si>
  <si>
    <t>80%</t>
  </si>
  <si>
    <t>60%</t>
  </si>
  <si>
    <t>When inflicted with Tremor by enemies</t>
  </si>
  <si>
    <t>When inflicted with Aflame by enemies</t>
  </si>
  <si>
    <t>When inflicted with Freeze by enemies</t>
  </si>
  <si>
    <t>When there are 90 seconds or more remaining</t>
  </si>
  <si>
    <t>6 second(s)</t>
  </si>
  <si>
    <t>When your HP is 90% or more</t>
  </si>
  <si>
    <t>9%</t>
  </si>
  <si>
    <t>When there are 45 seconds or less remaining</t>
  </si>
  <si>
    <t>18%</t>
  </si>
  <si>
    <t>When your HP is 15% or less</t>
  </si>
  <si>
    <t>3% chance</t>
  </si>
  <si>
    <r>
      <rPr>
        <rFont val="Kufam"/>
        <color theme="1"/>
        <sz val="10.0"/>
      </rPr>
      <t xml:space="preserve">_
Boost the cooldown reduction speed of Skill 1
</t>
    </r>
    <r>
      <rPr>
        <rFont val="Impact"/>
        <color theme="1"/>
        <sz val="11.0"/>
      </rPr>
      <t>14% | 20%</t>
    </r>
  </si>
  <si>
    <t>Cooldown Reduction (Skill 1)</t>
  </si>
  <si>
    <t>The Grand Line</t>
  </si>
  <si>
    <t>Sabaody Archipelago / Island of Women</t>
  </si>
  <si>
    <t>Impel Down</t>
  </si>
  <si>
    <t>The Paramount War at Marineford</t>
  </si>
  <si>
    <t>2 Years Later</t>
  </si>
  <si>
    <t>Fish_Man Island</t>
  </si>
  <si>
    <t>Punk Hazard</t>
  </si>
  <si>
    <t>Dressrosa</t>
  </si>
  <si>
    <t>Reverie</t>
  </si>
  <si>
    <t>Zou / Whole Cake Island</t>
  </si>
  <si>
    <t>FILM STRONG WORLD</t>
  </si>
  <si>
    <t>FILM GOLD</t>
  </si>
  <si>
    <t>STAMPEDE</t>
  </si>
  <si>
    <t>Bikini</t>
  </si>
  <si>
    <t>Holy Night</t>
  </si>
  <si>
    <t>Egghead</t>
  </si>
  <si>
    <r>
      <rPr>
        <rFont val="Kufam"/>
        <color theme="1"/>
        <sz val="10.0"/>
      </rPr>
      <t xml:space="preserve">_
</t>
    </r>
    <r>
      <rPr>
        <rFont val="Kufam"/>
        <color theme="1"/>
        <sz val="9.0"/>
      </rPr>
      <t xml:space="preserve">Boost the cooldown reduction speed of Skill 2
</t>
    </r>
    <r>
      <rPr>
        <rFont val="Impact"/>
        <color theme="1"/>
        <sz val="11.0"/>
      </rPr>
      <t>14% | 20%</t>
    </r>
  </si>
  <si>
    <t>Cooldown Reduction (Skill 2)</t>
  </si>
  <si>
    <t>The Seven Warlords of the Sea</t>
  </si>
  <si>
    <t>Straw Hat Pirates</t>
  </si>
  <si>
    <t>The Alvida Pirates</t>
  </si>
  <si>
    <t>Buggy Pirates</t>
  </si>
  <si>
    <t>Black Cat Pirates</t>
  </si>
  <si>
    <t>Krieg`s Pirate Armada</t>
  </si>
  <si>
    <t>Arlong Pirates</t>
  </si>
  <si>
    <t>Baroque Works</t>
  </si>
  <si>
    <t>God`s Army</t>
  </si>
  <si>
    <t>Red_Haired Pirates</t>
  </si>
  <si>
    <t>Kid Pirates</t>
  </si>
  <si>
    <t>Firetank Pirates</t>
  </si>
  <si>
    <t>Cipher Pol</t>
  </si>
  <si>
    <t>Revolutionary Army</t>
  </si>
  <si>
    <t>Animal Kingdom Pirates</t>
  </si>
  <si>
    <t>Big Mom Pirates</t>
  </si>
  <si>
    <t>Bonney Pirates</t>
  </si>
  <si>
    <t>Buggy`s Delivery</t>
  </si>
  <si>
    <t>Mokomo Dukedom Musketeer</t>
  </si>
  <si>
    <t>Beautiful Pirates</t>
  </si>
  <si>
    <t>Barto club</t>
  </si>
  <si>
    <t>Flying Pirates</t>
  </si>
  <si>
    <t>Giant Pirate Crew</t>
  </si>
  <si>
    <t>World Noble</t>
  </si>
  <si>
    <r>
      <rPr>
        <rFont val="Kufam"/>
        <color theme="1"/>
        <sz val="10.0"/>
      </rPr>
      <t xml:space="preserve">_
</t>
    </r>
    <r>
      <rPr>
        <rFont val="Kufam"/>
        <color theme="1"/>
        <sz val="9.0"/>
      </rPr>
      <t xml:space="preserve">Boost the cooldown reduction speed of Dodge
</t>
    </r>
    <r>
      <rPr>
        <rFont val="Impact"/>
        <color theme="1"/>
        <sz val="11.0"/>
      </rPr>
      <t>7% | 10%</t>
    </r>
  </si>
  <si>
    <t>Paramecia</t>
  </si>
  <si>
    <t>Cooldown Reduction (Dodging)</t>
  </si>
  <si>
    <t>Zoan</t>
  </si>
  <si>
    <t>Logia</t>
  </si>
  <si>
    <r>
      <rPr>
        <rFont val="Kufam"/>
        <color theme="1"/>
        <sz val="10.0"/>
      </rPr>
      <t>_
Boost capture speed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14% | 20%</t>
    </r>
  </si>
  <si>
    <t>Captain</t>
  </si>
  <si>
    <t>Capture Speed Increase</t>
  </si>
  <si>
    <t>Combatant</t>
  </si>
  <si>
    <t>Sharp Shooter</t>
  </si>
  <si>
    <t>Cook</t>
  </si>
  <si>
    <t>Navigator</t>
  </si>
  <si>
    <t>Doctor</t>
  </si>
  <si>
    <t>Archaeologist</t>
  </si>
  <si>
    <t>Ship Carpenter</t>
  </si>
  <si>
    <t>Musician</t>
  </si>
  <si>
    <t>Helmsman</t>
  </si>
  <si>
    <t>Bounty Hunter</t>
  </si>
  <si>
    <t>Admiral</t>
  </si>
  <si>
    <t>Royalty / Former Royalty</t>
  </si>
  <si>
    <t>Master Chief Petty Officer</t>
  </si>
  <si>
    <t>Navy Captain</t>
  </si>
  <si>
    <t>Chief of Staff</t>
  </si>
  <si>
    <t>Kozuki Clan / Kozuki Clan Servant</t>
  </si>
  <si>
    <t>Lead Performer</t>
  </si>
  <si>
    <t>Intelligence Agent</t>
  </si>
  <si>
    <t>Vice Admiral</t>
  </si>
  <si>
    <t>Kingsbird</t>
  </si>
  <si>
    <t>Officer Agent</t>
  </si>
  <si>
    <t>Fleet Admiral</t>
  </si>
  <si>
    <t>Pica Army</t>
  </si>
  <si>
    <t>Diamante Army</t>
  </si>
  <si>
    <t>Tobi Roppo</t>
  </si>
  <si>
    <t>Trebol Army</t>
  </si>
  <si>
    <t>Captain of the Revolutionary Army</t>
  </si>
  <si>
    <t>Headliner</t>
  </si>
  <si>
    <r>
      <rPr>
        <rFont val="Kufam"/>
        <color theme="1"/>
        <sz val="9.0"/>
      </rPr>
      <t>When spawning</t>
    </r>
    <r>
      <rPr>
        <rFont val="Kufam"/>
        <color theme="1"/>
        <sz val="10.0"/>
      </rPr>
      <t xml:space="preserve">
SPD Boosted by 10%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14 Seconds | 20 Seconds</t>
    </r>
  </si>
  <si>
    <t>Fish_Man</t>
  </si>
  <si>
    <t>SPD Increase (When spawning)</t>
  </si>
  <si>
    <r>
      <rPr>
        <rFont val="Kufam"/>
        <color theme="1"/>
        <sz val="7.0"/>
      </rPr>
      <t xml:space="preserve">When your team has less Treasure secured
</t>
    </r>
    <r>
      <rPr>
        <rFont val="Kufam"/>
        <color theme="1"/>
        <sz val="11.0"/>
      </rPr>
      <t>Increase damage dealt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7% | 10%</t>
    </r>
  </si>
  <si>
    <t>Worst Generation</t>
  </si>
  <si>
    <t>Inflicted Damage Increase (When your team has less Treasure secured)</t>
  </si>
  <si>
    <t>The Four Emperors</t>
  </si>
  <si>
    <t>``Sweet 3`` General</t>
  </si>
  <si>
    <t>New Kama</t>
  </si>
  <si>
    <t>Homies</t>
  </si>
  <si>
    <t>Ninja</t>
  </si>
  <si>
    <t>Germa 66</t>
  </si>
  <si>
    <t>Whitebeard Pirates Commander</t>
  </si>
  <si>
    <t>``Sword``</t>
  </si>
  <si>
    <t>Seraphim</t>
  </si>
  <si>
    <t>Satellite</t>
  </si>
  <si>
    <r>
      <rPr>
        <rFont val="Kufam"/>
        <color theme="1"/>
        <sz val="7.0"/>
      </rPr>
      <t xml:space="preserve">When your allies are near the Treasure area where you are at
</t>
    </r>
    <r>
      <rPr>
        <rFont val="Kufam"/>
        <color theme="1"/>
        <sz val="11.0"/>
      </rPr>
      <t>Increase damage dealt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7% | 10%</t>
    </r>
  </si>
  <si>
    <t>Blood Brothers</t>
  </si>
  <si>
    <t>Inflicted Damage Increase (When your allies are near the Treasure area)</t>
  </si>
  <si>
    <t>Charlotte Family</t>
  </si>
  <si>
    <t>Gorgon Sisters</t>
  </si>
  <si>
    <t>Minks</t>
  </si>
  <si>
    <t>Giant</t>
  </si>
  <si>
    <r>
      <rPr>
        <rFont val="Kufam"/>
        <color theme="1"/>
        <sz val="7.0"/>
      </rPr>
      <t xml:space="preserve">When your team has less Treasure secured
</t>
    </r>
    <r>
      <rPr>
        <rFont val="Kufam"/>
        <color theme="1"/>
        <sz val="11.0"/>
      </rPr>
      <t>Reduce damage recieved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7% | 10%</t>
    </r>
  </si>
  <si>
    <t>Mantra</t>
  </si>
  <si>
    <t>Recieved Damage Reduction (When your team has less Treasure secured)</t>
  </si>
  <si>
    <t>Zombie</t>
  </si>
  <si>
    <t>Fish_Man Karate</t>
  </si>
  <si>
    <t>Six Powers</t>
  </si>
  <si>
    <t>Chambres</t>
  </si>
  <si>
    <r>
      <rPr>
        <rFont val="Kufam"/>
        <color theme="1"/>
        <sz val="7.0"/>
      </rPr>
      <t xml:space="preserve">When your allies are not near the Treasure area where you are at
</t>
    </r>
    <r>
      <rPr>
        <rFont val="Kufam"/>
        <color theme="1"/>
        <sz val="11.0"/>
      </rPr>
      <t>Reduce damage recieved</t>
    </r>
    <r>
      <rPr>
        <rFont val="Kufam"/>
        <color theme="1"/>
        <sz val="9.0"/>
      </rPr>
      <t xml:space="preserve">
</t>
    </r>
    <r>
      <rPr>
        <rFont val="Impact"/>
        <color theme="1"/>
        <sz val="11.0"/>
      </rPr>
      <t>7% | 10%</t>
    </r>
  </si>
  <si>
    <t>Heart Pirates</t>
  </si>
  <si>
    <t>Recieved Damage Reduction (When your allies are not near the Treasure area)</t>
  </si>
  <si>
    <t>Kuja Pirates</t>
  </si>
  <si>
    <t>Sun Pirates</t>
  </si>
  <si>
    <t>Don Quixote Family</t>
  </si>
  <si>
    <t>Child</t>
  </si>
  <si>
    <t>Thriller Bark Pirates</t>
  </si>
  <si>
    <t>Blackbeard Pirates</t>
  </si>
  <si>
    <t>Straw Hat Fleet</t>
  </si>
  <si>
    <t>Alabasta Kingdom</t>
  </si>
  <si>
    <t>Former Rocks Pirates</t>
  </si>
  <si>
    <t>Medals Database</t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</si>
  <si>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"Black Vortex"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"The Four Emperrors Blackbeard"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"The Four Emperrors Red Hair"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</si>
  <si>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"ASL Ace &amp; Sabo &amp; Luffy"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"ASL Sabo"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"ASL Luffy"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</si>
  <si>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"Winner Island Law"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"Winner Takes All"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"Bepo (Sulong)"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</si>
  <si>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"Winner Island Bepo"
</t>
    </r>
    <r>
      <rPr>
        <rFont val="JetBrains Mono"/>
        <color theme="1"/>
        <sz val="12.0"/>
      </rPr>
      <t xml:space="preserve">Added medal tag </t>
    </r>
    <r>
      <rPr>
        <rFont val="JetBrains Mono"/>
        <b/>
        <color theme="1"/>
        <sz val="12.0"/>
      </rPr>
      <t>"Royalty / Former Royalty"</t>
    </r>
    <r>
      <rPr>
        <rFont val="JetBrains Mono"/>
        <color theme="1"/>
        <sz val="12.0"/>
      </rPr>
      <t xml:space="preserve"> to </t>
    </r>
    <r>
      <rPr>
        <rFont val="JetBrains Mono"/>
        <b/>
        <color theme="1"/>
        <sz val="12.0"/>
      </rPr>
      <t>3</t>
    </r>
    <r>
      <rPr>
        <rFont val="JetBrains Mono"/>
        <color theme="1"/>
        <sz val="12.0"/>
      </rPr>
      <t xml:space="preserve"> medals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</si>
  <si>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"Kuma &amp; Bonney"
</t>
    </r>
    <r>
      <rPr>
        <rFont val="JetBrains Mono"/>
        <color theme="1"/>
        <sz val="12.0"/>
      </rPr>
      <t>Added Character Medal</t>
    </r>
    <r>
      <rPr>
        <rFont val="JetBrains Mono"/>
        <b/>
        <color theme="1"/>
        <sz val="12.0"/>
      </rPr>
      <t xml:space="preserve"> "Genius Scientist"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"Ginny (Child)"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"Sentomaru (Child)"
</t>
    </r>
  </si>
  <si>
    <r>
      <rPr>
        <rFont val="JetBrains Mono"/>
        <color theme="1"/>
        <sz val="12.0"/>
      </rPr>
      <t xml:space="preserve">Added Event Medal </t>
    </r>
    <r>
      <rPr>
        <rFont val="JetBrains Mono"/>
        <b/>
        <color theme="1"/>
        <sz val="12.0"/>
      </rPr>
      <t xml:space="preserve">"Zoro (Feast)"
</t>
    </r>
    <r>
      <rPr>
        <rFont val="JetBrains Mono"/>
        <color theme="1"/>
        <sz val="12.0"/>
      </rPr>
      <t xml:space="preserve">Added Event Medal </t>
    </r>
    <r>
      <rPr>
        <rFont val="JetBrains Mono"/>
        <b/>
        <color theme="1"/>
        <sz val="12.0"/>
      </rPr>
      <t xml:space="preserve">"King (Bandaged)"
</t>
    </r>
    <r>
      <rPr>
        <rFont val="JetBrains Mono"/>
        <color theme="1"/>
        <sz val="12.0"/>
      </rPr>
      <t xml:space="preserve">Changed medal tag from </t>
    </r>
    <r>
      <rPr>
        <rFont val="JetBrains Mono"/>
        <b/>
        <color theme="1"/>
        <sz val="12.0"/>
      </rPr>
      <t>"Royalty"</t>
    </r>
    <r>
      <rPr>
        <rFont val="JetBrains Mono"/>
        <color theme="1"/>
        <sz val="12.0"/>
      </rPr>
      <t xml:space="preserve"> to </t>
    </r>
    <r>
      <rPr>
        <rFont val="JetBrains Mono"/>
        <b/>
        <color theme="1"/>
        <sz val="12.0"/>
      </rPr>
      <t xml:space="preserve">"Royalty / Former Royalty"
</t>
    </r>
    <r>
      <rPr>
        <rFont val="JetBrains Mono"/>
        <color theme="1"/>
        <sz val="12.0"/>
      </rPr>
      <t xml:space="preserve">Added medal tag </t>
    </r>
    <r>
      <rPr>
        <rFont val="JetBrains Mono"/>
        <b/>
        <color theme="1"/>
        <sz val="12.0"/>
      </rPr>
      <t>"Royalty / Former Royalty"</t>
    </r>
    <r>
      <rPr>
        <rFont val="JetBrains Mono"/>
        <color theme="1"/>
        <sz val="12.0"/>
      </rPr>
      <t xml:space="preserve"> to </t>
    </r>
    <r>
      <rPr>
        <rFont val="JetBrains Mono"/>
        <b/>
        <color theme="1"/>
        <sz val="12.0"/>
      </rPr>
      <t xml:space="preserve">23 </t>
    </r>
    <r>
      <rPr>
        <rFont val="JetBrains Mono"/>
        <color theme="1"/>
        <sz val="12.0"/>
      </rPr>
      <t xml:space="preserve">medals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</si>
  <si>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"Egghead Franky"
</t>
    </r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"Egghead Jinbe"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</si>
  <si>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"St. Jaygarcia Saturn"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"Warrior God of Justice"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"Warrior God of Agriculture"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</si>
  <si>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"Egghead Chopper"
</t>
    </r>
    <r>
      <rPr>
        <rFont val="JetBrains Mono"/>
        <color theme="1"/>
        <sz val="12.0"/>
      </rPr>
      <t>Added Character Medal</t>
    </r>
    <r>
      <rPr>
        <rFont val="JetBrains Mono"/>
        <b/>
        <color theme="1"/>
        <sz val="12.0"/>
      </rPr>
      <t xml:space="preserve"> "Egghead Robin"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"Zoro &amp; Kaku"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"Jinbe (Future Outfit)"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</si>
  <si>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"Egghead Brook"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"Usopp (Future Outfit)"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"Franky (Future Outfit)"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</si>
  <si>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"Star Gun"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"A Hundred Times Stronger"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"Sanji (Future Outfit)"
</t>
    </r>
  </si>
  <si>
    <r>
      <rPr>
        <rFont val="JetBrains Mono"/>
        <color theme="1"/>
        <sz val="12.0"/>
      </rPr>
      <t xml:space="preserve">Added Character Medal </t>
    </r>
    <r>
      <rPr>
        <rFont val="JetBrains Mono"/>
        <b/>
        <color theme="1"/>
        <sz val="12.0"/>
      </rPr>
      <t xml:space="preserve">"Egghead Nami"
</t>
    </r>
    <r>
      <rPr>
        <rFont val="JetBrains Mono"/>
        <color theme="1"/>
        <sz val="12.0"/>
      </rPr>
      <t>Added Character Medal</t>
    </r>
    <r>
      <rPr>
        <rFont val="JetBrains Mono"/>
        <b/>
        <color theme="1"/>
        <sz val="12.0"/>
      </rPr>
      <t xml:space="preserve"> "Egghead Usopp"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"Edison (Bandaged)"
</t>
    </r>
    <r>
      <rPr>
        <rFont val="JetBrains Mono"/>
        <color theme="1"/>
        <sz val="12.0"/>
      </rPr>
      <t>Added Event Medal</t>
    </r>
    <r>
      <rPr>
        <rFont val="JetBrains Mono"/>
        <b/>
        <color theme="1"/>
        <sz val="12.0"/>
      </rPr>
      <t xml:space="preserve"> "Atlas (Order)"
</t>
    </r>
  </si>
  <si>
    <t>General Medals</t>
  </si>
  <si>
    <t>Event Medals</t>
  </si>
  <si>
    <t>medal_id</t>
  </si>
  <si>
    <t>meda_name</t>
  </si>
  <si>
    <t>medal_trait</t>
  </si>
  <si>
    <t>medal_tags</t>
  </si>
  <si>
    <t>medal_icon_link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</si>
</sst>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"/>
    <numFmt numFmtId="165" formatCode="yyyy/mm/dd"/>
  </numFmts>
  <fonts count="59">
    <font>
      <sz val="10.0"/>
      <color rgb="FF000000"/>
      <name val="Arial"/>
      <scheme val="minor"/>
    </font>
    <font>
      <sz val="12.0"/>
      <color rgb="FFFFFFFF"/>
      <name val="Comfortaa"/>
    </font>
    <font>
      <color theme="1"/>
      <name val="Arial"/>
    </font>
    <font>
      <b/>
      <u/>
      <sz val="14.0"/>
      <color rgb="FF4A86E8"/>
      <name val="Mada"/>
    </font>
    <font>
      <b/>
      <sz val="14.0"/>
      <color rgb="FF4A86E8"/>
      <name val="Mada"/>
    </font>
    <font>
      <b/>
      <sz val="17.0"/>
      <color rgb="FF4A86E8"/>
      <name val="Courier New"/>
    </font>
    <font>
      <b/>
      <u/>
      <sz val="17.0"/>
      <color rgb="FF4A86E8"/>
      <name val="Courier New"/>
    </font>
    <font>
      <sz val="50.0"/>
      <color theme="1"/>
      <name val="Rye"/>
    </font>
    <font>
      <sz val="30.0"/>
      <color rgb="FFF3F3F3"/>
      <name val="Rye"/>
    </font>
    <font>
      <sz val="3.0"/>
      <color rgb="FF434343"/>
      <name val="Rye"/>
    </font>
    <font>
      <b/>
      <sz val="3.0"/>
      <color rgb="FF434343"/>
      <name val="Comfortaa"/>
    </font>
    <font>
      <sz val="50.0"/>
      <color rgb="FFF3F3F3"/>
      <name val="Rye"/>
    </font>
    <font/>
    <font>
      <sz val="15.0"/>
      <color rgb="FF741B47"/>
      <name val="Alfa Slab One"/>
    </font>
    <font>
      <sz val="18.0"/>
      <color rgb="FFBF9000"/>
      <name val="Alfa Slab One"/>
    </font>
    <font>
      <sz val="14.0"/>
      <color rgb="FFF1C232"/>
      <name val="Black Ops One"/>
    </font>
    <font>
      <sz val="18.0"/>
      <color rgb="FFF1C232"/>
      <name val="Black Ops One"/>
    </font>
    <font>
      <sz val="16.0"/>
      <color rgb="FFF1C232"/>
      <name val="&quot;Black Ops One&quot;"/>
    </font>
    <font>
      <sz val="15.0"/>
      <color rgb="FF434343"/>
      <name val="&quot;Black Ops One&quot;"/>
    </font>
    <font>
      <sz val="14.0"/>
      <color rgb="FFA64D79"/>
      <name val="Black Ops One"/>
    </font>
    <font>
      <sz val="18.0"/>
      <color rgb="FFA64D79"/>
      <name val="Black Ops One"/>
    </font>
    <font>
      <sz val="16.0"/>
      <color rgb="FFA64D79"/>
      <name val="&quot;Black Ops One&quot;"/>
    </font>
    <font>
      <sz val="18.0"/>
      <color rgb="FF741B47"/>
      <name val="Alfa Slab One"/>
    </font>
    <font>
      <sz val="18.0"/>
      <color rgb="FFA64D79"/>
      <name val="Alfa Slab One"/>
    </font>
    <font>
      <sz val="10.0"/>
      <color theme="1"/>
      <name val="Londrina Solid"/>
    </font>
    <font>
      <sz val="36.0"/>
      <color theme="1"/>
      <name val="Chewy"/>
    </font>
    <font>
      <sz val="12.0"/>
      <color theme="1"/>
      <name val="Russo One"/>
    </font>
    <font>
      <b/>
      <sz val="6.0"/>
      <color theme="1"/>
      <name val="Comfortaa"/>
    </font>
    <font>
      <b/>
      <u/>
      <sz val="3.0"/>
      <color rgb="FF434343"/>
      <name val="Comfortaa"/>
    </font>
    <font>
      <b/>
      <u/>
      <sz val="3.0"/>
      <color rgb="FF434343"/>
      <name val="Comfortaa"/>
    </font>
    <font>
      <b/>
      <u/>
      <sz val="3.0"/>
      <color rgb="FF434343"/>
      <name val="Comfortaa"/>
    </font>
    <font>
      <sz val="12.0"/>
      <color theme="1"/>
      <name val="&quot;Russo One&quot;"/>
    </font>
    <font>
      <sz val="10.0"/>
      <color rgb="FF000000"/>
      <name val="Londrina Solid"/>
    </font>
    <font>
      <color rgb="FFFFFFFF"/>
      <name val="Arial"/>
    </font>
    <font>
      <sz val="12.0"/>
      <color rgb="FFFFFFFF"/>
      <name val="Russo One"/>
    </font>
    <font>
      <sz val="10.0"/>
      <color theme="1"/>
      <name val="Russo One"/>
    </font>
    <font>
      <sz val="10.0"/>
      <color rgb="FF000000"/>
      <name val="Russo One"/>
    </font>
    <font>
      <sz val="12.0"/>
      <color rgb="FFFFFFFF"/>
      <name val="Exo 2"/>
    </font>
    <font>
      <sz val="10.0"/>
      <color rgb="FFFFFFFF"/>
      <name val="Russo One"/>
    </font>
    <font>
      <sz val="16.0"/>
      <color rgb="FFFFFFFF"/>
      <name val="Russo One"/>
    </font>
    <font>
      <sz val="8.0"/>
      <color theme="1"/>
      <name val="Exo 2"/>
    </font>
    <font>
      <color theme="1"/>
      <name val="Arial"/>
      <scheme val="minor"/>
    </font>
    <font>
      <color theme="1"/>
      <name val="Space Mono"/>
    </font>
    <font>
      <u/>
      <color rgb="FF0000FF"/>
    </font>
    <font>
      <sz val="8.0"/>
      <color theme="1"/>
      <name val="Space Mono"/>
    </font>
    <font>
      <u/>
      <color rgb="FF0000FF"/>
    </font>
    <font>
      <sz val="8.0"/>
      <color rgb="FFFFFFFF"/>
      <name val="Russo One"/>
    </font>
    <font>
      <sz val="8.0"/>
      <color theme="1"/>
      <name val="Russo One"/>
    </font>
    <font>
      <sz val="9.0"/>
      <color theme="1"/>
      <name val="Kufam"/>
    </font>
    <font>
      <sz val="9.0"/>
      <color rgb="FFFFFFFF"/>
      <name val="Kufam"/>
    </font>
    <font>
      <sz val="8.0"/>
      <color theme="1"/>
      <name val="Comfortaa"/>
    </font>
    <font>
      <sz val="8.0"/>
      <color rgb="FFFFFFFF"/>
      <name val="Comfortaa"/>
    </font>
    <font>
      <sz val="12.0"/>
      <color theme="1"/>
      <name val="JetBrains Mono"/>
    </font>
    <font>
      <color theme="1"/>
      <name val="JetBrains Mono"/>
    </font>
    <font>
      <sz val="10.0"/>
      <color rgb="FFFFFFFF"/>
      <name val="JetBrains Mono"/>
    </font>
    <font>
      <sz val="6.0"/>
      <color theme="1"/>
      <name val="JetBrains Mono"/>
    </font>
    <font>
      <sz val="8.0"/>
      <color rgb="FFFFFFFF"/>
      <name val="JetBrains Mono"/>
    </font>
    <font>
      <u/>
      <sz val="6.0"/>
      <color rgb="FF0000FF"/>
      <name val="JetBrains Mono"/>
    </font>
    <font>
      <u/>
      <sz val="6.0"/>
      <color rgb="FF0000FF"/>
      <name val="JetBrains Mono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F6000"/>
        <bgColor rgb="FF7F6000"/>
      </patternFill>
    </fill>
    <fill>
      <patternFill patternType="solid">
        <fgColor rgb="FF5F1A3C"/>
        <bgColor rgb="FF5F1A3C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4C1130"/>
        <bgColor rgb="FF4C1130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28">
    <border/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C9DAF8"/>
      </bottom>
    </border>
    <border>
      <left style="thin">
        <color rgb="FF000000"/>
      </left>
      <right style="thin">
        <color rgb="FF000000"/>
      </right>
      <top style="thin">
        <color rgb="FFC9DAF8"/>
      </top>
      <bottom style="thin">
        <color rgb="FFC9DAF8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9DAF8"/>
      </top>
    </border>
    <border>
      <left style="thin">
        <color rgb="FF000000"/>
      </left>
      <right style="thin">
        <color rgb="FF000000"/>
      </right>
      <top style="thin">
        <color rgb="FFC9DAF8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shrinkToFit="0" vertical="center" wrapText="0"/>
    </xf>
    <xf borderId="0" fillId="2" fontId="3" numFmtId="0" xfId="0" applyAlignment="1" applyFont="1">
      <alignment readingOrder="0" vertical="center"/>
    </xf>
    <xf borderId="0" fillId="2" fontId="4" numFmtId="0" xfId="0" applyAlignment="1" applyFont="1">
      <alignment readingOrder="0" vertical="center"/>
    </xf>
    <xf borderId="0" fillId="2" fontId="5" numFmtId="0" xfId="0" applyAlignment="1" applyFont="1">
      <alignment readingOrder="0" vertical="center"/>
    </xf>
    <xf borderId="0" fillId="2" fontId="5" numFmtId="0" xfId="0" applyAlignment="1" applyFont="1">
      <alignment vertical="center"/>
    </xf>
    <xf borderId="0" fillId="2" fontId="6" numFmtId="0" xfId="0" applyAlignment="1" applyFont="1">
      <alignment readingOrder="0" vertical="center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textRotation="90" vertical="center"/>
    </xf>
    <xf borderId="0" fillId="2" fontId="8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textRotation="90" vertical="center"/>
    </xf>
    <xf borderId="0" fillId="2" fontId="11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0" fontId="12" numFmtId="0" xfId="0" applyBorder="1" applyFont="1"/>
    <xf borderId="2" fillId="0" fontId="12" numFmtId="0" xfId="0" applyBorder="1" applyFont="1"/>
    <xf borderId="1" fillId="2" fontId="9" numFmtId="0" xfId="0" applyAlignment="1" applyBorder="1" applyFont="1">
      <alignment horizontal="center" readingOrder="0" textRotation="90" vertical="center"/>
    </xf>
    <xf borderId="3" fillId="4" fontId="8" numFmtId="0" xfId="0" applyAlignment="1" applyBorder="1" applyFill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4" fillId="2" fontId="17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readingOrder="0" textRotation="90" vertical="center"/>
    </xf>
    <xf borderId="5" fillId="2" fontId="13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6" fillId="2" fontId="21" numFmtId="0" xfId="0" applyAlignment="1" applyBorder="1" applyFont="1">
      <alignment horizontal="center" readingOrder="0" shrinkToFit="0" vertical="center" wrapText="0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center"/>
    </xf>
    <xf borderId="7" fillId="2" fontId="24" numFmtId="0" xfId="0" applyAlignment="1" applyBorder="1" applyFont="1">
      <alignment horizontal="center" readingOrder="0" vertical="center"/>
    </xf>
    <xf borderId="7" fillId="2" fontId="25" numFmtId="0" xfId="0" applyAlignment="1" applyBorder="1" applyFont="1">
      <alignment horizontal="center" vertical="center"/>
    </xf>
    <xf borderId="8" fillId="2" fontId="26" numFmtId="0" xfId="0" applyAlignment="1" applyBorder="1" applyFont="1">
      <alignment horizontal="center" shrinkToFit="0" vertical="center" wrapText="1"/>
    </xf>
    <xf borderId="8" fillId="2" fontId="27" numFmtId="0" xfId="0" applyAlignment="1" applyBorder="1" applyFont="1">
      <alignment horizontal="center" readingOrder="0" vertical="center"/>
    </xf>
    <xf borderId="9" fillId="2" fontId="23" numFmtId="0" xfId="0" applyAlignment="1" applyBorder="1" applyFont="1">
      <alignment horizontal="center" readingOrder="0" vertical="center"/>
    </xf>
    <xf borderId="8" fillId="2" fontId="24" numFmtId="0" xfId="0" applyAlignment="1" applyBorder="1" applyFont="1">
      <alignment horizontal="center" readingOrder="0" vertical="center"/>
    </xf>
    <xf borderId="8" fillId="2" fontId="27" numFmtId="0" xfId="0" applyAlignment="1" applyBorder="1" applyFont="1">
      <alignment horizontal="center" readingOrder="0" shrinkToFit="0" vertical="center" wrapText="0"/>
    </xf>
    <xf borderId="10" fillId="2" fontId="10" numFmtId="0" xfId="0" applyAlignment="1" applyBorder="1" applyFont="1">
      <alignment horizontal="center" readingOrder="0" textRotation="90" vertical="center"/>
    </xf>
    <xf borderId="7" fillId="3" fontId="14" numFmtId="0" xfId="0" applyAlignment="1" applyBorder="1" applyFont="1">
      <alignment horizontal="center" readingOrder="0" vertical="center"/>
    </xf>
    <xf borderId="7" fillId="5" fontId="24" numFmtId="0" xfId="0" applyAlignment="1" applyBorder="1" applyFill="1" applyFont="1">
      <alignment horizontal="center" readingOrder="0" shrinkToFit="0" vertical="center" wrapText="1"/>
    </xf>
    <xf borderId="7" fillId="5" fontId="25" numFmtId="0" xfId="0" applyAlignment="1" applyBorder="1" applyFont="1">
      <alignment horizontal="center" vertical="center"/>
    </xf>
    <xf borderId="8" fillId="6" fontId="26" numFmtId="0" xfId="0" applyAlignment="1" applyBorder="1" applyFill="1" applyFont="1">
      <alignment horizontal="center" readingOrder="0" shrinkToFit="0" vertical="center" wrapText="1"/>
    </xf>
    <xf borderId="11" fillId="5" fontId="27" numFmtId="0" xfId="0" applyAlignment="1" applyBorder="1" applyFont="1">
      <alignment horizontal="center" readingOrder="0" shrinkToFit="0" vertical="center" wrapText="0"/>
    </xf>
    <xf borderId="0" fillId="2" fontId="28" numFmtId="0" xfId="0" applyAlignment="1" applyFont="1">
      <alignment horizontal="center" readingOrder="0" textRotation="90" vertical="center"/>
    </xf>
    <xf borderId="9" fillId="7" fontId="23" numFmtId="164" xfId="0" applyAlignment="1" applyBorder="1" applyFill="1" applyFont="1" applyNumberFormat="1">
      <alignment horizontal="center" readingOrder="0" vertical="center"/>
    </xf>
    <xf borderId="8" fillId="8" fontId="24" numFmtId="0" xfId="0" applyAlignment="1" applyBorder="1" applyFill="1" applyFont="1">
      <alignment horizontal="center" readingOrder="0" shrinkToFit="0" vertical="center" wrapText="1"/>
    </xf>
    <xf borderId="7" fillId="8" fontId="25" numFmtId="0" xfId="0" applyAlignment="1" applyBorder="1" applyFont="1">
      <alignment horizontal="center" vertical="center"/>
    </xf>
    <xf borderId="8" fillId="9" fontId="26" numFmtId="0" xfId="0" applyAlignment="1" applyBorder="1" applyFill="1" applyFont="1">
      <alignment horizontal="center" shrinkToFit="0" vertical="center" wrapText="1"/>
    </xf>
    <xf borderId="8" fillId="8" fontId="27" numFmtId="0" xfId="0" applyAlignment="1" applyBorder="1" applyFont="1">
      <alignment horizontal="center" readingOrder="0" shrinkToFit="0" vertical="center" wrapText="0"/>
    </xf>
    <xf borderId="10" fillId="2" fontId="29" numFmtId="0" xfId="0" applyAlignment="1" applyBorder="1" applyFont="1">
      <alignment horizontal="center" readingOrder="0" textRotation="90" vertical="center"/>
    </xf>
    <xf borderId="8" fillId="9" fontId="26" numFmtId="0" xfId="0" applyAlignment="1" applyBorder="1" applyFont="1">
      <alignment horizontal="center" readingOrder="0" shrinkToFit="0" vertical="center" wrapText="1"/>
    </xf>
    <xf borderId="11" fillId="5" fontId="27" numFmtId="0" xfId="0" applyAlignment="1" applyBorder="1" applyFont="1">
      <alignment horizontal="center" readingOrder="0" vertical="center"/>
    </xf>
    <xf borderId="8" fillId="6" fontId="26" numFmtId="0" xfId="0" applyAlignment="1" applyBorder="1" applyFont="1">
      <alignment horizontal="center" shrinkToFit="0" vertical="center" wrapText="1"/>
    </xf>
    <xf borderId="8" fillId="5" fontId="27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vertical="center"/>
    </xf>
    <xf borderId="13" fillId="5" fontId="27" numFmtId="0" xfId="0" applyAlignment="1" applyBorder="1" applyFont="1">
      <alignment horizontal="center" readingOrder="0" vertical="center"/>
    </xf>
    <xf borderId="11" fillId="6" fontId="26" numFmtId="0" xfId="0" applyAlignment="1" applyBorder="1" applyFont="1">
      <alignment horizontal="center" readingOrder="0" shrinkToFit="0" vertical="center" wrapText="1"/>
    </xf>
    <xf borderId="13" fillId="6" fontId="26" numFmtId="0" xfId="0" applyAlignment="1" applyBorder="1" applyFont="1">
      <alignment horizontal="center" readingOrder="0" shrinkToFit="0" vertical="center" wrapText="1"/>
    </xf>
    <xf borderId="11" fillId="6" fontId="26" numFmtId="0" xfId="0" applyAlignment="1" applyBorder="1" applyFont="1">
      <alignment horizontal="center" shrinkToFit="0" vertical="center" wrapText="1"/>
    </xf>
    <xf borderId="0" fillId="2" fontId="30" numFmtId="0" xfId="0" applyAlignment="1" applyFont="1">
      <alignment horizontal="center" readingOrder="0" textRotation="90" vertical="center"/>
    </xf>
    <xf borderId="8" fillId="8" fontId="25" numFmtId="0" xfId="0" applyAlignment="1" applyBorder="1" applyFont="1">
      <alignment horizontal="center" vertical="center"/>
    </xf>
    <xf borderId="7" fillId="8" fontId="24" numFmtId="0" xfId="0" applyAlignment="1" applyBorder="1" applyFont="1">
      <alignment horizontal="center" readingOrder="0" shrinkToFit="0" vertical="center" wrapText="1"/>
    </xf>
    <xf borderId="8" fillId="8" fontId="27" numFmtId="0" xfId="0" applyAlignment="1" applyBorder="1" applyFont="1">
      <alignment horizontal="center" shrinkToFit="0" vertical="center" wrapText="0"/>
    </xf>
    <xf borderId="8" fillId="9" fontId="31" numFmtId="0" xfId="0" applyAlignment="1" applyBorder="1" applyFont="1">
      <alignment horizontal="center" readingOrder="0" shrinkToFit="0" vertical="center" wrapText="1"/>
    </xf>
    <xf borderId="7" fillId="9" fontId="26" numFmtId="0" xfId="0" applyAlignment="1" applyBorder="1" applyFont="1">
      <alignment horizontal="center" readingOrder="0" shrinkToFit="0" vertical="center" wrapText="1"/>
    </xf>
    <xf borderId="7" fillId="5" fontId="32" numFmtId="0" xfId="0" applyAlignment="1" applyBorder="1" applyFont="1">
      <alignment horizontal="center" readingOrder="0" shrinkToFit="0" vertical="center" wrapText="1"/>
    </xf>
    <xf borderId="14" fillId="6" fontId="26" numFmtId="0" xfId="0" applyAlignment="1" applyBorder="1" applyFont="1">
      <alignment horizontal="center" readingOrder="0" shrinkToFit="0" vertical="center" wrapText="1"/>
    </xf>
    <xf borderId="15" fillId="6" fontId="26" numFmtId="0" xfId="0" applyAlignment="1" applyBorder="1" applyFont="1">
      <alignment horizontal="center" readingOrder="0" shrinkToFit="0" vertical="center" wrapText="1"/>
    </xf>
    <xf borderId="16" fillId="7" fontId="23" numFmtId="164" xfId="0" applyAlignment="1" applyBorder="1" applyFont="1" applyNumberFormat="1">
      <alignment horizontal="center" readingOrder="0" vertical="center"/>
    </xf>
    <xf borderId="15" fillId="6" fontId="31" numFmtId="0" xfId="0" applyAlignment="1" applyBorder="1" applyFont="1">
      <alignment horizontal="center" readingOrder="0" shrinkToFit="0" vertical="center" wrapText="1"/>
    </xf>
    <xf borderId="10" fillId="7" fontId="23" numFmtId="164" xfId="0" applyAlignment="1" applyBorder="1" applyFont="1" applyNumberFormat="1">
      <alignment horizontal="center" readingOrder="0" vertical="center"/>
    </xf>
    <xf borderId="10" fillId="7" fontId="23" numFmtId="164" xfId="0" applyAlignment="1" applyBorder="1" applyFont="1" applyNumberForma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14" fillId="2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readingOrder="0" vertical="center"/>
    </xf>
    <xf borderId="11" fillId="2" fontId="27" numFmtId="0" xfId="0" applyAlignment="1" applyBorder="1" applyFont="1">
      <alignment horizontal="center" shrinkToFit="0" vertical="center" wrapText="0"/>
    </xf>
    <xf borderId="17" fillId="3" fontId="14" numFmtId="0" xfId="0" applyAlignment="1" applyBorder="1" applyFont="1">
      <alignment horizontal="center" readingOrder="0" vertical="center"/>
    </xf>
    <xf borderId="18" fillId="5" fontId="24" numFmtId="0" xfId="0" applyAlignment="1" applyBorder="1" applyFont="1">
      <alignment horizontal="center" readingOrder="0" shrinkToFit="0" vertical="center" wrapText="1"/>
    </xf>
    <xf borderId="0" fillId="2" fontId="25" numFmtId="0" xfId="0" applyAlignment="1" applyFont="1">
      <alignment horizontal="center" readingOrder="0" vertical="center"/>
    </xf>
    <xf borderId="0" fillId="2" fontId="27" numFmtId="0" xfId="0" applyAlignment="1" applyFont="1">
      <alignment horizontal="center" shrinkToFit="0" vertical="center" wrapText="0"/>
    </xf>
    <xf borderId="17" fillId="2" fontId="14" numFmtId="0" xfId="0" applyAlignment="1" applyBorder="1" applyFont="1">
      <alignment horizontal="center" readingOrder="0" vertical="center"/>
    </xf>
    <xf borderId="18" fillId="2" fontId="24" numFmtId="0" xfId="0" applyAlignment="1" applyBorder="1" applyFont="1">
      <alignment horizontal="center" readingOrder="0" shrinkToFit="0" vertical="center" wrapText="1"/>
    </xf>
    <xf borderId="12" fillId="2" fontId="25" numFmtId="0" xfId="0" applyAlignment="1" applyBorder="1" applyFont="1">
      <alignment horizontal="center" vertical="center"/>
    </xf>
    <xf borderId="8" fillId="2" fontId="26" numFmtId="0" xfId="0" applyAlignment="1" applyBorder="1" applyFont="1">
      <alignment horizontal="center" readingOrder="0" shrinkToFit="0" vertical="center" wrapText="1"/>
    </xf>
    <xf borderId="11" fillId="2" fontId="27" numFmtId="0" xfId="0" applyAlignment="1" applyBorder="1" applyFont="1">
      <alignment horizontal="center" readingOrder="0" vertical="center"/>
    </xf>
    <xf borderId="19" fillId="2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20" fillId="2" fontId="2" numFmtId="0" xfId="0" applyAlignment="1" applyBorder="1" applyFont="1">
      <alignment vertical="bottom"/>
    </xf>
    <xf borderId="21" fillId="2" fontId="33" numFmtId="0" xfId="0" applyAlignment="1" applyBorder="1" applyFont="1">
      <alignment readingOrder="0" vertical="bottom"/>
    </xf>
    <xf borderId="21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2" fontId="2" numFmtId="0" xfId="0" applyAlignment="1" applyBorder="1" applyFont="1">
      <alignment vertical="bottom"/>
    </xf>
    <xf borderId="16" fillId="2" fontId="2" numFmtId="10" xfId="0" applyAlignment="1" applyBorder="1" applyFont="1" applyNumberFormat="1">
      <alignment vertical="bottom"/>
    </xf>
    <xf borderId="0" fillId="2" fontId="1" numFmtId="0" xfId="0" applyAlignment="1" applyFont="1">
      <alignment horizontal="left" readingOrder="0" shrinkToFit="0" vertical="center" wrapText="0"/>
    </xf>
    <xf borderId="0" fillId="10" fontId="34" numFmtId="0" xfId="0" applyAlignment="1" applyFill="1" applyFont="1">
      <alignment horizontal="center" readingOrder="0" vertical="center"/>
    </xf>
    <xf borderId="0" fillId="11" fontId="35" numFmtId="0" xfId="0" applyAlignment="1" applyFill="1" applyFont="1">
      <alignment horizontal="left" readingOrder="0" vertical="center"/>
    </xf>
    <xf borderId="0" fillId="2" fontId="26" numFmtId="0" xfId="0" applyAlignment="1" applyFont="1">
      <alignment horizontal="center" vertical="center"/>
    </xf>
    <xf borderId="0" fillId="11" fontId="36" numFmtId="0" xfId="0" applyAlignment="1" applyFont="1">
      <alignment horizontal="left" readingOrder="0" vertical="center"/>
    </xf>
    <xf borderId="0" fillId="10" fontId="37" numFmtId="0" xfId="0" applyAlignment="1" applyFont="1">
      <alignment horizontal="center" readingOrder="0" vertical="center"/>
    </xf>
    <xf borderId="0" fillId="2" fontId="36" numFmtId="0" xfId="0" applyAlignment="1" applyFont="1">
      <alignment horizontal="left" readingOrder="0" vertical="center"/>
    </xf>
    <xf borderId="0" fillId="2" fontId="34" numFmtId="0" xfId="0" applyAlignment="1" applyFont="1">
      <alignment horizontal="center" readingOrder="0" vertical="center"/>
    </xf>
    <xf borderId="0" fillId="2" fontId="38" numFmtId="0" xfId="0" applyAlignment="1" applyFont="1">
      <alignment horizontal="left" readingOrder="0" vertical="center"/>
    </xf>
    <xf borderId="0" fillId="2" fontId="34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5" numFmtId="0" xfId="0" applyAlignment="1" applyFont="1">
      <alignment horizontal="center" readingOrder="0" shrinkToFit="0" vertical="center" wrapText="1"/>
    </xf>
    <xf borderId="0" fillId="2" fontId="40" numFmtId="0" xfId="0" applyAlignment="1" applyFont="1">
      <alignment horizontal="center" readingOrder="0" vertical="center"/>
    </xf>
    <xf borderId="0" fillId="2" fontId="35" numFmtId="0" xfId="0" applyAlignment="1" applyFont="1">
      <alignment horizontal="center" shrinkToFit="0" vertical="center" wrapText="1"/>
    </xf>
    <xf borderId="0" fillId="2" fontId="40" numFmtId="0" xfId="0" applyAlignment="1" applyFont="1">
      <alignment horizontal="center" vertical="center"/>
    </xf>
    <xf borderId="0" fillId="2" fontId="35" numFmtId="0" xfId="0" applyAlignment="1" applyFont="1">
      <alignment horizontal="center" vertical="center"/>
    </xf>
    <xf borderId="0" fillId="0" fontId="41" numFmtId="0" xfId="0" applyAlignment="1" applyFont="1">
      <alignment horizontal="center" shrinkToFit="0" vertical="center" wrapText="0"/>
    </xf>
    <xf borderId="0" fillId="0" fontId="41" numFmtId="0" xfId="0" applyAlignment="1" applyFont="1">
      <alignment horizontal="left" shrinkToFit="0" vertical="center" wrapText="0"/>
    </xf>
    <xf borderId="0" fillId="0" fontId="42" numFmtId="0" xfId="0" applyAlignment="1" applyFont="1">
      <alignment horizontal="left" shrinkToFit="0" vertical="center" wrapText="0"/>
    </xf>
    <xf borderId="0" fillId="0" fontId="41" numFmtId="0" xfId="0" applyAlignment="1" applyFont="1">
      <alignment horizontal="center" readingOrder="0" shrinkToFit="0" vertical="center" wrapText="0"/>
    </xf>
    <xf borderId="0" fillId="0" fontId="43" numFmtId="0" xfId="0" applyAlignment="1" applyFont="1">
      <alignment horizontal="center" readingOrder="0" shrinkToFit="0" vertical="center" wrapText="0"/>
    </xf>
    <xf borderId="0" fillId="0" fontId="41" numFmtId="49" xfId="0" applyAlignment="1" applyFont="1" applyNumberFormat="1">
      <alignment horizontal="center" shrinkToFit="0" vertical="center" wrapText="0"/>
    </xf>
    <xf borderId="0" fillId="0" fontId="41" numFmtId="0" xfId="0" applyFont="1"/>
    <xf borderId="0" fillId="0" fontId="44" numFmtId="0" xfId="0" applyAlignment="1" applyFont="1">
      <alignment horizontal="left" readingOrder="0" shrinkToFit="0" vertical="center" wrapText="0"/>
    </xf>
    <xf borderId="0" fillId="0" fontId="41" numFmtId="164" xfId="0" applyAlignment="1" applyFont="1" applyNumberFormat="1">
      <alignment horizontal="center" shrinkToFit="0" vertical="center" wrapText="0"/>
    </xf>
    <xf borderId="0" fillId="0" fontId="45" numFmtId="0" xfId="0" applyAlignment="1" applyFont="1">
      <alignment horizontal="center" shrinkToFit="0" vertical="center" wrapText="0"/>
    </xf>
    <xf borderId="0" fillId="0" fontId="41" numFmtId="0" xfId="0" applyAlignment="1" applyFont="1">
      <alignment horizontal="center" shrinkToFit="0" vertical="center" wrapText="0"/>
    </xf>
    <xf borderId="0" fillId="0" fontId="41" numFmtId="164" xfId="0" applyAlignment="1" applyFont="1" applyNumberFormat="1">
      <alignment horizontal="center" shrinkToFit="0" vertical="center" wrapText="0"/>
    </xf>
    <xf borderId="0" fillId="2" fontId="34" numFmtId="0" xfId="0" applyAlignment="1" applyFont="1">
      <alignment horizontal="left" vertical="center"/>
    </xf>
    <xf borderId="0" fillId="2" fontId="46" numFmtId="0" xfId="0" applyAlignment="1" applyFont="1">
      <alignment horizontal="left" readingOrder="0" shrinkToFit="0" vertical="center" wrapText="1"/>
    </xf>
    <xf borderId="0" fillId="2" fontId="38" numFmtId="0" xfId="0" applyAlignment="1" applyFont="1">
      <alignment horizontal="left" readingOrder="0" vertical="center"/>
    </xf>
    <xf borderId="0" fillId="2" fontId="26" numFmtId="0" xfId="0" applyAlignment="1" applyFont="1">
      <alignment horizontal="left" vertical="center"/>
    </xf>
    <xf borderId="0" fillId="0" fontId="47" numFmtId="0" xfId="0" applyAlignment="1" applyFont="1">
      <alignment horizontal="left" shrinkToFit="0" vertical="center" wrapText="1"/>
    </xf>
    <xf borderId="0" fillId="0" fontId="35" numFmtId="0" xfId="0" applyAlignment="1" applyFont="1">
      <alignment horizontal="left" vertical="center"/>
    </xf>
    <xf borderId="0" fillId="0" fontId="35" numFmtId="0" xfId="0" applyAlignment="1" applyFont="1">
      <alignment horizontal="left" readingOrder="0" vertical="center"/>
    </xf>
    <xf borderId="0" fillId="0" fontId="47" numFmtId="0" xfId="0" applyAlignment="1" applyFont="1">
      <alignment horizontal="left" vertical="center"/>
    </xf>
    <xf borderId="0" fillId="0" fontId="47" numFmtId="0" xfId="0" applyAlignment="1" applyFont="1">
      <alignment horizontal="left" readingOrder="0" vertical="center"/>
    </xf>
    <xf borderId="0" fillId="0" fontId="47" numFmtId="0" xfId="0" applyAlignment="1" applyFont="1">
      <alignment horizontal="left" readingOrder="0" shrinkToFit="0" vertical="center" wrapText="1"/>
    </xf>
    <xf borderId="0" fillId="2" fontId="48" numFmtId="0" xfId="0" applyAlignment="1" applyFont="1">
      <alignment horizontal="center" readingOrder="0" vertical="center"/>
    </xf>
    <xf borderId="0" fillId="2" fontId="49" numFmtId="0" xfId="0" applyAlignment="1" applyFont="1">
      <alignment horizontal="center" readingOrder="0" vertical="center"/>
    </xf>
    <xf borderId="22" fillId="12" fontId="48" numFmtId="0" xfId="0" applyAlignment="1" applyBorder="1" applyFill="1" applyFont="1">
      <alignment horizontal="center" readingOrder="0" vertical="center"/>
    </xf>
    <xf borderId="0" fillId="10" fontId="49" numFmtId="0" xfId="0" applyAlignment="1" applyFont="1">
      <alignment horizontal="center" readingOrder="0" vertical="center"/>
    </xf>
    <xf borderId="0" fillId="2" fontId="50" numFmtId="0" xfId="0" applyAlignment="1" applyFont="1">
      <alignment horizontal="center" readingOrder="0" vertical="center"/>
    </xf>
    <xf borderId="23" fillId="13" fontId="50" numFmtId="0" xfId="0" applyAlignment="1" applyBorder="1" applyFill="1" applyFont="1">
      <alignment horizontal="center" readingOrder="0" vertical="center"/>
    </xf>
    <xf borderId="0" fillId="10" fontId="51" numFmtId="0" xfId="0" applyAlignment="1" applyFon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24" fillId="13" fontId="50" numFmtId="0" xfId="0" applyAlignment="1" applyBorder="1" applyFont="1">
      <alignment horizontal="center" readingOrder="0" vertical="center"/>
    </xf>
    <xf borderId="25" fillId="12" fontId="48" numFmtId="0" xfId="0" applyAlignment="1" applyBorder="1" applyFont="1">
      <alignment horizontal="center" readingOrder="0" vertical="center"/>
    </xf>
    <xf borderId="0" fillId="2" fontId="50" numFmtId="0" xfId="0" applyAlignment="1" applyFont="1">
      <alignment horizontal="center" vertical="center"/>
    </xf>
    <xf borderId="24" fillId="13" fontId="50" numFmtId="0" xfId="0" applyAlignment="1" applyBorder="1" applyFont="1">
      <alignment horizontal="center" vertical="center"/>
    </xf>
    <xf borderId="0" fillId="10" fontId="51" numFmtId="0" xfId="0" applyAlignment="1" applyFont="1">
      <alignment horizontal="center" vertical="center"/>
    </xf>
    <xf borderId="0" fillId="2" fontId="51" numFmtId="0" xfId="0" applyAlignment="1" applyFont="1">
      <alignment horizontal="center" vertical="center"/>
    </xf>
    <xf borderId="26" fillId="13" fontId="50" numFmtId="0" xfId="0" applyAlignment="1" applyBorder="1" applyFont="1">
      <alignment horizontal="center" readingOrder="0" vertical="center"/>
    </xf>
    <xf borderId="27" fillId="13" fontId="50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vertical="center"/>
    </xf>
    <xf borderId="0" fillId="11" fontId="26" numFmtId="165" xfId="0" applyAlignment="1" applyFont="1" applyNumberFormat="1">
      <alignment horizontal="center" readingOrder="0" vertical="center"/>
    </xf>
    <xf borderId="0" fillId="14" fontId="26" numFmtId="0" xfId="0" applyAlignment="1" applyFill="1" applyFont="1">
      <alignment horizontal="center" readingOrder="0" vertical="center"/>
    </xf>
    <xf borderId="0" fillId="15" fontId="52" numFmtId="0" xfId="0" applyAlignment="1" applyFill="1" applyFont="1">
      <alignment horizontal="left" readingOrder="0" vertical="center"/>
    </xf>
    <xf borderId="0" fillId="2" fontId="53" numFmtId="0" xfId="0" applyAlignment="1" applyFont="1">
      <alignment horizontal="left" vertical="center"/>
    </xf>
    <xf borderId="0" fillId="2" fontId="52" numFmtId="0" xfId="0" applyAlignment="1" applyFont="1">
      <alignment horizontal="left" vertical="center"/>
    </xf>
    <xf borderId="0" fillId="10" fontId="54" numFmtId="0" xfId="0" applyAlignment="1" applyFont="1">
      <alignment horizontal="center" readingOrder="0" shrinkToFit="0" vertical="center" wrapText="0"/>
    </xf>
    <xf borderId="0" fillId="2" fontId="55" numFmtId="0" xfId="0" applyAlignment="1" applyFont="1">
      <alignment horizontal="center" shrinkToFit="0" vertical="center" wrapText="0"/>
    </xf>
    <xf borderId="0" fillId="0" fontId="55" numFmtId="0" xfId="0" applyAlignment="1" applyFont="1">
      <alignment horizontal="center" shrinkToFit="0" vertical="center" wrapText="0"/>
    </xf>
    <xf borderId="0" fillId="16" fontId="56" numFmtId="0" xfId="0" applyAlignment="1" applyFill="1" applyFont="1">
      <alignment readingOrder="0" shrinkToFit="0" vertical="center" wrapText="0"/>
    </xf>
    <xf borderId="0" fillId="2" fontId="55" numFmtId="0" xfId="0" applyAlignment="1" applyFont="1">
      <alignment shrinkToFit="0" vertical="center" wrapText="0"/>
    </xf>
    <xf borderId="0" fillId="0" fontId="55" numFmtId="0" xfId="0" applyAlignment="1" applyFont="1">
      <alignment shrinkToFit="0" vertical="center" wrapText="0"/>
    </xf>
    <xf borderId="0" fillId="0" fontId="57" numFmtId="0" xfId="0" applyAlignment="1" applyFont="1">
      <alignment shrinkToFit="0" vertical="center" wrapText="0"/>
    </xf>
    <xf borderId="0" fillId="0" fontId="55" numFmtId="0" xfId="0" applyAlignment="1" applyFont="1">
      <alignment readingOrder="0" shrinkToFit="0" vertical="center" wrapText="0"/>
    </xf>
    <xf borderId="0" fillId="0" fontId="58" numFmtId="0" xfId="0" applyAlignment="1" applyFont="1">
      <alignment readingOrder="0" shrinkToFit="0" vertical="center" wrapText="0"/>
    </xf>
  </cellXfs>
  <cellStyles count="1">
    <cellStyle xfId="0" name="Normal" builtinId="0"/>
  </cellStyles>
  <dxfs count="10"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434343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color rgb="FFEA9999"/>
      </font>
      <fill>
        <patternFill patternType="none"/>
      </fill>
      <border/>
    </dxf>
    <dxf>
      <font>
        <color rgb="FF434343"/>
      </font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.postimg.cc/dQrD9WMX/247.png" TargetMode="External"/><Relationship Id="rId194" Type="http://schemas.openxmlformats.org/officeDocument/2006/relationships/hyperlink" Target="https://i.postimg.cc/WbVzYMT4/245.png" TargetMode="External"/><Relationship Id="rId193" Type="http://schemas.openxmlformats.org/officeDocument/2006/relationships/hyperlink" Target="https://i.postimg.cc/sDsBZyzC/212.png" TargetMode="External"/><Relationship Id="rId192" Type="http://schemas.openxmlformats.org/officeDocument/2006/relationships/hyperlink" Target="https://i.postimg.cc/yxmdYNXB/246.png" TargetMode="External"/><Relationship Id="rId191" Type="http://schemas.openxmlformats.org/officeDocument/2006/relationships/hyperlink" Target="https://i.postimg.cc/kg5BfcDj/213.png" TargetMode="External"/><Relationship Id="rId187" Type="http://schemas.openxmlformats.org/officeDocument/2006/relationships/hyperlink" Target="https://i.postimg.cc/VLgJqTsr/215.png" TargetMode="External"/><Relationship Id="rId186" Type="http://schemas.openxmlformats.org/officeDocument/2006/relationships/hyperlink" Target="https://i.postimg.cc/V6bvpgJJ/249.png" TargetMode="External"/><Relationship Id="rId185" Type="http://schemas.openxmlformats.org/officeDocument/2006/relationships/hyperlink" Target="https://i.postimg.cc/T1Jz6xRT/216.png" TargetMode="External"/><Relationship Id="rId184" Type="http://schemas.openxmlformats.org/officeDocument/2006/relationships/hyperlink" Target="https://i.postimg.cc/k5HDTzgr/250.png" TargetMode="External"/><Relationship Id="rId189" Type="http://schemas.openxmlformats.org/officeDocument/2006/relationships/hyperlink" Target="https://i.postimg.cc/zGP3Mggq/214.png" TargetMode="External"/><Relationship Id="rId188" Type="http://schemas.openxmlformats.org/officeDocument/2006/relationships/hyperlink" Target="https://i.postimg.cc/GtwtCDDq/248.png" TargetMode="External"/><Relationship Id="rId183" Type="http://schemas.openxmlformats.org/officeDocument/2006/relationships/hyperlink" Target="https://i.postimg.cc/v87F9r5C/217.png" TargetMode="External"/><Relationship Id="rId182" Type="http://schemas.openxmlformats.org/officeDocument/2006/relationships/hyperlink" Target="https://i.postimg.cc/g0jnqmdq/251.png" TargetMode="External"/><Relationship Id="rId181" Type="http://schemas.openxmlformats.org/officeDocument/2006/relationships/hyperlink" Target="https://i.postimg.cc/D0T9H03C/218.png" TargetMode="External"/><Relationship Id="rId180" Type="http://schemas.openxmlformats.org/officeDocument/2006/relationships/hyperlink" Target="https://i.postimg.cc/HkBryVGk/252.png" TargetMode="External"/><Relationship Id="rId176" Type="http://schemas.openxmlformats.org/officeDocument/2006/relationships/hyperlink" Target="https://i.postimg.cc/sDPQ3TwS/254.png" TargetMode="External"/><Relationship Id="rId297" Type="http://schemas.openxmlformats.org/officeDocument/2006/relationships/hyperlink" Target="https://i.postimg.cc/25RVD9tR/160.png" TargetMode="External"/><Relationship Id="rId175" Type="http://schemas.openxmlformats.org/officeDocument/2006/relationships/hyperlink" Target="https://i.postimg.cc/7LCrTjNN/221.png" TargetMode="External"/><Relationship Id="rId296" Type="http://schemas.openxmlformats.org/officeDocument/2006/relationships/hyperlink" Target="https://i.postimg.cc/7Lnm71HT/194.png" TargetMode="External"/><Relationship Id="rId174" Type="http://schemas.openxmlformats.org/officeDocument/2006/relationships/hyperlink" Target="https://i.postimg.cc/sg2bxB0Q/255.png" TargetMode="External"/><Relationship Id="rId295" Type="http://schemas.openxmlformats.org/officeDocument/2006/relationships/hyperlink" Target="https://i.postimg.cc/ht7fNRp1/161.png" TargetMode="External"/><Relationship Id="rId173" Type="http://schemas.openxmlformats.org/officeDocument/2006/relationships/hyperlink" Target="https://i.postimg.cc/XY10qn9J/222.png" TargetMode="External"/><Relationship Id="rId294" Type="http://schemas.openxmlformats.org/officeDocument/2006/relationships/hyperlink" Target="https://i.postimg.cc/PqjSPVjj/195.png" TargetMode="External"/><Relationship Id="rId179" Type="http://schemas.openxmlformats.org/officeDocument/2006/relationships/hyperlink" Target="https://i.postimg.cc/63nsMRg2/219.png" TargetMode="External"/><Relationship Id="rId178" Type="http://schemas.openxmlformats.org/officeDocument/2006/relationships/hyperlink" Target="https://i.postimg.cc/jSsW2yF1/253.png" TargetMode="External"/><Relationship Id="rId299" Type="http://schemas.openxmlformats.org/officeDocument/2006/relationships/hyperlink" Target="https://i.postimg.cc/25Q38Fpq/159.png" TargetMode="External"/><Relationship Id="rId177" Type="http://schemas.openxmlformats.org/officeDocument/2006/relationships/hyperlink" Target="https://i.postimg.cc/Jh9V3K6C/220.png" TargetMode="External"/><Relationship Id="rId298" Type="http://schemas.openxmlformats.org/officeDocument/2006/relationships/hyperlink" Target="https://i.postimg.cc/V6s4FSvZ/193.png" TargetMode="External"/><Relationship Id="rId198" Type="http://schemas.openxmlformats.org/officeDocument/2006/relationships/hyperlink" Target="https://i.postimg.cc/Wb73Bh1w/243.png" TargetMode="External"/><Relationship Id="rId197" Type="http://schemas.openxmlformats.org/officeDocument/2006/relationships/hyperlink" Target="https://i.postimg.cc/SR7Jt1WP/210.png" TargetMode="External"/><Relationship Id="rId196" Type="http://schemas.openxmlformats.org/officeDocument/2006/relationships/hyperlink" Target="https://i.postimg.cc/qvMR44tV/244.png" TargetMode="External"/><Relationship Id="rId195" Type="http://schemas.openxmlformats.org/officeDocument/2006/relationships/hyperlink" Target="https://i.postimg.cc/mZQzDk0S/211.png" TargetMode="External"/><Relationship Id="rId199" Type="http://schemas.openxmlformats.org/officeDocument/2006/relationships/hyperlink" Target="https://i.postimg.cc/brjZgf2b/209.png" TargetMode="External"/><Relationship Id="rId150" Type="http://schemas.openxmlformats.org/officeDocument/2006/relationships/hyperlink" Target="https://i.postimg.cc/jj7gny65/267.png" TargetMode="External"/><Relationship Id="rId271" Type="http://schemas.openxmlformats.org/officeDocument/2006/relationships/hyperlink" Target="https://i.postimg.cc/mk8HZ3H3/173.png" TargetMode="External"/><Relationship Id="rId392" Type="http://schemas.openxmlformats.org/officeDocument/2006/relationships/hyperlink" Target="https://i.postimg.cc/4NGmhc3p/146.png" TargetMode="External"/><Relationship Id="rId270" Type="http://schemas.openxmlformats.org/officeDocument/2006/relationships/hyperlink" Target="https://i.postimg.cc/QxzPxqC8/207.png" TargetMode="External"/><Relationship Id="rId391" Type="http://schemas.openxmlformats.org/officeDocument/2006/relationships/hyperlink" Target="https://i.postimg.cc/dtRqCQHX/113.png" TargetMode="External"/><Relationship Id="rId390" Type="http://schemas.openxmlformats.org/officeDocument/2006/relationships/hyperlink" Target="https://i.postimg.cc/nVBXz2nH/147.png" TargetMode="External"/><Relationship Id="rId1" Type="http://schemas.openxmlformats.org/officeDocument/2006/relationships/hyperlink" Target="https://docs.google.com/spreadsheets/d/1rVptXdp1CJzesnpYgUXBmxvT5PnUlRJp3MZnYbmbTEw/export?format=xlsx" TargetMode="External"/><Relationship Id="rId2" Type="http://schemas.openxmlformats.org/officeDocument/2006/relationships/hyperlink" Target="https://docs.google.com/spreadsheets/d/1kVZgROomdPGJnmApJBTCzBKDuwW1hlyruldRkuZXe5o/edit?usp=sharing" TargetMode="External"/><Relationship Id="rId3" Type="http://schemas.openxmlformats.org/officeDocument/2006/relationships/hyperlink" Target="https://docs.google.com/spreadsheets/d/1JUadSrTDCUWqNdeGg8HZeVOYveHTWOfqM0Xspsg3qiA/edit?usp=sharing" TargetMode="External"/><Relationship Id="rId149" Type="http://schemas.openxmlformats.org/officeDocument/2006/relationships/hyperlink" Target="https://i.postimg.cc/5NxcmX3y/234.png" TargetMode="External"/><Relationship Id="rId4" Type="http://schemas.openxmlformats.org/officeDocument/2006/relationships/hyperlink" Target="https://coff.ee/omarrifai51" TargetMode="External"/><Relationship Id="rId148" Type="http://schemas.openxmlformats.org/officeDocument/2006/relationships/hyperlink" Target="https://i.postimg.cc/Hx1Swj3t/268.png" TargetMode="External"/><Relationship Id="rId269" Type="http://schemas.openxmlformats.org/officeDocument/2006/relationships/hyperlink" Target="https://i.postimg.cc/HnpMCvVs/174.png" TargetMode="External"/><Relationship Id="rId9" Type="http://schemas.openxmlformats.org/officeDocument/2006/relationships/hyperlink" Target="https://i.postimg.cc/4xZLWVgM/339.png" TargetMode="External"/><Relationship Id="rId143" Type="http://schemas.openxmlformats.org/officeDocument/2006/relationships/hyperlink" Target="https://i.postimg.cc/bNrYPzvq/237.png" TargetMode="External"/><Relationship Id="rId264" Type="http://schemas.openxmlformats.org/officeDocument/2006/relationships/hyperlink" Target="https://i.postimg.cc/Y0qVjnQ9/210.png" TargetMode="External"/><Relationship Id="rId385" Type="http://schemas.openxmlformats.org/officeDocument/2006/relationships/hyperlink" Target="https://i.postimg.cc/T1gTCTRK/116.png" TargetMode="External"/><Relationship Id="rId142" Type="http://schemas.openxmlformats.org/officeDocument/2006/relationships/hyperlink" Target="https://i.postimg.cc/qMKqjj9S/271.png" TargetMode="External"/><Relationship Id="rId263" Type="http://schemas.openxmlformats.org/officeDocument/2006/relationships/hyperlink" Target="https://i.postimg.cc/tTGPB4b6/177.png" TargetMode="External"/><Relationship Id="rId384" Type="http://schemas.openxmlformats.org/officeDocument/2006/relationships/hyperlink" Target="https://i.postimg.cc/pdSm919d/150.png" TargetMode="External"/><Relationship Id="rId141" Type="http://schemas.openxmlformats.org/officeDocument/2006/relationships/hyperlink" Target="https://i.postimg.cc/wTrqTStL/238.png" TargetMode="External"/><Relationship Id="rId262" Type="http://schemas.openxmlformats.org/officeDocument/2006/relationships/hyperlink" Target="https://i.postimg.cc/RFTyS56y/211.png" TargetMode="External"/><Relationship Id="rId383" Type="http://schemas.openxmlformats.org/officeDocument/2006/relationships/hyperlink" Target="https://i.postimg.cc/Dw27PVRz/117.png" TargetMode="External"/><Relationship Id="rId140" Type="http://schemas.openxmlformats.org/officeDocument/2006/relationships/hyperlink" Target="https://i.postimg.cc/Ls2YjpL1/272.png" TargetMode="External"/><Relationship Id="rId261" Type="http://schemas.openxmlformats.org/officeDocument/2006/relationships/hyperlink" Target="https://i.postimg.cc/0y37JCHc/178.png" TargetMode="External"/><Relationship Id="rId382" Type="http://schemas.openxmlformats.org/officeDocument/2006/relationships/hyperlink" Target="https://i.postimg.cc/XvqZY0Yh/151.png" TargetMode="External"/><Relationship Id="rId5" Type="http://schemas.openxmlformats.org/officeDocument/2006/relationships/hyperlink" Target="https://i.postimg.cc/K8sJ0jy7/341.png" TargetMode="External"/><Relationship Id="rId147" Type="http://schemas.openxmlformats.org/officeDocument/2006/relationships/hyperlink" Target="https://i.postimg.cc/sXzDC7ML/235.png" TargetMode="External"/><Relationship Id="rId268" Type="http://schemas.openxmlformats.org/officeDocument/2006/relationships/hyperlink" Target="https://i.postimg.cc/jqZmBTrJ/208.png" TargetMode="External"/><Relationship Id="rId389" Type="http://schemas.openxmlformats.org/officeDocument/2006/relationships/hyperlink" Target="https://i.postimg.cc/pXMWy5Zz/114.png" TargetMode="External"/><Relationship Id="rId6" Type="http://schemas.openxmlformats.org/officeDocument/2006/relationships/hyperlink" Target="https://i.postimg.cc/dQHvmRSb/307.png" TargetMode="External"/><Relationship Id="rId146" Type="http://schemas.openxmlformats.org/officeDocument/2006/relationships/hyperlink" Target="https://i.postimg.cc/VkB6c5sF/269.png" TargetMode="External"/><Relationship Id="rId267" Type="http://schemas.openxmlformats.org/officeDocument/2006/relationships/hyperlink" Target="https://i.postimg.cc/B65FkfZV/175.png" TargetMode="External"/><Relationship Id="rId388" Type="http://schemas.openxmlformats.org/officeDocument/2006/relationships/hyperlink" Target="https://i.postimg.cc/cCRCbxFK/148.png" TargetMode="External"/><Relationship Id="rId7" Type="http://schemas.openxmlformats.org/officeDocument/2006/relationships/hyperlink" Target="https://i.postimg.cc/8zX9f14t/340.png" TargetMode="External"/><Relationship Id="rId145" Type="http://schemas.openxmlformats.org/officeDocument/2006/relationships/hyperlink" Target="https://i.postimg.cc/NMxGsFTj/236.png" TargetMode="External"/><Relationship Id="rId266" Type="http://schemas.openxmlformats.org/officeDocument/2006/relationships/hyperlink" Target="https://i.postimg.cc/0jW4SYCC/209.png" TargetMode="External"/><Relationship Id="rId387" Type="http://schemas.openxmlformats.org/officeDocument/2006/relationships/hyperlink" Target="https://i.postimg.cc/wxmx6Qh9/115.png" TargetMode="External"/><Relationship Id="rId8" Type="http://schemas.openxmlformats.org/officeDocument/2006/relationships/hyperlink" Target="https://i.postimg.cc/dQHvmRSz/306.png" TargetMode="External"/><Relationship Id="rId144" Type="http://schemas.openxmlformats.org/officeDocument/2006/relationships/hyperlink" Target="https://i.postimg.cc/7Zy6cS46/270.png" TargetMode="External"/><Relationship Id="rId265" Type="http://schemas.openxmlformats.org/officeDocument/2006/relationships/hyperlink" Target="https://i.postimg.cc/YSWYNm5k/176.png" TargetMode="External"/><Relationship Id="rId386" Type="http://schemas.openxmlformats.org/officeDocument/2006/relationships/hyperlink" Target="https://i.postimg.cc/cH8rfMYB/149.png" TargetMode="External"/><Relationship Id="rId260" Type="http://schemas.openxmlformats.org/officeDocument/2006/relationships/hyperlink" Target="https://i.postimg.cc/1tSb15tD/212.png" TargetMode="External"/><Relationship Id="rId381" Type="http://schemas.openxmlformats.org/officeDocument/2006/relationships/hyperlink" Target="https://i.postimg.cc/FHDNPWQV/118.png" TargetMode="External"/><Relationship Id="rId380" Type="http://schemas.openxmlformats.org/officeDocument/2006/relationships/hyperlink" Target="https://i.postimg.cc/qvjhr74y/152.png" TargetMode="External"/><Relationship Id="rId139" Type="http://schemas.openxmlformats.org/officeDocument/2006/relationships/hyperlink" Target="https://i.postimg.cc/QdWXB05P/239.png" TargetMode="External"/><Relationship Id="rId138" Type="http://schemas.openxmlformats.org/officeDocument/2006/relationships/hyperlink" Target="https://i.postimg.cc/bvmwsMtD/273.png" TargetMode="External"/><Relationship Id="rId259" Type="http://schemas.openxmlformats.org/officeDocument/2006/relationships/hyperlink" Target="https://i.postimg.cc/JztbnFKs/179.png" TargetMode="External"/><Relationship Id="rId137" Type="http://schemas.openxmlformats.org/officeDocument/2006/relationships/hyperlink" Target="https://i.postimg.cc/tgQ9FWNg/240.png" TargetMode="External"/><Relationship Id="rId258" Type="http://schemas.openxmlformats.org/officeDocument/2006/relationships/hyperlink" Target="https://i.postimg.cc/DzLRNb22/213.png" TargetMode="External"/><Relationship Id="rId379" Type="http://schemas.openxmlformats.org/officeDocument/2006/relationships/hyperlink" Target="https://i.postimg.cc/TwZRVKX8/119.png" TargetMode="External"/><Relationship Id="rId132" Type="http://schemas.openxmlformats.org/officeDocument/2006/relationships/hyperlink" Target="https://i.postimg.cc/DZmysgrC/276.png" TargetMode="External"/><Relationship Id="rId253" Type="http://schemas.openxmlformats.org/officeDocument/2006/relationships/hyperlink" Target="https://i.postimg.cc/pVYQ1zpL/182.png" TargetMode="External"/><Relationship Id="rId374" Type="http://schemas.openxmlformats.org/officeDocument/2006/relationships/hyperlink" Target="https://i.postimg.cc/tRxx6yNG/155.png" TargetMode="External"/><Relationship Id="rId495" Type="http://schemas.openxmlformats.org/officeDocument/2006/relationships/hyperlink" Target="https://i.postimg.cc/d1n2DKMT/061.png" TargetMode="External"/><Relationship Id="rId131" Type="http://schemas.openxmlformats.org/officeDocument/2006/relationships/hyperlink" Target="https://i.postimg.cc/RVS6H5VY/243.png" TargetMode="External"/><Relationship Id="rId252" Type="http://schemas.openxmlformats.org/officeDocument/2006/relationships/hyperlink" Target="https://i.postimg.cc/FHfMjB8k/216.png" TargetMode="External"/><Relationship Id="rId373" Type="http://schemas.openxmlformats.org/officeDocument/2006/relationships/hyperlink" Target="https://i.postimg.cc/nhkcyVq7/122.png" TargetMode="External"/><Relationship Id="rId494" Type="http://schemas.openxmlformats.org/officeDocument/2006/relationships/hyperlink" Target="https://i.postimg.cc/DZCBbhrX/095.png" TargetMode="External"/><Relationship Id="rId130" Type="http://schemas.openxmlformats.org/officeDocument/2006/relationships/hyperlink" Target="https://i.postimg.cc/pdC9Z6J1/277.png" TargetMode="External"/><Relationship Id="rId251" Type="http://schemas.openxmlformats.org/officeDocument/2006/relationships/hyperlink" Target="https://i.postimg.cc/ZnZ85KDm/183.png" TargetMode="External"/><Relationship Id="rId372" Type="http://schemas.openxmlformats.org/officeDocument/2006/relationships/hyperlink" Target="https://i.postimg.cc/nrB9fYhh/156.png" TargetMode="External"/><Relationship Id="rId493" Type="http://schemas.openxmlformats.org/officeDocument/2006/relationships/hyperlink" Target="https://i.postimg.cc/FRhb9H64/062.png" TargetMode="External"/><Relationship Id="rId250" Type="http://schemas.openxmlformats.org/officeDocument/2006/relationships/hyperlink" Target="https://i.postimg.cc/MKrkfSP8/217.png" TargetMode="External"/><Relationship Id="rId371" Type="http://schemas.openxmlformats.org/officeDocument/2006/relationships/hyperlink" Target="https://i.postimg.cc/htgtZQQc/123.png" TargetMode="External"/><Relationship Id="rId492" Type="http://schemas.openxmlformats.org/officeDocument/2006/relationships/hyperlink" Target="https://i.postimg.cc/257Hrh3T/096.png" TargetMode="External"/><Relationship Id="rId136" Type="http://schemas.openxmlformats.org/officeDocument/2006/relationships/hyperlink" Target="https://i.postimg.cc/nVgM46wq/274.png" TargetMode="External"/><Relationship Id="rId257" Type="http://schemas.openxmlformats.org/officeDocument/2006/relationships/hyperlink" Target="https://i.postimg.cc/3JtX3hjM/180.png" TargetMode="External"/><Relationship Id="rId378" Type="http://schemas.openxmlformats.org/officeDocument/2006/relationships/hyperlink" Target="https://i.postimg.cc/fT7SHKPH/153.png" TargetMode="External"/><Relationship Id="rId499" Type="http://schemas.openxmlformats.org/officeDocument/2006/relationships/hyperlink" Target="https://i.postimg.cc/FzB0ggHr/059.png" TargetMode="External"/><Relationship Id="rId135" Type="http://schemas.openxmlformats.org/officeDocument/2006/relationships/hyperlink" Target="https://i.postimg.cc/TwTG4xSM/241.png" TargetMode="External"/><Relationship Id="rId256" Type="http://schemas.openxmlformats.org/officeDocument/2006/relationships/hyperlink" Target="https://i.postimg.cc/K8ddQ5hq/214.png" TargetMode="External"/><Relationship Id="rId377" Type="http://schemas.openxmlformats.org/officeDocument/2006/relationships/hyperlink" Target="https://i.postimg.cc/YSD2SXnC/120.png" TargetMode="External"/><Relationship Id="rId498" Type="http://schemas.openxmlformats.org/officeDocument/2006/relationships/hyperlink" Target="https://i.postimg.cc/x8h5tPFj/093.png" TargetMode="External"/><Relationship Id="rId134" Type="http://schemas.openxmlformats.org/officeDocument/2006/relationships/hyperlink" Target="https://i.postimg.cc/RhkFvHng/275.png" TargetMode="External"/><Relationship Id="rId255" Type="http://schemas.openxmlformats.org/officeDocument/2006/relationships/hyperlink" Target="https://i.postimg.cc/KvG7XjMr/181.png" TargetMode="External"/><Relationship Id="rId376" Type="http://schemas.openxmlformats.org/officeDocument/2006/relationships/hyperlink" Target="https://i.postimg.cc/WbcJ6K5F/154.png" TargetMode="External"/><Relationship Id="rId497" Type="http://schemas.openxmlformats.org/officeDocument/2006/relationships/hyperlink" Target="https://i.postimg.cc/ZnRrdDZs/060.png" TargetMode="External"/><Relationship Id="rId133" Type="http://schemas.openxmlformats.org/officeDocument/2006/relationships/hyperlink" Target="https://i.postimg.cc/zDSHvX5W/242.png" TargetMode="External"/><Relationship Id="rId254" Type="http://schemas.openxmlformats.org/officeDocument/2006/relationships/hyperlink" Target="https://i.postimg.cc/8PCQC5bH/215.png" TargetMode="External"/><Relationship Id="rId375" Type="http://schemas.openxmlformats.org/officeDocument/2006/relationships/hyperlink" Target="https://i.postimg.cc/rpwFM69H/121.png" TargetMode="External"/><Relationship Id="rId496" Type="http://schemas.openxmlformats.org/officeDocument/2006/relationships/hyperlink" Target="https://i.postimg.cc/qB51JkMf/094.png" TargetMode="External"/><Relationship Id="rId172" Type="http://schemas.openxmlformats.org/officeDocument/2006/relationships/hyperlink" Target="https://i.postimg.cc/7LFRKKP0/256.png" TargetMode="External"/><Relationship Id="rId293" Type="http://schemas.openxmlformats.org/officeDocument/2006/relationships/hyperlink" Target="https://i.postimg.cc/vHK4PZLm/162.png" TargetMode="External"/><Relationship Id="rId171" Type="http://schemas.openxmlformats.org/officeDocument/2006/relationships/hyperlink" Target="https://i.postimg.cc/Qdd3jF9w/223.png" TargetMode="External"/><Relationship Id="rId292" Type="http://schemas.openxmlformats.org/officeDocument/2006/relationships/hyperlink" Target="https://i.postimg.cc/7Z7BP8j9/196.png" TargetMode="External"/><Relationship Id="rId170" Type="http://schemas.openxmlformats.org/officeDocument/2006/relationships/hyperlink" Target="https://i.postimg.cc/76SWdSbc/257.png" TargetMode="External"/><Relationship Id="rId291" Type="http://schemas.openxmlformats.org/officeDocument/2006/relationships/hyperlink" Target="https://i.postimg.cc/CL5ZHq8t/163.png" TargetMode="External"/><Relationship Id="rId290" Type="http://schemas.openxmlformats.org/officeDocument/2006/relationships/hyperlink" Target="https://i.postimg.cc/RV2szVpq/197.png" TargetMode="External"/><Relationship Id="rId165" Type="http://schemas.openxmlformats.org/officeDocument/2006/relationships/hyperlink" Target="https://i.postimg.cc/KctFfShq/226.png" TargetMode="External"/><Relationship Id="rId286" Type="http://schemas.openxmlformats.org/officeDocument/2006/relationships/hyperlink" Target="https://i.postimg.cc/SQT1DGW6/199.png" TargetMode="External"/><Relationship Id="rId164" Type="http://schemas.openxmlformats.org/officeDocument/2006/relationships/hyperlink" Target="https://i.postimg.cc/7ZQd2xpB/260.png" TargetMode="External"/><Relationship Id="rId285" Type="http://schemas.openxmlformats.org/officeDocument/2006/relationships/hyperlink" Target="https://i.postimg.cc/ydKgFphX/166.png" TargetMode="External"/><Relationship Id="rId163" Type="http://schemas.openxmlformats.org/officeDocument/2006/relationships/hyperlink" Target="https://i.postimg.cc/NFvttbmk/227.png" TargetMode="External"/><Relationship Id="rId284" Type="http://schemas.openxmlformats.org/officeDocument/2006/relationships/hyperlink" Target="https://i.postimg.cc/qq5mqkkb/200.png" TargetMode="External"/><Relationship Id="rId162" Type="http://schemas.openxmlformats.org/officeDocument/2006/relationships/hyperlink" Target="https://i.postimg.cc/D0gYyFrP/261.png" TargetMode="External"/><Relationship Id="rId283" Type="http://schemas.openxmlformats.org/officeDocument/2006/relationships/hyperlink" Target="https://i.postimg.cc/zfKHHYhG/167.png" TargetMode="External"/><Relationship Id="rId169" Type="http://schemas.openxmlformats.org/officeDocument/2006/relationships/hyperlink" Target="https://i.postimg.cc/3JBhMXR2/224.png" TargetMode="External"/><Relationship Id="rId168" Type="http://schemas.openxmlformats.org/officeDocument/2006/relationships/hyperlink" Target="https://i.postimg.cc/MGM40Cwz/258.png" TargetMode="External"/><Relationship Id="rId289" Type="http://schemas.openxmlformats.org/officeDocument/2006/relationships/hyperlink" Target="https://i.postimg.cc/T17KvRzC/164.png" TargetMode="External"/><Relationship Id="rId167" Type="http://schemas.openxmlformats.org/officeDocument/2006/relationships/hyperlink" Target="https://i.postimg.cc/x8G21HPD/225.png" TargetMode="External"/><Relationship Id="rId288" Type="http://schemas.openxmlformats.org/officeDocument/2006/relationships/hyperlink" Target="https://i.postimg.cc/L6JC7ZTr/198.png" TargetMode="External"/><Relationship Id="rId166" Type="http://schemas.openxmlformats.org/officeDocument/2006/relationships/hyperlink" Target="https://i.postimg.cc/FzmB41LK/259.png" TargetMode="External"/><Relationship Id="rId287" Type="http://schemas.openxmlformats.org/officeDocument/2006/relationships/hyperlink" Target="https://i.postimg.cc/BbQjz8Vj/165.png" TargetMode="External"/><Relationship Id="rId161" Type="http://schemas.openxmlformats.org/officeDocument/2006/relationships/hyperlink" Target="https://i.postimg.cc/rFcTYn88/228.png" TargetMode="External"/><Relationship Id="rId282" Type="http://schemas.openxmlformats.org/officeDocument/2006/relationships/hyperlink" Target="https://i.postimg.cc/T1w7TyX5/201.png" TargetMode="External"/><Relationship Id="rId160" Type="http://schemas.openxmlformats.org/officeDocument/2006/relationships/hyperlink" Target="https://i.postimg.cc/8kBYbd2f/262.png" TargetMode="External"/><Relationship Id="rId281" Type="http://schemas.openxmlformats.org/officeDocument/2006/relationships/hyperlink" Target="https://i.postimg.cc/YCJmSChP/168.png" TargetMode="External"/><Relationship Id="rId280" Type="http://schemas.openxmlformats.org/officeDocument/2006/relationships/hyperlink" Target="https://i.postimg.cc/fL5q4c1h/202.png" TargetMode="External"/><Relationship Id="rId159" Type="http://schemas.openxmlformats.org/officeDocument/2006/relationships/hyperlink" Target="https://i.postimg.cc/TYDSgS7r/229.png" TargetMode="External"/><Relationship Id="rId154" Type="http://schemas.openxmlformats.org/officeDocument/2006/relationships/hyperlink" Target="https://i.postimg.cc/wj3bHC7D/265.png" TargetMode="External"/><Relationship Id="rId275" Type="http://schemas.openxmlformats.org/officeDocument/2006/relationships/hyperlink" Target="https://i.postimg.cc/kXgS1H0T/171.png" TargetMode="External"/><Relationship Id="rId396" Type="http://schemas.openxmlformats.org/officeDocument/2006/relationships/hyperlink" Target="https://i.postimg.cc/Fsx1bKf8/144.png" TargetMode="External"/><Relationship Id="rId153" Type="http://schemas.openxmlformats.org/officeDocument/2006/relationships/hyperlink" Target="https://i.postimg.cc/kgpk9fdR/232.png" TargetMode="External"/><Relationship Id="rId274" Type="http://schemas.openxmlformats.org/officeDocument/2006/relationships/hyperlink" Target="https://i.postimg.cc/pdb6KXK3/205.png" TargetMode="External"/><Relationship Id="rId395" Type="http://schemas.openxmlformats.org/officeDocument/2006/relationships/hyperlink" Target="https://i.postimg.cc/RFnmZvJg/111.png" TargetMode="External"/><Relationship Id="rId152" Type="http://schemas.openxmlformats.org/officeDocument/2006/relationships/hyperlink" Target="https://i.postimg.cc/jS93jM7m/266.png" TargetMode="External"/><Relationship Id="rId273" Type="http://schemas.openxmlformats.org/officeDocument/2006/relationships/hyperlink" Target="https://i.postimg.cc/L4TfVSbq/172.png" TargetMode="External"/><Relationship Id="rId394" Type="http://schemas.openxmlformats.org/officeDocument/2006/relationships/hyperlink" Target="https://i.postimg.cc/GmhtX1G2/145.png" TargetMode="External"/><Relationship Id="rId151" Type="http://schemas.openxmlformats.org/officeDocument/2006/relationships/hyperlink" Target="https://i.postimg.cc/c4Tpkd9m/233.png" TargetMode="External"/><Relationship Id="rId272" Type="http://schemas.openxmlformats.org/officeDocument/2006/relationships/hyperlink" Target="https://i.postimg.cc/HsnRgNpv/206.png" TargetMode="External"/><Relationship Id="rId393" Type="http://schemas.openxmlformats.org/officeDocument/2006/relationships/hyperlink" Target="https://i.postimg.cc/fbyZ1czn/112.png" TargetMode="External"/><Relationship Id="rId158" Type="http://schemas.openxmlformats.org/officeDocument/2006/relationships/hyperlink" Target="https://i.postimg.cc/zXzc2bNt/263.png" TargetMode="External"/><Relationship Id="rId279" Type="http://schemas.openxmlformats.org/officeDocument/2006/relationships/hyperlink" Target="https://i.postimg.cc/2SqZmZ8v/169.png" TargetMode="External"/><Relationship Id="rId157" Type="http://schemas.openxmlformats.org/officeDocument/2006/relationships/hyperlink" Target="https://i.postimg.cc/1zVbzw9C/230.png" TargetMode="External"/><Relationship Id="rId278" Type="http://schemas.openxmlformats.org/officeDocument/2006/relationships/hyperlink" Target="https://i.postimg.cc/PxdVF334/203.png" TargetMode="External"/><Relationship Id="rId399" Type="http://schemas.openxmlformats.org/officeDocument/2006/relationships/hyperlink" Target="https://i.postimg.cc/yxmz0nP9/109.png" TargetMode="External"/><Relationship Id="rId156" Type="http://schemas.openxmlformats.org/officeDocument/2006/relationships/hyperlink" Target="https://i.postimg.cc/DyxY9vy2/264.png" TargetMode="External"/><Relationship Id="rId277" Type="http://schemas.openxmlformats.org/officeDocument/2006/relationships/hyperlink" Target="https://i.postimg.cc/X71CT834/170.png" TargetMode="External"/><Relationship Id="rId398" Type="http://schemas.openxmlformats.org/officeDocument/2006/relationships/hyperlink" Target="https://i.postimg.cc/t4STfmNz/143.png" TargetMode="External"/><Relationship Id="rId155" Type="http://schemas.openxmlformats.org/officeDocument/2006/relationships/hyperlink" Target="https://i.postimg.cc/YC9JJTTw/231.png" TargetMode="External"/><Relationship Id="rId276" Type="http://schemas.openxmlformats.org/officeDocument/2006/relationships/hyperlink" Target="https://i.postimg.cc/d02S6PB3/204.png" TargetMode="External"/><Relationship Id="rId397" Type="http://schemas.openxmlformats.org/officeDocument/2006/relationships/hyperlink" Target="https://i.postimg.cc/L5KpqGz2/110.png" TargetMode="External"/><Relationship Id="rId40" Type="http://schemas.openxmlformats.org/officeDocument/2006/relationships/hyperlink" Target="https://i.postimg.cc/6QFnWpGH/290.png" TargetMode="External"/><Relationship Id="rId42" Type="http://schemas.openxmlformats.org/officeDocument/2006/relationships/hyperlink" Target="https://i.postimg.cc/GhQ3p26M/289.png" TargetMode="External"/><Relationship Id="rId41" Type="http://schemas.openxmlformats.org/officeDocument/2006/relationships/hyperlink" Target="https://i.postimg.cc/VkCqvGkD/323.png" TargetMode="External"/><Relationship Id="rId44" Type="http://schemas.openxmlformats.org/officeDocument/2006/relationships/hyperlink" Target="https://i.postimg.cc/m2R2RMpz/288.png" TargetMode="External"/><Relationship Id="rId43" Type="http://schemas.openxmlformats.org/officeDocument/2006/relationships/hyperlink" Target="https://i.postimg.cc/28zbH4FF/322.png" TargetMode="External"/><Relationship Id="rId46" Type="http://schemas.openxmlformats.org/officeDocument/2006/relationships/hyperlink" Target="https://i.postimg.cc/pdjqGDm2/287.png" TargetMode="External"/><Relationship Id="rId45" Type="http://schemas.openxmlformats.org/officeDocument/2006/relationships/hyperlink" Target="https://i.postimg.cc/Wpmq69r1/321.png" TargetMode="External"/><Relationship Id="rId509" Type="http://schemas.openxmlformats.org/officeDocument/2006/relationships/hyperlink" Target="https://i.postimg.cc/7Lk0VLw2/054.png" TargetMode="External"/><Relationship Id="rId508" Type="http://schemas.openxmlformats.org/officeDocument/2006/relationships/hyperlink" Target="https://i.postimg.cc/8C4bqGn0/088.png" TargetMode="External"/><Relationship Id="rId629" Type="http://schemas.openxmlformats.org/officeDocument/2006/relationships/hyperlink" Target="https://i.postimg.cc/d3NsXh8V/021.png" TargetMode="External"/><Relationship Id="rId503" Type="http://schemas.openxmlformats.org/officeDocument/2006/relationships/hyperlink" Target="https://i.postimg.cc/TYKV2Stp/057.png" TargetMode="External"/><Relationship Id="rId624" Type="http://schemas.openxmlformats.org/officeDocument/2006/relationships/hyperlink" Target="https://i.postimg.cc/L605QbT3/027.png" TargetMode="External"/><Relationship Id="rId502" Type="http://schemas.openxmlformats.org/officeDocument/2006/relationships/hyperlink" Target="https://i.postimg.cc/8Pftsqj7/091.png" TargetMode="External"/><Relationship Id="rId623" Type="http://schemas.openxmlformats.org/officeDocument/2006/relationships/hyperlink" Target="https://i.postimg.cc/vZJBbxC1/026.png" TargetMode="External"/><Relationship Id="rId501" Type="http://schemas.openxmlformats.org/officeDocument/2006/relationships/hyperlink" Target="https://i.postimg.cc/Kcq72Fr6/058.png" TargetMode="External"/><Relationship Id="rId622" Type="http://schemas.openxmlformats.org/officeDocument/2006/relationships/hyperlink" Target="https://i.postimg.cc/cLgHpBky/029.png" TargetMode="External"/><Relationship Id="rId500" Type="http://schemas.openxmlformats.org/officeDocument/2006/relationships/hyperlink" Target="https://i.postimg.cc/JzwKXPkP/092.png" TargetMode="External"/><Relationship Id="rId621" Type="http://schemas.openxmlformats.org/officeDocument/2006/relationships/hyperlink" Target="https://i.postimg.cc/xj5cMCN7/030.png" TargetMode="External"/><Relationship Id="rId507" Type="http://schemas.openxmlformats.org/officeDocument/2006/relationships/hyperlink" Target="https://i.postimg.cc/GmYvGDwR/055.png" TargetMode="External"/><Relationship Id="rId628" Type="http://schemas.openxmlformats.org/officeDocument/2006/relationships/hyperlink" Target="https://i.postimg.cc/QCdN0QKz/022.png" TargetMode="External"/><Relationship Id="rId506" Type="http://schemas.openxmlformats.org/officeDocument/2006/relationships/hyperlink" Target="https://i.postimg.cc/JhMq60KX/089.png" TargetMode="External"/><Relationship Id="rId627" Type="http://schemas.openxmlformats.org/officeDocument/2006/relationships/hyperlink" Target="https://i.postimg.cc/d1Bt2H3d/023.png" TargetMode="External"/><Relationship Id="rId505" Type="http://schemas.openxmlformats.org/officeDocument/2006/relationships/hyperlink" Target="https://i.postimg.cc/bN4QZT5L/056.png" TargetMode="External"/><Relationship Id="rId626" Type="http://schemas.openxmlformats.org/officeDocument/2006/relationships/hyperlink" Target="https://i.postimg.cc/Xv9vJ70s/024.png" TargetMode="External"/><Relationship Id="rId504" Type="http://schemas.openxmlformats.org/officeDocument/2006/relationships/hyperlink" Target="https://i.postimg.cc/sgpm47Py/090.png" TargetMode="External"/><Relationship Id="rId625" Type="http://schemas.openxmlformats.org/officeDocument/2006/relationships/hyperlink" Target="https://i.postimg.cc/63wpGJWt/025.png" TargetMode="External"/><Relationship Id="rId48" Type="http://schemas.openxmlformats.org/officeDocument/2006/relationships/hyperlink" Target="https://i.postimg.cc/6pgMfH5j/286.png" TargetMode="External"/><Relationship Id="rId47" Type="http://schemas.openxmlformats.org/officeDocument/2006/relationships/hyperlink" Target="https://i.postimg.cc/bvvbC6KC/320.png" TargetMode="External"/><Relationship Id="rId49" Type="http://schemas.openxmlformats.org/officeDocument/2006/relationships/hyperlink" Target="https://i.postimg.cc/GpSDZFRc/319.png" TargetMode="External"/><Relationship Id="rId620" Type="http://schemas.openxmlformats.org/officeDocument/2006/relationships/hyperlink" Target="https://i.postimg.cc/2853wD45/028.png" TargetMode="External"/><Relationship Id="rId31" Type="http://schemas.openxmlformats.org/officeDocument/2006/relationships/hyperlink" Target="https://i.postimg.cc/Yqf0m8Lz/328.png" TargetMode="External"/><Relationship Id="rId30" Type="http://schemas.openxmlformats.org/officeDocument/2006/relationships/hyperlink" Target="https://i.postimg.cc/BbBRLty7/295.png" TargetMode="External"/><Relationship Id="rId33" Type="http://schemas.openxmlformats.org/officeDocument/2006/relationships/hyperlink" Target="https://i.postimg.cc/DwvZQsqk/327.png" TargetMode="External"/><Relationship Id="rId32" Type="http://schemas.openxmlformats.org/officeDocument/2006/relationships/hyperlink" Target="https://i.postimg.cc/nrGNjM5w/294.png" TargetMode="External"/><Relationship Id="rId35" Type="http://schemas.openxmlformats.org/officeDocument/2006/relationships/hyperlink" Target="https://i.postimg.cc/6QLCZvL7/326.png" TargetMode="External"/><Relationship Id="rId34" Type="http://schemas.openxmlformats.org/officeDocument/2006/relationships/hyperlink" Target="https://i.postimg.cc/wBvGzZ3Q/293.png" TargetMode="External"/><Relationship Id="rId619" Type="http://schemas.openxmlformats.org/officeDocument/2006/relationships/hyperlink" Target="https://i.postimg.cc/prsrHGtx/031.png" TargetMode="External"/><Relationship Id="rId618" Type="http://schemas.openxmlformats.org/officeDocument/2006/relationships/hyperlink" Target="https://i.postimg.cc/x8f8Brht/032.png" TargetMode="External"/><Relationship Id="rId613" Type="http://schemas.openxmlformats.org/officeDocument/2006/relationships/hyperlink" Target="https://i.postimg.cc/tTVZP1MP/002.png" TargetMode="External"/><Relationship Id="rId612" Type="http://schemas.openxmlformats.org/officeDocument/2006/relationships/hyperlink" Target="https://i.postimg.cc/28HLR6zv/036.png" TargetMode="External"/><Relationship Id="rId611" Type="http://schemas.openxmlformats.org/officeDocument/2006/relationships/hyperlink" Target="https://i.postimg.cc/Pq7vPb2T/003.png" TargetMode="External"/><Relationship Id="rId610" Type="http://schemas.openxmlformats.org/officeDocument/2006/relationships/hyperlink" Target="https://i.postimg.cc/k5S2bvWF/037.png" TargetMode="External"/><Relationship Id="rId617" Type="http://schemas.openxmlformats.org/officeDocument/2006/relationships/hyperlink" Target="https://i.postimg.cc/rmCzhynD/033.png" TargetMode="External"/><Relationship Id="rId616" Type="http://schemas.openxmlformats.org/officeDocument/2006/relationships/hyperlink" Target="https://i.postimg.cc/sXRv9GcF/034.png" TargetMode="External"/><Relationship Id="rId615" Type="http://schemas.openxmlformats.org/officeDocument/2006/relationships/hyperlink" Target="https://i.postimg.cc/prb9B2wS/001.png" TargetMode="External"/><Relationship Id="rId614" Type="http://schemas.openxmlformats.org/officeDocument/2006/relationships/hyperlink" Target="https://i.postimg.cc/FH8fzBkH/035.png" TargetMode="External"/><Relationship Id="rId37" Type="http://schemas.openxmlformats.org/officeDocument/2006/relationships/hyperlink" Target="https://i.postimg.cc/W4PMtnrL/325.png" TargetMode="External"/><Relationship Id="rId36" Type="http://schemas.openxmlformats.org/officeDocument/2006/relationships/hyperlink" Target="https://i.postimg.cc/8C0nz46Q/292.png" TargetMode="External"/><Relationship Id="rId39" Type="http://schemas.openxmlformats.org/officeDocument/2006/relationships/hyperlink" Target="https://i.postimg.cc/ZKFqF2xm/324.png" TargetMode="External"/><Relationship Id="rId38" Type="http://schemas.openxmlformats.org/officeDocument/2006/relationships/hyperlink" Target="https://i.postimg.cc/rmWWK21q/291.png" TargetMode="External"/><Relationship Id="rId20" Type="http://schemas.openxmlformats.org/officeDocument/2006/relationships/hyperlink" Target="https://i.postimg.cc/J04HTBKh/300.png" TargetMode="External"/><Relationship Id="rId22" Type="http://schemas.openxmlformats.org/officeDocument/2006/relationships/hyperlink" Target="https://i.postimg.cc/kMybBzDn/299.png" TargetMode="External"/><Relationship Id="rId21" Type="http://schemas.openxmlformats.org/officeDocument/2006/relationships/hyperlink" Target="https://i.postimg.cc/7Lq9QDmL/333.png" TargetMode="External"/><Relationship Id="rId24" Type="http://schemas.openxmlformats.org/officeDocument/2006/relationships/hyperlink" Target="https://i.postimg.cc/wxkm7Z3q/298.png" TargetMode="External"/><Relationship Id="rId23" Type="http://schemas.openxmlformats.org/officeDocument/2006/relationships/hyperlink" Target="https://i.postimg.cc/6ppxZLBq/332.png" TargetMode="External"/><Relationship Id="rId409" Type="http://schemas.openxmlformats.org/officeDocument/2006/relationships/hyperlink" Target="https://i.postimg.cc/x1xVGXKs/104.png" TargetMode="External"/><Relationship Id="rId404" Type="http://schemas.openxmlformats.org/officeDocument/2006/relationships/hyperlink" Target="https://i.postimg.cc/C1DxRMTv/140.png" TargetMode="External"/><Relationship Id="rId525" Type="http://schemas.openxmlformats.org/officeDocument/2006/relationships/hyperlink" Target="https://i.postimg.cc/mgxHLrc5/046.png" TargetMode="External"/><Relationship Id="rId646" Type="http://schemas.openxmlformats.org/officeDocument/2006/relationships/hyperlink" Target="https://i.postimg.cc/MTK8SWZM/004.png" TargetMode="External"/><Relationship Id="rId403" Type="http://schemas.openxmlformats.org/officeDocument/2006/relationships/hyperlink" Target="https://i.postimg.cc/4N1gdLnR/107.png" TargetMode="External"/><Relationship Id="rId524" Type="http://schemas.openxmlformats.org/officeDocument/2006/relationships/hyperlink" Target="https://i.postimg.cc/9QtSFvnG/080.png" TargetMode="External"/><Relationship Id="rId645" Type="http://schemas.openxmlformats.org/officeDocument/2006/relationships/hyperlink" Target="https://i.postimg.cc/6QhNg7Kx/005.png" TargetMode="External"/><Relationship Id="rId402" Type="http://schemas.openxmlformats.org/officeDocument/2006/relationships/hyperlink" Target="https://i.postimg.cc/N0Z0G9V9/141.png" TargetMode="External"/><Relationship Id="rId523" Type="http://schemas.openxmlformats.org/officeDocument/2006/relationships/hyperlink" Target="https://i.postimg.cc/MKfBJBGB/047.png" TargetMode="External"/><Relationship Id="rId644" Type="http://schemas.openxmlformats.org/officeDocument/2006/relationships/hyperlink" Target="https://i.postimg.cc/tgbjB3Lz/006.png" TargetMode="External"/><Relationship Id="rId401" Type="http://schemas.openxmlformats.org/officeDocument/2006/relationships/hyperlink" Target="https://i.postimg.cc/qBy0fMTR/108.png" TargetMode="External"/><Relationship Id="rId522" Type="http://schemas.openxmlformats.org/officeDocument/2006/relationships/hyperlink" Target="https://i.postimg.cc/wjdZz60q/081.png" TargetMode="External"/><Relationship Id="rId643" Type="http://schemas.openxmlformats.org/officeDocument/2006/relationships/hyperlink" Target="https://i.postimg.cc/rwxTGnYm/007.png" TargetMode="External"/><Relationship Id="rId408" Type="http://schemas.openxmlformats.org/officeDocument/2006/relationships/hyperlink" Target="https://i.postimg.cc/cCB1cDJw/138.png" TargetMode="External"/><Relationship Id="rId529" Type="http://schemas.openxmlformats.org/officeDocument/2006/relationships/hyperlink" Target="https://i.postimg.cc/jjtnfk46/044.png" TargetMode="External"/><Relationship Id="rId407" Type="http://schemas.openxmlformats.org/officeDocument/2006/relationships/hyperlink" Target="https://i.postimg.cc/XY70yfyG/105.png" TargetMode="External"/><Relationship Id="rId528" Type="http://schemas.openxmlformats.org/officeDocument/2006/relationships/hyperlink" Target="https://i.postimg.cc/vm0N55MT/078.png" TargetMode="External"/><Relationship Id="rId649" Type="http://schemas.openxmlformats.org/officeDocument/2006/relationships/hyperlink" Target="https://i.postimg.cc/WzxRggGg/001.png" TargetMode="External"/><Relationship Id="rId406" Type="http://schemas.openxmlformats.org/officeDocument/2006/relationships/hyperlink" Target="https://i.postimg.cc/prHXzNPP/139.png" TargetMode="External"/><Relationship Id="rId527" Type="http://schemas.openxmlformats.org/officeDocument/2006/relationships/hyperlink" Target="https://i.postimg.cc/x1KbcSMT/045.png" TargetMode="External"/><Relationship Id="rId648" Type="http://schemas.openxmlformats.org/officeDocument/2006/relationships/hyperlink" Target="https://i.postimg.cc/nrXbX0Dn/002.png" TargetMode="External"/><Relationship Id="rId405" Type="http://schemas.openxmlformats.org/officeDocument/2006/relationships/hyperlink" Target="https://i.postimg.cc/65KKBJWh/106.png" TargetMode="External"/><Relationship Id="rId526" Type="http://schemas.openxmlformats.org/officeDocument/2006/relationships/hyperlink" Target="https://i.postimg.cc/jjx1WZpB/079.png" TargetMode="External"/><Relationship Id="rId647" Type="http://schemas.openxmlformats.org/officeDocument/2006/relationships/hyperlink" Target="https://i.postimg.cc/pTGMVgy0/003.png" TargetMode="External"/><Relationship Id="rId26" Type="http://schemas.openxmlformats.org/officeDocument/2006/relationships/hyperlink" Target="https://i.postimg.cc/3Nz9LvcJ/297.png" TargetMode="External"/><Relationship Id="rId25" Type="http://schemas.openxmlformats.org/officeDocument/2006/relationships/hyperlink" Target="https://i.postimg.cc/XYY65cnJ/331.png" TargetMode="External"/><Relationship Id="rId28" Type="http://schemas.openxmlformats.org/officeDocument/2006/relationships/hyperlink" Target="https://i.postimg.cc/0jhZtwB8/296.png" TargetMode="External"/><Relationship Id="rId27" Type="http://schemas.openxmlformats.org/officeDocument/2006/relationships/hyperlink" Target="https://i.postimg.cc/8PSXcjj5/330.png" TargetMode="External"/><Relationship Id="rId400" Type="http://schemas.openxmlformats.org/officeDocument/2006/relationships/hyperlink" Target="https://i.postimg.cc/YSv9wfXB/142.png" TargetMode="External"/><Relationship Id="rId521" Type="http://schemas.openxmlformats.org/officeDocument/2006/relationships/hyperlink" Target="https://i.postimg.cc/PfRD7ydh/048.png" TargetMode="External"/><Relationship Id="rId642" Type="http://schemas.openxmlformats.org/officeDocument/2006/relationships/hyperlink" Target="https://i.postimg.cc/hPHgdWs6/008.png" TargetMode="External"/><Relationship Id="rId29" Type="http://schemas.openxmlformats.org/officeDocument/2006/relationships/hyperlink" Target="https://i.postimg.cc/B6xLJc36/329.png" TargetMode="External"/><Relationship Id="rId520" Type="http://schemas.openxmlformats.org/officeDocument/2006/relationships/hyperlink" Target="https://i.postimg.cc/bNnW4G0V/082.png" TargetMode="External"/><Relationship Id="rId641" Type="http://schemas.openxmlformats.org/officeDocument/2006/relationships/hyperlink" Target="https://i.postimg.cc/442XXh9J/009.png" TargetMode="External"/><Relationship Id="rId640" Type="http://schemas.openxmlformats.org/officeDocument/2006/relationships/hyperlink" Target="https://i.postimg.cc/28qry8Qn/010.png" TargetMode="External"/><Relationship Id="rId11" Type="http://schemas.openxmlformats.org/officeDocument/2006/relationships/hyperlink" Target="https://i.postimg.cc/4xb8hWRc/338.png" TargetMode="External"/><Relationship Id="rId10" Type="http://schemas.openxmlformats.org/officeDocument/2006/relationships/hyperlink" Target="https://i.postimg.cc/Lsq7zr0X/305.png" TargetMode="External"/><Relationship Id="rId13" Type="http://schemas.openxmlformats.org/officeDocument/2006/relationships/hyperlink" Target="https://i.postimg.cc/HsbjQzTf/337.png" TargetMode="External"/><Relationship Id="rId12" Type="http://schemas.openxmlformats.org/officeDocument/2006/relationships/hyperlink" Target="https://i.postimg.cc/HLJKQfPj/304.png" TargetMode="External"/><Relationship Id="rId519" Type="http://schemas.openxmlformats.org/officeDocument/2006/relationships/hyperlink" Target="https://i.postimg.cc/fyp00z8k/049.png" TargetMode="External"/><Relationship Id="rId514" Type="http://schemas.openxmlformats.org/officeDocument/2006/relationships/hyperlink" Target="https://i.postimg.cc/WzBmM1hh/085.png" TargetMode="External"/><Relationship Id="rId635" Type="http://schemas.openxmlformats.org/officeDocument/2006/relationships/hyperlink" Target="https://i.postimg.cc/s2PVz6p8/015.png" TargetMode="External"/><Relationship Id="rId513" Type="http://schemas.openxmlformats.org/officeDocument/2006/relationships/hyperlink" Target="https://i.postimg.cc/G23DWSB3/052.png" TargetMode="External"/><Relationship Id="rId634" Type="http://schemas.openxmlformats.org/officeDocument/2006/relationships/hyperlink" Target="https://i.postimg.cc/ZqzT1typ/016.png" TargetMode="External"/><Relationship Id="rId512" Type="http://schemas.openxmlformats.org/officeDocument/2006/relationships/hyperlink" Target="https://i.postimg.cc/prhYhFVw/086.png" TargetMode="External"/><Relationship Id="rId633" Type="http://schemas.openxmlformats.org/officeDocument/2006/relationships/hyperlink" Target="https://i.postimg.cc/6pvWj5TB/017.png" TargetMode="External"/><Relationship Id="rId511" Type="http://schemas.openxmlformats.org/officeDocument/2006/relationships/hyperlink" Target="https://i.postimg.cc/cJBY5NL5/053.png" TargetMode="External"/><Relationship Id="rId632" Type="http://schemas.openxmlformats.org/officeDocument/2006/relationships/hyperlink" Target="https://i.postimg.cc/7YcPnTHB/018.png" TargetMode="External"/><Relationship Id="rId518" Type="http://schemas.openxmlformats.org/officeDocument/2006/relationships/hyperlink" Target="https://i.postimg.cc/3rVzLjGD/083.png" TargetMode="External"/><Relationship Id="rId639" Type="http://schemas.openxmlformats.org/officeDocument/2006/relationships/hyperlink" Target="https://i.postimg.cc/fyPsC6N3/011.png" TargetMode="External"/><Relationship Id="rId517" Type="http://schemas.openxmlformats.org/officeDocument/2006/relationships/hyperlink" Target="https://i.postimg.cc/yxkZdgXw/050.png" TargetMode="External"/><Relationship Id="rId638" Type="http://schemas.openxmlformats.org/officeDocument/2006/relationships/hyperlink" Target="https://i.postimg.cc/MTWzp75G/012.png" TargetMode="External"/><Relationship Id="rId516" Type="http://schemas.openxmlformats.org/officeDocument/2006/relationships/hyperlink" Target="https://i.postimg.cc/NG5W7CKc/084.png" TargetMode="External"/><Relationship Id="rId637" Type="http://schemas.openxmlformats.org/officeDocument/2006/relationships/hyperlink" Target="https://i.postimg.cc/Vvv1jz3Q/013.png" TargetMode="External"/><Relationship Id="rId515" Type="http://schemas.openxmlformats.org/officeDocument/2006/relationships/hyperlink" Target="https://i.postimg.cc/gJMhmqRV/051.png" TargetMode="External"/><Relationship Id="rId636" Type="http://schemas.openxmlformats.org/officeDocument/2006/relationships/hyperlink" Target="https://i.postimg.cc/9MJCRDgY/014.png" TargetMode="External"/><Relationship Id="rId15" Type="http://schemas.openxmlformats.org/officeDocument/2006/relationships/hyperlink" Target="https://i.postimg.cc/Pr1Nmydg/336.png" TargetMode="External"/><Relationship Id="rId14" Type="http://schemas.openxmlformats.org/officeDocument/2006/relationships/hyperlink" Target="https://i.postimg.cc/KzdQBgfR/303.png" TargetMode="External"/><Relationship Id="rId17" Type="http://schemas.openxmlformats.org/officeDocument/2006/relationships/hyperlink" Target="https://i.postimg.cc/DZBsvxhd/335.png" TargetMode="External"/><Relationship Id="rId16" Type="http://schemas.openxmlformats.org/officeDocument/2006/relationships/hyperlink" Target="https://i.postimg.cc/rmvgxtjs/302.png" TargetMode="External"/><Relationship Id="rId19" Type="http://schemas.openxmlformats.org/officeDocument/2006/relationships/hyperlink" Target="https://i.postimg.cc/RFXfSgmL/334.png" TargetMode="External"/><Relationship Id="rId510" Type="http://schemas.openxmlformats.org/officeDocument/2006/relationships/hyperlink" Target="https://i.postimg.cc/HxLtmNqs/087.png" TargetMode="External"/><Relationship Id="rId631" Type="http://schemas.openxmlformats.org/officeDocument/2006/relationships/hyperlink" Target="https://i.postimg.cc/wT3TNkpy/019.png" TargetMode="External"/><Relationship Id="rId18" Type="http://schemas.openxmlformats.org/officeDocument/2006/relationships/hyperlink" Target="https://i.postimg.cc/1X5VWNMt/301.png" TargetMode="External"/><Relationship Id="rId630" Type="http://schemas.openxmlformats.org/officeDocument/2006/relationships/hyperlink" Target="https://i.postimg.cc/XNsYXzT6/020.png" TargetMode="External"/><Relationship Id="rId84" Type="http://schemas.openxmlformats.org/officeDocument/2006/relationships/hyperlink" Target="https://i.postimg.cc/VsV1fWRg/300.png" TargetMode="External"/><Relationship Id="rId83" Type="http://schemas.openxmlformats.org/officeDocument/2006/relationships/hyperlink" Target="https://i.postimg.cc/Gh2X4zdN/267.png" TargetMode="External"/><Relationship Id="rId86" Type="http://schemas.openxmlformats.org/officeDocument/2006/relationships/hyperlink" Target="https://i.postimg.cc/dtZFLZNY/299.png" TargetMode="External"/><Relationship Id="rId85" Type="http://schemas.openxmlformats.org/officeDocument/2006/relationships/hyperlink" Target="https://i.postimg.cc/d3s4xNdz/266.png" TargetMode="External"/><Relationship Id="rId88" Type="http://schemas.openxmlformats.org/officeDocument/2006/relationships/hyperlink" Target="https://i.postimg.cc/RZrBfC2n/298.png" TargetMode="External"/><Relationship Id="rId87" Type="http://schemas.openxmlformats.org/officeDocument/2006/relationships/hyperlink" Target="https://i.postimg.cc/3RCt9QyX/265.png" TargetMode="External"/><Relationship Id="rId89" Type="http://schemas.openxmlformats.org/officeDocument/2006/relationships/hyperlink" Target="https://i.postimg.cc/sD4sNFNc/264.png" TargetMode="External"/><Relationship Id="rId80" Type="http://schemas.openxmlformats.org/officeDocument/2006/relationships/hyperlink" Target="https://i.postimg.cc/MTZxTsNP/302.png" TargetMode="External"/><Relationship Id="rId82" Type="http://schemas.openxmlformats.org/officeDocument/2006/relationships/hyperlink" Target="https://i.postimg.cc/BnDJwP2g/301.png" TargetMode="External"/><Relationship Id="rId81" Type="http://schemas.openxmlformats.org/officeDocument/2006/relationships/hyperlink" Target="https://i.postimg.cc/m258CMrr/268.png" TargetMode="External"/><Relationship Id="rId73" Type="http://schemas.openxmlformats.org/officeDocument/2006/relationships/hyperlink" Target="https://i.postimg.cc/Kzd7hg6b/272.png" TargetMode="External"/><Relationship Id="rId72" Type="http://schemas.openxmlformats.org/officeDocument/2006/relationships/hyperlink" Target="https://i.postimg.cc/N0MvPMFy/308.png" TargetMode="External"/><Relationship Id="rId75" Type="http://schemas.openxmlformats.org/officeDocument/2006/relationships/hyperlink" Target="https://i.postimg.cc/C5kGhx0q/271.png" TargetMode="External"/><Relationship Id="rId74" Type="http://schemas.openxmlformats.org/officeDocument/2006/relationships/hyperlink" Target="https://i.postimg.cc/NFyBnLZ2/305.png" TargetMode="External"/><Relationship Id="rId77" Type="http://schemas.openxmlformats.org/officeDocument/2006/relationships/hyperlink" Target="https://i.postimg.cc/x1rV38m5/270.png" TargetMode="External"/><Relationship Id="rId76" Type="http://schemas.openxmlformats.org/officeDocument/2006/relationships/hyperlink" Target="https://i.postimg.cc/9Mgc1ygj/304.png" TargetMode="External"/><Relationship Id="rId79" Type="http://schemas.openxmlformats.org/officeDocument/2006/relationships/hyperlink" Target="https://i.postimg.cc/13phCScQ/269.png" TargetMode="External"/><Relationship Id="rId78" Type="http://schemas.openxmlformats.org/officeDocument/2006/relationships/hyperlink" Target="https://i.postimg.cc/G2VjmpmX/303.png" TargetMode="External"/><Relationship Id="rId71" Type="http://schemas.openxmlformats.org/officeDocument/2006/relationships/hyperlink" Target="https://i.postimg.cc/tCSbpPSm/273.png" TargetMode="External"/><Relationship Id="rId70" Type="http://schemas.openxmlformats.org/officeDocument/2006/relationships/hyperlink" Target="https://i.postimg.cc/Dy7gvNSD/307.png" TargetMode="External"/><Relationship Id="rId62" Type="http://schemas.openxmlformats.org/officeDocument/2006/relationships/hyperlink" Target="https://i.postimg.cc/wTL4kvpf/279.png" TargetMode="External"/><Relationship Id="rId61" Type="http://schemas.openxmlformats.org/officeDocument/2006/relationships/hyperlink" Target="https://i.postimg.cc/BQybSdtF/313.png" TargetMode="External"/><Relationship Id="rId64" Type="http://schemas.openxmlformats.org/officeDocument/2006/relationships/hyperlink" Target="https://i.postimg.cc/Vs3HMt30/278.png" TargetMode="External"/><Relationship Id="rId63" Type="http://schemas.openxmlformats.org/officeDocument/2006/relationships/hyperlink" Target="https://i.postimg.cc/Hx0XhSN7/312.png" TargetMode="External"/><Relationship Id="rId66" Type="http://schemas.openxmlformats.org/officeDocument/2006/relationships/hyperlink" Target="https://i.postimg.cc/x81w7xKv/310.png" TargetMode="External"/><Relationship Id="rId65" Type="http://schemas.openxmlformats.org/officeDocument/2006/relationships/hyperlink" Target="https://i.postimg.cc/W3Dmy7fS/311.png" TargetMode="External"/><Relationship Id="rId68" Type="http://schemas.openxmlformats.org/officeDocument/2006/relationships/hyperlink" Target="https://i.postimg.cc/L4kctyd8/308.png" TargetMode="External"/><Relationship Id="rId67" Type="http://schemas.openxmlformats.org/officeDocument/2006/relationships/hyperlink" Target="https://i.postimg.cc/RVJztKWq/309.png" TargetMode="External"/><Relationship Id="rId609" Type="http://schemas.openxmlformats.org/officeDocument/2006/relationships/hyperlink" Target="https://i.postimg.cc/zfvRz2wx/004.png" TargetMode="External"/><Relationship Id="rId608" Type="http://schemas.openxmlformats.org/officeDocument/2006/relationships/hyperlink" Target="https://i.postimg.cc/bwsDzhJ5/038.png" TargetMode="External"/><Relationship Id="rId607" Type="http://schemas.openxmlformats.org/officeDocument/2006/relationships/hyperlink" Target="https://i.postimg.cc/SxDMpb9X/005.png" TargetMode="External"/><Relationship Id="rId60" Type="http://schemas.openxmlformats.org/officeDocument/2006/relationships/hyperlink" Target="https://i.postimg.cc/6pq7KtP8/280.png" TargetMode="External"/><Relationship Id="rId602" Type="http://schemas.openxmlformats.org/officeDocument/2006/relationships/hyperlink" Target="https://i.postimg.cc/Rhd60CKk/041.png" TargetMode="External"/><Relationship Id="rId601" Type="http://schemas.openxmlformats.org/officeDocument/2006/relationships/hyperlink" Target="https://i.postimg.cc/dtcd2Bv0/008.png" TargetMode="External"/><Relationship Id="rId600" Type="http://schemas.openxmlformats.org/officeDocument/2006/relationships/hyperlink" Target="https://i.postimg.cc/5ybQ1QY5/042.png" TargetMode="External"/><Relationship Id="rId606" Type="http://schemas.openxmlformats.org/officeDocument/2006/relationships/hyperlink" Target="https://i.postimg.cc/bNYSBbjp/039.png" TargetMode="External"/><Relationship Id="rId605" Type="http://schemas.openxmlformats.org/officeDocument/2006/relationships/hyperlink" Target="https://i.postimg.cc/0y8w3yzR/006.png" TargetMode="External"/><Relationship Id="rId604" Type="http://schemas.openxmlformats.org/officeDocument/2006/relationships/hyperlink" Target="https://i.postimg.cc/dQjT66p5/040.png" TargetMode="External"/><Relationship Id="rId603" Type="http://schemas.openxmlformats.org/officeDocument/2006/relationships/hyperlink" Target="https://i.postimg.cc/bN0n3tN9/007.png" TargetMode="External"/><Relationship Id="rId69" Type="http://schemas.openxmlformats.org/officeDocument/2006/relationships/hyperlink" Target="https://i.postimg.cc/155SkMHq/274.png" TargetMode="External"/><Relationship Id="rId51" Type="http://schemas.openxmlformats.org/officeDocument/2006/relationships/hyperlink" Target="https://i.postimg.cc/ZnTdZG45/316.png" TargetMode="External"/><Relationship Id="rId50" Type="http://schemas.openxmlformats.org/officeDocument/2006/relationships/hyperlink" Target="https://i.postimg.cc/VkKL2thH/285.png" TargetMode="External"/><Relationship Id="rId53" Type="http://schemas.openxmlformats.org/officeDocument/2006/relationships/hyperlink" Target="https://i.postimg.cc/XqQyvsYc/317.png" TargetMode="External"/><Relationship Id="rId52" Type="http://schemas.openxmlformats.org/officeDocument/2006/relationships/hyperlink" Target="https://i.postimg.cc/0Nr2vQR5/284.png" TargetMode="External"/><Relationship Id="rId55" Type="http://schemas.openxmlformats.org/officeDocument/2006/relationships/hyperlink" Target="https://i.postimg.cc/Y23F8CzG/318.png" TargetMode="External"/><Relationship Id="rId54" Type="http://schemas.openxmlformats.org/officeDocument/2006/relationships/hyperlink" Target="https://i.postimg.cc/DzQ1dSsG/283.png" TargetMode="External"/><Relationship Id="rId57" Type="http://schemas.openxmlformats.org/officeDocument/2006/relationships/hyperlink" Target="https://i.postimg.cc/tC77HXRy/314.png" TargetMode="External"/><Relationship Id="rId56" Type="http://schemas.openxmlformats.org/officeDocument/2006/relationships/hyperlink" Target="https://i.postimg.cc/FKXjLyfm/282.png" TargetMode="External"/><Relationship Id="rId59" Type="http://schemas.openxmlformats.org/officeDocument/2006/relationships/hyperlink" Target="https://i.postimg.cc/bYmdMGh3/315.png" TargetMode="External"/><Relationship Id="rId58" Type="http://schemas.openxmlformats.org/officeDocument/2006/relationships/hyperlink" Target="https://i.postimg.cc/TYCyBpt8/281.png" TargetMode="External"/><Relationship Id="rId590" Type="http://schemas.openxmlformats.org/officeDocument/2006/relationships/hyperlink" Target="https://i.postimg.cc/2SKWv5Mm/047.png" TargetMode="External"/><Relationship Id="rId107" Type="http://schemas.openxmlformats.org/officeDocument/2006/relationships/hyperlink" Target="https://i.postimg.cc/4NH1qXyP/255.png" TargetMode="External"/><Relationship Id="rId228" Type="http://schemas.openxmlformats.org/officeDocument/2006/relationships/hyperlink" Target="https://i.postimg.cc/qqwT56xt/228.png" TargetMode="External"/><Relationship Id="rId349" Type="http://schemas.openxmlformats.org/officeDocument/2006/relationships/hyperlink" Target="https://i.postimg.cc/9F92hXH0/134.png" TargetMode="External"/><Relationship Id="rId106" Type="http://schemas.openxmlformats.org/officeDocument/2006/relationships/hyperlink" Target="https://i.postimg.cc/76r5wGnS/289.png" TargetMode="External"/><Relationship Id="rId227" Type="http://schemas.openxmlformats.org/officeDocument/2006/relationships/hyperlink" Target="https://i.postimg.cc/0NQDKvpy/195.png" TargetMode="External"/><Relationship Id="rId348" Type="http://schemas.openxmlformats.org/officeDocument/2006/relationships/hyperlink" Target="https://i.postimg.cc/q7JscYMX/168.png" TargetMode="External"/><Relationship Id="rId469" Type="http://schemas.openxmlformats.org/officeDocument/2006/relationships/hyperlink" Target="https://i.postimg.cc/DwtBKFFv/074.png" TargetMode="External"/><Relationship Id="rId105" Type="http://schemas.openxmlformats.org/officeDocument/2006/relationships/hyperlink" Target="https://i.postimg.cc/zBdjZBTt/256.png" TargetMode="External"/><Relationship Id="rId226" Type="http://schemas.openxmlformats.org/officeDocument/2006/relationships/hyperlink" Target="https://i.postimg.cc/5ybJgSLd/229.png" TargetMode="External"/><Relationship Id="rId347" Type="http://schemas.openxmlformats.org/officeDocument/2006/relationships/hyperlink" Target="https://i.postimg.cc/L4wSwY7G/135.png" TargetMode="External"/><Relationship Id="rId468" Type="http://schemas.openxmlformats.org/officeDocument/2006/relationships/hyperlink" Target="https://i.postimg.cc/5NyDg7jJ/108.png" TargetMode="External"/><Relationship Id="rId589" Type="http://schemas.openxmlformats.org/officeDocument/2006/relationships/hyperlink" Target="https://i.postimg.cc/Pq51L5Hz/014.png" TargetMode="External"/><Relationship Id="rId104" Type="http://schemas.openxmlformats.org/officeDocument/2006/relationships/hyperlink" Target="https://i.postimg.cc/G2PH2LXV/290.png" TargetMode="External"/><Relationship Id="rId225" Type="http://schemas.openxmlformats.org/officeDocument/2006/relationships/hyperlink" Target="https://i.postimg.cc/PfZZw28Y/196.png" TargetMode="External"/><Relationship Id="rId346" Type="http://schemas.openxmlformats.org/officeDocument/2006/relationships/hyperlink" Target="https://i.postimg.cc/Mpb0Qxxp/169.png" TargetMode="External"/><Relationship Id="rId467" Type="http://schemas.openxmlformats.org/officeDocument/2006/relationships/hyperlink" Target="https://i.postimg.cc/zGL0Mvs2/075.png" TargetMode="External"/><Relationship Id="rId588" Type="http://schemas.openxmlformats.org/officeDocument/2006/relationships/hyperlink" Target="https://i.postimg.cc/vHXfYhv4/048.png" TargetMode="External"/><Relationship Id="rId109" Type="http://schemas.openxmlformats.org/officeDocument/2006/relationships/hyperlink" Target="https://i.postimg.cc/QM1xz0d5/254.png" TargetMode="External"/><Relationship Id="rId108" Type="http://schemas.openxmlformats.org/officeDocument/2006/relationships/hyperlink" Target="https://i.postimg.cc/MTkDgg21/288.png" TargetMode="External"/><Relationship Id="rId229" Type="http://schemas.openxmlformats.org/officeDocument/2006/relationships/hyperlink" Target="https://i.postimg.cc/sXWm2LjY/194.png" TargetMode="External"/><Relationship Id="rId220" Type="http://schemas.openxmlformats.org/officeDocument/2006/relationships/hyperlink" Target="https://i.postimg.cc/KY3m8zxV/232.png" TargetMode="External"/><Relationship Id="rId341" Type="http://schemas.openxmlformats.org/officeDocument/2006/relationships/hyperlink" Target="https://i.postimg.cc/pT1v2pdh/138.png" TargetMode="External"/><Relationship Id="rId462" Type="http://schemas.openxmlformats.org/officeDocument/2006/relationships/hyperlink" Target="https://i.postimg.cc/1X52LMHp/111.png" TargetMode="External"/><Relationship Id="rId583" Type="http://schemas.openxmlformats.org/officeDocument/2006/relationships/hyperlink" Target="https://i.postimg.cc/8zHhPr2z/017.png" TargetMode="External"/><Relationship Id="rId340" Type="http://schemas.openxmlformats.org/officeDocument/2006/relationships/hyperlink" Target="https://i.postimg.cc/3JGF3mcp/172.png" TargetMode="External"/><Relationship Id="rId461" Type="http://schemas.openxmlformats.org/officeDocument/2006/relationships/hyperlink" Target="https://i.postimg.cc/5937QZ5g/078.png" TargetMode="External"/><Relationship Id="rId582" Type="http://schemas.openxmlformats.org/officeDocument/2006/relationships/hyperlink" Target="https://i.postimg.cc/L53fZ3K0/051.png" TargetMode="External"/><Relationship Id="rId460" Type="http://schemas.openxmlformats.org/officeDocument/2006/relationships/hyperlink" Target="https://i.postimg.cc/G2RZjbTg/112.png" TargetMode="External"/><Relationship Id="rId581" Type="http://schemas.openxmlformats.org/officeDocument/2006/relationships/hyperlink" Target="https://i.postimg.cc/wxC5Wz5g/018.png" TargetMode="External"/><Relationship Id="rId580" Type="http://schemas.openxmlformats.org/officeDocument/2006/relationships/hyperlink" Target="https://i.postimg.cc/Wzvg3fKk/052.png" TargetMode="External"/><Relationship Id="rId103" Type="http://schemas.openxmlformats.org/officeDocument/2006/relationships/hyperlink" Target="https://i.postimg.cc/VvdFY8RY/257.png" TargetMode="External"/><Relationship Id="rId224" Type="http://schemas.openxmlformats.org/officeDocument/2006/relationships/hyperlink" Target="https://i.postimg.cc/zBn5TcLF/230.png" TargetMode="External"/><Relationship Id="rId345" Type="http://schemas.openxmlformats.org/officeDocument/2006/relationships/hyperlink" Target="https://i.postimg.cc/BbrGKkHJ/136.png" TargetMode="External"/><Relationship Id="rId466" Type="http://schemas.openxmlformats.org/officeDocument/2006/relationships/hyperlink" Target="https://i.postimg.cc/sDLqNYZh/109.png" TargetMode="External"/><Relationship Id="rId587" Type="http://schemas.openxmlformats.org/officeDocument/2006/relationships/hyperlink" Target="https://i.postimg.cc/qv0sTGZF/015.png" TargetMode="External"/><Relationship Id="rId102" Type="http://schemas.openxmlformats.org/officeDocument/2006/relationships/hyperlink" Target="https://i.postimg.cc/sg76Rjc8/291.png" TargetMode="External"/><Relationship Id="rId223" Type="http://schemas.openxmlformats.org/officeDocument/2006/relationships/hyperlink" Target="https://i.postimg.cc/MHkQLjgn/197.png" TargetMode="External"/><Relationship Id="rId344" Type="http://schemas.openxmlformats.org/officeDocument/2006/relationships/hyperlink" Target="https://i.postimg.cc/vZdLTTJK/170.png" TargetMode="External"/><Relationship Id="rId465" Type="http://schemas.openxmlformats.org/officeDocument/2006/relationships/hyperlink" Target="https://i.postimg.cc/02XVcDBJ/076.png" TargetMode="External"/><Relationship Id="rId586" Type="http://schemas.openxmlformats.org/officeDocument/2006/relationships/hyperlink" Target="https://i.postimg.cc/Wbs0cC0R/049.png" TargetMode="External"/><Relationship Id="rId101" Type="http://schemas.openxmlformats.org/officeDocument/2006/relationships/hyperlink" Target="https://i.postimg.cc/J72qpsrt/258.png" TargetMode="External"/><Relationship Id="rId222" Type="http://schemas.openxmlformats.org/officeDocument/2006/relationships/hyperlink" Target="https://i.postimg.cc/mDxBzsrr/231.png" TargetMode="External"/><Relationship Id="rId343" Type="http://schemas.openxmlformats.org/officeDocument/2006/relationships/hyperlink" Target="https://i.postimg.cc/3N4TWYyL/137.png" TargetMode="External"/><Relationship Id="rId464" Type="http://schemas.openxmlformats.org/officeDocument/2006/relationships/hyperlink" Target="https://i.postimg.cc/9XJvG5m1/110.png" TargetMode="External"/><Relationship Id="rId585" Type="http://schemas.openxmlformats.org/officeDocument/2006/relationships/hyperlink" Target="https://i.postimg.cc/wTDXZrFJ/016.png" TargetMode="External"/><Relationship Id="rId100" Type="http://schemas.openxmlformats.org/officeDocument/2006/relationships/hyperlink" Target="https://i.postimg.cc/vHpqjgWf/292.png" TargetMode="External"/><Relationship Id="rId221" Type="http://schemas.openxmlformats.org/officeDocument/2006/relationships/hyperlink" Target="https://i.postimg.cc/PqRZm74z/198.png" TargetMode="External"/><Relationship Id="rId342" Type="http://schemas.openxmlformats.org/officeDocument/2006/relationships/hyperlink" Target="https://i.postimg.cc/y6tTqvvs/171.png" TargetMode="External"/><Relationship Id="rId463" Type="http://schemas.openxmlformats.org/officeDocument/2006/relationships/hyperlink" Target="https://i.postimg.cc/pXL0fqqH/077.png" TargetMode="External"/><Relationship Id="rId584" Type="http://schemas.openxmlformats.org/officeDocument/2006/relationships/hyperlink" Target="https://i.postimg.cc/66rCSt2L/050.png" TargetMode="External"/><Relationship Id="rId217" Type="http://schemas.openxmlformats.org/officeDocument/2006/relationships/hyperlink" Target="https://i.postimg.cc/2STn5yLt/200.png" TargetMode="External"/><Relationship Id="rId338" Type="http://schemas.openxmlformats.org/officeDocument/2006/relationships/hyperlink" Target="https://i.postimg.cc/zDVkP9wx/173.png" TargetMode="External"/><Relationship Id="rId459" Type="http://schemas.openxmlformats.org/officeDocument/2006/relationships/hyperlink" Target="https://i.postimg.cc/hvp2Fd46/079.png" TargetMode="External"/><Relationship Id="rId216" Type="http://schemas.openxmlformats.org/officeDocument/2006/relationships/hyperlink" Target="https://i.postimg.cc/MpTWg54z/234.png" TargetMode="External"/><Relationship Id="rId337" Type="http://schemas.openxmlformats.org/officeDocument/2006/relationships/hyperlink" Target="https://i.postimg.cc/Jhxm2TVQ/140.png" TargetMode="External"/><Relationship Id="rId458" Type="http://schemas.openxmlformats.org/officeDocument/2006/relationships/hyperlink" Target="https://i.postimg.cc/PqYgZCJ8/113.png" TargetMode="External"/><Relationship Id="rId579" Type="http://schemas.openxmlformats.org/officeDocument/2006/relationships/hyperlink" Target="https://i.postimg.cc/NG977FHd/019.png" TargetMode="External"/><Relationship Id="rId215" Type="http://schemas.openxmlformats.org/officeDocument/2006/relationships/hyperlink" Target="https://i.postimg.cc/V60t4FZy/201.png" TargetMode="External"/><Relationship Id="rId336" Type="http://schemas.openxmlformats.org/officeDocument/2006/relationships/hyperlink" Target="https://i.postimg.cc/7br2mcXP/174.png" TargetMode="External"/><Relationship Id="rId457" Type="http://schemas.openxmlformats.org/officeDocument/2006/relationships/hyperlink" Target="https://i.postimg.cc/5yxsk3J8/080.png" TargetMode="External"/><Relationship Id="rId578" Type="http://schemas.openxmlformats.org/officeDocument/2006/relationships/hyperlink" Target="https://i.postimg.cc/B6D2JGh3/053.png" TargetMode="External"/><Relationship Id="rId214" Type="http://schemas.openxmlformats.org/officeDocument/2006/relationships/hyperlink" Target="https://i.postimg.cc/4Nwf8qW8/235.png" TargetMode="External"/><Relationship Id="rId335" Type="http://schemas.openxmlformats.org/officeDocument/2006/relationships/hyperlink" Target="https://i.postimg.cc/cJ00hpjH/141.png" TargetMode="External"/><Relationship Id="rId456" Type="http://schemas.openxmlformats.org/officeDocument/2006/relationships/hyperlink" Target="https://i.postimg.cc/Nj3h56sc/114.png" TargetMode="External"/><Relationship Id="rId577" Type="http://schemas.openxmlformats.org/officeDocument/2006/relationships/hyperlink" Target="https://i.postimg.cc/j27Hs3bp/020.png" TargetMode="External"/><Relationship Id="rId219" Type="http://schemas.openxmlformats.org/officeDocument/2006/relationships/hyperlink" Target="https://i.postimg.cc/mkQHWgG8/199.png" TargetMode="External"/><Relationship Id="rId218" Type="http://schemas.openxmlformats.org/officeDocument/2006/relationships/hyperlink" Target="https://i.postimg.cc/9QnW2T5Z/233.png" TargetMode="External"/><Relationship Id="rId339" Type="http://schemas.openxmlformats.org/officeDocument/2006/relationships/hyperlink" Target="https://i.postimg.cc/sX2ydp3C/139.png" TargetMode="External"/><Relationship Id="rId330" Type="http://schemas.openxmlformats.org/officeDocument/2006/relationships/hyperlink" Target="https://i.postimg.cc/RFqKFwNm/177.png" TargetMode="External"/><Relationship Id="rId451" Type="http://schemas.openxmlformats.org/officeDocument/2006/relationships/hyperlink" Target="https://i.postimg.cc/R0Hp3hGJ/083.png" TargetMode="External"/><Relationship Id="rId572" Type="http://schemas.openxmlformats.org/officeDocument/2006/relationships/hyperlink" Target="https://i.postimg.cc/0yWYfn6T/056.png" TargetMode="External"/><Relationship Id="rId450" Type="http://schemas.openxmlformats.org/officeDocument/2006/relationships/hyperlink" Target="https://i.postimg.cc/vB80BTVy/117.png" TargetMode="External"/><Relationship Id="rId571" Type="http://schemas.openxmlformats.org/officeDocument/2006/relationships/hyperlink" Target="https://i.postimg.cc/T3qcLsDG/023.png" TargetMode="External"/><Relationship Id="rId570" Type="http://schemas.openxmlformats.org/officeDocument/2006/relationships/hyperlink" Target="https://i.postimg.cc/28xFqrC8/057.png" TargetMode="External"/><Relationship Id="rId213" Type="http://schemas.openxmlformats.org/officeDocument/2006/relationships/hyperlink" Target="https://i.postimg.cc/gkWhq8v5/202.png" TargetMode="External"/><Relationship Id="rId334" Type="http://schemas.openxmlformats.org/officeDocument/2006/relationships/hyperlink" Target="https://i.postimg.cc/1XqF0PGY/175.png" TargetMode="External"/><Relationship Id="rId455" Type="http://schemas.openxmlformats.org/officeDocument/2006/relationships/hyperlink" Target="https://i.postimg.cc/fL7HKPGw/081.png" TargetMode="External"/><Relationship Id="rId576" Type="http://schemas.openxmlformats.org/officeDocument/2006/relationships/hyperlink" Target="https://i.postimg.cc/QMvpLMJS/054.png" TargetMode="External"/><Relationship Id="rId212" Type="http://schemas.openxmlformats.org/officeDocument/2006/relationships/hyperlink" Target="https://i.postimg.cc/WbspwTwF/236.png" TargetMode="External"/><Relationship Id="rId333" Type="http://schemas.openxmlformats.org/officeDocument/2006/relationships/hyperlink" Target="https://i.postimg.cc/FHjhjrT8/142.png" TargetMode="External"/><Relationship Id="rId454" Type="http://schemas.openxmlformats.org/officeDocument/2006/relationships/hyperlink" Target="https://i.postimg.cc/Nj9qsJwD/115.png" TargetMode="External"/><Relationship Id="rId575" Type="http://schemas.openxmlformats.org/officeDocument/2006/relationships/hyperlink" Target="https://i.postimg.cc/63SVxJDV/021.png" TargetMode="External"/><Relationship Id="rId211" Type="http://schemas.openxmlformats.org/officeDocument/2006/relationships/hyperlink" Target="https://i.postimg.cc/ncGDdr2L/203.png" TargetMode="External"/><Relationship Id="rId332" Type="http://schemas.openxmlformats.org/officeDocument/2006/relationships/hyperlink" Target="https://i.postimg.cc/W3KrJtkk/176.png" TargetMode="External"/><Relationship Id="rId453" Type="http://schemas.openxmlformats.org/officeDocument/2006/relationships/hyperlink" Target="https://i.postimg.cc/k4P1WCh1/082.png" TargetMode="External"/><Relationship Id="rId574" Type="http://schemas.openxmlformats.org/officeDocument/2006/relationships/hyperlink" Target="https://i.postimg.cc/hGX93mTf/055.png" TargetMode="External"/><Relationship Id="rId210" Type="http://schemas.openxmlformats.org/officeDocument/2006/relationships/hyperlink" Target="https://i.postimg.cc/fWcTdJmQ/237.png" TargetMode="External"/><Relationship Id="rId331" Type="http://schemas.openxmlformats.org/officeDocument/2006/relationships/hyperlink" Target="https://i.postimg.cc/L8dHYY3j/143.png" TargetMode="External"/><Relationship Id="rId452" Type="http://schemas.openxmlformats.org/officeDocument/2006/relationships/hyperlink" Target="https://i.postimg.cc/7YQryvjb/116.png" TargetMode="External"/><Relationship Id="rId573" Type="http://schemas.openxmlformats.org/officeDocument/2006/relationships/hyperlink" Target="https://i.postimg.cc/V659hLHL/022.png" TargetMode="External"/><Relationship Id="rId370" Type="http://schemas.openxmlformats.org/officeDocument/2006/relationships/hyperlink" Target="https://i.postimg.cc/TwZ5sHGs/157.png" TargetMode="External"/><Relationship Id="rId491" Type="http://schemas.openxmlformats.org/officeDocument/2006/relationships/hyperlink" Target="https://i.postimg.cc/XvfcSCQL/063.png" TargetMode="External"/><Relationship Id="rId490" Type="http://schemas.openxmlformats.org/officeDocument/2006/relationships/hyperlink" Target="https://i.postimg.cc/6QXHkY6y/097.png" TargetMode="External"/><Relationship Id="rId129" Type="http://schemas.openxmlformats.org/officeDocument/2006/relationships/hyperlink" Target="https://i.postimg.cc/FsTfbWYH/244.png" TargetMode="External"/><Relationship Id="rId128" Type="http://schemas.openxmlformats.org/officeDocument/2006/relationships/hyperlink" Target="https://i.postimg.cc/k5J5M9BP/278.png" TargetMode="External"/><Relationship Id="rId249" Type="http://schemas.openxmlformats.org/officeDocument/2006/relationships/hyperlink" Target="https://i.postimg.cc/4dpvGhPw/184.png" TargetMode="External"/><Relationship Id="rId127" Type="http://schemas.openxmlformats.org/officeDocument/2006/relationships/hyperlink" Target="https://i.postimg.cc/4xnYW6cb/245.png" TargetMode="External"/><Relationship Id="rId248" Type="http://schemas.openxmlformats.org/officeDocument/2006/relationships/hyperlink" Target="https://i.postimg.cc/05n1xm7j/218.png" TargetMode="External"/><Relationship Id="rId369" Type="http://schemas.openxmlformats.org/officeDocument/2006/relationships/hyperlink" Target="https://i.postimg.cc/4Np31QdW/124.png" TargetMode="External"/><Relationship Id="rId126" Type="http://schemas.openxmlformats.org/officeDocument/2006/relationships/hyperlink" Target="https://i.postimg.cc/1tXMsZsW/279.png" TargetMode="External"/><Relationship Id="rId247" Type="http://schemas.openxmlformats.org/officeDocument/2006/relationships/hyperlink" Target="https://i.postimg.cc/R0k12T7N/185.png" TargetMode="External"/><Relationship Id="rId368" Type="http://schemas.openxmlformats.org/officeDocument/2006/relationships/hyperlink" Target="https://i.postimg.cc/tgvx34cp/158.png" TargetMode="External"/><Relationship Id="rId489" Type="http://schemas.openxmlformats.org/officeDocument/2006/relationships/hyperlink" Target="https://i.postimg.cc/DzkdMgdm/064.png" TargetMode="External"/><Relationship Id="rId121" Type="http://schemas.openxmlformats.org/officeDocument/2006/relationships/hyperlink" Target="https://i.postimg.cc/T1CP91Y4/248.png" TargetMode="External"/><Relationship Id="rId242" Type="http://schemas.openxmlformats.org/officeDocument/2006/relationships/hyperlink" Target="https://i.postimg.cc/LXBKJg7y/221.png" TargetMode="External"/><Relationship Id="rId363" Type="http://schemas.openxmlformats.org/officeDocument/2006/relationships/hyperlink" Target="https://i.postimg.cc/QVGRt5Zt/127.png" TargetMode="External"/><Relationship Id="rId484" Type="http://schemas.openxmlformats.org/officeDocument/2006/relationships/hyperlink" Target="https://i.postimg.cc/HWZhrwzh/100.png" TargetMode="External"/><Relationship Id="rId120" Type="http://schemas.openxmlformats.org/officeDocument/2006/relationships/hyperlink" Target="https://i.postimg.cc/T31J6RvB/282.png" TargetMode="External"/><Relationship Id="rId241" Type="http://schemas.openxmlformats.org/officeDocument/2006/relationships/hyperlink" Target="https://i.postimg.cc/sg2JWxfD/188.png" TargetMode="External"/><Relationship Id="rId362" Type="http://schemas.openxmlformats.org/officeDocument/2006/relationships/hyperlink" Target="https://i.postimg.cc/qBh8G20Y/161.png" TargetMode="External"/><Relationship Id="rId483" Type="http://schemas.openxmlformats.org/officeDocument/2006/relationships/hyperlink" Target="https://i.postimg.cc/m2kwzhgZ/067.png" TargetMode="External"/><Relationship Id="rId240" Type="http://schemas.openxmlformats.org/officeDocument/2006/relationships/hyperlink" Target="https://i.postimg.cc/3wGHHcZQ/222.png" TargetMode="External"/><Relationship Id="rId361" Type="http://schemas.openxmlformats.org/officeDocument/2006/relationships/hyperlink" Target="https://i.postimg.cc/nzWyygdq/128.png" TargetMode="External"/><Relationship Id="rId482" Type="http://schemas.openxmlformats.org/officeDocument/2006/relationships/hyperlink" Target="https://i.postimg.cc/8P7nM7nP/101.png" TargetMode="External"/><Relationship Id="rId360" Type="http://schemas.openxmlformats.org/officeDocument/2006/relationships/hyperlink" Target="https://i.postimg.cc/CxYkYtDT/162.png" TargetMode="External"/><Relationship Id="rId481" Type="http://schemas.openxmlformats.org/officeDocument/2006/relationships/hyperlink" Target="https://i.postimg.cc/1RJB3DPY/068.png" TargetMode="External"/><Relationship Id="rId125" Type="http://schemas.openxmlformats.org/officeDocument/2006/relationships/hyperlink" Target="https://i.postimg.cc/XvCpbnQr/246.png" TargetMode="External"/><Relationship Id="rId246" Type="http://schemas.openxmlformats.org/officeDocument/2006/relationships/hyperlink" Target="https://i.postimg.cc/6qWsn5xB/219.png" TargetMode="External"/><Relationship Id="rId367" Type="http://schemas.openxmlformats.org/officeDocument/2006/relationships/hyperlink" Target="https://i.postimg.cc/9X6MTnW4/125.png" TargetMode="External"/><Relationship Id="rId488" Type="http://schemas.openxmlformats.org/officeDocument/2006/relationships/hyperlink" Target="https://i.postimg.cc/3xpSfPTs/098.png" TargetMode="External"/><Relationship Id="rId124" Type="http://schemas.openxmlformats.org/officeDocument/2006/relationships/hyperlink" Target="https://i.postimg.cc/MTL5GrGz/280.png" TargetMode="External"/><Relationship Id="rId245" Type="http://schemas.openxmlformats.org/officeDocument/2006/relationships/hyperlink" Target="https://i.postimg.cc/tgZtrcVK/186.png" TargetMode="External"/><Relationship Id="rId366" Type="http://schemas.openxmlformats.org/officeDocument/2006/relationships/hyperlink" Target="https://i.postimg.cc/GpmDTyqX/159.png" TargetMode="External"/><Relationship Id="rId487" Type="http://schemas.openxmlformats.org/officeDocument/2006/relationships/hyperlink" Target="https://i.postimg.cc/VkbWgTt3/065.png" TargetMode="External"/><Relationship Id="rId123" Type="http://schemas.openxmlformats.org/officeDocument/2006/relationships/hyperlink" Target="https://i.postimg.cc/DZ3mfRMB/247.png" TargetMode="External"/><Relationship Id="rId244" Type="http://schemas.openxmlformats.org/officeDocument/2006/relationships/hyperlink" Target="https://i.postimg.cc/90J6p5cZ/220.png" TargetMode="External"/><Relationship Id="rId365" Type="http://schemas.openxmlformats.org/officeDocument/2006/relationships/hyperlink" Target="https://i.postimg.cc/pVhrmHtb/126.png" TargetMode="External"/><Relationship Id="rId486" Type="http://schemas.openxmlformats.org/officeDocument/2006/relationships/hyperlink" Target="https://i.postimg.cc/vHC2zGp7/099.png" TargetMode="External"/><Relationship Id="rId122" Type="http://schemas.openxmlformats.org/officeDocument/2006/relationships/hyperlink" Target="https://i.postimg.cc/hPkTg4Rh/281.png" TargetMode="External"/><Relationship Id="rId243" Type="http://schemas.openxmlformats.org/officeDocument/2006/relationships/hyperlink" Target="https://i.postimg.cc/fRgffsk7/187.png" TargetMode="External"/><Relationship Id="rId364" Type="http://schemas.openxmlformats.org/officeDocument/2006/relationships/hyperlink" Target="https://i.postimg.cc/hPVTkgX1/160.png" TargetMode="External"/><Relationship Id="rId485" Type="http://schemas.openxmlformats.org/officeDocument/2006/relationships/hyperlink" Target="https://i.postimg.cc/fTPvxZVc/066.png" TargetMode="External"/><Relationship Id="rId95" Type="http://schemas.openxmlformats.org/officeDocument/2006/relationships/hyperlink" Target="https://i.postimg.cc/MpkY8gjS/261.png" TargetMode="External"/><Relationship Id="rId94" Type="http://schemas.openxmlformats.org/officeDocument/2006/relationships/hyperlink" Target="https://i.postimg.cc/HWvYDq86/295.png" TargetMode="External"/><Relationship Id="rId97" Type="http://schemas.openxmlformats.org/officeDocument/2006/relationships/hyperlink" Target="https://i.postimg.cc/FHjVFGjJ/260.png" TargetMode="External"/><Relationship Id="rId96" Type="http://schemas.openxmlformats.org/officeDocument/2006/relationships/hyperlink" Target="https://i.postimg.cc/xdJYHww9/294.png" TargetMode="External"/><Relationship Id="rId99" Type="http://schemas.openxmlformats.org/officeDocument/2006/relationships/hyperlink" Target="https://i.postimg.cc/d3pj3xHG/259.png" TargetMode="External"/><Relationship Id="rId480" Type="http://schemas.openxmlformats.org/officeDocument/2006/relationships/hyperlink" Target="https://i.postimg.cc/Gt576R9C/102.png" TargetMode="External"/><Relationship Id="rId98" Type="http://schemas.openxmlformats.org/officeDocument/2006/relationships/hyperlink" Target="https://i.postimg.cc/nLyx1dxB/293.png" TargetMode="External"/><Relationship Id="rId91" Type="http://schemas.openxmlformats.org/officeDocument/2006/relationships/hyperlink" Target="https://i.postimg.cc/FHFNtWtQ/263.png" TargetMode="External"/><Relationship Id="rId90" Type="http://schemas.openxmlformats.org/officeDocument/2006/relationships/hyperlink" Target="https://i.postimg.cc/tgj90R5H/297.png" TargetMode="External"/><Relationship Id="rId93" Type="http://schemas.openxmlformats.org/officeDocument/2006/relationships/hyperlink" Target="https://i.postimg.cc/s2s9MScH/262.png" TargetMode="External"/><Relationship Id="rId92" Type="http://schemas.openxmlformats.org/officeDocument/2006/relationships/hyperlink" Target="https://i.postimg.cc/MT2nSCWV/296.png" TargetMode="External"/><Relationship Id="rId118" Type="http://schemas.openxmlformats.org/officeDocument/2006/relationships/hyperlink" Target="https://i.postimg.cc/rFQN3D3S/283.png" TargetMode="External"/><Relationship Id="rId239" Type="http://schemas.openxmlformats.org/officeDocument/2006/relationships/hyperlink" Target="https://i.postimg.cc/MHDyM2hQ/189.png" TargetMode="External"/><Relationship Id="rId117" Type="http://schemas.openxmlformats.org/officeDocument/2006/relationships/hyperlink" Target="https://i.postimg.cc/2896L1tq/250.png" TargetMode="External"/><Relationship Id="rId238" Type="http://schemas.openxmlformats.org/officeDocument/2006/relationships/hyperlink" Target="https://i.postimg.cc/132Z2QwK/223.png" TargetMode="External"/><Relationship Id="rId359" Type="http://schemas.openxmlformats.org/officeDocument/2006/relationships/hyperlink" Target="https://i.postimg.cc/3RWMbYZK/129.png" TargetMode="External"/><Relationship Id="rId116" Type="http://schemas.openxmlformats.org/officeDocument/2006/relationships/hyperlink" Target="https://i.postimg.cc/jS1QqGs2/284.png" TargetMode="External"/><Relationship Id="rId237" Type="http://schemas.openxmlformats.org/officeDocument/2006/relationships/hyperlink" Target="https://i.postimg.cc/c4hm6wSb/190.png" TargetMode="External"/><Relationship Id="rId358" Type="http://schemas.openxmlformats.org/officeDocument/2006/relationships/hyperlink" Target="https://i.postimg.cc/x1RHdRyk/163.png" TargetMode="External"/><Relationship Id="rId479" Type="http://schemas.openxmlformats.org/officeDocument/2006/relationships/hyperlink" Target="https://i.postimg.cc/prXBBLQZ/069.png" TargetMode="External"/><Relationship Id="rId115" Type="http://schemas.openxmlformats.org/officeDocument/2006/relationships/hyperlink" Target="https://i.postimg.cc/xT18dv6D/251.png" TargetMode="External"/><Relationship Id="rId236" Type="http://schemas.openxmlformats.org/officeDocument/2006/relationships/hyperlink" Target="https://i.postimg.cc/K8R20zkz/224.png" TargetMode="External"/><Relationship Id="rId357" Type="http://schemas.openxmlformats.org/officeDocument/2006/relationships/hyperlink" Target="https://i.postimg.cc/6QMJ0ynj/130.png" TargetMode="External"/><Relationship Id="rId478" Type="http://schemas.openxmlformats.org/officeDocument/2006/relationships/hyperlink" Target="https://i.postimg.cc/kG4YjGJs/103.png" TargetMode="External"/><Relationship Id="rId599" Type="http://schemas.openxmlformats.org/officeDocument/2006/relationships/hyperlink" Target="https://i.postimg.cc/HWyX8NqK/009.png" TargetMode="External"/><Relationship Id="rId119" Type="http://schemas.openxmlformats.org/officeDocument/2006/relationships/hyperlink" Target="https://i.postimg.cc/J7qtm6c5/249.png" TargetMode="External"/><Relationship Id="rId110" Type="http://schemas.openxmlformats.org/officeDocument/2006/relationships/hyperlink" Target="https://i.postimg.cc/5th3gkQz/287.png" TargetMode="External"/><Relationship Id="rId231" Type="http://schemas.openxmlformats.org/officeDocument/2006/relationships/hyperlink" Target="https://i.postimg.cc/mkGw1Sk0/193.png" TargetMode="External"/><Relationship Id="rId352" Type="http://schemas.openxmlformats.org/officeDocument/2006/relationships/hyperlink" Target="https://i.postimg.cc/0Q37syGc/166.png" TargetMode="External"/><Relationship Id="rId473" Type="http://schemas.openxmlformats.org/officeDocument/2006/relationships/hyperlink" Target="https://i.postimg.cc/63Kcy0yF/072.png" TargetMode="External"/><Relationship Id="rId594" Type="http://schemas.openxmlformats.org/officeDocument/2006/relationships/hyperlink" Target="https://i.postimg.cc/d0Zy9YcC/045.png" TargetMode="External"/><Relationship Id="rId230" Type="http://schemas.openxmlformats.org/officeDocument/2006/relationships/hyperlink" Target="https://i.postimg.cc/wxQgvnY6/227.png" TargetMode="External"/><Relationship Id="rId351" Type="http://schemas.openxmlformats.org/officeDocument/2006/relationships/hyperlink" Target="https://i.postimg.cc/L8Mp6dmT/133.png" TargetMode="External"/><Relationship Id="rId472" Type="http://schemas.openxmlformats.org/officeDocument/2006/relationships/hyperlink" Target="https://i.postimg.cc/s2d8V3mf/106.png" TargetMode="External"/><Relationship Id="rId593" Type="http://schemas.openxmlformats.org/officeDocument/2006/relationships/hyperlink" Target="https://i.postimg.cc/Y94g3Dhv/012.png" TargetMode="External"/><Relationship Id="rId350" Type="http://schemas.openxmlformats.org/officeDocument/2006/relationships/hyperlink" Target="https://i.postimg.cc/mDh7JH9P/167.png" TargetMode="External"/><Relationship Id="rId471" Type="http://schemas.openxmlformats.org/officeDocument/2006/relationships/hyperlink" Target="https://i.postimg.cc/9fZ1mSFG/073.png" TargetMode="External"/><Relationship Id="rId592" Type="http://schemas.openxmlformats.org/officeDocument/2006/relationships/hyperlink" Target="https://i.postimg.cc/L8XfnPyN/046.png" TargetMode="External"/><Relationship Id="rId470" Type="http://schemas.openxmlformats.org/officeDocument/2006/relationships/hyperlink" Target="https://i.postimg.cc/sgZqdMp0/107.png" TargetMode="External"/><Relationship Id="rId591" Type="http://schemas.openxmlformats.org/officeDocument/2006/relationships/hyperlink" Target="https://i.postimg.cc/7Lt0SrYv/013.png" TargetMode="External"/><Relationship Id="rId114" Type="http://schemas.openxmlformats.org/officeDocument/2006/relationships/hyperlink" Target="https://i.postimg.cc/cCXCRDyc/285.png" TargetMode="External"/><Relationship Id="rId235" Type="http://schemas.openxmlformats.org/officeDocument/2006/relationships/hyperlink" Target="https://i.postimg.cc/TYf0RQZb/191.png" TargetMode="External"/><Relationship Id="rId356" Type="http://schemas.openxmlformats.org/officeDocument/2006/relationships/hyperlink" Target="https://i.postimg.cc/44Dp2nx3/164.png" TargetMode="External"/><Relationship Id="rId477" Type="http://schemas.openxmlformats.org/officeDocument/2006/relationships/hyperlink" Target="https://i.postimg.cc/j2g43YZr/070.png" TargetMode="External"/><Relationship Id="rId598" Type="http://schemas.openxmlformats.org/officeDocument/2006/relationships/hyperlink" Target="https://i.postimg.cc/zBnH9FBX/043.png" TargetMode="External"/><Relationship Id="rId113" Type="http://schemas.openxmlformats.org/officeDocument/2006/relationships/hyperlink" Target="https://i.postimg.cc/y8JNmVqL/252.png" TargetMode="External"/><Relationship Id="rId234" Type="http://schemas.openxmlformats.org/officeDocument/2006/relationships/hyperlink" Target="https://i.postimg.cc/8PkDrwTL/225.png" TargetMode="External"/><Relationship Id="rId355" Type="http://schemas.openxmlformats.org/officeDocument/2006/relationships/hyperlink" Target="https://i.postimg.cc/N0svm192/131.png" TargetMode="External"/><Relationship Id="rId476" Type="http://schemas.openxmlformats.org/officeDocument/2006/relationships/hyperlink" Target="https://i.postimg.cc/ydnrXcHW/104.png" TargetMode="External"/><Relationship Id="rId597" Type="http://schemas.openxmlformats.org/officeDocument/2006/relationships/hyperlink" Target="https://i.postimg.cc/qqyKftc0/010.png" TargetMode="External"/><Relationship Id="rId112" Type="http://schemas.openxmlformats.org/officeDocument/2006/relationships/hyperlink" Target="https://i.postimg.cc/yxVW3M5d/286.png" TargetMode="External"/><Relationship Id="rId233" Type="http://schemas.openxmlformats.org/officeDocument/2006/relationships/hyperlink" Target="https://i.postimg.cc/BZxN9Rws/192.png" TargetMode="External"/><Relationship Id="rId354" Type="http://schemas.openxmlformats.org/officeDocument/2006/relationships/hyperlink" Target="https://i.postimg.cc/XqCd76Q3/165.png" TargetMode="External"/><Relationship Id="rId475" Type="http://schemas.openxmlformats.org/officeDocument/2006/relationships/hyperlink" Target="https://i.postimg.cc/ydTP9ZRx/071.png" TargetMode="External"/><Relationship Id="rId596" Type="http://schemas.openxmlformats.org/officeDocument/2006/relationships/hyperlink" Target="https://i.postimg.cc/RFrnsDvD/044.png" TargetMode="External"/><Relationship Id="rId111" Type="http://schemas.openxmlformats.org/officeDocument/2006/relationships/hyperlink" Target="https://i.postimg.cc/52Z2pZbb/253.png" TargetMode="External"/><Relationship Id="rId232" Type="http://schemas.openxmlformats.org/officeDocument/2006/relationships/hyperlink" Target="https://i.postimg.cc/c4DW7YJ2/226.png" TargetMode="External"/><Relationship Id="rId353" Type="http://schemas.openxmlformats.org/officeDocument/2006/relationships/hyperlink" Target="https://i.postimg.cc/wjcd1Wvd/132.png" TargetMode="External"/><Relationship Id="rId474" Type="http://schemas.openxmlformats.org/officeDocument/2006/relationships/hyperlink" Target="https://i.postimg.cc/ZRJMdjX1/105.png" TargetMode="External"/><Relationship Id="rId595" Type="http://schemas.openxmlformats.org/officeDocument/2006/relationships/hyperlink" Target="https://i.postimg.cc/k4kShNbf/011.png" TargetMode="External"/><Relationship Id="rId305" Type="http://schemas.openxmlformats.org/officeDocument/2006/relationships/hyperlink" Target="https://i.postimg.cc/Gt2pQW4Y/156.png" TargetMode="External"/><Relationship Id="rId426" Type="http://schemas.openxmlformats.org/officeDocument/2006/relationships/hyperlink" Target="https://i.postimg.cc/DZq72CLH/129.png" TargetMode="External"/><Relationship Id="rId547" Type="http://schemas.openxmlformats.org/officeDocument/2006/relationships/hyperlink" Target="https://i.postimg.cc/PqSJwfxh/035.png" TargetMode="External"/><Relationship Id="rId304" Type="http://schemas.openxmlformats.org/officeDocument/2006/relationships/hyperlink" Target="https://i.postimg.cc/BbkgsMgR/190.png" TargetMode="External"/><Relationship Id="rId425" Type="http://schemas.openxmlformats.org/officeDocument/2006/relationships/hyperlink" Target="https://i.postimg.cc/9Fb6VDNW/096.png" TargetMode="External"/><Relationship Id="rId546" Type="http://schemas.openxmlformats.org/officeDocument/2006/relationships/hyperlink" Target="https://i.postimg.cc/QtB05P0Y/069.png" TargetMode="External"/><Relationship Id="rId303" Type="http://schemas.openxmlformats.org/officeDocument/2006/relationships/hyperlink" Target="https://i.postimg.cc/26T6nkSr/157.png" TargetMode="External"/><Relationship Id="rId424" Type="http://schemas.openxmlformats.org/officeDocument/2006/relationships/hyperlink" Target="https://i.postimg.cc/J0MMtbQn/130.png" TargetMode="External"/><Relationship Id="rId545" Type="http://schemas.openxmlformats.org/officeDocument/2006/relationships/hyperlink" Target="https://i.postimg.cc/QdrFLnwL/036.png" TargetMode="External"/><Relationship Id="rId302" Type="http://schemas.openxmlformats.org/officeDocument/2006/relationships/hyperlink" Target="https://i.postimg.cc/BbXgddxx/191.png" TargetMode="External"/><Relationship Id="rId423" Type="http://schemas.openxmlformats.org/officeDocument/2006/relationships/hyperlink" Target="https://i.postimg.cc/GhdWZFK7/097.png" TargetMode="External"/><Relationship Id="rId544" Type="http://schemas.openxmlformats.org/officeDocument/2006/relationships/hyperlink" Target="https://i.postimg.cc/VNZKJ1Bb/070.png" TargetMode="External"/><Relationship Id="rId309" Type="http://schemas.openxmlformats.org/officeDocument/2006/relationships/hyperlink" Target="https://i.postimg.cc/RCshFZYT/154.png" TargetMode="External"/><Relationship Id="rId308" Type="http://schemas.openxmlformats.org/officeDocument/2006/relationships/hyperlink" Target="https://i.postimg.cc/nhvkbKQw/188.png" TargetMode="External"/><Relationship Id="rId429" Type="http://schemas.openxmlformats.org/officeDocument/2006/relationships/hyperlink" Target="https://i.postimg.cc/3xbz4PTV/094.png" TargetMode="External"/><Relationship Id="rId307" Type="http://schemas.openxmlformats.org/officeDocument/2006/relationships/hyperlink" Target="https://i.postimg.cc/Gt5mSXDf/155.png" TargetMode="External"/><Relationship Id="rId428" Type="http://schemas.openxmlformats.org/officeDocument/2006/relationships/hyperlink" Target="https://i.postimg.cc/6qcwZyHh/128.png" TargetMode="External"/><Relationship Id="rId549" Type="http://schemas.openxmlformats.org/officeDocument/2006/relationships/hyperlink" Target="https://i.postimg.cc/xCqCyrJm/034.png" TargetMode="External"/><Relationship Id="rId306" Type="http://schemas.openxmlformats.org/officeDocument/2006/relationships/hyperlink" Target="https://i.postimg.cc/2SpwK93Z/189.png" TargetMode="External"/><Relationship Id="rId427" Type="http://schemas.openxmlformats.org/officeDocument/2006/relationships/hyperlink" Target="https://i.postimg.cc/HkLfLTfb/095.png" TargetMode="External"/><Relationship Id="rId548" Type="http://schemas.openxmlformats.org/officeDocument/2006/relationships/hyperlink" Target="https://i.postimg.cc/76pXNVRH/068.png" TargetMode="External"/><Relationship Id="rId301" Type="http://schemas.openxmlformats.org/officeDocument/2006/relationships/hyperlink" Target="https://i.postimg.cc/mDTkczRm/158.png" TargetMode="External"/><Relationship Id="rId422" Type="http://schemas.openxmlformats.org/officeDocument/2006/relationships/hyperlink" Target="https://i.postimg.cc/63s9xs2C/131.png" TargetMode="External"/><Relationship Id="rId543" Type="http://schemas.openxmlformats.org/officeDocument/2006/relationships/hyperlink" Target="https://i.postimg.cc/02SzBqtd/037.png" TargetMode="External"/><Relationship Id="rId300" Type="http://schemas.openxmlformats.org/officeDocument/2006/relationships/hyperlink" Target="https://i.postimg.cc/sXnmHVZj/192.png" TargetMode="External"/><Relationship Id="rId421" Type="http://schemas.openxmlformats.org/officeDocument/2006/relationships/hyperlink" Target="https://i.postimg.cc/Y0fJv0rz/098.png" TargetMode="External"/><Relationship Id="rId542" Type="http://schemas.openxmlformats.org/officeDocument/2006/relationships/hyperlink" Target="https://i.postimg.cc/k5gjMD8m/071.png" TargetMode="External"/><Relationship Id="rId420" Type="http://schemas.openxmlformats.org/officeDocument/2006/relationships/hyperlink" Target="https://i.postimg.cc/nL9HWVzH/132.png" TargetMode="External"/><Relationship Id="rId541" Type="http://schemas.openxmlformats.org/officeDocument/2006/relationships/hyperlink" Target="https://i.postimg.cc/RCy3d0TZ/038.png" TargetMode="External"/><Relationship Id="rId540" Type="http://schemas.openxmlformats.org/officeDocument/2006/relationships/hyperlink" Target="https://i.postimg.cc/W1jWK51t/072.png" TargetMode="External"/><Relationship Id="rId415" Type="http://schemas.openxmlformats.org/officeDocument/2006/relationships/hyperlink" Target="https://i.postimg.cc/MZ7kPP7f/101.png" TargetMode="External"/><Relationship Id="rId536" Type="http://schemas.openxmlformats.org/officeDocument/2006/relationships/hyperlink" Target="https://i.postimg.cc/RCkb1Sr7/074.png" TargetMode="External"/><Relationship Id="rId414" Type="http://schemas.openxmlformats.org/officeDocument/2006/relationships/hyperlink" Target="https://i.postimg.cc/SNVN2t3p/135.png" TargetMode="External"/><Relationship Id="rId535" Type="http://schemas.openxmlformats.org/officeDocument/2006/relationships/hyperlink" Target="https://i.postimg.cc/NMPKWGqb/041.png" TargetMode="External"/><Relationship Id="rId413" Type="http://schemas.openxmlformats.org/officeDocument/2006/relationships/hyperlink" Target="https://i.postimg.cc/43jCMj2V/102.png" TargetMode="External"/><Relationship Id="rId534" Type="http://schemas.openxmlformats.org/officeDocument/2006/relationships/hyperlink" Target="https://i.postimg.cc/907g3S9w/075.png" TargetMode="External"/><Relationship Id="rId412" Type="http://schemas.openxmlformats.org/officeDocument/2006/relationships/hyperlink" Target="https://i.postimg.cc/8PTzCVyH/136.png" TargetMode="External"/><Relationship Id="rId533" Type="http://schemas.openxmlformats.org/officeDocument/2006/relationships/hyperlink" Target="https://i.postimg.cc/fLb32tFJ/042.png" TargetMode="External"/><Relationship Id="rId419" Type="http://schemas.openxmlformats.org/officeDocument/2006/relationships/hyperlink" Target="https://i.postimg.cc/WzPBpgv4/099.png" TargetMode="External"/><Relationship Id="rId418" Type="http://schemas.openxmlformats.org/officeDocument/2006/relationships/hyperlink" Target="https://i.postimg.cc/MpF6tfzP/133.png" TargetMode="External"/><Relationship Id="rId539" Type="http://schemas.openxmlformats.org/officeDocument/2006/relationships/hyperlink" Target="https://i.postimg.cc/hvkftCGd/039.png" TargetMode="External"/><Relationship Id="rId417" Type="http://schemas.openxmlformats.org/officeDocument/2006/relationships/hyperlink" Target="https://i.postimg.cc/NMThwbZV/100.png" TargetMode="External"/><Relationship Id="rId538" Type="http://schemas.openxmlformats.org/officeDocument/2006/relationships/hyperlink" Target="https://i.postimg.cc/3J2fns7P/073.png" TargetMode="External"/><Relationship Id="rId416" Type="http://schemas.openxmlformats.org/officeDocument/2006/relationships/hyperlink" Target="https://i.postimg.cc/2S6j47NL/134.png" TargetMode="External"/><Relationship Id="rId537" Type="http://schemas.openxmlformats.org/officeDocument/2006/relationships/hyperlink" Target="https://i.postimg.cc/brDZ8XqP/040.png" TargetMode="External"/><Relationship Id="rId411" Type="http://schemas.openxmlformats.org/officeDocument/2006/relationships/hyperlink" Target="https://i.postimg.cc/MGn29z5z/103.png" TargetMode="External"/><Relationship Id="rId532" Type="http://schemas.openxmlformats.org/officeDocument/2006/relationships/hyperlink" Target="https://i.postimg.cc/pT7c6xmt/076.png" TargetMode="External"/><Relationship Id="rId410" Type="http://schemas.openxmlformats.org/officeDocument/2006/relationships/hyperlink" Target="https://i.postimg.cc/jqHjKjh2/137.png" TargetMode="External"/><Relationship Id="rId531" Type="http://schemas.openxmlformats.org/officeDocument/2006/relationships/hyperlink" Target="https://i.postimg.cc/SKd2f7gB/043.png" TargetMode="External"/><Relationship Id="rId530" Type="http://schemas.openxmlformats.org/officeDocument/2006/relationships/hyperlink" Target="https://i.postimg.cc/W3tf8tbn/077.png" TargetMode="External"/><Relationship Id="rId650" Type="http://schemas.openxmlformats.org/officeDocument/2006/relationships/drawing" Target="../drawings/drawing1.xml"/><Relationship Id="rId206" Type="http://schemas.openxmlformats.org/officeDocument/2006/relationships/hyperlink" Target="https://i.postimg.cc/zBWD0fQW/239.png" TargetMode="External"/><Relationship Id="rId327" Type="http://schemas.openxmlformats.org/officeDocument/2006/relationships/hyperlink" Target="https://i.postimg.cc/vTkGvcFF/145.png" TargetMode="External"/><Relationship Id="rId448" Type="http://schemas.openxmlformats.org/officeDocument/2006/relationships/hyperlink" Target="https://i.postimg.cc/Y2RwbL36/118.png" TargetMode="External"/><Relationship Id="rId569" Type="http://schemas.openxmlformats.org/officeDocument/2006/relationships/hyperlink" Target="https://i.postimg.cc/mrLyQSY9/024.png" TargetMode="External"/><Relationship Id="rId205" Type="http://schemas.openxmlformats.org/officeDocument/2006/relationships/hyperlink" Target="https://i.postimg.cc/zf6bLgzx/206.png" TargetMode="External"/><Relationship Id="rId326" Type="http://schemas.openxmlformats.org/officeDocument/2006/relationships/hyperlink" Target="https://i.postimg.cc/YCw634yN/179.png" TargetMode="External"/><Relationship Id="rId447" Type="http://schemas.openxmlformats.org/officeDocument/2006/relationships/hyperlink" Target="https://i.postimg.cc/HkjhgBy2/085.png" TargetMode="External"/><Relationship Id="rId568" Type="http://schemas.openxmlformats.org/officeDocument/2006/relationships/hyperlink" Target="https://i.postimg.cc/Hks0XRL0/058.png" TargetMode="External"/><Relationship Id="rId204" Type="http://schemas.openxmlformats.org/officeDocument/2006/relationships/hyperlink" Target="https://i.postimg.cc/nLNc4m3p/240.png" TargetMode="External"/><Relationship Id="rId325" Type="http://schemas.openxmlformats.org/officeDocument/2006/relationships/hyperlink" Target="https://i.postimg.cc/rsK8W5HN/146.png" TargetMode="External"/><Relationship Id="rId446" Type="http://schemas.openxmlformats.org/officeDocument/2006/relationships/hyperlink" Target="https://i.postimg.cc/MH92TgTP/119.png" TargetMode="External"/><Relationship Id="rId567" Type="http://schemas.openxmlformats.org/officeDocument/2006/relationships/hyperlink" Target="https://i.postimg.cc/vm0LX6hN/025.png" TargetMode="External"/><Relationship Id="rId203" Type="http://schemas.openxmlformats.org/officeDocument/2006/relationships/hyperlink" Target="https://i.postimg.cc/7ZBTkRp8/207.png" TargetMode="External"/><Relationship Id="rId324" Type="http://schemas.openxmlformats.org/officeDocument/2006/relationships/hyperlink" Target="https://i.postimg.cc/VkBjHY3x/180.png" TargetMode="External"/><Relationship Id="rId445" Type="http://schemas.openxmlformats.org/officeDocument/2006/relationships/hyperlink" Target="https://i.postimg.cc/9FLnKvr0/086.png" TargetMode="External"/><Relationship Id="rId566" Type="http://schemas.openxmlformats.org/officeDocument/2006/relationships/hyperlink" Target="https://i.postimg.cc/SN4fNJFv/059.png" TargetMode="External"/><Relationship Id="rId209" Type="http://schemas.openxmlformats.org/officeDocument/2006/relationships/hyperlink" Target="https://i.postimg.cc/wB7RTVpt/204.png" TargetMode="External"/><Relationship Id="rId208" Type="http://schemas.openxmlformats.org/officeDocument/2006/relationships/hyperlink" Target="https://i.postimg.cc/sx4jCNsg/238.png" TargetMode="External"/><Relationship Id="rId329" Type="http://schemas.openxmlformats.org/officeDocument/2006/relationships/hyperlink" Target="https://i.postimg.cc/CMQM06ZP/144.png" TargetMode="External"/><Relationship Id="rId207" Type="http://schemas.openxmlformats.org/officeDocument/2006/relationships/hyperlink" Target="https://i.postimg.cc/FHFJwvCV/205.png" TargetMode="External"/><Relationship Id="rId328" Type="http://schemas.openxmlformats.org/officeDocument/2006/relationships/hyperlink" Target="https://i.postimg.cc/VNKXmKs4/178.png" TargetMode="External"/><Relationship Id="rId449" Type="http://schemas.openxmlformats.org/officeDocument/2006/relationships/hyperlink" Target="https://i.postimg.cc/K8VsvB7y/084.png" TargetMode="External"/><Relationship Id="rId440" Type="http://schemas.openxmlformats.org/officeDocument/2006/relationships/hyperlink" Target="https://i.postimg.cc/XJ00Dwm8/122.png" TargetMode="External"/><Relationship Id="rId561" Type="http://schemas.openxmlformats.org/officeDocument/2006/relationships/hyperlink" Target="https://i.postimg.cc/fTdCZyWV/028.png" TargetMode="External"/><Relationship Id="rId560" Type="http://schemas.openxmlformats.org/officeDocument/2006/relationships/hyperlink" Target="https://i.postimg.cc/nrbYmLsM/062.png" TargetMode="External"/><Relationship Id="rId202" Type="http://schemas.openxmlformats.org/officeDocument/2006/relationships/hyperlink" Target="https://i.postimg.cc/xdX1N5y6/241.png" TargetMode="External"/><Relationship Id="rId323" Type="http://schemas.openxmlformats.org/officeDocument/2006/relationships/hyperlink" Target="https://i.postimg.cc/cHDxrFFJ/147.png" TargetMode="External"/><Relationship Id="rId444" Type="http://schemas.openxmlformats.org/officeDocument/2006/relationships/hyperlink" Target="https://i.postimg.cc/mkLWTTb1/120.png" TargetMode="External"/><Relationship Id="rId565" Type="http://schemas.openxmlformats.org/officeDocument/2006/relationships/hyperlink" Target="https://i.postimg.cc/g2PD0prN/026.png" TargetMode="External"/><Relationship Id="rId201" Type="http://schemas.openxmlformats.org/officeDocument/2006/relationships/hyperlink" Target="https://i.postimg.cc/9M94yQzC/208.png" TargetMode="External"/><Relationship Id="rId322" Type="http://schemas.openxmlformats.org/officeDocument/2006/relationships/hyperlink" Target="https://i.postimg.cc/SKScBB4J/181.png" TargetMode="External"/><Relationship Id="rId443" Type="http://schemas.openxmlformats.org/officeDocument/2006/relationships/hyperlink" Target="https://i.postimg.cc/Fsr6P9Fw/087.png" TargetMode="External"/><Relationship Id="rId564" Type="http://schemas.openxmlformats.org/officeDocument/2006/relationships/hyperlink" Target="https://i.postimg.cc/9XZBhyS9/060.png" TargetMode="External"/><Relationship Id="rId200" Type="http://schemas.openxmlformats.org/officeDocument/2006/relationships/hyperlink" Target="https://i.postimg.cc/Qd4MMw5B/242.png" TargetMode="External"/><Relationship Id="rId321" Type="http://schemas.openxmlformats.org/officeDocument/2006/relationships/hyperlink" Target="https://i.postimg.cc/bJYYy7HM/148.png" TargetMode="External"/><Relationship Id="rId442" Type="http://schemas.openxmlformats.org/officeDocument/2006/relationships/hyperlink" Target="https://i.postimg.cc/Y9fwcvww/121.png" TargetMode="External"/><Relationship Id="rId563" Type="http://schemas.openxmlformats.org/officeDocument/2006/relationships/hyperlink" Target="https://i.postimg.cc/gcQsf8p9/027.png" TargetMode="External"/><Relationship Id="rId320" Type="http://schemas.openxmlformats.org/officeDocument/2006/relationships/hyperlink" Target="https://i.postimg.cc/WpC6dYGH/182.png" TargetMode="External"/><Relationship Id="rId441" Type="http://schemas.openxmlformats.org/officeDocument/2006/relationships/hyperlink" Target="https://i.postimg.cc/nVY5Ysxv/088.png" TargetMode="External"/><Relationship Id="rId562" Type="http://schemas.openxmlformats.org/officeDocument/2006/relationships/hyperlink" Target="https://i.postimg.cc/90dPYjTb/061.png" TargetMode="External"/><Relationship Id="rId316" Type="http://schemas.openxmlformats.org/officeDocument/2006/relationships/hyperlink" Target="https://i.postimg.cc/4y768pgP/184.png" TargetMode="External"/><Relationship Id="rId437" Type="http://schemas.openxmlformats.org/officeDocument/2006/relationships/hyperlink" Target="https://i.postimg.cc/ZqB2rVYR/090.png" TargetMode="External"/><Relationship Id="rId558" Type="http://schemas.openxmlformats.org/officeDocument/2006/relationships/hyperlink" Target="https://i.postimg.cc/50FSjz2Z/063.png" TargetMode="External"/><Relationship Id="rId315" Type="http://schemas.openxmlformats.org/officeDocument/2006/relationships/hyperlink" Target="https://i.postimg.cc/kg8gfFgj/151.png" TargetMode="External"/><Relationship Id="rId436" Type="http://schemas.openxmlformats.org/officeDocument/2006/relationships/hyperlink" Target="https://i.postimg.cc/pL4vKNB3/124.png" TargetMode="External"/><Relationship Id="rId557" Type="http://schemas.openxmlformats.org/officeDocument/2006/relationships/hyperlink" Target="https://i.postimg.cc/QVZd3H6g/030.png" TargetMode="External"/><Relationship Id="rId314" Type="http://schemas.openxmlformats.org/officeDocument/2006/relationships/hyperlink" Target="https://i.postimg.cc/LX0kBNrh/185.png" TargetMode="External"/><Relationship Id="rId435" Type="http://schemas.openxmlformats.org/officeDocument/2006/relationships/hyperlink" Target="https://i.postimg.cc/2ymtNYQb/091.png" TargetMode="External"/><Relationship Id="rId556" Type="http://schemas.openxmlformats.org/officeDocument/2006/relationships/hyperlink" Target="https://i.postimg.cc/RZMdGqgH/064.png" TargetMode="External"/><Relationship Id="rId313" Type="http://schemas.openxmlformats.org/officeDocument/2006/relationships/hyperlink" Target="https://i.postimg.cc/fT1bcgDt/152.png" TargetMode="External"/><Relationship Id="rId434" Type="http://schemas.openxmlformats.org/officeDocument/2006/relationships/hyperlink" Target="https://i.postimg.cc/0ybx657p/125.png" TargetMode="External"/><Relationship Id="rId555" Type="http://schemas.openxmlformats.org/officeDocument/2006/relationships/hyperlink" Target="https://i.postimg.cc/LX7sxyLb/031.png" TargetMode="External"/><Relationship Id="rId319" Type="http://schemas.openxmlformats.org/officeDocument/2006/relationships/hyperlink" Target="https://i.postimg.cc/Xvk70jFd/149.png" TargetMode="External"/><Relationship Id="rId318" Type="http://schemas.openxmlformats.org/officeDocument/2006/relationships/hyperlink" Target="https://i.postimg.cc/PJgm0Nfj/183.png" TargetMode="External"/><Relationship Id="rId439" Type="http://schemas.openxmlformats.org/officeDocument/2006/relationships/hyperlink" Target="https://i.postimg.cc/j2XFs1c8/089.png" TargetMode="External"/><Relationship Id="rId317" Type="http://schemas.openxmlformats.org/officeDocument/2006/relationships/hyperlink" Target="https://i.postimg.cc/5tVNGYHf/150.png" TargetMode="External"/><Relationship Id="rId438" Type="http://schemas.openxmlformats.org/officeDocument/2006/relationships/hyperlink" Target="https://i.postimg.cc/hGmBrCyv/123.png" TargetMode="External"/><Relationship Id="rId559" Type="http://schemas.openxmlformats.org/officeDocument/2006/relationships/hyperlink" Target="https://i.postimg.cc/nVCTRT6Y/029.png" TargetMode="External"/><Relationship Id="rId550" Type="http://schemas.openxmlformats.org/officeDocument/2006/relationships/hyperlink" Target="https://i.postimg.cc/cCwhk3qQ/067.png" TargetMode="External"/><Relationship Id="rId312" Type="http://schemas.openxmlformats.org/officeDocument/2006/relationships/hyperlink" Target="https://i.postimg.cc/W48wt28G/186.png" TargetMode="External"/><Relationship Id="rId433" Type="http://schemas.openxmlformats.org/officeDocument/2006/relationships/hyperlink" Target="https://i.postimg.cc/GpWNzG9j/092.png" TargetMode="External"/><Relationship Id="rId554" Type="http://schemas.openxmlformats.org/officeDocument/2006/relationships/hyperlink" Target="https://i.postimg.cc/HkB2NHNP/065.png" TargetMode="External"/><Relationship Id="rId311" Type="http://schemas.openxmlformats.org/officeDocument/2006/relationships/hyperlink" Target="https://i.postimg.cc/BQj61G9f/153.png" TargetMode="External"/><Relationship Id="rId432" Type="http://schemas.openxmlformats.org/officeDocument/2006/relationships/hyperlink" Target="https://i.postimg.cc/jq4RmFsJ/126.png" TargetMode="External"/><Relationship Id="rId553" Type="http://schemas.openxmlformats.org/officeDocument/2006/relationships/hyperlink" Target="https://i.postimg.cc/QdkHjJZF/032.png" TargetMode="External"/><Relationship Id="rId310" Type="http://schemas.openxmlformats.org/officeDocument/2006/relationships/hyperlink" Target="https://i.postimg.cc/rmpCrvZv/187.png" TargetMode="External"/><Relationship Id="rId431" Type="http://schemas.openxmlformats.org/officeDocument/2006/relationships/hyperlink" Target="https://i.postimg.cc/KztWWjMh/093.png" TargetMode="External"/><Relationship Id="rId552" Type="http://schemas.openxmlformats.org/officeDocument/2006/relationships/hyperlink" Target="https://i.postimg.cc/FsbGj0Vv/066.png" TargetMode="External"/><Relationship Id="rId430" Type="http://schemas.openxmlformats.org/officeDocument/2006/relationships/hyperlink" Target="https://i.postimg.cc/9FXchYMg/127.png" TargetMode="External"/><Relationship Id="rId551" Type="http://schemas.openxmlformats.org/officeDocument/2006/relationships/hyperlink" Target="https://i.postimg.cc/N0sLF2Qp/033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ik.imagekit.io/alaaalaa6171/276%20Great%20Pirate%20-%20Edward%20Newgate%20-%20Medal%20_The%20Man%20Who%20Shook%20the%20World_%20-%20Piece%20_Colored_.png?updatedAt=1770076453202" TargetMode="External"/><Relationship Id="rId391" Type="http://schemas.openxmlformats.org/officeDocument/2006/relationships/hyperlink" Target="https://ik.imagekit.io/alaaalaa6171/276%20Great%20Pirate%20-%20Edward%20Newgate%20-%20Medal%20_The%20Man%20Who%20Shook%20the%20World_%20-%20Piece.png?updatedAt=1770076453292" TargetMode="External"/><Relationship Id="rId390" Type="http://schemas.openxmlformats.org/officeDocument/2006/relationships/hyperlink" Target="https://ik.imagekit.io/alaaalaa6171/276%20Great%20Pirate%20-%20Edward%20Newgate%20-%20Medal%20_The%20Man%20Who%20Shook%20the%20World_%20_Colored_.png?updatedAt=1770076453337" TargetMode="External"/><Relationship Id="rId1" Type="http://schemas.openxmlformats.org/officeDocument/2006/relationships/hyperlink" Target="https://i.postimg.cc/0Q9KHw1c/img-icon-medal-310110343.png" TargetMode="External"/><Relationship Id="rId2" Type="http://schemas.openxmlformats.org/officeDocument/2006/relationships/hyperlink" Target="https://i.postimg.cc/qRp6Z3HD/img-icon-medal-310110342.png" TargetMode="External"/><Relationship Id="rId3" Type="http://schemas.openxmlformats.org/officeDocument/2006/relationships/hyperlink" Target="https://i.postimg.cc/dQHvmRSz/306.png" TargetMode="External"/><Relationship Id="rId4" Type="http://schemas.openxmlformats.org/officeDocument/2006/relationships/hyperlink" Target="https://i.postimg.cc/9fdqpBK6/img-icon-medal-310110341.png" TargetMode="External"/><Relationship Id="rId9" Type="http://schemas.openxmlformats.org/officeDocument/2006/relationships/hyperlink" Target="https://i.postimg.cc/Lsq7zr0X/305.png" TargetMode="External"/><Relationship Id="rId385" Type="http://schemas.openxmlformats.org/officeDocument/2006/relationships/hyperlink" Target="https://ik.imagekit.io/alaaalaa6171/277%20Heir%20to%20the%20Shogun%20of%20Wano%20-%20Kozuki%20Oden%20-%20Medal%20_Paradise%20Waterfall_%20-%20Piece.png?updatedAt=1770076453343" TargetMode="External"/><Relationship Id="rId384" Type="http://schemas.openxmlformats.org/officeDocument/2006/relationships/hyperlink" Target="https://ik.imagekit.io/alaaalaa6171/277%20Heir%20to%20the%20Shogun%20of%20Wano%20-%20Kozuki%20Oden%20-%20Medal%20_Paradise%20Waterfall_%20_Colored_.png?updatedAt=1770076453323" TargetMode="External"/><Relationship Id="rId383" Type="http://schemas.openxmlformats.org/officeDocument/2006/relationships/hyperlink" Target="https://ik.imagekit.io/alaaalaa6171/277%20Heir%20to%20the%20Shogun%20of%20Wano%20-%20Kozuki%20Oden%20-%20Medal%20_Paradise%20Waterfall_.png?updatedAt=1770076453333" TargetMode="External"/><Relationship Id="rId382" Type="http://schemas.openxmlformats.org/officeDocument/2006/relationships/hyperlink" Target="https://i.postimg.cc/DZC0jpgC/img-icon-medal-310110278.png" TargetMode="External"/><Relationship Id="rId5" Type="http://schemas.openxmlformats.org/officeDocument/2006/relationships/hyperlink" Target="https://ik.imagekit.io/alaaalaa6171/340%20ASL%20-%20Ace%20&amp;%20Sabo%20&amp;%20Luffy%20-%20Medal%20_ASL%20Ace%20&amp;%20Sabo%20&amp;%20Luffy_.png?updatedAt=1770076471373" TargetMode="External"/><Relationship Id="rId389" Type="http://schemas.openxmlformats.org/officeDocument/2006/relationships/hyperlink" Target="https://ik.imagekit.io/alaaalaa6171/276%20Great%20Pirate%20-%20Edward%20Newgate%20-%20Medal%20_The%20Man%20Who%20Shook%20the%20World_.png?updatedAt=1770076453305" TargetMode="External"/><Relationship Id="rId6" Type="http://schemas.openxmlformats.org/officeDocument/2006/relationships/hyperlink" Target="https://ik.imagekit.io/alaaalaa6171/340%20ASL%20-%20Ace%20&amp;%20Sabo%20&amp;%20Luffy%20-%20Medal%20_ASL%20Ace%20&amp;%20Sabo%20&amp;%20Luffy_%20_Colored_.png?updatedAt=1770076471264" TargetMode="External"/><Relationship Id="rId388" Type="http://schemas.openxmlformats.org/officeDocument/2006/relationships/hyperlink" Target="https://i.postimg.cc/9Mx08gpJ/img-icon-medal-310110277.png" TargetMode="External"/><Relationship Id="rId7" Type="http://schemas.openxmlformats.org/officeDocument/2006/relationships/hyperlink" Target="https://ik.imagekit.io/alaaalaa6171/340%20ASL%20-%20Ace%20&amp;%20Sabo%20&amp;%20Luffy%20-%20Medal%20_ASL%20Ace%20&amp;%20Sabo%20&amp;%20Luffy_%20-%20Piece.png?updatedAt=1770076471236" TargetMode="External"/><Relationship Id="rId387" Type="http://schemas.openxmlformats.org/officeDocument/2006/relationships/hyperlink" Target="https://i.postimg.cc/zDSHvX5W/242.png" TargetMode="External"/><Relationship Id="rId8" Type="http://schemas.openxmlformats.org/officeDocument/2006/relationships/hyperlink" Target="https://ik.imagekit.io/alaaalaa6171/340%20ASL%20-%20Ace%20&amp;%20Sabo%20&amp;%20Luffy%20-%20Medal%20_ASL%20Ace%20&amp;%20Sabo%20&amp;%20Luffy_%20-%20Piece%20_Colored_.png?updatedAt=1770076471208" TargetMode="External"/><Relationship Id="rId386" Type="http://schemas.openxmlformats.org/officeDocument/2006/relationships/hyperlink" Target="https://ik.imagekit.io/alaaalaa6171/277%20Heir%20to%20the%20Shogun%20of%20Wano%20-%20Kozuki%20Oden%20-%20Medal%20_Paradise%20Waterfall_%20-%20Piece%20_Colored_.png?updatedAt=1770076453555" TargetMode="External"/><Relationship Id="rId381" Type="http://schemas.openxmlformats.org/officeDocument/2006/relationships/hyperlink" Target="https://i.postimg.cc/RVS6H5VY/243.png" TargetMode="External"/><Relationship Id="rId380" Type="http://schemas.openxmlformats.org/officeDocument/2006/relationships/hyperlink" Target="https://ik.imagekit.io/alaaalaa6171/278%20Whole%20Cake%20Island%20-%20Carrot%20-%20Medal%20_Carrot%20(Whole%20Cake%20Island)_%20-%20Piece%20_Colored_.png?updatedAt=1770076453340" TargetMode="External"/><Relationship Id="rId379" Type="http://schemas.openxmlformats.org/officeDocument/2006/relationships/hyperlink" Target="https://ik.imagekit.io/alaaalaa6171/278%20Whole%20Cake%20Island%20-%20Carrot%20-%20Medal%20_Carrot%20(Whole%20Cake%20Island)_%20-%20Piece.png?updatedAt=1770076453614" TargetMode="External"/><Relationship Id="rId374" Type="http://schemas.openxmlformats.org/officeDocument/2006/relationships/hyperlink" Target="https://ik.imagekit.io/alaaalaa6171/279%20Great%20Pirate%20-%20Gol%20D.%20Roger%20-%20Medal%20_The%20Man%20Who%20Had%20Everything_%20-%20Piece%20_Colored_.png?updatedAt=1770076455302" TargetMode="External"/><Relationship Id="rId373" Type="http://schemas.openxmlformats.org/officeDocument/2006/relationships/hyperlink" Target="https://ik.imagekit.io/alaaalaa6171/279%20Great%20Pirate%20-%20Gol%20D.%20Roger%20-%20Medal%20_The%20Man%20Who%20Had%20Everything_%20-%20Piece.png?updatedAt=1770076455512" TargetMode="External"/><Relationship Id="rId372" Type="http://schemas.openxmlformats.org/officeDocument/2006/relationships/hyperlink" Target="https://ik.imagekit.io/alaaalaa6171/279%20Great%20Pirate%20-%20Gol%20D.%20Roger%20-%20Medal%20_The%20Man%20Who%20Had%20Everything_%20_Colored_.png?updatedAt=1770076455786" TargetMode="External"/><Relationship Id="rId371" Type="http://schemas.openxmlformats.org/officeDocument/2006/relationships/hyperlink" Target="https://ik.imagekit.io/alaaalaa6171/279%20Great%20Pirate%20-%20Gol%20D.%20Roger%20-%20Medal%20_The%20Man%20Who%20Had%20Everything_.png?updatedAt=1770076456023" TargetMode="External"/><Relationship Id="rId378" Type="http://schemas.openxmlformats.org/officeDocument/2006/relationships/hyperlink" Target="https://ik.imagekit.io/alaaalaa6171/278%20Whole%20Cake%20Island%20-%20Carrot%20-%20Medal%20_Carrot%20(Whole%20Cake%20Island)_%20_Colored_.png?updatedAt=1770076454662" TargetMode="External"/><Relationship Id="rId377" Type="http://schemas.openxmlformats.org/officeDocument/2006/relationships/hyperlink" Target="https://ik.imagekit.io/alaaalaa6171/278%20Whole%20Cake%20Island%20-%20Carrot%20-%20Medal%20_Carrot%20(Whole%20Cake%20Island)_.png?updatedAt=1770076454778" TargetMode="External"/><Relationship Id="rId376" Type="http://schemas.openxmlformats.org/officeDocument/2006/relationships/hyperlink" Target="https://i.postimg.cc/Kz9jqpNp/img-icon-medal-310110279.png" TargetMode="External"/><Relationship Id="rId375" Type="http://schemas.openxmlformats.org/officeDocument/2006/relationships/hyperlink" Target="https://i.postimg.cc/FsTfbWYH/244.png" TargetMode="External"/><Relationship Id="rId396" Type="http://schemas.openxmlformats.org/officeDocument/2006/relationships/hyperlink" Target="https://ik.imagekit.io/alaaalaa6171/275%20Fire%20Fist%20Ogre%20Princess%20-%20Ace%20&amp;%20Yamato%20-%20Medal%20_Ace%20&amp;%20Yamato_%20_Colored_.png?updatedAt=1770076453265" TargetMode="External"/><Relationship Id="rId395" Type="http://schemas.openxmlformats.org/officeDocument/2006/relationships/hyperlink" Target="https://ik.imagekit.io/alaaalaa6171/275%20Fire%20Fist%20Ogre%20Princess%20-%20Ace%20&amp;%20Yamato%20-%20Medal%20_Ace%20&amp;%20Yamato_.png?updatedAt=1770076453216" TargetMode="External"/><Relationship Id="rId394" Type="http://schemas.openxmlformats.org/officeDocument/2006/relationships/hyperlink" Target="https://i.postimg.cc/j582g3Xv/img-icon-medal-310110276.png" TargetMode="External"/><Relationship Id="rId393" Type="http://schemas.openxmlformats.org/officeDocument/2006/relationships/hyperlink" Target="https://i.postimg.cc/TwTG4xSM/241.png" TargetMode="External"/><Relationship Id="rId399" Type="http://schemas.openxmlformats.org/officeDocument/2006/relationships/hyperlink" Target="https://i.postimg.cc/tgQ9FWNg/240.png" TargetMode="External"/><Relationship Id="rId398" Type="http://schemas.openxmlformats.org/officeDocument/2006/relationships/hyperlink" Target="https://ik.imagekit.io/alaaalaa6171/275%20Fire%20Fist%20Ogre%20Princess%20-%20Ace%20&amp;%20Yamato%20-%20Medal%20_Ace%20&amp;%20Yamato_%20-%20Piece%20_Colored_.png?updatedAt=1770076453214" TargetMode="External"/><Relationship Id="rId397" Type="http://schemas.openxmlformats.org/officeDocument/2006/relationships/hyperlink" Target="https://ik.imagekit.io/alaaalaa6171/275%20Fire%20Fist%20Ogre%20Princess%20-%20Ace%20&amp;%20Yamato%20-%20Medal%20_Ace%20&amp;%20Yamato_%20-%20Piece.png?updatedAt=1770076453229" TargetMode="External"/><Relationship Id="rId1730" Type="http://schemas.openxmlformats.org/officeDocument/2006/relationships/hyperlink" Target="https://ik.imagekit.io/alaaalaa6171/053%20The%20Seven%20Warlords%20of%20the%20Sea%20-%20Hancock%20-%20Medal%20_Hancock_%20-%20Piece%20_Colored_.png?updatedAt=1770076410766" TargetMode="External"/><Relationship Id="rId1731" Type="http://schemas.openxmlformats.org/officeDocument/2006/relationships/hyperlink" Target="https://i.postimg.cc/wxC5Wz5g/018.png" TargetMode="External"/><Relationship Id="rId1732" Type="http://schemas.openxmlformats.org/officeDocument/2006/relationships/hyperlink" Target="https://i.postimg.cc/NFM9QvM8/img-icon-medal-310110044.png" TargetMode="External"/><Relationship Id="rId1733" Type="http://schemas.openxmlformats.org/officeDocument/2006/relationships/hyperlink" Target="https://ik.imagekit.io/alaaalaa6171/052%20Baroque%20Works_Vice%20President%20-%20Ms.%20All%20Sunday%20-%20Medal%20_Ms.%20All%20Sunday_.png?updatedAt=1770076410754" TargetMode="External"/><Relationship Id="rId1734" Type="http://schemas.openxmlformats.org/officeDocument/2006/relationships/hyperlink" Target="https://ik.imagekit.io/alaaalaa6171/052%20Baroque%20Works_Vice%20President%20-%20Ms.%20All%20Sunday%20-%20Medal%20_Ms.%20All%20Sunday_%20_Colored_.png?updatedAt=1770076410781" TargetMode="External"/><Relationship Id="rId1735" Type="http://schemas.openxmlformats.org/officeDocument/2006/relationships/hyperlink" Target="https://ik.imagekit.io/alaaalaa6171/052%20Baroque%20Works_Vice%20President%20-%20Ms.%20All%20Sunday%20-%20Medal%20_Ms.%20All%20Sunday_%20-%20Piece.png?updatedAt=1770076410765" TargetMode="External"/><Relationship Id="rId1736" Type="http://schemas.openxmlformats.org/officeDocument/2006/relationships/hyperlink" Target="https://ik.imagekit.io/alaaalaa6171/052%20Baroque%20Works_Vice%20President%20-%20Ms.%20All%20Sunday%20-%20Medal%20_Ms.%20All%20Sunday_%20-%20Piece%20_Colored_.png?updatedAt=1770076410754" TargetMode="External"/><Relationship Id="rId1737" Type="http://schemas.openxmlformats.org/officeDocument/2006/relationships/hyperlink" Target="https://i.postimg.cc/8zHhPr2z/017.png" TargetMode="External"/><Relationship Id="rId1738" Type="http://schemas.openxmlformats.org/officeDocument/2006/relationships/hyperlink" Target="https://i.postimg.cc/XqJGn6J8/img-icon-medal-310110049.png" TargetMode="External"/><Relationship Id="rId1739" Type="http://schemas.openxmlformats.org/officeDocument/2006/relationships/hyperlink" Target="https://ik.imagekit.io/alaaalaa6171/051%20Baroque%20Works_Officer%20Agent%20-%20Bon%20Clay,%20aka%20Mr.%202%20-%20Medal%20_Mr.%202_.png?updatedAt=1770076410746" TargetMode="External"/><Relationship Id="rId1720" Type="http://schemas.openxmlformats.org/officeDocument/2006/relationships/hyperlink" Target="https://i.postimg.cc/HnxcT1xv/img-icon-medal-310110054.png" TargetMode="External"/><Relationship Id="rId1721" Type="http://schemas.openxmlformats.org/officeDocument/2006/relationships/hyperlink" Target="https://ik.imagekit.io/alaaalaa6171/054%20The%20Seven%20Warlords%20of%20the%20Sea%20-%20Gecko%20Moria%20-%20Medal%20_Moria_.png?updatedAt=1770076410798" TargetMode="External"/><Relationship Id="rId1722" Type="http://schemas.openxmlformats.org/officeDocument/2006/relationships/hyperlink" Target="https://ik.imagekit.io/alaaalaa6171/054%20The%20Seven%20Warlords%20of%20the%20Sea%20-%20Gecko%20Moria%20-%20Medal%20_Moria_%20_Colored_.png?updatedAt=1770076410929" TargetMode="External"/><Relationship Id="rId1723" Type="http://schemas.openxmlformats.org/officeDocument/2006/relationships/hyperlink" Target="https://ik.imagekit.io/alaaalaa6171/054%20The%20Seven%20Warlords%20of%20the%20Sea%20-%20Gecko%20Moria%20-%20Medal%20_Moria_%20-%20Piece.png?updatedAt=1770076410808" TargetMode="External"/><Relationship Id="rId1724" Type="http://schemas.openxmlformats.org/officeDocument/2006/relationships/hyperlink" Target="https://ik.imagekit.io/alaaalaa6171/054%20The%20Seven%20Warlords%20of%20the%20Sea%20-%20Gecko%20Moria%20-%20Medal%20_Moria_%20-%20Piece%20_Colored_.png?updatedAt=1770076410826" TargetMode="External"/><Relationship Id="rId1725" Type="http://schemas.openxmlformats.org/officeDocument/2006/relationships/hyperlink" Target="https://i.postimg.cc/NG977FHd/019.png" TargetMode="External"/><Relationship Id="rId1726" Type="http://schemas.openxmlformats.org/officeDocument/2006/relationships/hyperlink" Target="https://i.postimg.cc/FzRdhXRj/img-icon-medal-310110043.png" TargetMode="External"/><Relationship Id="rId1727" Type="http://schemas.openxmlformats.org/officeDocument/2006/relationships/hyperlink" Target="https://ik.imagekit.io/alaaalaa6171/053%20The%20Seven%20Warlords%20of%20the%20Sea%20-%20Hancock%20-%20Medal%20_Hancock_.png?updatedAt=1770076410773" TargetMode="External"/><Relationship Id="rId1728" Type="http://schemas.openxmlformats.org/officeDocument/2006/relationships/hyperlink" Target="https://ik.imagekit.io/alaaalaa6171/053%20The%20Seven%20Warlords%20of%20the%20Sea%20-%20Hancock%20-%20Medal%20_Hancock_%20_Colored_.png?updatedAt=1770076410791" TargetMode="External"/><Relationship Id="rId1729" Type="http://schemas.openxmlformats.org/officeDocument/2006/relationships/hyperlink" Target="https://ik.imagekit.io/alaaalaa6171/053%20The%20Seven%20Warlords%20of%20the%20Sea%20-%20Hancock%20-%20Medal%20_Hancock_%20-%20Piece.png?updatedAt=1770076410782" TargetMode="External"/><Relationship Id="rId1752" Type="http://schemas.openxmlformats.org/officeDocument/2006/relationships/hyperlink" Target="https://ik.imagekit.io/alaaalaa6171/049%20Navy%20HQ_Admiral%20Akainu%20-%20_Sakazuki_%20-%20Medal%20_Akainu_%20_Colored_.png?updatedAt=1770076410677" TargetMode="External"/><Relationship Id="rId1753" Type="http://schemas.openxmlformats.org/officeDocument/2006/relationships/hyperlink" Target="https://ik.imagekit.io/alaaalaa6171/049%20Navy%20HQ_Admiral%20Akainu%20-%20_Sakazuki_%20-%20Medal%20_Akainu_%20-%20Piece.png?updatedAt=1770076410691" TargetMode="External"/><Relationship Id="rId1754" Type="http://schemas.openxmlformats.org/officeDocument/2006/relationships/hyperlink" Target="https://ik.imagekit.io/alaaalaa6171/049%20Navy%20HQ_Admiral%20Akainu%20-%20_Sakazuki_%20-%20Medal%20_Akainu_%20-%20Piece%20_Colored_.png?updatedAt=1770076410663" TargetMode="External"/><Relationship Id="rId1755" Type="http://schemas.openxmlformats.org/officeDocument/2006/relationships/hyperlink" Target="https://i.postimg.cc/Pq51L5Hz/014.png" TargetMode="External"/><Relationship Id="rId1756" Type="http://schemas.openxmlformats.org/officeDocument/2006/relationships/hyperlink" Target="https://i.postimg.cc/gjJXGbJ4/img-icon-medal-310110048.png" TargetMode="External"/><Relationship Id="rId1757" Type="http://schemas.openxmlformats.org/officeDocument/2006/relationships/hyperlink" Target="https://ik.imagekit.io/alaaalaa6171/048%20Whitebeard%20Pirates_2nd%20Division%20Commander%20-%20Portgaz%20D.%20Ace%20-%20Medal%20_Fire%20Fist_.png?updatedAt=1770076410752" TargetMode="External"/><Relationship Id="rId1758" Type="http://schemas.openxmlformats.org/officeDocument/2006/relationships/hyperlink" Target="https://ik.imagekit.io/alaaalaa6171/048%20Whitebeard%20Pirates_2nd%20Division%20Commander%20-%20Portgaz%20D.%20Ace%20-%20Medal%20_Fire%20Fist_%20_Colored_.png?updatedAt=1770076410676" TargetMode="External"/><Relationship Id="rId1759" Type="http://schemas.openxmlformats.org/officeDocument/2006/relationships/hyperlink" Target="https://ik.imagekit.io/alaaalaa6171/048%20Whitebeard%20Pirates_2nd%20Division%20Commander%20-%20Portgaz%20D.%20Ace%20-%20Medal%20_Fire%20Fist_%20-%20Piece.png?updatedAt=1770076410665" TargetMode="External"/><Relationship Id="rId808" Type="http://schemas.openxmlformats.org/officeDocument/2006/relationships/hyperlink" Target="https://i.postimg.cc/GpC4HytQ/img-icon-medal-310110207.png" TargetMode="External"/><Relationship Id="rId807" Type="http://schemas.openxmlformats.org/officeDocument/2006/relationships/hyperlink" Target="https://i.postimg.cc/L4TfVSbq/172.png" TargetMode="External"/><Relationship Id="rId806" Type="http://schemas.openxmlformats.org/officeDocument/2006/relationships/hyperlink" Target="https://ik.imagekit.io/alaaalaa6171/207%20Shandian%20Warrior%20-%20Wyper%20-%20Medal%20_Wyper_%20-%20Piece%20_Colored_.png?updatedAt=1770076442323" TargetMode="External"/><Relationship Id="rId805" Type="http://schemas.openxmlformats.org/officeDocument/2006/relationships/hyperlink" Target="https://ik.imagekit.io/alaaalaa6171/207%20Shandian%20Warrior%20-%20Wyper%20-%20Medal%20_Wyper_%20-%20Piece.png?updatedAt=1770076442468" TargetMode="External"/><Relationship Id="rId809" Type="http://schemas.openxmlformats.org/officeDocument/2006/relationships/hyperlink" Target="https://ik.imagekit.io/alaaalaa6171/206%20Land%20of%20Wano%20-%20Franosuke%20-%20Medal%20_Franosuke_.png?updatedAt=1770076442291" TargetMode="External"/><Relationship Id="rId800" Type="http://schemas.openxmlformats.org/officeDocument/2006/relationships/hyperlink" Target="https://ik.imagekit.io/alaaalaa6171/208%20Animal%20Kingdom%20Pirates_Tobi%20Roppo%20-%20Page%20One%20-%20Medal%20_Pachycephalosaurus_%20-%20Piece%20_Colored_.png?updatedAt=1770076442266" TargetMode="External"/><Relationship Id="rId804" Type="http://schemas.openxmlformats.org/officeDocument/2006/relationships/hyperlink" Target="https://ik.imagekit.io/alaaalaa6171/207%20Shandian%20Warrior%20-%20Wyper%20-%20Medal%20_Wyper_%20_Colored_.png?updatedAt=1770076442286" TargetMode="External"/><Relationship Id="rId803" Type="http://schemas.openxmlformats.org/officeDocument/2006/relationships/hyperlink" Target="https://ik.imagekit.io/alaaalaa6171/207%20Shandian%20Warrior%20-%20Wyper%20-%20Medal%20_Wyper_.png?updatedAt=1770076442267" TargetMode="External"/><Relationship Id="rId802" Type="http://schemas.openxmlformats.org/officeDocument/2006/relationships/hyperlink" Target="https://i.postimg.cc/d0YhLy36/img-icon-medal-310110208.png" TargetMode="External"/><Relationship Id="rId801" Type="http://schemas.openxmlformats.org/officeDocument/2006/relationships/hyperlink" Target="https://i.postimg.cc/mk8HZ3H3/173.png" TargetMode="External"/><Relationship Id="rId1750" Type="http://schemas.openxmlformats.org/officeDocument/2006/relationships/hyperlink" Target="https://i.postimg.cc/x8CJ9VCx/img-icon-medal-310110053.png" TargetMode="External"/><Relationship Id="rId1751" Type="http://schemas.openxmlformats.org/officeDocument/2006/relationships/hyperlink" Target="https://ik.imagekit.io/alaaalaa6171/049%20Navy%20HQ_Admiral%20Akainu%20-%20_Sakazuki_%20-%20Medal%20_Akainu_.png?updatedAt=1770076410700" TargetMode="External"/><Relationship Id="rId1741" Type="http://schemas.openxmlformats.org/officeDocument/2006/relationships/hyperlink" Target="https://ik.imagekit.io/alaaalaa6171/051%20Baroque%20Works_Officer%20Agent%20-%20Bon%20Clay,%20aka%20Mr.%202%20-%20Medal%20_Mr.%202_%20-%20Piece.png?updatedAt=1770076410730" TargetMode="External"/><Relationship Id="rId1742" Type="http://schemas.openxmlformats.org/officeDocument/2006/relationships/hyperlink" Target="https://ik.imagekit.io/alaaalaa6171/051%20Baroque%20Works_Officer%20Agent%20-%20Bon%20Clay,%20aka%20Mr.%202%20-%20Medal%20_Mr.%202_%20-%20Piece%20_Colored_.png?updatedAt=1770076410729" TargetMode="External"/><Relationship Id="rId1743" Type="http://schemas.openxmlformats.org/officeDocument/2006/relationships/hyperlink" Target="https://i.postimg.cc/wTDXZrFJ/016.png" TargetMode="External"/><Relationship Id="rId1744" Type="http://schemas.openxmlformats.org/officeDocument/2006/relationships/hyperlink" Target="https://i.postimg.cc/mkDzTWD5/img-icon-medal-310110055.png" TargetMode="External"/><Relationship Id="rId1745" Type="http://schemas.openxmlformats.org/officeDocument/2006/relationships/hyperlink" Target="https://ik.imagekit.io/alaaalaa6171/050%20Navy%20HQ_Admiral%20Aokiji%20-%20_Kuzan_%20-%20Medal%20_Aokiji_.png?updatedAt=1770076410776" TargetMode="External"/><Relationship Id="rId1746" Type="http://schemas.openxmlformats.org/officeDocument/2006/relationships/hyperlink" Target="https://ik.imagekit.io/alaaalaa6171/050%20Navy%20HQ_Admiral%20Aokiji%20-%20_Kuzan_%20-%20Medal%20_Aokiji_%20_Colored_.png?updatedAt=1770076410761" TargetMode="External"/><Relationship Id="rId1747" Type="http://schemas.openxmlformats.org/officeDocument/2006/relationships/hyperlink" Target="https://ik.imagekit.io/alaaalaa6171/050%20Navy%20HQ_Admiral%20Aokiji%20-%20_Kuzan_%20-%20Medal%20_Aokiji_%20-%20Piece.png?updatedAt=1770076410731" TargetMode="External"/><Relationship Id="rId1748" Type="http://schemas.openxmlformats.org/officeDocument/2006/relationships/hyperlink" Target="https://ik.imagekit.io/alaaalaa6171/050%20Navy%20HQ_Admiral%20Aokiji%20-%20_Kuzan_%20-%20Medal%20_Aokiji_%20-%20Piece%20_Colored_.png?updatedAt=1770076410694" TargetMode="External"/><Relationship Id="rId1749" Type="http://schemas.openxmlformats.org/officeDocument/2006/relationships/hyperlink" Target="https://i.postimg.cc/qv0sTGZF/015.png" TargetMode="External"/><Relationship Id="rId1740" Type="http://schemas.openxmlformats.org/officeDocument/2006/relationships/hyperlink" Target="https://ik.imagekit.io/alaaalaa6171/051%20Baroque%20Works_Officer%20Agent%20-%20Bon%20Clay,%20aka%20Mr.%202%20-%20Medal%20_Mr.%202_%20_Colored_.png?updatedAt=1770076410736" TargetMode="External"/><Relationship Id="rId1710" Type="http://schemas.openxmlformats.org/officeDocument/2006/relationships/hyperlink" Target="https://ik.imagekit.io/alaaalaa6171/056%20Arm%20Point%20-%20Tony%20Tony%20Chopper%20-%20Medal%20_Arm%20Point_%20_Colored_.png?updatedAt=1770076410823" TargetMode="External"/><Relationship Id="rId1711" Type="http://schemas.openxmlformats.org/officeDocument/2006/relationships/hyperlink" Target="https://ik.imagekit.io/alaaalaa6171/056%20Arm%20Point%20-%20Tony%20Tony%20Chopper%20-%20Medal%20_Arm%20Point_%20-%20Piece.png?updatedAt=1770076410908" TargetMode="External"/><Relationship Id="rId1712" Type="http://schemas.openxmlformats.org/officeDocument/2006/relationships/hyperlink" Target="https://ik.imagekit.io/alaaalaa6171/056%20Arm%20Point%20-%20Tony%20Tony%20Chopper%20-%20Medal%20_Arm%20Point_%20-%20Piece%20_Colored_.png?updatedAt=1770076410837" TargetMode="External"/><Relationship Id="rId1713" Type="http://schemas.openxmlformats.org/officeDocument/2006/relationships/hyperlink" Target="https://i.postimg.cc/63SVxJDV/021.png" TargetMode="External"/><Relationship Id="rId1714" Type="http://schemas.openxmlformats.org/officeDocument/2006/relationships/hyperlink" Target="https://i.postimg.cc/vTBgGwB0/img-icon-medal-310110051.png" TargetMode="External"/><Relationship Id="rId1715" Type="http://schemas.openxmlformats.org/officeDocument/2006/relationships/hyperlink" Target="https://ik.imagekit.io/alaaalaa6171/055%20108%20Pound%20Phoenix%20-%20Roronoa%20Zoro%20-%20Medal%20_108%20Pound%20Phoenix_.png?updatedAt=1770076410813" TargetMode="External"/><Relationship Id="rId1716" Type="http://schemas.openxmlformats.org/officeDocument/2006/relationships/hyperlink" Target="https://ik.imagekit.io/alaaalaa6171/055%20108%20Pound%20Phoenix%20-%20Roronoa%20Zoro%20-%20Medal%20_108%20Pound%20Phoenix_%20_Colored_.png?updatedAt=1770076410816" TargetMode="External"/><Relationship Id="rId1717" Type="http://schemas.openxmlformats.org/officeDocument/2006/relationships/hyperlink" Target="https://ik.imagekit.io/alaaalaa6171/055%20108%20Pound%20Phoenix%20-%20Roronoa%20Zoro%20-%20Medal%20_108%20Pound%20Phoenix_%20-%20Piece.png?updatedAt=1770076410855" TargetMode="External"/><Relationship Id="rId1718" Type="http://schemas.openxmlformats.org/officeDocument/2006/relationships/hyperlink" Target="https://ik.imagekit.io/alaaalaa6171/055%20108%20Pound%20Phoenix%20-%20Roronoa%20Zoro%20-%20Medal%20_108%20Pound%20Phoenix_%20-%20Piece%20_Colored_.png?updatedAt=1770076410820" TargetMode="External"/><Relationship Id="rId1719" Type="http://schemas.openxmlformats.org/officeDocument/2006/relationships/hyperlink" Target="https://i.postimg.cc/j27Hs3bp/020.png" TargetMode="External"/><Relationship Id="rId1700" Type="http://schemas.openxmlformats.org/officeDocument/2006/relationships/hyperlink" Target="https://ik.imagekit.io/alaaalaa6171/058%20Kid%20Pirates_Captain%20-%20Eustass%20Kid%20-%20Medal%20_Kid_%20-%20Piece%20_Colored_.png?updatedAt=1770076410893" TargetMode="External"/><Relationship Id="rId1701" Type="http://schemas.openxmlformats.org/officeDocument/2006/relationships/hyperlink" Target="https://i.postimg.cc/T3qcLsDG/023.png" TargetMode="External"/><Relationship Id="rId1702" Type="http://schemas.openxmlformats.org/officeDocument/2006/relationships/hyperlink" Target="https://i.postimg.cc/d31kJc1p/img-icon-medal-310110057.png" TargetMode="External"/><Relationship Id="rId1703" Type="http://schemas.openxmlformats.org/officeDocument/2006/relationships/hyperlink" Target="https://ik.imagekit.io/alaaalaa6171/057%20Bellamy%20Pirates_Captain%20-%20Bellamy%20-%20Medal%20_Bellamy_.png?updatedAt=1770076410858" TargetMode="External"/><Relationship Id="rId1704" Type="http://schemas.openxmlformats.org/officeDocument/2006/relationships/hyperlink" Target="https://ik.imagekit.io/alaaalaa6171/057%20Bellamy%20Pirates_Captain%20-%20Bellamy%20-%20Medal%20_Bellamy_%20_Colored_.png?updatedAt=1770076410839" TargetMode="External"/><Relationship Id="rId1705" Type="http://schemas.openxmlformats.org/officeDocument/2006/relationships/hyperlink" Target="https://ik.imagekit.io/alaaalaa6171/057%20Bellamy%20Pirates_Captain%20-%20Bellamy%20-%20Medal%20_Bellamy_%20-%20Piece.png?updatedAt=1770076410851" TargetMode="External"/><Relationship Id="rId1706" Type="http://schemas.openxmlformats.org/officeDocument/2006/relationships/hyperlink" Target="https://ik.imagekit.io/alaaalaa6171/057%20Bellamy%20Pirates_Captain%20-%20Bellamy%20-%20Medal%20_Bellamy_%20-%20Piece%20_Colored_.png?updatedAt=1770076410848" TargetMode="External"/><Relationship Id="rId1707" Type="http://schemas.openxmlformats.org/officeDocument/2006/relationships/hyperlink" Target="https://i.postimg.cc/V659hLHL/022.png" TargetMode="External"/><Relationship Id="rId1708" Type="http://schemas.openxmlformats.org/officeDocument/2006/relationships/hyperlink" Target="https://i.postimg.cc/x8CJ9VCZ/img-icon-medal-310110056.png" TargetMode="External"/><Relationship Id="rId1709" Type="http://schemas.openxmlformats.org/officeDocument/2006/relationships/hyperlink" Target="https://ik.imagekit.io/alaaalaa6171/056%20Arm%20Point%20-%20Tony%20Tony%20Chopper%20-%20Medal%20_Arm%20Point_.png?updatedAt=1770076410852" TargetMode="External"/><Relationship Id="rId40" Type="http://schemas.openxmlformats.org/officeDocument/2006/relationships/hyperlink" Target="https://i.postimg.cc/zfCRjk6d/img-icon-medal-310110335.png" TargetMode="External"/><Relationship Id="rId1334" Type="http://schemas.openxmlformats.org/officeDocument/2006/relationships/hyperlink" Target="https://ik.imagekit.io/alaaalaa6171/119%20Gear%20Four_Snakeman%20-%20Monkey%20D.%20Luffy%20-%20Medal%20_King%20Cobra_%20-%20Piece%20_Colored_.png?updatedAt=1770076423462" TargetMode="External"/><Relationship Id="rId1335" Type="http://schemas.openxmlformats.org/officeDocument/2006/relationships/hyperlink" Target="https://i.postimg.cc/K8VsvB7y/084.png" TargetMode="External"/><Relationship Id="rId42" Type="http://schemas.openxmlformats.org/officeDocument/2006/relationships/hyperlink" Target="https://ik.imagekit.io/alaaalaa6171/334%20Egghead%20-%20Franky%20-%20Medal%20_Egghead%20Franky_%20_Colored_.png?updatedAt=1770076470679" TargetMode="External"/><Relationship Id="rId1336" Type="http://schemas.openxmlformats.org/officeDocument/2006/relationships/hyperlink" Target="https://i.postimg.cc/BQjLy3R6/img-icon-medal-310110118.png" TargetMode="External"/><Relationship Id="rId41" Type="http://schemas.openxmlformats.org/officeDocument/2006/relationships/hyperlink" Target="https://ik.imagekit.io/alaaalaa6171/334%20Egghead%20-%20Franky%20-%20Medal%20_Egghead%20Franky_.png?updatedAt=1770076471169" TargetMode="External"/><Relationship Id="rId1337" Type="http://schemas.openxmlformats.org/officeDocument/2006/relationships/hyperlink" Target="https://ik.imagekit.io/alaaalaa6171/118%20Revolutoonary%20Army%20-%20Emporio%20Ivankov%20-%20Medal%20_Ivankov_.png?updatedAt=1770076422315" TargetMode="External"/><Relationship Id="rId44" Type="http://schemas.openxmlformats.org/officeDocument/2006/relationships/hyperlink" Target="https://ik.imagekit.io/alaaalaa6171/334%20Egghead%20-%20Franky%20-%20Medal%20_Egghead%20Franky_%20-%20Piece%20_Colored_.png?updatedAt=1770076470396" TargetMode="External"/><Relationship Id="rId1338" Type="http://schemas.openxmlformats.org/officeDocument/2006/relationships/hyperlink" Target="https://ik.imagekit.io/alaaalaa6171/118%20Revolutoonary%20Army%20-%20Emporio%20Ivankov%20-%20Medal%20_Ivankov_%20_Colored_.png?updatedAt=1770076422113" TargetMode="External"/><Relationship Id="rId43" Type="http://schemas.openxmlformats.org/officeDocument/2006/relationships/hyperlink" Target="https://ik.imagekit.io/alaaalaa6171/334%20Egghead%20-%20Franky%20-%20Medal%20_Egghead%20Franky_%20-%20Piece.png?updatedAt=1770076470677" TargetMode="External"/><Relationship Id="rId1339" Type="http://schemas.openxmlformats.org/officeDocument/2006/relationships/hyperlink" Target="https://ik.imagekit.io/alaaalaa6171/118%20Revolutoonary%20Army%20-%20Emporio%20Ivankov%20-%20Medal%20_Ivankov_%20-%20Piece.png?updatedAt=1770076422041" TargetMode="External"/><Relationship Id="rId46" Type="http://schemas.openxmlformats.org/officeDocument/2006/relationships/hyperlink" Target="https://i.postimg.cc/CKGfN4Xc/img-icon-medal-310110334.png" TargetMode="External"/><Relationship Id="rId45" Type="http://schemas.openxmlformats.org/officeDocument/2006/relationships/hyperlink" Target="https://i.postimg.cc/kMybBzDn/299.png" TargetMode="External"/><Relationship Id="rId745" Type="http://schemas.openxmlformats.org/officeDocument/2006/relationships/hyperlink" Target="https://ik.imagekit.io/alaaalaa6171/217%20FILM%20RED%20-%20Monkey%20D.%20Luffy%20-%20Medal%20_Luffy%20(FILM%20RED)_%20-%20Piece.png?updatedAt=1770076442430" TargetMode="External"/><Relationship Id="rId744" Type="http://schemas.openxmlformats.org/officeDocument/2006/relationships/hyperlink" Target="https://ik.imagekit.io/alaaalaa6171/217%20FILM%20RED%20-%20Monkey%20D.%20Luffy%20-%20Medal%20_Luffy%20(FILM%20RED)_%20_Colored_.png?updatedAt=1770076442444" TargetMode="External"/><Relationship Id="rId743" Type="http://schemas.openxmlformats.org/officeDocument/2006/relationships/hyperlink" Target="https://ik.imagekit.io/alaaalaa6171/217%20FILM%20RED%20-%20Monkey%20D.%20Luffy%20-%20Medal%20_Luffy%20(FILM%20RED)_.png?updatedAt=1770076442551" TargetMode="External"/><Relationship Id="rId742" Type="http://schemas.openxmlformats.org/officeDocument/2006/relationships/hyperlink" Target="https://i.postimg.cc/QMJH5dKm/img-icon-medal-310110219.png" TargetMode="External"/><Relationship Id="rId749" Type="http://schemas.openxmlformats.org/officeDocument/2006/relationships/hyperlink" Target="https://ik.imagekit.io/alaaalaa6171/216%20FILM%20RED%20-%20Uta%20-%20Medal%20_Uta_.png?updatedAt=1770076442383" TargetMode="External"/><Relationship Id="rId748" Type="http://schemas.openxmlformats.org/officeDocument/2006/relationships/hyperlink" Target="https://i.postimg.cc/5tS6v2Qm/img-icon-medal-310110217.png" TargetMode="External"/><Relationship Id="rId747" Type="http://schemas.openxmlformats.org/officeDocument/2006/relationships/hyperlink" Target="https://i.postimg.cc/pVYQ1zpL/182.png" TargetMode="External"/><Relationship Id="rId746" Type="http://schemas.openxmlformats.org/officeDocument/2006/relationships/hyperlink" Target="https://ik.imagekit.io/alaaalaa6171/217%20FILM%20RED%20-%20Monkey%20D.%20Luffy%20-%20Medal%20_Luffy%20(FILM%20RED)_%20-%20Piece%20_Colored_.png?updatedAt=1770076442437" TargetMode="External"/><Relationship Id="rId48" Type="http://schemas.openxmlformats.org/officeDocument/2006/relationships/hyperlink" Target="https://ik.imagekit.io/alaaalaa6171/333%20The%20Five%20Elders%20-%20St.%20Jaygarcia%20Saturn%20-%20Medal%20_St.%20Jaygarcia%20Saturn_%20_Colored_.png?updatedAt=1770076469585" TargetMode="External"/><Relationship Id="rId47" Type="http://schemas.openxmlformats.org/officeDocument/2006/relationships/hyperlink" Target="https://ik.imagekit.io/alaaalaa6171/333%20The%20Five%20Elders%20-%20St.%20Jaygarcia%20Saturn%20-%20Medal%20_St.%20Jaygarcia%20Saturn_.png?updatedAt=1770076469811" TargetMode="External"/><Relationship Id="rId49" Type="http://schemas.openxmlformats.org/officeDocument/2006/relationships/hyperlink" Target="https://ik.imagekit.io/alaaalaa6171/333%20The%20Five%20Elders%20-%20St.%20Jaygarcia%20Saturn%20-%20Medal%20_St.%20Jaygarcia%20Saturn_%20-%20Piece.png?updatedAt=1770076468018" TargetMode="External"/><Relationship Id="rId741" Type="http://schemas.openxmlformats.org/officeDocument/2006/relationships/hyperlink" Target="https://i.postimg.cc/ZnZ85KDm/183.png" TargetMode="External"/><Relationship Id="rId1330" Type="http://schemas.openxmlformats.org/officeDocument/2006/relationships/hyperlink" Target="https://i.postimg.cc/8P7J3GxF/img-icon-medal-310110119.png" TargetMode="External"/><Relationship Id="rId740" Type="http://schemas.openxmlformats.org/officeDocument/2006/relationships/hyperlink" Target="https://ik.imagekit.io/alaaalaa6171/218%20FILM%20RED%20-%20Shanks%20-%20Medal%20_Shanks%20(FILM%20RED)_%20-%20Piece%20_Colored_.png?updatedAt=1770076442396" TargetMode="External"/><Relationship Id="rId1331" Type="http://schemas.openxmlformats.org/officeDocument/2006/relationships/hyperlink" Target="https://ik.imagekit.io/alaaalaa6171/119%20Gear%20Four_Snakeman%20-%20Monkey%20D.%20Luffy%20-%20Medal%20_King%20Cobra_.png?updatedAt=1770076424151" TargetMode="External"/><Relationship Id="rId1332" Type="http://schemas.openxmlformats.org/officeDocument/2006/relationships/hyperlink" Target="https://ik.imagekit.io/alaaalaa6171/119%20Gear%20Four_Snakeman%20-%20Monkey%20D.%20Luffy%20-%20Medal%20_King%20Cobra_%20_Colored_.png?updatedAt=1770076424007" TargetMode="External"/><Relationship Id="rId1333" Type="http://schemas.openxmlformats.org/officeDocument/2006/relationships/hyperlink" Target="https://ik.imagekit.io/alaaalaa6171/119%20Gear%20Four_Snakeman%20-%20Monkey%20D.%20Luffy%20-%20Medal%20_King%20Cobra_%20-%20Piece.png?updatedAt=1770076423803" TargetMode="External"/><Relationship Id="rId1323" Type="http://schemas.openxmlformats.org/officeDocument/2006/relationships/hyperlink" Target="https://i.postimg.cc/9FLnKvr0/086.png" TargetMode="External"/><Relationship Id="rId1324" Type="http://schemas.openxmlformats.org/officeDocument/2006/relationships/hyperlink" Target="https://i.postimg.cc/jdDw9TBn/img-icon-medal-310110120.png" TargetMode="External"/><Relationship Id="rId31" Type="http://schemas.openxmlformats.org/officeDocument/2006/relationships/hyperlink" Target="https://ik.imagekit.io/alaaalaa6171/336%20Father%20and%20Daughter%20-%20Kuma%20&amp;%20Bonney%20-%20Medal%20_Kuma%20&amp;%20Bonney_%20-%20Piece.png?updatedAt=1770076471181" TargetMode="External"/><Relationship Id="rId1325" Type="http://schemas.openxmlformats.org/officeDocument/2006/relationships/hyperlink" Target="https://ik.imagekit.io/alaaalaa6171/120%20The%20Pirate%20King%60s%20Right%20Arm%20The%20Dark%20King%20-%20Silvers%20Rayleigh%20-%20Medal%20_Rayleigh_.png?updatedAt=1770076426037" TargetMode="External"/><Relationship Id="rId30" Type="http://schemas.openxmlformats.org/officeDocument/2006/relationships/hyperlink" Target="https://ik.imagekit.io/alaaalaa6171/336%20Father%20and%20Daughter%20-%20Kuma%20&amp;%20Bonney%20-%20Medal%20_Kuma%20&amp;%20Bonney_%20_Colored_.png?updatedAt=1770076471159" TargetMode="External"/><Relationship Id="rId1326" Type="http://schemas.openxmlformats.org/officeDocument/2006/relationships/hyperlink" Target="https://ik.imagekit.io/alaaalaa6171/120%20The%20Pirate%20King%60s%20Right%20Arm%20The%20Dark%20King%20-%20Silvers%20Rayleigh%20-%20Medal%20_Rayleigh_%20_Colored_.png?updatedAt=1770076426055" TargetMode="External"/><Relationship Id="rId33" Type="http://schemas.openxmlformats.org/officeDocument/2006/relationships/hyperlink" Target="https://i.postimg.cc/1X5VWNMt/301.png" TargetMode="External"/><Relationship Id="rId1327" Type="http://schemas.openxmlformats.org/officeDocument/2006/relationships/hyperlink" Target="https://ik.imagekit.io/alaaalaa6171/120%20The%20Pirate%20King%60s%20Right%20Arm%20The%20Dark%20King%20-%20Silvers%20Rayleigh%20-%20Medal%20_Rayleigh_%20-%20Piece.png?updatedAt=1770076425925" TargetMode="External"/><Relationship Id="rId32" Type="http://schemas.openxmlformats.org/officeDocument/2006/relationships/hyperlink" Target="https://ik.imagekit.io/alaaalaa6171/336%20Father%20and%20Daughter%20-%20Kuma%20&amp;%20Bonney%20-%20Medal%20_Kuma%20&amp;%20Bonney_%20-%20Piece%20_Colored_.png?updatedAt=1770076471197" TargetMode="External"/><Relationship Id="rId1328" Type="http://schemas.openxmlformats.org/officeDocument/2006/relationships/hyperlink" Target="https://ik.imagekit.io/alaaalaa6171/120%20The%20Pirate%20King%60s%20Right%20Arm%20The%20Dark%20King%20-%20Silvers%20Rayleigh%20-%20Medal%20_Rayleigh_%20-%20Piece%20_Colored_.png?updatedAt=1770076424619" TargetMode="External"/><Relationship Id="rId35" Type="http://schemas.openxmlformats.org/officeDocument/2006/relationships/hyperlink" Target="https://ik.imagekit.io/alaaalaa6171/335%20Egghead%20-%20Jinbe%20-%20Medal%20_Egghead%20Jinbe_.png?updatedAt=1770076471111" TargetMode="External"/><Relationship Id="rId1329" Type="http://schemas.openxmlformats.org/officeDocument/2006/relationships/hyperlink" Target="https://i.postimg.cc/HkjhgBy2/085.png" TargetMode="External"/><Relationship Id="rId34" Type="http://schemas.openxmlformats.org/officeDocument/2006/relationships/hyperlink" Target="https://i.postimg.cc/PqW84M93/img-icon-medal-310110336.png" TargetMode="External"/><Relationship Id="rId739" Type="http://schemas.openxmlformats.org/officeDocument/2006/relationships/hyperlink" Target="https://ik.imagekit.io/alaaalaa6171/218%20FILM%20RED%20-%20Shanks%20-%20Medal%20_Shanks%20(FILM%20RED)_%20-%20Piece.png?updatedAt=1770076442410" TargetMode="External"/><Relationship Id="rId734" Type="http://schemas.openxmlformats.org/officeDocument/2006/relationships/hyperlink" Target="https://ik.imagekit.io/alaaalaa6171/219%20FILM%20RED%20-%20Ben%20Beckman%20-%20Medal%20_Beckman%20(FILM%20RED)_%20-%20Piece%20_Colored_.png?updatedAt=1770076442556" TargetMode="External"/><Relationship Id="rId733" Type="http://schemas.openxmlformats.org/officeDocument/2006/relationships/hyperlink" Target="https://ik.imagekit.io/alaaalaa6171/219%20FILM%20RED%20-%20Ben%20Beckman%20-%20Medal%20_Beckman%20(FILM%20RED)_%20-%20Piece.png?updatedAt=1770076442550" TargetMode="External"/><Relationship Id="rId732" Type="http://schemas.openxmlformats.org/officeDocument/2006/relationships/hyperlink" Target="https://ik.imagekit.io/alaaalaa6171/219%20FILM%20RED%20-%20Ben%20Beckman%20-%20Medal%20_Beckman%20(FILM%20RED)_%20_Colored_.png?updatedAt=1770076442567" TargetMode="External"/><Relationship Id="rId731" Type="http://schemas.openxmlformats.org/officeDocument/2006/relationships/hyperlink" Target="https://ik.imagekit.io/alaaalaa6171/219%20FILM%20RED%20-%20Ben%20Beckman%20-%20Medal%20_Beckman%20(FILM%20RED)_.png?updatedAt=1770076442450" TargetMode="External"/><Relationship Id="rId738" Type="http://schemas.openxmlformats.org/officeDocument/2006/relationships/hyperlink" Target="https://ik.imagekit.io/alaaalaa6171/218%20FILM%20RED%20-%20Shanks%20-%20Medal%20_Shanks%20(FILM%20RED)_%20_Colored_.png?updatedAt=1770076442493" TargetMode="External"/><Relationship Id="rId737" Type="http://schemas.openxmlformats.org/officeDocument/2006/relationships/hyperlink" Target="https://ik.imagekit.io/alaaalaa6171/218%20FILM%20RED%20-%20Shanks%20-%20Medal%20_Shanks%20(FILM%20RED)_.png?updatedAt=1770076442539" TargetMode="External"/><Relationship Id="rId736" Type="http://schemas.openxmlformats.org/officeDocument/2006/relationships/hyperlink" Target="https://i.postimg.cc/0N0bmyKf/img-icon-medal-310110218.png" TargetMode="External"/><Relationship Id="rId735" Type="http://schemas.openxmlformats.org/officeDocument/2006/relationships/hyperlink" Target="https://i.postimg.cc/4dpvGhPw/184.png" TargetMode="External"/><Relationship Id="rId37" Type="http://schemas.openxmlformats.org/officeDocument/2006/relationships/hyperlink" Target="https://ik.imagekit.io/alaaalaa6171/335%20Egghead%20-%20Jinbe%20-%20Medal%20_Egghead%20Jinbe_%20-%20Piece.png?updatedAt=1770076471167" TargetMode="External"/><Relationship Id="rId36" Type="http://schemas.openxmlformats.org/officeDocument/2006/relationships/hyperlink" Target="https://ik.imagekit.io/alaaalaa6171/335%20Egghead%20-%20Jinbe%20-%20Medal%20_Egghead%20Jinbe_%20_Colored_.png?updatedAt=1770076471245" TargetMode="External"/><Relationship Id="rId39" Type="http://schemas.openxmlformats.org/officeDocument/2006/relationships/hyperlink" Target="https://i.postimg.cc/J04HTBKh/300.png" TargetMode="External"/><Relationship Id="rId38" Type="http://schemas.openxmlformats.org/officeDocument/2006/relationships/hyperlink" Target="https://ik.imagekit.io/alaaalaa6171/335%20Egghead%20-%20Jinbe%20-%20Medal%20_Egghead%20Jinbe_%20-%20Piece%20_Colored_.png?updatedAt=1770076471121" TargetMode="External"/><Relationship Id="rId730" Type="http://schemas.openxmlformats.org/officeDocument/2006/relationships/hyperlink" Target="https://i.postimg.cc/FKV7cHkT/img-icon-medal-310110221.png" TargetMode="External"/><Relationship Id="rId1320" Type="http://schemas.openxmlformats.org/officeDocument/2006/relationships/hyperlink" Target="https://ik.imagekit.io/alaaalaa6171/121%20Navy%20HQ_Fleet%20Admiral%20-%20Sengoku%20-%20Medal%20_Sengoku_%20_Colored_.png?updatedAt=1770076426053" TargetMode="External"/><Relationship Id="rId1321" Type="http://schemas.openxmlformats.org/officeDocument/2006/relationships/hyperlink" Target="https://ik.imagekit.io/alaaalaa6171/121%20Navy%20HQ_Fleet%20Admiral%20-%20Sengoku%20-%20Medal%20_Sengoku_%20-%20Piece.png?updatedAt=1770076426127" TargetMode="External"/><Relationship Id="rId1322" Type="http://schemas.openxmlformats.org/officeDocument/2006/relationships/hyperlink" Target="https://ik.imagekit.io/alaaalaa6171/121%20Navy%20HQ_Fleet%20Admiral%20-%20Sengoku%20-%20Medal%20_Sengoku_%20-%20Piece%20_Colored_.png?updatedAt=1770076425963" TargetMode="External"/><Relationship Id="rId1356" Type="http://schemas.openxmlformats.org/officeDocument/2006/relationships/hyperlink" Target="https://ik.imagekit.io/alaaalaa6171/115%20Grand%20Line%20Naval%20Base%205_Captain%20-%20Tashigi%20-%20Medal%20_Cutting%20Mist_%20_Colored_.png?updatedAt=1770076421305" TargetMode="External"/><Relationship Id="rId1357" Type="http://schemas.openxmlformats.org/officeDocument/2006/relationships/hyperlink" Target="https://ik.imagekit.io/alaaalaa6171/115%20Grand%20Line%20Naval%20Base%205_Captain%20-%20Tashigi%20-%20Medal%20_Cutting%20Mist_%20-%20Piece.png?updatedAt=1770076421261" TargetMode="External"/><Relationship Id="rId20" Type="http://schemas.openxmlformats.org/officeDocument/2006/relationships/hyperlink" Target="https://ik.imagekit.io/alaaalaa6171/338%20Winner%20Island%20-%20Bepo%20-%20Medal%20_Winner%20Island%20Bepo_%20-%20Piece%20_Colored_.png?updatedAt=1770076471188" TargetMode="External"/><Relationship Id="rId1358" Type="http://schemas.openxmlformats.org/officeDocument/2006/relationships/hyperlink" Target="https://ik.imagekit.io/alaaalaa6171/115%20Grand%20Line%20Naval%20Base%205_Captain%20-%20Tashigi%20-%20Medal%20_Cutting%20Mist_%20-%20Piece%20_Colored_.png?updatedAt=1770076421705" TargetMode="External"/><Relationship Id="rId1359" Type="http://schemas.openxmlformats.org/officeDocument/2006/relationships/hyperlink" Target="https://i.postimg.cc/5yxsk3J8/080.png" TargetMode="External"/><Relationship Id="rId22" Type="http://schemas.openxmlformats.org/officeDocument/2006/relationships/hyperlink" Target="https://i.postimg.cc/BvT1gCkR/img-icon-medal-310110338.png" TargetMode="External"/><Relationship Id="rId21" Type="http://schemas.openxmlformats.org/officeDocument/2006/relationships/hyperlink" Target="https://i.postimg.cc/KzdQBgfR/303.png" TargetMode="External"/><Relationship Id="rId24" Type="http://schemas.openxmlformats.org/officeDocument/2006/relationships/hyperlink" Target="https://ik.imagekit.io/alaaalaa6171/337%20Genius%20Scientist%20-%20Vegapunk%20-%20Medal%20_Genius%20Scientist_%20_Colored_.png?updatedAt=1770076471217" TargetMode="External"/><Relationship Id="rId23" Type="http://schemas.openxmlformats.org/officeDocument/2006/relationships/hyperlink" Target="https://ik.imagekit.io/alaaalaa6171/337%20Genius%20Scientist%20-%20Vegapunk%20-%20Medal%20_Genius%20Scientist_.png?updatedAt=1770076471222" TargetMode="External"/><Relationship Id="rId767" Type="http://schemas.openxmlformats.org/officeDocument/2006/relationships/hyperlink" Target="https://ik.imagekit.io/alaaalaa6171/213%20FILM%20STRONG%20WORLD%20-%20Shiki%20-%20Medal%20_Shiki_.png?updatedAt=1770076442425" TargetMode="External"/><Relationship Id="rId766" Type="http://schemas.openxmlformats.org/officeDocument/2006/relationships/hyperlink" Target="https://i.postimg.cc/XvkpFYBK/img-icon-medal-310110214.png" TargetMode="External"/><Relationship Id="rId765" Type="http://schemas.openxmlformats.org/officeDocument/2006/relationships/hyperlink" Target="https://i.postimg.cc/JztbnFKs/179.png" TargetMode="External"/><Relationship Id="rId764" Type="http://schemas.openxmlformats.org/officeDocument/2006/relationships/hyperlink" Target="https://ik.imagekit.io/alaaalaa6171/214%20FILM%20GOLD%20-%20Gild%20Tesoro%20-%20Medal%20_Tesoro_%20-%20Piece%20_Colored_.png?updatedAt=1770076442415" TargetMode="External"/><Relationship Id="rId769" Type="http://schemas.openxmlformats.org/officeDocument/2006/relationships/hyperlink" Target="https://ik.imagekit.io/alaaalaa6171/213%20FILM%20STRONG%20WORLD%20-%20Shiki%20-%20Medal%20_Shiki_%20-%20Piece.png?updatedAt=1770076442383" TargetMode="External"/><Relationship Id="rId768" Type="http://schemas.openxmlformats.org/officeDocument/2006/relationships/hyperlink" Target="https://ik.imagekit.io/alaaalaa6171/213%20FILM%20STRONG%20WORLD%20-%20Shiki%20-%20Medal%20_Shiki_%20_Colored_.png?updatedAt=1770076442346" TargetMode="External"/><Relationship Id="rId26" Type="http://schemas.openxmlformats.org/officeDocument/2006/relationships/hyperlink" Target="https://ik.imagekit.io/alaaalaa6171/337%20Genius%20Scientist%20-%20Vegapunk%20-%20Medal%20_Genius%20Scientist_%20-%20Piece%20_Colored_.png?updatedAt=1770076471172" TargetMode="External"/><Relationship Id="rId25" Type="http://schemas.openxmlformats.org/officeDocument/2006/relationships/hyperlink" Target="https://ik.imagekit.io/alaaalaa6171/337%20Genius%20Scientist%20-%20Vegapunk%20-%20Medal%20_Genius%20Scientist_%20-%20Piece.png?updatedAt=1770076471252" TargetMode="External"/><Relationship Id="rId28" Type="http://schemas.openxmlformats.org/officeDocument/2006/relationships/hyperlink" Target="https://i.postimg.cc/JhNBqQv2/img-icon-medal-310110337.png" TargetMode="External"/><Relationship Id="rId1350" Type="http://schemas.openxmlformats.org/officeDocument/2006/relationships/hyperlink" Target="https://ik.imagekit.io/alaaalaa6171/116%20Gerand%20Line%20Navel%20Base%205_Vice%20Admiral%20-%20Smoker%201%20-%20Medal%20_Mad%20Dog%20of%20the%20Navy_%20_Colored_.png?updatedAt=1770076421253" TargetMode="External"/><Relationship Id="rId27" Type="http://schemas.openxmlformats.org/officeDocument/2006/relationships/hyperlink" Target="https://i.postimg.cc/rmvgxtjs/302.png" TargetMode="External"/><Relationship Id="rId1351" Type="http://schemas.openxmlformats.org/officeDocument/2006/relationships/hyperlink" Target="https://ik.imagekit.io/alaaalaa6171/116%20Gerand%20Line%20Navel%20Base%205_Vice%20Admiral%20-%20Smoker%201%20-%20Medal%20_Mad%20Dog%20of%20the%20Navy_%20-%20Piece.png?updatedAt=1770076421261" TargetMode="External"/><Relationship Id="rId763" Type="http://schemas.openxmlformats.org/officeDocument/2006/relationships/hyperlink" Target="https://ik.imagekit.io/alaaalaa6171/214%20FILM%20GOLD%20-%20Gild%20Tesoro%20-%20Medal%20_Tesoro_%20-%20Piece.png?updatedAt=1770076442430" TargetMode="External"/><Relationship Id="rId1352" Type="http://schemas.openxmlformats.org/officeDocument/2006/relationships/hyperlink" Target="https://ik.imagekit.io/alaaalaa6171/116%20Gerand%20Line%20Navel%20Base%205_Vice%20Admiral%20-%20Smoker%201%20-%20Medal%20_Mad%20Dog%20of%20the%20Navy_%20-%20Piece%20_Colored_.png?updatedAt=1770076421284" TargetMode="External"/><Relationship Id="rId29" Type="http://schemas.openxmlformats.org/officeDocument/2006/relationships/hyperlink" Target="https://ik.imagekit.io/alaaalaa6171/336%20Father%20and%20Daughter%20-%20Kuma%20&amp;%20Bonney%20-%20Medal%20_Kuma%20&amp;%20Bonney_.png?updatedAt=1770076471144" TargetMode="External"/><Relationship Id="rId762" Type="http://schemas.openxmlformats.org/officeDocument/2006/relationships/hyperlink" Target="https://ik.imagekit.io/alaaalaa6171/214%20FILM%20GOLD%20-%20Gild%20Tesoro%20-%20Medal%20_Tesoro_%20_Colored_.png?updatedAt=1770076442531" TargetMode="External"/><Relationship Id="rId1353" Type="http://schemas.openxmlformats.org/officeDocument/2006/relationships/hyperlink" Target="https://i.postimg.cc/fL7HKPGw/081.png" TargetMode="External"/><Relationship Id="rId761" Type="http://schemas.openxmlformats.org/officeDocument/2006/relationships/hyperlink" Target="https://ik.imagekit.io/alaaalaa6171/214%20FILM%20GOLD%20-%20Gild%20Tesoro%20-%20Medal%20_Tesoro_.png?updatedAt=1770076442377" TargetMode="External"/><Relationship Id="rId1354" Type="http://schemas.openxmlformats.org/officeDocument/2006/relationships/hyperlink" Target="https://i.postimg.cc/RVW68m2h/img-icon-medal-310110116.png" TargetMode="External"/><Relationship Id="rId760" Type="http://schemas.openxmlformats.org/officeDocument/2006/relationships/hyperlink" Target="https://i.postimg.cc/6QfyRp4L/img-icon-medal-310110215.png" TargetMode="External"/><Relationship Id="rId1355" Type="http://schemas.openxmlformats.org/officeDocument/2006/relationships/hyperlink" Target="https://ik.imagekit.io/alaaalaa6171/115%20Grand%20Line%20Naval%20Base%205_Captain%20-%20Tashigi%20-%20Medal%20_Cutting%20Mist_.png?updatedAt=1770076421267" TargetMode="External"/><Relationship Id="rId1345" Type="http://schemas.openxmlformats.org/officeDocument/2006/relationships/hyperlink" Target="https://ik.imagekit.io/alaaalaa6171/117%20Impel%20Down_Warden%20-%20Magellan%20-%20Medal%20_Magellan_%20-%20Piece.png?updatedAt=1770076421299" TargetMode="External"/><Relationship Id="rId1346" Type="http://schemas.openxmlformats.org/officeDocument/2006/relationships/hyperlink" Target="https://ik.imagekit.io/alaaalaa6171/117%20Impel%20Down_Warden%20-%20Magellan%20-%20Medal%20_Magellan_%20-%20Piece%20_Colored_.png?updatedAt=1770076421267" TargetMode="External"/><Relationship Id="rId1347" Type="http://schemas.openxmlformats.org/officeDocument/2006/relationships/hyperlink" Target="https://i.postimg.cc/k4P1WCh1/082.png" TargetMode="External"/><Relationship Id="rId1348" Type="http://schemas.openxmlformats.org/officeDocument/2006/relationships/hyperlink" Target="https://i.postimg.cc/5NXYGJDj/img-icon-medal-310110117.png" TargetMode="External"/><Relationship Id="rId11" Type="http://schemas.openxmlformats.org/officeDocument/2006/relationships/hyperlink" Target="https://ik.imagekit.io/alaaalaa6171/339%20Winner%20Island%20-%20Trafalgar%20Law%20-%20Medal%20_Winner%20Island%20Law_.png?updatedAt=1770076471377" TargetMode="External"/><Relationship Id="rId1349" Type="http://schemas.openxmlformats.org/officeDocument/2006/relationships/hyperlink" Target="https://ik.imagekit.io/alaaalaa6171/116%20Gerand%20Line%20Navel%20Base%205_Vice%20Admiral%20-%20Smoker%201%20-%20Medal%20_Mad%20Dog%20of%20the%20Navy_.png?updatedAt=1770076421674" TargetMode="External"/><Relationship Id="rId10" Type="http://schemas.openxmlformats.org/officeDocument/2006/relationships/hyperlink" Target="https://i.postimg.cc/yNmSPTtt/img-icon-medal-310110340.png" TargetMode="External"/><Relationship Id="rId13" Type="http://schemas.openxmlformats.org/officeDocument/2006/relationships/hyperlink" Target="https://ik.imagekit.io/alaaalaa6171/339%20Winner%20Island%20-%20Trafalgar%20Law%20-%20Medal%20_Winner%20Island%20Law_%20-%20Piece.png?updatedAt=1770076471223" TargetMode="External"/><Relationship Id="rId12" Type="http://schemas.openxmlformats.org/officeDocument/2006/relationships/hyperlink" Target="https://ik.imagekit.io/alaaalaa6171/339%20Winner%20Island%20-%20Trafalgar%20Law%20-%20Medal%20_Winner%20Island%20Law_%20_Colored_.png?updatedAt=1770076471252" TargetMode="External"/><Relationship Id="rId756" Type="http://schemas.openxmlformats.org/officeDocument/2006/relationships/hyperlink" Target="https://ik.imagekit.io/alaaalaa6171/215%20FILM%20Z%20-%20Zephyr%20-%20Medal%20_Zephyr_%20_Colored_.png?updatedAt=1770076442432" TargetMode="External"/><Relationship Id="rId755" Type="http://schemas.openxmlformats.org/officeDocument/2006/relationships/hyperlink" Target="https://ik.imagekit.io/alaaalaa6171/215%20FILM%20Z%20-%20Zephyr%20-%20Medal%20_Zephyr_.png?updatedAt=1770076442424" TargetMode="External"/><Relationship Id="rId754" Type="http://schemas.openxmlformats.org/officeDocument/2006/relationships/hyperlink" Target="https://i.postimg.cc/Ls3nf8g3/img-icon-medal-310110216.png" TargetMode="External"/><Relationship Id="rId753" Type="http://schemas.openxmlformats.org/officeDocument/2006/relationships/hyperlink" Target="https://i.postimg.cc/KvG7XjMr/181.png" TargetMode="External"/><Relationship Id="rId759" Type="http://schemas.openxmlformats.org/officeDocument/2006/relationships/hyperlink" Target="https://i.postimg.cc/3JtX3hjM/180.png" TargetMode="External"/><Relationship Id="rId758" Type="http://schemas.openxmlformats.org/officeDocument/2006/relationships/hyperlink" Target="https://ik.imagekit.io/alaaalaa6171/215%20FILM%20Z%20-%20Zephyr%20-%20Medal%20_Zephyr_%20-%20Piece%20_Colored_.png?updatedAt=1770076442354" TargetMode="External"/><Relationship Id="rId757" Type="http://schemas.openxmlformats.org/officeDocument/2006/relationships/hyperlink" Target="https://ik.imagekit.io/alaaalaa6171/215%20FILM%20Z%20-%20Zephyr%20-%20Medal%20_Zephyr_%20-%20Piece.png?updatedAt=1770076442356" TargetMode="External"/><Relationship Id="rId15" Type="http://schemas.openxmlformats.org/officeDocument/2006/relationships/hyperlink" Target="https://i.postimg.cc/HLJKQfPj/304.png" TargetMode="External"/><Relationship Id="rId14" Type="http://schemas.openxmlformats.org/officeDocument/2006/relationships/hyperlink" Target="https://ik.imagekit.io/alaaalaa6171/339%20Winner%20Island%20-%20Trafalgar%20Law%20-%20Medal%20_Winner%20Island%20Law_%20-%20Piece%20_Colored_.png?updatedAt=1770076471313" TargetMode="External"/><Relationship Id="rId17" Type="http://schemas.openxmlformats.org/officeDocument/2006/relationships/hyperlink" Target="https://ik.imagekit.io/alaaalaa6171/338%20Winner%20Island%20-%20Bepo%20-%20Medal%20_Winner%20Island%20Bepo_.png?updatedAt=1770076471247" TargetMode="External"/><Relationship Id="rId16" Type="http://schemas.openxmlformats.org/officeDocument/2006/relationships/hyperlink" Target="https://i.postimg.cc/5tBF3mTG/img-icon-medal-310110339.png" TargetMode="External"/><Relationship Id="rId1340" Type="http://schemas.openxmlformats.org/officeDocument/2006/relationships/hyperlink" Target="https://ik.imagekit.io/alaaalaa6171/118%20Revolutoonary%20Army%20-%20Emporio%20Ivankov%20-%20Medal%20_Ivankov_%20-%20Piece%20_Colored_.png?updatedAt=1770076421853" TargetMode="External"/><Relationship Id="rId19" Type="http://schemas.openxmlformats.org/officeDocument/2006/relationships/hyperlink" Target="https://ik.imagekit.io/alaaalaa6171/338%20Winner%20Island%20-%20Bepo%20-%20Medal%20_Winner%20Island%20Bepo_%20-%20Piece.png?updatedAt=1770076471203" TargetMode="External"/><Relationship Id="rId752" Type="http://schemas.openxmlformats.org/officeDocument/2006/relationships/hyperlink" Target="https://ik.imagekit.io/alaaalaa6171/216%20FILM%20RED%20-%20Uta%20-%20Medal%20_Uta_%20-%20Piece%20_Colored_.png?updatedAt=1770076442435" TargetMode="External"/><Relationship Id="rId1341" Type="http://schemas.openxmlformats.org/officeDocument/2006/relationships/hyperlink" Target="https://i.postimg.cc/R0Hp3hGJ/083.png" TargetMode="External"/><Relationship Id="rId18" Type="http://schemas.openxmlformats.org/officeDocument/2006/relationships/hyperlink" Target="https://ik.imagekit.io/alaaalaa6171/338%20Winner%20Island%20-%20Bepo%20-%20Medal%20_Winner%20Island%20Bepo_%20_Colored_.png?updatedAt=1770076471250" TargetMode="External"/><Relationship Id="rId751" Type="http://schemas.openxmlformats.org/officeDocument/2006/relationships/hyperlink" Target="https://ik.imagekit.io/alaaalaa6171/216%20FILM%20RED%20-%20Uta%20-%20Medal%20_Uta_%20-%20Piece.png?updatedAt=1770076442537" TargetMode="External"/><Relationship Id="rId1342" Type="http://schemas.openxmlformats.org/officeDocument/2006/relationships/hyperlink" Target="https://i.postimg.cc/kX26ZCL5/img-icon-medal-310110115.png" TargetMode="External"/><Relationship Id="rId750" Type="http://schemas.openxmlformats.org/officeDocument/2006/relationships/hyperlink" Target="https://ik.imagekit.io/alaaalaa6171/216%20FILM%20RED%20-%20Uta%20-%20Medal%20_Uta_%20_Colored_.png?updatedAt=1770076442367" TargetMode="External"/><Relationship Id="rId1343" Type="http://schemas.openxmlformats.org/officeDocument/2006/relationships/hyperlink" Target="https://ik.imagekit.io/alaaalaa6171/117%20Impel%20Down_Warden%20-%20Magellan%20-%20Medal%20_Magellan_.png?updatedAt=1770076421679" TargetMode="External"/><Relationship Id="rId1344" Type="http://schemas.openxmlformats.org/officeDocument/2006/relationships/hyperlink" Target="https://ik.imagekit.io/alaaalaa6171/117%20Impel%20Down_Warden%20-%20Magellan%20-%20Medal%20_Magellan_%20_Colored_.png?updatedAt=1770076421687" TargetMode="External"/><Relationship Id="rId84" Type="http://schemas.openxmlformats.org/officeDocument/2006/relationships/hyperlink" Target="https://ik.imagekit.io/alaaalaa6171/327%20Egghead%20-%20Nami%20-%20Medal%20_Egghead%20Nami_%20_Colored_.png?updatedAt=1770076466206" TargetMode="External"/><Relationship Id="rId1774" Type="http://schemas.openxmlformats.org/officeDocument/2006/relationships/hyperlink" Target="https://i.postimg.cc/JnKHwz1q/img-icon-medal-310110037.png" TargetMode="External"/><Relationship Id="rId83" Type="http://schemas.openxmlformats.org/officeDocument/2006/relationships/hyperlink" Target="https://ik.imagekit.io/alaaalaa6171/327%20Egghead%20-%20Nami%20-%20Medal%20_Egghead%20Nami_.png?updatedAt=1770076466216" TargetMode="External"/><Relationship Id="rId1775" Type="http://schemas.openxmlformats.org/officeDocument/2006/relationships/hyperlink" Target="https://ik.imagekit.io/alaaalaa6171/045%20The%20Seven%20Warlords%20of%20the%20Sea%20-%20Crocodile%20-%20Medal%20_Mr.%20Zero_.png?updatedAt=1770076410669" TargetMode="External"/><Relationship Id="rId86" Type="http://schemas.openxmlformats.org/officeDocument/2006/relationships/hyperlink" Target="https://ik.imagekit.io/alaaalaa6171/327%20Egghead%20-%20Nami%20-%20Medal%20_Egghead%20Nami_%20-%20Piece%20_Colored_.png?updatedAt=1770076466207" TargetMode="External"/><Relationship Id="rId1776" Type="http://schemas.openxmlformats.org/officeDocument/2006/relationships/hyperlink" Target="https://ik.imagekit.io/alaaalaa6171/045%20The%20Seven%20Warlords%20of%20the%20Sea%20-%20Crocodile%20-%20Medal%20_Mr.%20Zero_%20_Colored_.png?updatedAt=1770076410608" TargetMode="External"/><Relationship Id="rId85" Type="http://schemas.openxmlformats.org/officeDocument/2006/relationships/hyperlink" Target="https://ik.imagekit.io/alaaalaa6171/327%20Egghead%20-%20Nami%20-%20Medal%20_Egghead%20Nami_%20-%20Piece.png?updatedAt=1770076466260" TargetMode="External"/><Relationship Id="rId1777" Type="http://schemas.openxmlformats.org/officeDocument/2006/relationships/hyperlink" Target="https://ik.imagekit.io/alaaalaa6171/045%20The%20Seven%20Warlords%20of%20the%20Sea%20-%20Crocodile%20-%20Medal%20_Mr.%20Zero_%20-%20Piece.png?updatedAt=1770076410598" TargetMode="External"/><Relationship Id="rId88" Type="http://schemas.openxmlformats.org/officeDocument/2006/relationships/hyperlink" Target="https://i.postimg.cc/QMQWbqw1/img-icon-medal-310110327.png" TargetMode="External"/><Relationship Id="rId1778" Type="http://schemas.openxmlformats.org/officeDocument/2006/relationships/hyperlink" Target="https://ik.imagekit.io/alaaalaa6171/045%20The%20Seven%20Warlords%20of%20the%20Sea%20-%20Crocodile%20-%20Medal%20_Mr.%20Zero_%20-%20Piece%20_Colored_.png?updatedAt=1770076410603" TargetMode="External"/><Relationship Id="rId87" Type="http://schemas.openxmlformats.org/officeDocument/2006/relationships/hyperlink" Target="https://i.postimg.cc/8C0nz46Q/292.png" TargetMode="External"/><Relationship Id="rId1779" Type="http://schemas.openxmlformats.org/officeDocument/2006/relationships/hyperlink" Target="https://i.postimg.cc/qqyKftc0/010.png" TargetMode="External"/><Relationship Id="rId89" Type="http://schemas.openxmlformats.org/officeDocument/2006/relationships/hyperlink" Target="https://ik.imagekit.io/alaaalaa6171/326%20Blind%20Swordsman%20Fujitora%20-%20_Issho_%20-%20Medal%20_Issho_.png?updatedAt=1770076466191" TargetMode="External"/><Relationship Id="rId709" Type="http://schemas.openxmlformats.org/officeDocument/2006/relationships/hyperlink" Target="https://ik.imagekit.io/alaaalaa6171/223%20FILM%20RED%20-%20Usopp%20-%20Medal%20_Usopp%20(FILM%20RED)_%20-%20Piece.png?updatedAt=1770076442564" TargetMode="External"/><Relationship Id="rId708" Type="http://schemas.openxmlformats.org/officeDocument/2006/relationships/hyperlink" Target="https://ik.imagekit.io/alaaalaa6171/223%20FILM%20RED%20-%20Usopp%20-%20Medal%20_Usopp%20(FILM%20RED)_%20_Colored_.png?updatedAt=1770076442478" TargetMode="External"/><Relationship Id="rId707" Type="http://schemas.openxmlformats.org/officeDocument/2006/relationships/hyperlink" Target="https://ik.imagekit.io/alaaalaa6171/223%20FILM%20RED%20-%20Usopp%20-%20Medal%20_Usopp%20(FILM%20RED)_.png?updatedAt=1770076442495" TargetMode="External"/><Relationship Id="rId706" Type="http://schemas.openxmlformats.org/officeDocument/2006/relationships/hyperlink" Target="https://i.postimg.cc/MGmvRpfF/img-icon-medal-310110225.png" TargetMode="External"/><Relationship Id="rId80" Type="http://schemas.openxmlformats.org/officeDocument/2006/relationships/hyperlink" Target="https://ik.imagekit.io/alaaalaa6171/328%20Egghead%20-%20Usopp%20-%20Medal%20_Egghead%20Usopp_%20-%20Piece%20_Colored_.png?updatedAt=1770076466239" TargetMode="External"/><Relationship Id="rId82" Type="http://schemas.openxmlformats.org/officeDocument/2006/relationships/hyperlink" Target="https://i.postimg.cc/1zGNHK2D/img-icon-medal-310110328.png" TargetMode="External"/><Relationship Id="rId81" Type="http://schemas.openxmlformats.org/officeDocument/2006/relationships/hyperlink" Target="https://i.postimg.cc/wBvGzZ3Q/293.png" TargetMode="External"/><Relationship Id="rId701" Type="http://schemas.openxmlformats.org/officeDocument/2006/relationships/hyperlink" Target="https://ik.imagekit.io/alaaalaa6171/224%20The%20Bullet%20of%20Dressrosa%20-%20Bellamy%20-%20Medal%20_Boing_Boing_.png?updatedAt=1770076442631" TargetMode="External"/><Relationship Id="rId700" Type="http://schemas.openxmlformats.org/officeDocument/2006/relationships/hyperlink" Target="https://i.postimg.cc/43QmtxH2/img-icon-medal-310110224.png" TargetMode="External"/><Relationship Id="rId705" Type="http://schemas.openxmlformats.org/officeDocument/2006/relationships/hyperlink" Target="https://i.postimg.cc/MHDyM2hQ/189.png" TargetMode="External"/><Relationship Id="rId704" Type="http://schemas.openxmlformats.org/officeDocument/2006/relationships/hyperlink" Target="https://ik.imagekit.io/alaaalaa6171/224%20The%20Bullet%20of%20Dressrosa%20-%20Bellamy%20-%20Medal%20_Boing_Boing_%20-%20Piece%20_Colored_.png?updatedAt=1770076442506" TargetMode="External"/><Relationship Id="rId703" Type="http://schemas.openxmlformats.org/officeDocument/2006/relationships/hyperlink" Target="https://ik.imagekit.io/alaaalaa6171/224%20The%20Bullet%20of%20Dressrosa%20-%20Bellamy%20-%20Medal%20_Boing_Boing_%20-%20Piece.png?updatedAt=1770076442543" TargetMode="External"/><Relationship Id="rId702" Type="http://schemas.openxmlformats.org/officeDocument/2006/relationships/hyperlink" Target="https://ik.imagekit.io/alaaalaa6171/224%20The%20Bullet%20of%20Dressrosa%20-%20Bellamy%20-%20Medal%20_Boing_Boing_%20_Colored_.png?updatedAt=1770076442548" TargetMode="External"/><Relationship Id="rId1770" Type="http://schemas.openxmlformats.org/officeDocument/2006/relationships/hyperlink" Target="https://ik.imagekit.io/alaaalaa6171/046%20Kami%20-%20Eneru%20-%20Medal%20_Eneru_%20_Colored_.png?updatedAt=1770076410658" TargetMode="External"/><Relationship Id="rId1771" Type="http://schemas.openxmlformats.org/officeDocument/2006/relationships/hyperlink" Target="https://ik.imagekit.io/alaaalaa6171/046%20Kami%20-%20Eneru%20-%20Medal%20_Eneru_%20-%20Piece.png?updatedAt=1770076410668" TargetMode="External"/><Relationship Id="rId1772" Type="http://schemas.openxmlformats.org/officeDocument/2006/relationships/hyperlink" Target="https://ik.imagekit.io/alaaalaa6171/046%20Kami%20-%20Eneru%20-%20Medal%20_Eneru_%20-%20Piece%20_Colored_.png?updatedAt=1770076410647" TargetMode="External"/><Relationship Id="rId1773" Type="http://schemas.openxmlformats.org/officeDocument/2006/relationships/hyperlink" Target="https://i.postimg.cc/k4kShNbf/011.png" TargetMode="External"/><Relationship Id="rId73" Type="http://schemas.openxmlformats.org/officeDocument/2006/relationships/hyperlink" Target="https://ik.imagekit.io/alaaalaa6171/329%20The%20Four%20Emperors%20-%20Monkey%20D.%20Luffy%20-%20Medal%20_Star%20Gun_%20-%20Piece.png?updatedAt=1770076466252" TargetMode="External"/><Relationship Id="rId1763" Type="http://schemas.openxmlformats.org/officeDocument/2006/relationships/hyperlink" Target="https://ik.imagekit.io/alaaalaa6171/047%20Whitebeard%20Pirates_Captain%20Whitebeard%20-%20Edward%20Newgate%20-%20Medal%20_Whitebeard_.png?updatedAt=1770076410658" TargetMode="External"/><Relationship Id="rId72" Type="http://schemas.openxmlformats.org/officeDocument/2006/relationships/hyperlink" Target="https://ik.imagekit.io/alaaalaa6171/329%20The%20Four%20Emperors%20-%20Monkey%20D.%20Luffy%20-%20Medal%20_Star%20Gun_%20_Colored_.png?updatedAt=1770076466245" TargetMode="External"/><Relationship Id="rId1764" Type="http://schemas.openxmlformats.org/officeDocument/2006/relationships/hyperlink" Target="https://ik.imagekit.io/alaaalaa6171/047%20Whitebeard%20Pirates_Captain%20Whitebeard%20-%20Edward%20Newgate%20-%20Medal%20_Whitebeard_%20_Colored_.png?updatedAt=1770076410680" TargetMode="External"/><Relationship Id="rId75" Type="http://schemas.openxmlformats.org/officeDocument/2006/relationships/hyperlink" Target="https://i.postimg.cc/nrGNjM5w/294.png" TargetMode="External"/><Relationship Id="rId1765" Type="http://schemas.openxmlformats.org/officeDocument/2006/relationships/hyperlink" Target="https://ik.imagekit.io/alaaalaa6171/047%20Whitebeard%20Pirates_Captain%20Whitebeard%20-%20Edward%20Newgate%20-%20Medal%20_Whitebeard_%20-%20Piece.png?updatedAt=1770076410653" TargetMode="External"/><Relationship Id="rId74" Type="http://schemas.openxmlformats.org/officeDocument/2006/relationships/hyperlink" Target="https://ik.imagekit.io/alaaalaa6171/329%20The%20Four%20Emperors%20-%20Monkey%20D.%20Luffy%20-%20Medal%20_Star%20Gun_%20-%20Piece%20_Colored_.png?updatedAt=1770076466225" TargetMode="External"/><Relationship Id="rId1766" Type="http://schemas.openxmlformats.org/officeDocument/2006/relationships/hyperlink" Target="https://ik.imagekit.io/alaaalaa6171/047%20Whitebeard%20Pirates_Captain%20Whitebeard%20-%20Edward%20Newgate%20-%20Medal%20_Whitebeard_%20-%20Piece%20_Colored_.png?updatedAt=1770076410641" TargetMode="External"/><Relationship Id="rId77" Type="http://schemas.openxmlformats.org/officeDocument/2006/relationships/hyperlink" Target="https://ik.imagekit.io/alaaalaa6171/328%20Egghead%20-%20Usopp%20-%20Medal%20_Egghead%20Usopp_.png?updatedAt=1770076466237" TargetMode="External"/><Relationship Id="rId1767" Type="http://schemas.openxmlformats.org/officeDocument/2006/relationships/hyperlink" Target="https://i.postimg.cc/Y94g3Dhv/012.png" TargetMode="External"/><Relationship Id="rId76" Type="http://schemas.openxmlformats.org/officeDocument/2006/relationships/hyperlink" Target="https://i.postimg.cc/rp1tJ93C/img-icon-medal-310110329.png" TargetMode="External"/><Relationship Id="rId1768" Type="http://schemas.openxmlformats.org/officeDocument/2006/relationships/hyperlink" Target="https://i.postimg.cc/bJLSXwzL/img-icon-medal-310110038.png" TargetMode="External"/><Relationship Id="rId79" Type="http://schemas.openxmlformats.org/officeDocument/2006/relationships/hyperlink" Target="https://ik.imagekit.io/alaaalaa6171/328%20Egghead%20-%20Usopp%20-%20Medal%20_Egghead%20Usopp_%20-%20Piece.png?updatedAt=1770076466210" TargetMode="External"/><Relationship Id="rId1769" Type="http://schemas.openxmlformats.org/officeDocument/2006/relationships/hyperlink" Target="https://ik.imagekit.io/alaaalaa6171/046%20Kami%20-%20Eneru%20-%20Medal%20_Eneru_.png?updatedAt=1770076410643" TargetMode="External"/><Relationship Id="rId78" Type="http://schemas.openxmlformats.org/officeDocument/2006/relationships/hyperlink" Target="https://ik.imagekit.io/alaaalaa6171/328%20Egghead%20-%20Usopp%20-%20Medal%20_Egghead%20Usopp_%20_Colored_.png?updatedAt=1770076466267" TargetMode="External"/><Relationship Id="rId71" Type="http://schemas.openxmlformats.org/officeDocument/2006/relationships/hyperlink" Target="https://ik.imagekit.io/alaaalaa6171/329%20The%20Four%20Emperors%20-%20Monkey%20D.%20Luffy%20-%20Medal%20_Star%20Gun_.png?updatedAt=1770076466221" TargetMode="External"/><Relationship Id="rId70" Type="http://schemas.openxmlformats.org/officeDocument/2006/relationships/hyperlink" Target="https://i.postimg.cc/xdvbRPh3/img-icon-medal-310110330.png" TargetMode="External"/><Relationship Id="rId1760" Type="http://schemas.openxmlformats.org/officeDocument/2006/relationships/hyperlink" Target="https://ik.imagekit.io/alaaalaa6171/048%20Whitebeard%20Pirates_2nd%20Division%20Commander%20-%20Portgaz%20D.%20Ace%20-%20Medal%20_Fire%20Fist_%20-%20Piece%20_Colored_.png?updatedAt=1770076410672" TargetMode="External"/><Relationship Id="rId1761" Type="http://schemas.openxmlformats.org/officeDocument/2006/relationships/hyperlink" Target="https://i.postimg.cc/7Lt0SrYv/013.png" TargetMode="External"/><Relationship Id="rId1762" Type="http://schemas.openxmlformats.org/officeDocument/2006/relationships/hyperlink" Target="https://i.postimg.cc/Vv6rzP6B/img-icon-medal-310110046.png" TargetMode="External"/><Relationship Id="rId62" Type="http://schemas.openxmlformats.org/officeDocument/2006/relationships/hyperlink" Target="https://ik.imagekit.io/alaaalaa6171/331%20Egghead%20-%20Tony%20Tony%20Chopper%20-%20Medal%20_Egghead%20Chopper_%20-%20Piece%20_Colored_.png?updatedAt=1770076466641" TargetMode="External"/><Relationship Id="rId1312" Type="http://schemas.openxmlformats.org/officeDocument/2006/relationships/hyperlink" Target="https://i.postimg.cc/6582SKFG/img-icon-medal-310110123.png" TargetMode="External"/><Relationship Id="rId1796" Type="http://schemas.openxmlformats.org/officeDocument/2006/relationships/hyperlink" Target="https://ik.imagekit.io/alaaalaa6171/042%20Drum%20Kingdom_Former%20Ruler%20-%20Wapol%20-%20Medal%20_Wapol_%20-%20Piece%20_Colored_.png?updatedAt=1770076410517" TargetMode="External"/><Relationship Id="rId61" Type="http://schemas.openxmlformats.org/officeDocument/2006/relationships/hyperlink" Target="https://ik.imagekit.io/alaaalaa6171/331%20Egghead%20-%20Tony%20Tony%20Chopper%20-%20Medal%20_Egghead%20Chopper_%20-%20Piece.png?updatedAt=1770076466579" TargetMode="External"/><Relationship Id="rId1313" Type="http://schemas.openxmlformats.org/officeDocument/2006/relationships/hyperlink" Target="https://ik.imagekit.io/alaaalaa6171/122%20Fallen%20Monk%20Pirates_Captain%20'Mad%20Monk'%20-%20Urouge%20-%20Medal%20_Urouge_.png?updatedAt=1770076425996" TargetMode="External"/><Relationship Id="rId1797" Type="http://schemas.openxmlformats.org/officeDocument/2006/relationships/hyperlink" Target="https://i.postimg.cc/bN0n3tN9/007.png" TargetMode="External"/><Relationship Id="rId64" Type="http://schemas.openxmlformats.org/officeDocument/2006/relationships/hyperlink" Target="https://i.postimg.cc/3wXDBZVZ/img-icon-medal-310110331.png" TargetMode="External"/><Relationship Id="rId1314" Type="http://schemas.openxmlformats.org/officeDocument/2006/relationships/hyperlink" Target="https://ik.imagekit.io/alaaalaa6171/122%20Fallen%20Monk%20Pirates_Captain%20'Mad%20Monk'%20-%20Urouge%20-%20Medal%20_Urouge_%20_Colored_.png?updatedAt=1770076426080" TargetMode="External"/><Relationship Id="rId1798" Type="http://schemas.openxmlformats.org/officeDocument/2006/relationships/hyperlink" Target="https://i.postimg.cc/hvjzKRj1/img-icon-medal-310110047.png" TargetMode="External"/><Relationship Id="rId63" Type="http://schemas.openxmlformats.org/officeDocument/2006/relationships/hyperlink" Target="https://i.postimg.cc/0jhZtwB8/296.png" TargetMode="External"/><Relationship Id="rId1315" Type="http://schemas.openxmlformats.org/officeDocument/2006/relationships/hyperlink" Target="https://ik.imagekit.io/alaaalaa6171/122%20Fallen%20Monk%20Pirates_Captain%20'Mad%20Monk'%20-%20Urouge%20-%20Medal%20_Urouge_%20-%20Piece.png?updatedAt=1770076426119" TargetMode="External"/><Relationship Id="rId1799" Type="http://schemas.openxmlformats.org/officeDocument/2006/relationships/hyperlink" Target="https://ik.imagekit.io/alaaalaa6171/041%20Navy%20HQ_Captain%20-%20Smoker%20-%20Medal%20_Smoker_.png?updatedAt=1770076410505" TargetMode="External"/><Relationship Id="rId66" Type="http://schemas.openxmlformats.org/officeDocument/2006/relationships/hyperlink" Target="https://ik.imagekit.io/alaaalaa6171/330%20Egghead%20-%20Brook%20-%20Medal%20_Egghead%20Brook_%20_Colored_.png?updatedAt=1770076466593" TargetMode="External"/><Relationship Id="rId1316" Type="http://schemas.openxmlformats.org/officeDocument/2006/relationships/hyperlink" Target="https://ik.imagekit.io/alaaalaa6171/122%20Fallen%20Monk%20Pirates_Captain%20'Mad%20Monk'%20-%20Urouge%20-%20Medal%20_Urouge_%20-%20Piece%20_Colored_.png?updatedAt=1770076426033" TargetMode="External"/><Relationship Id="rId65" Type="http://schemas.openxmlformats.org/officeDocument/2006/relationships/hyperlink" Target="https://ik.imagekit.io/alaaalaa6171/330%20Egghead%20-%20Brook%20-%20Medal%20_Egghead%20Brook_.png?updatedAt=1770076466599" TargetMode="External"/><Relationship Id="rId1317" Type="http://schemas.openxmlformats.org/officeDocument/2006/relationships/hyperlink" Target="https://i.postimg.cc/Fsr6P9Fw/087.png" TargetMode="External"/><Relationship Id="rId68" Type="http://schemas.openxmlformats.org/officeDocument/2006/relationships/hyperlink" Target="https://ik.imagekit.io/alaaalaa6171/330%20Egghead%20-%20Brook%20-%20Medal%20_Egghead%20Brook_%20-%20Piece%20_Colored_.png?updatedAt=1770076466239" TargetMode="External"/><Relationship Id="rId1318" Type="http://schemas.openxmlformats.org/officeDocument/2006/relationships/hyperlink" Target="https://i.postimg.cc/02zM3vhM/img-icon-medal-310110122.png" TargetMode="External"/><Relationship Id="rId67" Type="http://schemas.openxmlformats.org/officeDocument/2006/relationships/hyperlink" Target="https://ik.imagekit.io/alaaalaa6171/330%20Egghead%20-%20Brook%20-%20Medal%20_Egghead%20Brook_%20-%20Piece.png?updatedAt=1770076466561" TargetMode="External"/><Relationship Id="rId1319" Type="http://schemas.openxmlformats.org/officeDocument/2006/relationships/hyperlink" Target="https://ik.imagekit.io/alaaalaa6171/121%20Navy%20HQ_Fleet%20Admiral%20-%20Sengoku%20-%20Medal%20_Sengoku_.png?updatedAt=1770076425996" TargetMode="External"/><Relationship Id="rId729" Type="http://schemas.openxmlformats.org/officeDocument/2006/relationships/hyperlink" Target="https://i.postimg.cc/R0k12T7N/185.png" TargetMode="External"/><Relationship Id="rId728" Type="http://schemas.openxmlformats.org/officeDocument/2006/relationships/hyperlink" Target="https://ik.imagekit.io/alaaalaa6171/220%20FILM%20RED%20-%20Nami%20-%20Medal%20_Nami%20(FILM%20RED)_%20-%20Piece%20_Colored_.png?updatedAt=1770076442503" TargetMode="External"/><Relationship Id="rId60" Type="http://schemas.openxmlformats.org/officeDocument/2006/relationships/hyperlink" Target="https://ik.imagekit.io/alaaalaa6171/331%20Egghead%20-%20Tony%20Tony%20Chopper%20-%20Medal%20_Egghead%20Chopper_%20_Colored_.png?updatedAt=1770076466599" TargetMode="External"/><Relationship Id="rId723" Type="http://schemas.openxmlformats.org/officeDocument/2006/relationships/hyperlink" Target="https://i.postimg.cc/tgZtrcVK/186.png" TargetMode="External"/><Relationship Id="rId722" Type="http://schemas.openxmlformats.org/officeDocument/2006/relationships/hyperlink" Target="https://ik.imagekit.io/alaaalaa6171/221%20FILM%20RED%20-%20Tony%20Tony%20Chopper%20-%20Medal%20_Chopper%20(FILM%20RED)_%20-%20Piece%20_Colored_.png?updatedAt=1770076442562" TargetMode="External"/><Relationship Id="rId721" Type="http://schemas.openxmlformats.org/officeDocument/2006/relationships/hyperlink" Target="https://ik.imagekit.io/alaaalaa6171/221%20FILM%20RED%20-%20Tony%20Tony%20Chopper%20-%20Medal%20_Chopper%20(FILM%20RED)_%20-%20Piece.png?updatedAt=1770076442556" TargetMode="External"/><Relationship Id="rId720" Type="http://schemas.openxmlformats.org/officeDocument/2006/relationships/hyperlink" Target="https://ik.imagekit.io/alaaalaa6171/221%20FILM%20RED%20-%20Tony%20Tony%20Chopper%20-%20Medal%20_Chopper%20(FILM%20RED)_%20_Colored_.png?updatedAt=1770076442501" TargetMode="External"/><Relationship Id="rId727" Type="http://schemas.openxmlformats.org/officeDocument/2006/relationships/hyperlink" Target="https://ik.imagekit.io/alaaalaa6171/220%20FILM%20RED%20-%20Nami%20-%20Medal%20_Nami%20(FILM%20RED)_%20-%20Piece.png?updatedAt=1770076442510" TargetMode="External"/><Relationship Id="rId726" Type="http://schemas.openxmlformats.org/officeDocument/2006/relationships/hyperlink" Target="https://ik.imagekit.io/alaaalaa6171/220%20FILM%20RED%20-%20Nami%20-%20Medal%20_Nami%20(FILM%20RED)_%20_Colored_.png?updatedAt=1770076442547" TargetMode="External"/><Relationship Id="rId725" Type="http://schemas.openxmlformats.org/officeDocument/2006/relationships/hyperlink" Target="https://ik.imagekit.io/alaaalaa6171/220%20FILM%20RED%20-%20Nami%20-%20Medal%20_Nami%20(FILM%20RED)_.png?updatedAt=1770076442552" TargetMode="External"/><Relationship Id="rId724" Type="http://schemas.openxmlformats.org/officeDocument/2006/relationships/hyperlink" Target="https://i.postimg.cc/YSzhgCL8/img-icon-medal-310110220.png" TargetMode="External"/><Relationship Id="rId69" Type="http://schemas.openxmlformats.org/officeDocument/2006/relationships/hyperlink" Target="https://i.postimg.cc/BbBRLty7/295.png" TargetMode="External"/><Relationship Id="rId1790" Type="http://schemas.openxmlformats.org/officeDocument/2006/relationships/hyperlink" Target="https://ik.imagekit.io/alaaalaa6171/043%20Gum-Gum%20Storm%20-%20Monkey%20D.%20Luffy%20-%20Medal%20_Storm_%20-%20Piece%20_Colored_.png?updatedAt=1770076410567" TargetMode="External"/><Relationship Id="rId1791" Type="http://schemas.openxmlformats.org/officeDocument/2006/relationships/hyperlink" Target="https://i.postimg.cc/dtcd2Bv0/008.png" TargetMode="External"/><Relationship Id="rId1792" Type="http://schemas.openxmlformats.org/officeDocument/2006/relationships/hyperlink" Target="https://i.postimg.cc/j5vnVSsf/img-icon-medal-310110031.png" TargetMode="External"/><Relationship Id="rId1793" Type="http://schemas.openxmlformats.org/officeDocument/2006/relationships/hyperlink" Target="https://ik.imagekit.io/alaaalaa6171/042%20Drum%20Kingdom_Former%20Ruler%20-%20Wapol%20-%20Medal%20_Wapol_.png?updatedAt=1770076410546" TargetMode="External"/><Relationship Id="rId1310" Type="http://schemas.openxmlformats.org/officeDocument/2006/relationships/hyperlink" Target="https://ik.imagekit.io/alaaalaa6171/123%20On-Air%20Pirates_Captain%20-%20Scratchmen%20Apoo%20-%20Medal%20_Apoo_%20-%20Piece%20_Colored_.png?updatedAt=1770076426049" TargetMode="External"/><Relationship Id="rId1794" Type="http://schemas.openxmlformats.org/officeDocument/2006/relationships/hyperlink" Target="https://ik.imagekit.io/alaaalaa6171/042%20Drum%20Kingdom_Former%20Ruler%20-%20Wapol%20-%20Medal%20_Wapol_%20_Colored_.png?updatedAt=1770076410522" TargetMode="External"/><Relationship Id="rId1311" Type="http://schemas.openxmlformats.org/officeDocument/2006/relationships/hyperlink" Target="https://i.postimg.cc/nVY5Ysxv/088.png" TargetMode="External"/><Relationship Id="rId1795" Type="http://schemas.openxmlformats.org/officeDocument/2006/relationships/hyperlink" Target="https://ik.imagekit.io/alaaalaa6171/042%20Drum%20Kingdom_Former%20Ruler%20-%20Wapol%20-%20Medal%20_Wapol_%20-%20Piece.png?updatedAt=1770076410475" TargetMode="External"/><Relationship Id="rId51" Type="http://schemas.openxmlformats.org/officeDocument/2006/relationships/hyperlink" Target="https://i.postimg.cc/wxkm7Z3q/298.png" TargetMode="External"/><Relationship Id="rId1301" Type="http://schemas.openxmlformats.org/officeDocument/2006/relationships/hyperlink" Target="https://ik.imagekit.io/alaaalaa6171/124%20Kid%20Pirates_Fighter%20-%20Killer%20-%20Medal%20_Killer_.png?updatedAt=1770076426084" TargetMode="External"/><Relationship Id="rId1785" Type="http://schemas.openxmlformats.org/officeDocument/2006/relationships/hyperlink" Target="https://i.postimg.cc/HWyX8NqK/009.png" TargetMode="External"/><Relationship Id="rId50" Type="http://schemas.openxmlformats.org/officeDocument/2006/relationships/hyperlink" Target="https://ik.imagekit.io/alaaalaa6171/333%20The%20Five%20Elders%20-%20St.%20Jaygarcia%20Saturn%20-%20Medal%20_St.%20Jaygarcia%20Saturn_%20-%20Piece%20_Colored_.png?updatedAt=1770076467170" TargetMode="External"/><Relationship Id="rId1302" Type="http://schemas.openxmlformats.org/officeDocument/2006/relationships/hyperlink" Target="https://ik.imagekit.io/alaaalaa6171/124%20Kid%20Pirates_Fighter%20-%20Killer%20-%20Medal%20_Killer_%20_Colored_.png?updatedAt=1770076426084" TargetMode="External"/><Relationship Id="rId1786" Type="http://schemas.openxmlformats.org/officeDocument/2006/relationships/hyperlink" Target="https://i.postimg.cc/1tMVx39D/img-icon-medal-310110033.png" TargetMode="External"/><Relationship Id="rId53" Type="http://schemas.openxmlformats.org/officeDocument/2006/relationships/hyperlink" Target="https://ik.imagekit.io/alaaalaa6171/332%20Egghead%20-%20Nico%20Robin%20-%20Medal%20_Egghead%20Robin_.png?updatedAt=1770076467237" TargetMode="External"/><Relationship Id="rId1303" Type="http://schemas.openxmlformats.org/officeDocument/2006/relationships/hyperlink" Target="https://ik.imagekit.io/alaaalaa6171/124%20Kid%20Pirates_Fighter%20-%20Killer%20-%20Medal%20_Killer_%20-%20Piece.png?updatedAt=1770076426032" TargetMode="External"/><Relationship Id="rId1787" Type="http://schemas.openxmlformats.org/officeDocument/2006/relationships/hyperlink" Target="https://ik.imagekit.io/alaaalaa6171/043%20Gum-Gum%20Storm%20-%20Monkey%20D.%20Luffy%20-%20Medal%20_Storm_.png?updatedAt=1770076410575" TargetMode="External"/><Relationship Id="rId52" Type="http://schemas.openxmlformats.org/officeDocument/2006/relationships/hyperlink" Target="https://i.postimg.cc/N06r4xSC/img-icon-medal-310110333.png" TargetMode="External"/><Relationship Id="rId1304" Type="http://schemas.openxmlformats.org/officeDocument/2006/relationships/hyperlink" Target="https://ik.imagekit.io/alaaalaa6171/124%20Kid%20Pirates_Fighter%20-%20Killer%20-%20Medal%20_Killer_%20-%20Piece%20_Colored_.png?updatedAt=1770076426082" TargetMode="External"/><Relationship Id="rId1788" Type="http://schemas.openxmlformats.org/officeDocument/2006/relationships/hyperlink" Target="https://ik.imagekit.io/alaaalaa6171/043%20Gum-Gum%20Storm%20-%20Monkey%20D.%20Luffy%20-%20Medal%20_Storm_%20_Colored_.png?updatedAt=1770076410556" TargetMode="External"/><Relationship Id="rId55" Type="http://schemas.openxmlformats.org/officeDocument/2006/relationships/hyperlink" Target="https://ik.imagekit.io/alaaalaa6171/332%20Egghead%20-%20Nico%20Robin%20-%20Medal%20_Egghead%20Robin_%20-%20Piece.png?updatedAt=1770076467007" TargetMode="External"/><Relationship Id="rId1305" Type="http://schemas.openxmlformats.org/officeDocument/2006/relationships/hyperlink" Target="https://i.postimg.cc/j2XFs1c8/089.png" TargetMode="External"/><Relationship Id="rId1789" Type="http://schemas.openxmlformats.org/officeDocument/2006/relationships/hyperlink" Target="https://ik.imagekit.io/alaaalaa6171/043%20Gum-Gum%20Storm%20-%20Monkey%20D.%20Luffy%20-%20Medal%20_Storm_%20-%20Piece.png?updatedAt=1770076410562" TargetMode="External"/><Relationship Id="rId54" Type="http://schemas.openxmlformats.org/officeDocument/2006/relationships/hyperlink" Target="https://ik.imagekit.io/alaaalaa6171/332%20Egghead%20-%20Nico%20Robin%20-%20Medal%20_Egghead%20Robin_%20_Colored_.png?updatedAt=1770076467098" TargetMode="External"/><Relationship Id="rId1306" Type="http://schemas.openxmlformats.org/officeDocument/2006/relationships/hyperlink" Target="https://i.postimg.cc/ZKWBgmXN/img-icon-medal-310110124.png" TargetMode="External"/><Relationship Id="rId57" Type="http://schemas.openxmlformats.org/officeDocument/2006/relationships/hyperlink" Target="https://i.postimg.cc/3Nz9LvcJ/297.png" TargetMode="External"/><Relationship Id="rId1307" Type="http://schemas.openxmlformats.org/officeDocument/2006/relationships/hyperlink" Target="https://ik.imagekit.io/alaaalaa6171/123%20On-Air%20Pirates_Captain%20-%20Scratchmen%20Apoo%20-%20Medal%20_Apoo_.png?updatedAt=1770076426156" TargetMode="External"/><Relationship Id="rId56" Type="http://schemas.openxmlformats.org/officeDocument/2006/relationships/hyperlink" Target="https://ik.imagekit.io/alaaalaa6171/332%20Egghead%20-%20Nico%20Robin%20-%20Medal%20_Egghead%20Robin_%20-%20Piece%20_Colored_.png?updatedAt=1770076467037" TargetMode="External"/><Relationship Id="rId1308" Type="http://schemas.openxmlformats.org/officeDocument/2006/relationships/hyperlink" Target="https://ik.imagekit.io/alaaalaa6171/123%20On-Air%20Pirates_Captain%20-%20Scratchmen%20Apoo%20-%20Medal%20_Apoo_%20_Colored_.png?updatedAt=1770076426102" TargetMode="External"/><Relationship Id="rId1309" Type="http://schemas.openxmlformats.org/officeDocument/2006/relationships/hyperlink" Target="https://ik.imagekit.io/alaaalaa6171/123%20On-Air%20Pirates_Captain%20-%20Scratchmen%20Apoo%20-%20Medal%20_Apoo_%20-%20Piece.png?updatedAt=1770076426025" TargetMode="External"/><Relationship Id="rId719" Type="http://schemas.openxmlformats.org/officeDocument/2006/relationships/hyperlink" Target="https://ik.imagekit.io/alaaalaa6171/221%20FILM%20RED%20-%20Tony%20Tony%20Chopper%20-%20Medal%20_Chopper%20(FILM%20RED)_.png?updatedAt=1770076442558" TargetMode="External"/><Relationship Id="rId718" Type="http://schemas.openxmlformats.org/officeDocument/2006/relationships/hyperlink" Target="https://i.postimg.cc/FKV7cHkP/img-icon-medal-310110222.png" TargetMode="External"/><Relationship Id="rId717" Type="http://schemas.openxmlformats.org/officeDocument/2006/relationships/hyperlink" Target="https://i.postimg.cc/fRgffsk7/187.png" TargetMode="External"/><Relationship Id="rId712" Type="http://schemas.openxmlformats.org/officeDocument/2006/relationships/hyperlink" Target="https://i.postimg.cc/BvBXDnPY/img-icon-medal-310110223.png" TargetMode="External"/><Relationship Id="rId711" Type="http://schemas.openxmlformats.org/officeDocument/2006/relationships/hyperlink" Target="https://i.postimg.cc/sg2JWxfD/188.png" TargetMode="External"/><Relationship Id="rId710" Type="http://schemas.openxmlformats.org/officeDocument/2006/relationships/hyperlink" Target="https://ik.imagekit.io/alaaalaa6171/223%20FILM%20RED%20-%20Usopp%20-%20Medal%20_Usopp%20(FILM%20RED)_%20-%20Piece%20_Colored_.png?updatedAt=1770076442554" TargetMode="External"/><Relationship Id="rId716" Type="http://schemas.openxmlformats.org/officeDocument/2006/relationships/hyperlink" Target="https://ik.imagekit.io/alaaalaa6171/222%20FILM%20RED%20-%20Yasopp%20-%20Medal%20_Yasopp%20(FILM%20RED)_%20-%20Piece%20_Colored_.png?updatedAt=1770076442515" TargetMode="External"/><Relationship Id="rId715" Type="http://schemas.openxmlformats.org/officeDocument/2006/relationships/hyperlink" Target="https://ik.imagekit.io/alaaalaa6171/222%20FILM%20RED%20-%20Yasopp%20-%20Medal%20_Yasopp%20(FILM%20RED)_%20-%20Piece.png?updatedAt=1770076442461" TargetMode="External"/><Relationship Id="rId714" Type="http://schemas.openxmlformats.org/officeDocument/2006/relationships/hyperlink" Target="https://ik.imagekit.io/alaaalaa6171/222%20FILM%20RED%20-%20Yasopp%20-%20Medal%20_Yasopp%20(FILM%20RED)_%20_Colored_.png?updatedAt=1770076442544" TargetMode="External"/><Relationship Id="rId713" Type="http://schemas.openxmlformats.org/officeDocument/2006/relationships/hyperlink" Target="https://ik.imagekit.io/alaaalaa6171/222%20FILM%20RED%20-%20Yasopp%20-%20Medal%20_Yasopp%20(FILM%20RED)_.png?updatedAt=1770076442516" TargetMode="External"/><Relationship Id="rId59" Type="http://schemas.openxmlformats.org/officeDocument/2006/relationships/hyperlink" Target="https://ik.imagekit.io/alaaalaa6171/331%20Egghead%20-%20Tony%20Tony%20Chopper%20-%20Medal%20_Egghead%20Chopper_.png?updatedAt=1770076467252" TargetMode="External"/><Relationship Id="rId58" Type="http://schemas.openxmlformats.org/officeDocument/2006/relationships/hyperlink" Target="https://i.postimg.cc/jjHJXhmv/img-icon-medal-310110332.png" TargetMode="External"/><Relationship Id="rId1780" Type="http://schemas.openxmlformats.org/officeDocument/2006/relationships/hyperlink" Target="https://i.postimg.cc/NMb2hjgk/img-icon-medal-310110036.png" TargetMode="External"/><Relationship Id="rId1781" Type="http://schemas.openxmlformats.org/officeDocument/2006/relationships/hyperlink" Target="https://ik.imagekit.io/alaaalaa6171/044%20Peacock%20Slasher%20-%20Nefeltari%20Vivi%20-%20Medal%20_Peacock_.png?updatedAt=1770076410663" TargetMode="External"/><Relationship Id="rId1782" Type="http://schemas.openxmlformats.org/officeDocument/2006/relationships/hyperlink" Target="https://ik.imagekit.io/alaaalaa6171/044%20Peacock%20Slasher%20-%20Nefeltari%20Vivi%20-%20Medal%20_Peacock_%20_Colored_.png?updatedAt=1770076410606" TargetMode="External"/><Relationship Id="rId1783" Type="http://schemas.openxmlformats.org/officeDocument/2006/relationships/hyperlink" Target="https://ik.imagekit.io/alaaalaa6171/044%20Peacock%20Slasher%20-%20Nefeltari%20Vivi%20-%20Medal%20_Peacock_%20-%20Piece.png?updatedAt=1770076410574" TargetMode="External"/><Relationship Id="rId1300" Type="http://schemas.openxmlformats.org/officeDocument/2006/relationships/hyperlink" Target="https://i.postimg.cc/zXybMN4g/img-icon-medal-310110125.png" TargetMode="External"/><Relationship Id="rId1784" Type="http://schemas.openxmlformats.org/officeDocument/2006/relationships/hyperlink" Target="https://ik.imagekit.io/alaaalaa6171/044%20Peacock%20Slasher%20-%20Nefeltari%20Vivi%20-%20Medal%20_Peacock_%20-%20Piece%20_Colored_.png?updatedAt=1770076410555" TargetMode="External"/><Relationship Id="rId349" Type="http://schemas.openxmlformats.org/officeDocument/2006/relationships/hyperlink" Target="https://ik.imagekit.io/alaaalaa6171/283%20Lvneel%20Kingdom_Exploration%20Ship%20Admiral%20-%20Mont%20Blanc%20Noland%20-%20Medal%20_Shandia%60s%20Savior_%20-%20Piece.png?updatedAt=1770076458275" TargetMode="External"/><Relationship Id="rId348" Type="http://schemas.openxmlformats.org/officeDocument/2006/relationships/hyperlink" Target="https://ik.imagekit.io/alaaalaa6171/283%20Lvneel%20Kingdom_Exploration%20Ship%20Admiral%20-%20Mont%20Blanc%20Noland%20-%20Medal%20_Shandia%60s%20Savior_%20_Colored_.png?updatedAt=1770076458250" TargetMode="External"/><Relationship Id="rId347" Type="http://schemas.openxmlformats.org/officeDocument/2006/relationships/hyperlink" Target="https://ik.imagekit.io/alaaalaa6171/283%20Lvneel%20Kingdom_Exploration%20Ship%20Admiral%20-%20Mont%20Blanc%20Noland%20-%20Medal%20_Shandia%60s%20Savior_.png?updatedAt=1770076458281" TargetMode="External"/><Relationship Id="rId346" Type="http://schemas.openxmlformats.org/officeDocument/2006/relationships/hyperlink" Target="https://i.postimg.cc/yxkdwhQy/img-icon-medal-310110284.png" TargetMode="External"/><Relationship Id="rId341" Type="http://schemas.openxmlformats.org/officeDocument/2006/relationships/hyperlink" Target="https://ik.imagekit.io/alaaalaa6171/284%20Fake%20Straw%20Hat%20Pirates_Captain%20-%20Demaro%20Black%20-%20Medal%20_Demaro%20Black_.png?updatedAt=1770076458227" TargetMode="External"/><Relationship Id="rId340" Type="http://schemas.openxmlformats.org/officeDocument/2006/relationships/hyperlink" Target="https://i.postimg.cc/QCHtRg4q/img-icon-medal-310110285.png" TargetMode="External"/><Relationship Id="rId345" Type="http://schemas.openxmlformats.org/officeDocument/2006/relationships/hyperlink" Target="https://i.postimg.cc/J7qtm6c5/249.png" TargetMode="External"/><Relationship Id="rId344" Type="http://schemas.openxmlformats.org/officeDocument/2006/relationships/hyperlink" Target="https://ik.imagekit.io/alaaalaa6171/284%20Fake%20Straw%20Hat%20Pirates_Captain%20-%20Demaro%20Black%20-%20Medal%20_Demaro%20Black_%20-%20Piece%20_Colored_.png?updatedAt=1770076458205" TargetMode="External"/><Relationship Id="rId343" Type="http://schemas.openxmlformats.org/officeDocument/2006/relationships/hyperlink" Target="https://ik.imagekit.io/alaaalaa6171/284%20Fake%20Straw%20Hat%20Pirates_Captain%20-%20Demaro%20Black%20-%20Medal%20_Demaro%20Black_%20-%20Piece.png?updatedAt=1770076458222" TargetMode="External"/><Relationship Id="rId342" Type="http://schemas.openxmlformats.org/officeDocument/2006/relationships/hyperlink" Target="https://ik.imagekit.io/alaaalaa6171/284%20Fake%20Straw%20Hat%20Pirates_Captain%20-%20Demaro%20Black%20-%20Medal%20_Demaro%20Black_%20_Colored_.png?updatedAt=1770076458233" TargetMode="External"/><Relationship Id="rId338" Type="http://schemas.openxmlformats.org/officeDocument/2006/relationships/hyperlink" Target="https://ik.imagekit.io/alaaalaa6171/285%20The%20Most%20Defensive%20Man%20in%20the%20World%20-%20Sentomaru%20-%20Medal%20_Axe_%20-%20Piece%20_Colored_.png?updatedAt=1770076458216" TargetMode="External"/><Relationship Id="rId337" Type="http://schemas.openxmlformats.org/officeDocument/2006/relationships/hyperlink" Target="https://ik.imagekit.io/alaaalaa6171/285%20The%20Most%20Defensive%20Man%20in%20the%20World%20-%20Sentomaru%20-%20Medal%20_Axe_%20-%20Piece.png?updatedAt=1770076458260" TargetMode="External"/><Relationship Id="rId336" Type="http://schemas.openxmlformats.org/officeDocument/2006/relationships/hyperlink" Target="https://ik.imagekit.io/alaaalaa6171/285%20The%20Most%20Defensive%20Man%20in%20the%20World%20-%20Sentomaru%20-%20Medal%20_Axe_%20_Colored_.png?updatedAt=1770076458270" TargetMode="External"/><Relationship Id="rId335" Type="http://schemas.openxmlformats.org/officeDocument/2006/relationships/hyperlink" Target="https://ik.imagekit.io/alaaalaa6171/285%20The%20Most%20Defensive%20Man%20in%20the%20World%20-%20Sentomaru%20-%20Medal%20_Axe_.png?updatedAt=1770076458258" TargetMode="External"/><Relationship Id="rId339" Type="http://schemas.openxmlformats.org/officeDocument/2006/relationships/hyperlink" Target="https://i.postimg.cc/2896L1tq/250.png" TargetMode="External"/><Relationship Id="rId330" Type="http://schemas.openxmlformats.org/officeDocument/2006/relationships/hyperlink" Target="https://ik.imagekit.io/alaaalaa6171/286%20The%20Navy's%20Human%20Weapon%20-%20Pacifista%20-%20Medal%20_Pacifista_%20_Colored_.png?updatedAt=1770076458280" TargetMode="External"/><Relationship Id="rId334" Type="http://schemas.openxmlformats.org/officeDocument/2006/relationships/hyperlink" Target="https://i.postimg.cc/vTcBp7qX/img-icon-medal-310110286.png" TargetMode="External"/><Relationship Id="rId333" Type="http://schemas.openxmlformats.org/officeDocument/2006/relationships/hyperlink" Target="https://i.postimg.cc/xT18dv6D/251.png" TargetMode="External"/><Relationship Id="rId332" Type="http://schemas.openxmlformats.org/officeDocument/2006/relationships/hyperlink" Target="https://ik.imagekit.io/alaaalaa6171/286%20The%20Navy's%20Human%20Weapon%20-%20Pacifista%20-%20Medal%20_Pacifista_%20-%20Piece%20_Colored_.png?updatedAt=1770076458298" TargetMode="External"/><Relationship Id="rId331" Type="http://schemas.openxmlformats.org/officeDocument/2006/relationships/hyperlink" Target="https://ik.imagekit.io/alaaalaa6171/286%20The%20Navy's%20Human%20Weapon%20-%20Pacifista%20-%20Medal%20_Pacifista_%20-%20Piece.png?updatedAt=1770076458263" TargetMode="External"/><Relationship Id="rId370" Type="http://schemas.openxmlformats.org/officeDocument/2006/relationships/hyperlink" Target="https://i.postimg.cc/JnT06Yq6/img-icon-medal-310110280.png" TargetMode="External"/><Relationship Id="rId369" Type="http://schemas.openxmlformats.org/officeDocument/2006/relationships/hyperlink" Target="https://i.postimg.cc/4xnYW6cb/245.png" TargetMode="External"/><Relationship Id="rId368" Type="http://schemas.openxmlformats.org/officeDocument/2006/relationships/hyperlink" Target="https://ik.imagekit.io/alaaalaa6171/280%20Ex-Roger%20Pirates_First%20Mate%20-%20Silvers%20Rayleigh%20-%20Medal%20_The%20Dark%20King%60s%20Flash_%20-%20Piece%20_Colored_.png?updatedAt=1770076456526" TargetMode="External"/><Relationship Id="rId363" Type="http://schemas.openxmlformats.org/officeDocument/2006/relationships/hyperlink" Target="https://i.postimg.cc/XvCpbnQr/246.png" TargetMode="External"/><Relationship Id="rId362" Type="http://schemas.openxmlformats.org/officeDocument/2006/relationships/hyperlink" Target="https://ik.imagekit.io/alaaalaa6171/281%20The%20Sky%20Knight%20-%20Ganfor%20-%20Medal%20_Ganfor_%20-%20Piece%20_Colored_.png?updatedAt=1770076458187" TargetMode="External"/><Relationship Id="rId361" Type="http://schemas.openxmlformats.org/officeDocument/2006/relationships/hyperlink" Target="https://ik.imagekit.io/alaaalaa6171/281%20The%20Sky%20Knight%20-%20Ganfor%20-%20Medal%20_Ganfor_%20-%20Piece.png?updatedAt=1770076458170" TargetMode="External"/><Relationship Id="rId360" Type="http://schemas.openxmlformats.org/officeDocument/2006/relationships/hyperlink" Target="https://ik.imagekit.io/alaaalaa6171/281%20The%20Sky%20Knight%20-%20Ganfor%20-%20Medal%20_Ganfor_%20_Colored_.png?updatedAt=1770076458184" TargetMode="External"/><Relationship Id="rId367" Type="http://schemas.openxmlformats.org/officeDocument/2006/relationships/hyperlink" Target="https://ik.imagekit.io/alaaalaa6171/280%20Ex-Roger%20Pirates_First%20Mate%20-%20Silvers%20Rayleigh%20-%20Medal%20_The%20Dark%20King%60s%20Flash_%20-%20Piece.png?updatedAt=1770076457048" TargetMode="External"/><Relationship Id="rId366" Type="http://schemas.openxmlformats.org/officeDocument/2006/relationships/hyperlink" Target="https://ik.imagekit.io/alaaalaa6171/280%20Ex-Roger%20Pirates_First%20Mate%20-%20Silvers%20Rayleigh%20-%20Medal%20_The%20Dark%20King%60s%20Flash_%20_Colored_.png?updatedAt=1770076458180" TargetMode="External"/><Relationship Id="rId365" Type="http://schemas.openxmlformats.org/officeDocument/2006/relationships/hyperlink" Target="https://ik.imagekit.io/alaaalaa6171/280%20Ex-Roger%20Pirates_First%20Mate%20-%20Silvers%20Rayleigh%20-%20Medal%20_The%20Dark%20King%60s%20Flash_.png?updatedAt=1770076458183" TargetMode="External"/><Relationship Id="rId364" Type="http://schemas.openxmlformats.org/officeDocument/2006/relationships/hyperlink" Target="https://i.postimg.cc/9Mx08gpn/img-icon-medal-310110281.png" TargetMode="External"/><Relationship Id="rId95" Type="http://schemas.openxmlformats.org/officeDocument/2006/relationships/hyperlink" Target="https://ik.imagekit.io/alaaalaa6171/325%20Groves%20of%20Wrath%20Ryokugyu%20-%20_Aramaki_%20-%20Medal%20_Aramaki_.png?updatedAt=1770076466199" TargetMode="External"/><Relationship Id="rId94" Type="http://schemas.openxmlformats.org/officeDocument/2006/relationships/hyperlink" Target="https://i.postimg.cc/xdvbRPhH/img-icon-medal-310110326.png" TargetMode="External"/><Relationship Id="rId97" Type="http://schemas.openxmlformats.org/officeDocument/2006/relationships/hyperlink" Target="https://ik.imagekit.io/alaaalaa6171/325%20Groves%20of%20Wrath%20Ryokugyu%20-%20_Aramaki_%20-%20Medal%20_Aramaki_%20-%20Piece.png?updatedAt=1770076466214" TargetMode="External"/><Relationship Id="rId96" Type="http://schemas.openxmlformats.org/officeDocument/2006/relationships/hyperlink" Target="https://ik.imagekit.io/alaaalaa6171/325%20Groves%20of%20Wrath%20Ryokugyu%20-%20_Aramaki_%20-%20Medal%20_Aramaki_%20_Colored_.png?updatedAt=1770076466251" TargetMode="External"/><Relationship Id="rId99" Type="http://schemas.openxmlformats.org/officeDocument/2006/relationships/hyperlink" Target="https://i.postimg.cc/6QFnWpGH/290.png" TargetMode="External"/><Relationship Id="rId98" Type="http://schemas.openxmlformats.org/officeDocument/2006/relationships/hyperlink" Target="https://ik.imagekit.io/alaaalaa6171/325%20Groves%20of%20Wrath%20Ryokugyu%20-%20_Aramaki_%20-%20Medal%20_Aramaki_%20-%20Piece%20_Colored_.png?updatedAt=1770076466241" TargetMode="External"/><Relationship Id="rId91" Type="http://schemas.openxmlformats.org/officeDocument/2006/relationships/hyperlink" Target="https://ik.imagekit.io/alaaalaa6171/326%20Blind%20Swordsman%20Fujitora%20-%20_Issho_%20-%20Medal%20_Issho_%20-%20Piece.png?updatedAt=1770076466244" TargetMode="External"/><Relationship Id="rId90" Type="http://schemas.openxmlformats.org/officeDocument/2006/relationships/hyperlink" Target="https://ik.imagekit.io/alaaalaa6171/326%20Blind%20Swordsman%20Fujitora%20-%20_Issho_%20-%20Medal%20_Issho_%20_Colored_.png?updatedAt=1770076466224" TargetMode="External"/><Relationship Id="rId93" Type="http://schemas.openxmlformats.org/officeDocument/2006/relationships/hyperlink" Target="https://i.postimg.cc/rmWWK21q/291.png" TargetMode="External"/><Relationship Id="rId92" Type="http://schemas.openxmlformats.org/officeDocument/2006/relationships/hyperlink" Target="https://ik.imagekit.io/alaaalaa6171/326%20Blind%20Swordsman%20Fujitora%20-%20_Issho_%20-%20Medal%20_Issho_%20-%20Piece%20_Colored_.png?updatedAt=1770076465769" TargetMode="External"/><Relationship Id="rId359" Type="http://schemas.openxmlformats.org/officeDocument/2006/relationships/hyperlink" Target="https://ik.imagekit.io/alaaalaa6171/281%20The%20Sky%20Knight%20-%20Ganfor%20-%20Medal%20_Ganfor_.png?updatedAt=1770076458219" TargetMode="External"/><Relationship Id="rId358" Type="http://schemas.openxmlformats.org/officeDocument/2006/relationships/hyperlink" Target="https://i.postimg.cc/L5nXrkCk/img-icon-medal-310110282.png" TargetMode="External"/><Relationship Id="rId357" Type="http://schemas.openxmlformats.org/officeDocument/2006/relationships/hyperlink" Target="https://i.postimg.cc/DZ3mfRMB/247.png" TargetMode="External"/><Relationship Id="rId352" Type="http://schemas.openxmlformats.org/officeDocument/2006/relationships/hyperlink" Target="https://i.postimg.cc/6qy3DVjL/img-icon-medal-310110283.png" TargetMode="External"/><Relationship Id="rId351" Type="http://schemas.openxmlformats.org/officeDocument/2006/relationships/hyperlink" Target="https://i.postimg.cc/T1CP91Y4/248.png" TargetMode="External"/><Relationship Id="rId350" Type="http://schemas.openxmlformats.org/officeDocument/2006/relationships/hyperlink" Target="https://ik.imagekit.io/alaaalaa6171/283%20Lvneel%20Kingdom_Exploration%20Ship%20Admiral%20-%20Mont%20Blanc%20Noland%20-%20Medal%20_Shandia%60s%20Savior_%20-%20Piece%20_Colored_.png?updatedAt=1770076458280" TargetMode="External"/><Relationship Id="rId356" Type="http://schemas.openxmlformats.org/officeDocument/2006/relationships/hyperlink" Target="https://ik.imagekit.io/alaaalaa6171/282%20The%20Great%20Warrior%20of%20Shandora%20-%20Kalgara%20-%20Medal%20_The%20Great%20Warrior%20Kalgara_%20-%20Piece%20_Colored_.png?updatedAt=1770076458198" TargetMode="External"/><Relationship Id="rId355" Type="http://schemas.openxmlformats.org/officeDocument/2006/relationships/hyperlink" Target="https://ik.imagekit.io/alaaalaa6171/282%20The%20Great%20Warrior%20of%20Shandora%20-%20Kalgara%20-%20Medal%20_The%20Great%20Warrior%20Kalgara_%20-%20Piece.png?updatedAt=1770076458248" TargetMode="External"/><Relationship Id="rId354" Type="http://schemas.openxmlformats.org/officeDocument/2006/relationships/hyperlink" Target="https://ik.imagekit.io/alaaalaa6171/282%20The%20Great%20Warrior%20of%20Shandora%20-%20Kalgara%20-%20Medal%20_The%20Great%20Warrior%20Kalgara_%20_Colored_.png?updatedAt=1770076458271" TargetMode="External"/><Relationship Id="rId353" Type="http://schemas.openxmlformats.org/officeDocument/2006/relationships/hyperlink" Target="https://ik.imagekit.io/alaaalaa6171/282%20The%20Great%20Warrior%20of%20Shandora%20-%20Kalgara%20-%20Medal%20_The%20Great%20Warrior%20Kalgara_.png?updatedAt=1770076458260" TargetMode="External"/><Relationship Id="rId1378" Type="http://schemas.openxmlformats.org/officeDocument/2006/relationships/hyperlink" Target="https://i.postimg.cc/J4sDg8Sm/img-icon-medal-310110111.png" TargetMode="External"/><Relationship Id="rId1379" Type="http://schemas.openxmlformats.org/officeDocument/2006/relationships/hyperlink" Target="https://ik.imagekit.io/alaaalaa6171/111%20CP9%20-%20Kaku%20-%20Medal%20_Kaku_.png?updatedAt=1770076421175" TargetMode="External"/><Relationship Id="rId305" Type="http://schemas.openxmlformats.org/officeDocument/2006/relationships/hyperlink" Target="https://ik.imagekit.io/alaaalaa6171/290%20Seraphim%20-%20S-Hawk%20-%20Medal%20_S_Hawk_.png?updatedAt=1770076458427" TargetMode="External"/><Relationship Id="rId789" Type="http://schemas.openxmlformats.org/officeDocument/2006/relationships/hyperlink" Target="https://i.postimg.cc/B65FkfZV/175.png" TargetMode="External"/><Relationship Id="rId304" Type="http://schemas.openxmlformats.org/officeDocument/2006/relationships/hyperlink" Target="https://i.postimg.cc/Y0h9JNny/img-icon-medal-310110291.png" TargetMode="External"/><Relationship Id="rId788" Type="http://schemas.openxmlformats.org/officeDocument/2006/relationships/hyperlink" Target="https://ik.imagekit.io/alaaalaa6171/210%20Big%20Mom%20Pirates_Crewmate%20-%20Charlotte%20Perospero%20-%20Medal%20_Perospero_%20-%20Piece%20_Colored_.png?updatedAt=1770076442381" TargetMode="External"/><Relationship Id="rId303" Type="http://schemas.openxmlformats.org/officeDocument/2006/relationships/hyperlink" Target="https://i.postimg.cc/zBdjZBTt/256.png" TargetMode="External"/><Relationship Id="rId787" Type="http://schemas.openxmlformats.org/officeDocument/2006/relationships/hyperlink" Target="https://ik.imagekit.io/alaaalaa6171/210%20Big%20Mom%20Pirates_Crewmate%20-%20Charlotte%20Perospero%20-%20Medal%20_Perospero_%20-%20Piece.png?updatedAt=1770076442348" TargetMode="External"/><Relationship Id="rId302" Type="http://schemas.openxmlformats.org/officeDocument/2006/relationships/hyperlink" Target="https://ik.imagekit.io/alaaalaa6171/291%20CP9%20-%20Blueno%20-%20Medal%20_Blueno_%20-%20Piece%20_Colored_.png?updatedAt=1770076458421" TargetMode="External"/><Relationship Id="rId786" Type="http://schemas.openxmlformats.org/officeDocument/2006/relationships/hyperlink" Target="https://ik.imagekit.io/alaaalaa6171/210%20Big%20Mom%20Pirates_Crewmate%20-%20Charlotte%20Perospero%20-%20Medal%20_Perospero_%20_Colored_.png?updatedAt=1770076442346" TargetMode="External"/><Relationship Id="rId309" Type="http://schemas.openxmlformats.org/officeDocument/2006/relationships/hyperlink" Target="https://i.postimg.cc/4NH1qXyP/255.png" TargetMode="External"/><Relationship Id="rId308" Type="http://schemas.openxmlformats.org/officeDocument/2006/relationships/hyperlink" Target="https://ik.imagekit.io/alaaalaa6171/290%20Seraphim%20-%20S-Hawk%20-%20Medal%20_S_Hawk_%20-%20Piece%20_Colored_.png?updatedAt=1770076458419" TargetMode="External"/><Relationship Id="rId307" Type="http://schemas.openxmlformats.org/officeDocument/2006/relationships/hyperlink" Target="https://ik.imagekit.io/alaaalaa6171/290%20Seraphim%20-%20S-Hawk%20-%20Medal%20_S_Hawk_%20-%20Piece.png?updatedAt=1770076458421" TargetMode="External"/><Relationship Id="rId306" Type="http://schemas.openxmlformats.org/officeDocument/2006/relationships/hyperlink" Target="https://ik.imagekit.io/alaaalaa6171/290%20Seraphim%20-%20S-Hawk%20-%20Medal%20_S_Hawk_%20_Colored_.png?updatedAt=1770076458405" TargetMode="External"/><Relationship Id="rId781" Type="http://schemas.openxmlformats.org/officeDocument/2006/relationships/hyperlink" Target="https://ik.imagekit.io/alaaalaa6171/211%20Land%20of%20Wano%20-%20Marco%20-%20Medal%20_Phoenix%20Brand_%20-%20Piece.png?updatedAt=1770076442319" TargetMode="External"/><Relationship Id="rId1370" Type="http://schemas.openxmlformats.org/officeDocument/2006/relationships/hyperlink" Target="https://ik.imagekit.io/alaaalaa6171/113%20STAMPEDE%20-%20Douglas%20Bullet%20-%20Medal%20_The%20Demon%20Heir_%20-%20Piece%20_Colored_.png?updatedAt=1770076421696" TargetMode="External"/><Relationship Id="rId780" Type="http://schemas.openxmlformats.org/officeDocument/2006/relationships/hyperlink" Target="https://ik.imagekit.io/alaaalaa6171/211%20Land%20of%20Wano%20-%20Marco%20-%20Medal%20_Phoenix%20Brand_%20_Colored_.png?updatedAt=1770076442313" TargetMode="External"/><Relationship Id="rId1371" Type="http://schemas.openxmlformats.org/officeDocument/2006/relationships/hyperlink" Target="https://i.postimg.cc/5937QZ5g/078.png" TargetMode="External"/><Relationship Id="rId1372" Type="http://schemas.openxmlformats.org/officeDocument/2006/relationships/hyperlink" Target="https://i.postimg.cc/CLRBt09M/img-icon-medal-310110112.png" TargetMode="External"/><Relationship Id="rId1373" Type="http://schemas.openxmlformats.org/officeDocument/2006/relationships/hyperlink" Target="https://ik.imagekit.io/alaaalaa6171/112%20The%20King%20of%20the%20Snipers%20-%20Sniper%20King%20-%20Medal%20_Fire%20Bird_.png?updatedAt=1770076421205" TargetMode="External"/><Relationship Id="rId301" Type="http://schemas.openxmlformats.org/officeDocument/2006/relationships/hyperlink" Target="https://ik.imagekit.io/alaaalaa6171/291%20CP9%20-%20Blueno%20-%20Medal%20_Blueno_%20-%20Piece.png?updatedAt=1770076458419" TargetMode="External"/><Relationship Id="rId785" Type="http://schemas.openxmlformats.org/officeDocument/2006/relationships/hyperlink" Target="https://ik.imagekit.io/alaaalaa6171/210%20Big%20Mom%20Pirates_Crewmate%20-%20Charlotte%20Perospero%20-%20Medal%20_Perospero_.png?updatedAt=1770076442499" TargetMode="External"/><Relationship Id="rId1374" Type="http://schemas.openxmlformats.org/officeDocument/2006/relationships/hyperlink" Target="https://ik.imagekit.io/alaaalaa6171/112%20The%20King%20of%20the%20Snipers%20-%20Sniper%20King%20-%20Medal%20_Fire%20Bird_%20_Colored_.png?updatedAt=1770076421249" TargetMode="External"/><Relationship Id="rId300" Type="http://schemas.openxmlformats.org/officeDocument/2006/relationships/hyperlink" Target="https://ik.imagekit.io/alaaalaa6171/291%20CP9%20-%20Blueno%20-%20Medal%20_Blueno_%20_Colored_.png?updatedAt=1770076458497" TargetMode="External"/><Relationship Id="rId784" Type="http://schemas.openxmlformats.org/officeDocument/2006/relationships/hyperlink" Target="https://i.postimg.cc/fbfJXRSX/img-icon-medal-310110210.png" TargetMode="External"/><Relationship Id="rId1375" Type="http://schemas.openxmlformats.org/officeDocument/2006/relationships/hyperlink" Target="https://ik.imagekit.io/alaaalaa6171/112%20The%20King%20of%20the%20Snipers%20-%20Sniper%20King%20-%20Medal%20_Fire%20Bird_%20-%20Piece.png?updatedAt=1770076421187" TargetMode="External"/><Relationship Id="rId783" Type="http://schemas.openxmlformats.org/officeDocument/2006/relationships/hyperlink" Target="https://i.postimg.cc/YSWYNm5k/176.png" TargetMode="External"/><Relationship Id="rId1376" Type="http://schemas.openxmlformats.org/officeDocument/2006/relationships/hyperlink" Target="https://ik.imagekit.io/alaaalaa6171/112%20The%20King%20of%20the%20Snipers%20-%20Sniper%20King%20-%20Medal%20_Fire%20Bird_%20-%20Piece%20_Colored_.png?updatedAt=1770076421405" TargetMode="External"/><Relationship Id="rId782" Type="http://schemas.openxmlformats.org/officeDocument/2006/relationships/hyperlink" Target="https://ik.imagekit.io/alaaalaa6171/211%20Land%20of%20Wano%20-%20Marco%20-%20Medal%20_Phoenix%20Brand_%20-%20Piece%20_Colored_.png?updatedAt=1770076442324" TargetMode="External"/><Relationship Id="rId1377" Type="http://schemas.openxmlformats.org/officeDocument/2006/relationships/hyperlink" Target="https://i.postimg.cc/pXL0fqqH/077.png" TargetMode="External"/><Relationship Id="rId1367" Type="http://schemas.openxmlformats.org/officeDocument/2006/relationships/hyperlink" Target="https://ik.imagekit.io/alaaalaa6171/113%20STAMPEDE%20-%20Douglas%20Bullet%20-%20Medal%20_The%20Demon%20Heir_.png?updatedAt=1770076421259" TargetMode="External"/><Relationship Id="rId1368" Type="http://schemas.openxmlformats.org/officeDocument/2006/relationships/hyperlink" Target="https://ik.imagekit.io/alaaalaa6171/113%20STAMPEDE%20-%20Douglas%20Bullet%20-%20Medal%20_The%20Demon%20Heir_%20_Colored_.png?updatedAt=1770076421253" TargetMode="External"/><Relationship Id="rId1369" Type="http://schemas.openxmlformats.org/officeDocument/2006/relationships/hyperlink" Target="https://ik.imagekit.io/alaaalaa6171/113%20STAMPEDE%20-%20Douglas%20Bullet%20-%20Medal%20_The%20Demon%20Heir_%20-%20Piece.png?updatedAt=1770076421223" TargetMode="External"/><Relationship Id="rId778" Type="http://schemas.openxmlformats.org/officeDocument/2006/relationships/hyperlink" Target="https://i.postimg.cc/xd3cH1Nv/img-icon-medal-310110213.png" TargetMode="External"/><Relationship Id="rId777" Type="http://schemas.openxmlformats.org/officeDocument/2006/relationships/hyperlink" Target="https://i.postimg.cc/tTGPB4b6/177.png" TargetMode="External"/><Relationship Id="rId776" Type="http://schemas.openxmlformats.org/officeDocument/2006/relationships/hyperlink" Target="https://ik.imagekit.io/alaaalaa6171/212%20STAMPEDE%20-%20Boa%20Hancock%20-%20Medal%20_Hancock%20(STAMPEDE)_%20-%20Piece%20_Colored_.png?updatedAt=1770076442379" TargetMode="External"/><Relationship Id="rId775" Type="http://schemas.openxmlformats.org/officeDocument/2006/relationships/hyperlink" Target="https://ik.imagekit.io/alaaalaa6171/212%20STAMPEDE%20-%20Boa%20Hancock%20-%20Medal%20_Hancock%20(STAMPEDE)_%20-%20Piece.png?updatedAt=1770076442527" TargetMode="External"/><Relationship Id="rId779" Type="http://schemas.openxmlformats.org/officeDocument/2006/relationships/hyperlink" Target="https://ik.imagekit.io/alaaalaa6171/211%20Land%20of%20Wano%20-%20Marco%20-%20Medal%20_Phoenix%20Brand_.png?updatedAt=1770076442418" TargetMode="External"/><Relationship Id="rId770" Type="http://schemas.openxmlformats.org/officeDocument/2006/relationships/hyperlink" Target="https://ik.imagekit.io/alaaalaa6171/213%20FILM%20STRONG%20WORLD%20-%20Shiki%20-%20Medal%20_Shiki_%20-%20Piece%20_Colored_.png?updatedAt=1770076442357" TargetMode="External"/><Relationship Id="rId1360" Type="http://schemas.openxmlformats.org/officeDocument/2006/relationships/hyperlink" Target="https://i.postimg.cc/9FDRS2sF/img-icon-medal-310110114.png" TargetMode="External"/><Relationship Id="rId1361" Type="http://schemas.openxmlformats.org/officeDocument/2006/relationships/hyperlink" Target="https://ik.imagekit.io/alaaalaa6171/114%20Navy%20HQ_Rear%20Admiral%20-%20Hina%20-%20Medal%20_Hina_.png?updatedAt=1770076421329" TargetMode="External"/><Relationship Id="rId1362" Type="http://schemas.openxmlformats.org/officeDocument/2006/relationships/hyperlink" Target="https://ik.imagekit.io/alaaalaa6171/114%20Navy%20HQ_Rear%20Admiral%20-%20Hina%20-%20Medal%20_Hina_%20_Colored_.png?updatedAt=1770076421251" TargetMode="External"/><Relationship Id="rId774" Type="http://schemas.openxmlformats.org/officeDocument/2006/relationships/hyperlink" Target="https://ik.imagekit.io/alaaalaa6171/212%20STAMPEDE%20-%20Boa%20Hancock%20-%20Medal%20_Hancock%20(STAMPEDE)_%20_Colored_.png?updatedAt=1770076442374" TargetMode="External"/><Relationship Id="rId1363" Type="http://schemas.openxmlformats.org/officeDocument/2006/relationships/hyperlink" Target="https://ik.imagekit.io/alaaalaa6171/114%20Navy%20HQ_Rear%20Admiral%20-%20Hina%20-%20Medal%20_Hina_%20-%20Piece.png?updatedAt=1770076421688" TargetMode="External"/><Relationship Id="rId773" Type="http://schemas.openxmlformats.org/officeDocument/2006/relationships/hyperlink" Target="https://ik.imagekit.io/alaaalaa6171/212%20STAMPEDE%20-%20Boa%20Hancock%20-%20Medal%20_Hancock%20(STAMPEDE)_.png?updatedAt=1770076442439" TargetMode="External"/><Relationship Id="rId1364" Type="http://schemas.openxmlformats.org/officeDocument/2006/relationships/hyperlink" Target="https://ik.imagekit.io/alaaalaa6171/114%20Navy%20HQ_Rear%20Admiral%20-%20Hina%20-%20Medal%20_Hina_%20-%20Piece%20_Colored_.png?updatedAt=1770076421267" TargetMode="External"/><Relationship Id="rId772" Type="http://schemas.openxmlformats.org/officeDocument/2006/relationships/hyperlink" Target="https://i.postimg.cc/QMJH5dKp/img-icon-medal-310110212.png" TargetMode="External"/><Relationship Id="rId1365" Type="http://schemas.openxmlformats.org/officeDocument/2006/relationships/hyperlink" Target="https://i.postimg.cc/hvp2Fd46/079.png" TargetMode="External"/><Relationship Id="rId771" Type="http://schemas.openxmlformats.org/officeDocument/2006/relationships/hyperlink" Target="https://i.postimg.cc/0y37JCHc/178.png" TargetMode="External"/><Relationship Id="rId1366" Type="http://schemas.openxmlformats.org/officeDocument/2006/relationships/hyperlink" Target="https://i.postimg.cc/qMNhYrWv/img-icon-medal-310110113.png" TargetMode="External"/><Relationship Id="rId327" Type="http://schemas.openxmlformats.org/officeDocument/2006/relationships/hyperlink" Target="https://i.postimg.cc/y8JNmVqL/252.png" TargetMode="External"/><Relationship Id="rId326" Type="http://schemas.openxmlformats.org/officeDocument/2006/relationships/hyperlink" Target="https://ik.imagekit.io/alaaalaa6171/287%20Egghead%20-%20Monkey%20D.%20Luffy%20-%20Medal%20_Egghead%20Luffy_%20-%20Piece%20_Colored_.png?updatedAt=1770076458289" TargetMode="External"/><Relationship Id="rId325" Type="http://schemas.openxmlformats.org/officeDocument/2006/relationships/hyperlink" Target="https://ik.imagekit.io/alaaalaa6171/287%20Egghead%20-%20Monkey%20D.%20Luffy%20-%20Medal%20_Egghead%20Luffy_%20-%20Piece.png?updatedAt=1770076458304" TargetMode="External"/><Relationship Id="rId324" Type="http://schemas.openxmlformats.org/officeDocument/2006/relationships/hyperlink" Target="https://ik.imagekit.io/alaaalaa6171/287%20Egghead%20-%20Monkey%20D.%20Luffy%20-%20Medal%20_Egghead%20Luffy_%20_Colored_.png?updatedAt=1770076458309" TargetMode="External"/><Relationship Id="rId329" Type="http://schemas.openxmlformats.org/officeDocument/2006/relationships/hyperlink" Target="https://ik.imagekit.io/alaaalaa6171/286%20The%20Navy's%20Human%20Weapon%20-%20Pacifista%20-%20Medal%20_Pacifista_.png?updatedAt=1770076458266" TargetMode="External"/><Relationship Id="rId1390" Type="http://schemas.openxmlformats.org/officeDocument/2006/relationships/hyperlink" Target="https://i.postimg.cc/wT1yPznp/img-icon-medal-310110109.png" TargetMode="External"/><Relationship Id="rId328" Type="http://schemas.openxmlformats.org/officeDocument/2006/relationships/hyperlink" Target="https://i.postimg.cc/hvfjH8yp/img-icon-medal-310110287.png" TargetMode="External"/><Relationship Id="rId1391" Type="http://schemas.openxmlformats.org/officeDocument/2006/relationships/hyperlink" Target="https://ik.imagekit.io/alaaalaa6171/109%20Luffy%60s%20Brother%20-%20Sabo%20-%20Medal%20_Flame%20Dragon%20King_.png?updatedAt=1770076421230" TargetMode="External"/><Relationship Id="rId1392" Type="http://schemas.openxmlformats.org/officeDocument/2006/relationships/hyperlink" Target="https://ik.imagekit.io/alaaalaa6171/109%20Luffy%60s%20Brother%20-%20Sabo%20-%20Medal%20_Flame%20Dragon%20King_%20_Colored_.png?updatedAt=1770076421607" TargetMode="External"/><Relationship Id="rId1393" Type="http://schemas.openxmlformats.org/officeDocument/2006/relationships/hyperlink" Target="https://ik.imagekit.io/alaaalaa6171/109%20Luffy%60s%20Brother%20-%20Sabo%20-%20Medal%20_Flame%20Dragon%20King_%20-%20Piece.png?updatedAt=1770076421184" TargetMode="External"/><Relationship Id="rId1394" Type="http://schemas.openxmlformats.org/officeDocument/2006/relationships/hyperlink" Target="https://ik.imagekit.io/alaaalaa6171/109%20Luffy%60s%20Brother%20-%20Sabo%20-%20Medal%20_Flame%20Dragon%20King_%20-%20Piece%20_Colored_.png?updatedAt=1770076421135" TargetMode="External"/><Relationship Id="rId1395" Type="http://schemas.openxmlformats.org/officeDocument/2006/relationships/hyperlink" Target="https://i.postimg.cc/DwtBKFFv/074.png" TargetMode="External"/><Relationship Id="rId323" Type="http://schemas.openxmlformats.org/officeDocument/2006/relationships/hyperlink" Target="https://ik.imagekit.io/alaaalaa6171/287%20Egghead%20-%20Monkey%20D.%20Luffy%20-%20Medal%20_Egghead%20Luffy_.png?updatedAt=1770076458320" TargetMode="External"/><Relationship Id="rId1396" Type="http://schemas.openxmlformats.org/officeDocument/2006/relationships/hyperlink" Target="https://i.postimg.cc/VLJrTw2c/img-icon-medal-310110108.png" TargetMode="External"/><Relationship Id="rId322" Type="http://schemas.openxmlformats.org/officeDocument/2006/relationships/hyperlink" Target="https://i.postimg.cc/XqpJTKH2/img-icon-medal-310110288.png" TargetMode="External"/><Relationship Id="rId1397" Type="http://schemas.openxmlformats.org/officeDocument/2006/relationships/hyperlink" Target="https://ik.imagekit.io/alaaalaa6171/108%20Navy%20HQ_Admiral%20Fujitora%20-%20_Issho_%20-%20Medal%20_Fujitora_.png?updatedAt=1770076421203" TargetMode="External"/><Relationship Id="rId321" Type="http://schemas.openxmlformats.org/officeDocument/2006/relationships/hyperlink" Target="https://i.postimg.cc/52Z2pZbb/253.png" TargetMode="External"/><Relationship Id="rId1398" Type="http://schemas.openxmlformats.org/officeDocument/2006/relationships/hyperlink" Target="https://ik.imagekit.io/alaaalaa6171/108%20Navy%20HQ_Admiral%20Fujitora%20-%20_Issho_%20-%20Medal%20_Fujitora_%20_Colored_.png?updatedAt=1770076421166" TargetMode="External"/><Relationship Id="rId320" Type="http://schemas.openxmlformats.org/officeDocument/2006/relationships/hyperlink" Target="https://ik.imagekit.io/alaaalaa6171/288%20Seraphim%20-%20S-Snake%20-%20Medal%20_S_Snake_%20-%20Piece%20_Colored_.png?updatedAt=1770076458299" TargetMode="External"/><Relationship Id="rId1399" Type="http://schemas.openxmlformats.org/officeDocument/2006/relationships/hyperlink" Target="https://ik.imagekit.io/alaaalaa6171/108%20Navy%20HQ_Admiral%20Fujitora%20-%20_Issho_%20-%20Medal%20_Fujitora_%20-%20Piece.png?updatedAt=1770076421156" TargetMode="External"/><Relationship Id="rId1389" Type="http://schemas.openxmlformats.org/officeDocument/2006/relationships/hyperlink" Target="https://i.postimg.cc/zGL0Mvs2/075.png" TargetMode="External"/><Relationship Id="rId316" Type="http://schemas.openxmlformats.org/officeDocument/2006/relationships/hyperlink" Target="https://i.postimg.cc/x8cCWGxx/img-icon-medal-310110289.png" TargetMode="External"/><Relationship Id="rId315" Type="http://schemas.openxmlformats.org/officeDocument/2006/relationships/hyperlink" Target="https://i.postimg.cc/QM1xz0d5/254.png" TargetMode="External"/><Relationship Id="rId799" Type="http://schemas.openxmlformats.org/officeDocument/2006/relationships/hyperlink" Target="https://ik.imagekit.io/alaaalaa6171/208%20Animal%20Kingdom%20Pirates_Tobi%20Roppo%20-%20Page%20One%20-%20Medal%20_Pachycephalosaurus_%20-%20Piece.png?updatedAt=1770076442353" TargetMode="External"/><Relationship Id="rId314" Type="http://schemas.openxmlformats.org/officeDocument/2006/relationships/hyperlink" Target="https://ik.imagekit.io/alaaalaa6171/289%20Egghead%20-%20Roronoa%20Zoro%20-%20Medal%20_Egghead%20Zoro_%20-%20Piece%20_Colored_.png?updatedAt=1770076458351" TargetMode="External"/><Relationship Id="rId798" Type="http://schemas.openxmlformats.org/officeDocument/2006/relationships/hyperlink" Target="https://ik.imagekit.io/alaaalaa6171/208%20Animal%20Kingdom%20Pirates_Tobi%20Roppo%20-%20Page%20One%20-%20Medal%20_Pachycephalosaurus_%20_Colored_.png?updatedAt=1770076442322" TargetMode="External"/><Relationship Id="rId313" Type="http://schemas.openxmlformats.org/officeDocument/2006/relationships/hyperlink" Target="https://ik.imagekit.io/alaaalaa6171/289%20Egghead%20-%20Roronoa%20Zoro%20-%20Medal%20_Egghead%20Zoro_%20-%20Piece.png?updatedAt=1770076458363" TargetMode="External"/><Relationship Id="rId797" Type="http://schemas.openxmlformats.org/officeDocument/2006/relationships/hyperlink" Target="https://ik.imagekit.io/alaaalaa6171/208%20Animal%20Kingdom%20Pirates_Tobi%20Roppo%20-%20Page%20One%20-%20Medal%20_Pachycephalosaurus_.png?updatedAt=1770076442329" TargetMode="External"/><Relationship Id="rId319" Type="http://schemas.openxmlformats.org/officeDocument/2006/relationships/hyperlink" Target="https://ik.imagekit.io/alaaalaa6171/288%20Seraphim%20-%20S-Snake%20-%20Medal%20_S_Snake_%20-%20Piece.png?updatedAt=1770076458349" TargetMode="External"/><Relationship Id="rId318" Type="http://schemas.openxmlformats.org/officeDocument/2006/relationships/hyperlink" Target="https://ik.imagekit.io/alaaalaa6171/288%20Seraphim%20-%20S-Snake%20-%20Medal%20_S_Snake_%20_Colored_.png?updatedAt=1770076458379" TargetMode="External"/><Relationship Id="rId317" Type="http://schemas.openxmlformats.org/officeDocument/2006/relationships/hyperlink" Target="https://ik.imagekit.io/alaaalaa6171/288%20Seraphim%20-%20S-Snake%20-%20Medal%20_S_Snake_.png?updatedAt=1770076458346" TargetMode="External"/><Relationship Id="rId1380" Type="http://schemas.openxmlformats.org/officeDocument/2006/relationships/hyperlink" Target="https://ik.imagekit.io/alaaalaa6171/111%20CP9%20-%20Kaku%20-%20Medal%20_Kaku_%20_Colored_.png?updatedAt=1770076421409" TargetMode="External"/><Relationship Id="rId792" Type="http://schemas.openxmlformats.org/officeDocument/2006/relationships/hyperlink" Target="https://ik.imagekit.io/alaaalaa6171/209%20Animal%20Kingdom%20Pirates_Tobi%20Roppo%20-%20Ulti%20-%20Medal%20_Spinosaurus_%20_Colored_.png?updatedAt=1770076442288" TargetMode="External"/><Relationship Id="rId1381" Type="http://schemas.openxmlformats.org/officeDocument/2006/relationships/hyperlink" Target="https://ik.imagekit.io/alaaalaa6171/111%20CP9%20-%20Kaku%20-%20Medal%20_Kaku_%20-%20Piece.png?updatedAt=1770076421220" TargetMode="External"/><Relationship Id="rId791" Type="http://schemas.openxmlformats.org/officeDocument/2006/relationships/hyperlink" Target="https://ik.imagekit.io/alaaalaa6171/209%20Animal%20Kingdom%20Pirates_Tobi%20Roppo%20-%20Ulti%20-%20Medal%20_Spinosaurus_.png?updatedAt=1770076442313" TargetMode="External"/><Relationship Id="rId1382" Type="http://schemas.openxmlformats.org/officeDocument/2006/relationships/hyperlink" Target="https://ik.imagekit.io/alaaalaa6171/111%20CP9%20-%20Kaku%20-%20Medal%20_Kaku_%20-%20Piece%20_Colored_.png?updatedAt=1770076421434" TargetMode="External"/><Relationship Id="rId790" Type="http://schemas.openxmlformats.org/officeDocument/2006/relationships/hyperlink" Target="https://i.postimg.cc/N0k5Tj2R/img-icon-medal-310110211.png" TargetMode="External"/><Relationship Id="rId1383" Type="http://schemas.openxmlformats.org/officeDocument/2006/relationships/hyperlink" Target="https://i.postimg.cc/02XVcDBJ/076.png" TargetMode="External"/><Relationship Id="rId1384" Type="http://schemas.openxmlformats.org/officeDocument/2006/relationships/hyperlink" Target="https://i.postimg.cc/sDMQ8zbs/img-icon-medal-310110110.png" TargetMode="External"/><Relationship Id="rId312" Type="http://schemas.openxmlformats.org/officeDocument/2006/relationships/hyperlink" Target="https://ik.imagekit.io/alaaalaa6171/289%20Egghead%20-%20Roronoa%20Zoro%20-%20Medal%20_Egghead%20Zoro_%20_Colored_.png?updatedAt=1770076458360" TargetMode="External"/><Relationship Id="rId796" Type="http://schemas.openxmlformats.org/officeDocument/2006/relationships/hyperlink" Target="https://i.postimg.cc/k5vB8gRS/img-icon-medal-310110209.png" TargetMode="External"/><Relationship Id="rId1385" Type="http://schemas.openxmlformats.org/officeDocument/2006/relationships/hyperlink" Target="https://ik.imagekit.io/alaaalaa6171/110%20CP9%20-%20Rob%20Lucci%20-%20Medal%20_Lucci_.png?updatedAt=1770076421191" TargetMode="External"/><Relationship Id="rId311" Type="http://schemas.openxmlformats.org/officeDocument/2006/relationships/hyperlink" Target="https://ik.imagekit.io/alaaalaa6171/289%20Egghead%20-%20Roronoa%20Zoro%20-%20Medal%20_Egghead%20Zoro_.png?updatedAt=1770076458362" TargetMode="External"/><Relationship Id="rId795" Type="http://schemas.openxmlformats.org/officeDocument/2006/relationships/hyperlink" Target="https://i.postimg.cc/HnpMCvVs/174.png" TargetMode="External"/><Relationship Id="rId1386" Type="http://schemas.openxmlformats.org/officeDocument/2006/relationships/hyperlink" Target="https://ik.imagekit.io/alaaalaa6171/110%20CP9%20-%20Rob%20Lucci%20-%20Medal%20_Lucci_%20_Colored_.png?updatedAt=1770076421184" TargetMode="External"/><Relationship Id="rId310" Type="http://schemas.openxmlformats.org/officeDocument/2006/relationships/hyperlink" Target="https://i.postimg.cc/8cj5qdKX/img-icon-medal-310110290.png" TargetMode="External"/><Relationship Id="rId794" Type="http://schemas.openxmlformats.org/officeDocument/2006/relationships/hyperlink" Target="https://ik.imagekit.io/alaaalaa6171/209%20Animal%20Kingdom%20Pirates_Tobi%20Roppo%20-%20Ulti%20-%20Medal%20_Spinosaurus_%20-%20Piece%20_Colored_.png?updatedAt=1770076442494" TargetMode="External"/><Relationship Id="rId1387" Type="http://schemas.openxmlformats.org/officeDocument/2006/relationships/hyperlink" Target="https://ik.imagekit.io/alaaalaa6171/110%20CP9%20-%20Rob%20Lucci%20-%20Medal%20_Lucci_%20-%20Piece.png?updatedAt=1770076421431" TargetMode="External"/><Relationship Id="rId793" Type="http://schemas.openxmlformats.org/officeDocument/2006/relationships/hyperlink" Target="https://ik.imagekit.io/alaaalaa6171/209%20Animal%20Kingdom%20Pirates_Tobi%20Roppo%20-%20Ulti%20-%20Medal%20_Spinosaurus_%20-%20Piece.png?updatedAt=1770076442268" TargetMode="External"/><Relationship Id="rId1388" Type="http://schemas.openxmlformats.org/officeDocument/2006/relationships/hyperlink" Target="https://ik.imagekit.io/alaaalaa6171/110%20CP9%20-%20Rob%20Lucci%20-%20Medal%20_Lucci_%20-%20Piece%20_Colored_.png?updatedAt=1770076421166" TargetMode="External"/><Relationship Id="rId297" Type="http://schemas.openxmlformats.org/officeDocument/2006/relationships/hyperlink" Target="https://i.postimg.cc/VvdFY8RY/257.png" TargetMode="External"/><Relationship Id="rId296" Type="http://schemas.openxmlformats.org/officeDocument/2006/relationships/hyperlink" Target="https://ik.imagekit.io/alaaalaa6171/292%20CP9%20-%20Jabra%20-%20Medal%20_Jabra_%20-%20Piece%20_Colored_.png?updatedAt=1770076458495" TargetMode="External"/><Relationship Id="rId295" Type="http://schemas.openxmlformats.org/officeDocument/2006/relationships/hyperlink" Target="https://ik.imagekit.io/alaaalaa6171/292%20CP9%20-%20Jabra%20-%20Medal%20_Jabra_%20-%20Piece.png?updatedAt=1770076458490" TargetMode="External"/><Relationship Id="rId294" Type="http://schemas.openxmlformats.org/officeDocument/2006/relationships/hyperlink" Target="https://ik.imagekit.io/alaaalaa6171/292%20CP9%20-%20Jabra%20-%20Medal%20_Jabra_%20_Colored_.png?updatedAt=1770076458480" TargetMode="External"/><Relationship Id="rId299" Type="http://schemas.openxmlformats.org/officeDocument/2006/relationships/hyperlink" Target="https://ik.imagekit.io/alaaalaa6171/291%20CP9%20-%20Blueno%20-%20Medal%20_Blueno_.png?updatedAt=1770076458507" TargetMode="External"/><Relationship Id="rId298" Type="http://schemas.openxmlformats.org/officeDocument/2006/relationships/hyperlink" Target="https://i.postimg.cc/qqzR9cbF/img-icon-medal-310110292.png" TargetMode="External"/><Relationship Id="rId271" Type="http://schemas.openxmlformats.org/officeDocument/2006/relationships/hyperlink" Target="https://ik.imagekit.io/alaaalaa6171/296%20Divine%20Departure%20-%20Shanks%20-%20Medal%20_Red_Haired%20Divine%20Departure_%20-%20Piece.png?updatedAt=1770076458607" TargetMode="External"/><Relationship Id="rId270" Type="http://schemas.openxmlformats.org/officeDocument/2006/relationships/hyperlink" Target="https://ik.imagekit.io/alaaalaa6171/296%20Divine%20Departure%20-%20Shanks%20-%20Medal%20_Red_Haired%20Divine%20Departure_%20_Colored_.png?updatedAt=1770076458639" TargetMode="External"/><Relationship Id="rId269" Type="http://schemas.openxmlformats.org/officeDocument/2006/relationships/hyperlink" Target="https://ik.imagekit.io/alaaalaa6171/296%20Divine%20Departure%20-%20Shanks%20-%20Medal%20_Red_Haired%20Divine%20Departure_.png?updatedAt=1770076458635" TargetMode="External"/><Relationship Id="rId264" Type="http://schemas.openxmlformats.org/officeDocument/2006/relationships/hyperlink" Target="https://ik.imagekit.io/alaaalaa6171/297%20The%20Blue%20-%20Dorry%20-%20Medal%20_Dorry_%20_Colored_.png?updatedAt=1770076458670" TargetMode="External"/><Relationship Id="rId263" Type="http://schemas.openxmlformats.org/officeDocument/2006/relationships/hyperlink" Target="https://ik.imagekit.io/alaaalaa6171/297%20The%20Blue%20-%20Dorry%20-%20Medal%20_Dorry_.png?updatedAt=1770076458662" TargetMode="External"/><Relationship Id="rId262" Type="http://schemas.openxmlformats.org/officeDocument/2006/relationships/hyperlink" Target="https://i.postimg.cc/cCrHV7kG/img-icon-medal-310110298.png" TargetMode="External"/><Relationship Id="rId261" Type="http://schemas.openxmlformats.org/officeDocument/2006/relationships/hyperlink" Target="https://i.postimg.cc/FHFNtWtQ/263.png" TargetMode="External"/><Relationship Id="rId268" Type="http://schemas.openxmlformats.org/officeDocument/2006/relationships/hyperlink" Target="https://i.postimg.cc/x8cCWGpr/img-icon-medal-310110297.png" TargetMode="External"/><Relationship Id="rId267" Type="http://schemas.openxmlformats.org/officeDocument/2006/relationships/hyperlink" Target="https://i.postimg.cc/s2s9MScH/262.png" TargetMode="External"/><Relationship Id="rId266" Type="http://schemas.openxmlformats.org/officeDocument/2006/relationships/hyperlink" Target="https://ik.imagekit.io/alaaalaa6171/297%20The%20Blue%20-%20Dorry%20-%20Medal%20_Dorry_%20-%20Piece%20_Colored_.png?updatedAt=1770076458610" TargetMode="External"/><Relationship Id="rId265" Type="http://schemas.openxmlformats.org/officeDocument/2006/relationships/hyperlink" Target="https://ik.imagekit.io/alaaalaa6171/297%20The%20Blue%20-%20Dorry%20-%20Medal%20_Dorry_%20-%20Piece.png?updatedAt=1770076458602" TargetMode="External"/><Relationship Id="rId260" Type="http://schemas.openxmlformats.org/officeDocument/2006/relationships/hyperlink" Target="https://ik.imagekit.io/alaaalaa6171/298%20The%20Red%20-%20Broggy%20-%20Medal%20_Broggy_%20-%20Piece%20_Colored_.png?updatedAt=1770076458683" TargetMode="External"/><Relationship Id="rId259" Type="http://schemas.openxmlformats.org/officeDocument/2006/relationships/hyperlink" Target="https://ik.imagekit.io/alaaalaa6171/298%20The%20Red%20-%20Broggy%20-%20Medal%20_Broggy_%20-%20Piece.png?updatedAt=1770076458609" TargetMode="External"/><Relationship Id="rId258" Type="http://schemas.openxmlformats.org/officeDocument/2006/relationships/hyperlink" Target="https://ik.imagekit.io/alaaalaa6171/298%20The%20Red%20-%20Broggy%20-%20Medal%20_Broggy_%20_Colored_.png?updatedAt=1770076458639" TargetMode="External"/><Relationship Id="rId253" Type="http://schemas.openxmlformats.org/officeDocument/2006/relationships/hyperlink" Target="https://ik.imagekit.io/alaaalaa6171/299%20Happy%20Halloween%20-%20Uta%20-%20Medal%20_Halloween%20Uta_%20-%20Piece.png?updatedAt=1770076458660" TargetMode="External"/><Relationship Id="rId252" Type="http://schemas.openxmlformats.org/officeDocument/2006/relationships/hyperlink" Target="https://ik.imagekit.io/alaaalaa6171/299%20Happy%20Halloween%20-%20Uta%20-%20Medal%20_Halloween%20Uta_%20_Colored_.png?updatedAt=1770076458634" TargetMode="External"/><Relationship Id="rId251" Type="http://schemas.openxmlformats.org/officeDocument/2006/relationships/hyperlink" Target="https://ik.imagekit.io/alaaalaa6171/299%20Happy%20Halloween%20-%20Uta%20-%20Medal%20_Halloween%20Uta_.png?updatedAt=1770076458641" TargetMode="External"/><Relationship Id="rId250" Type="http://schemas.openxmlformats.org/officeDocument/2006/relationships/hyperlink" Target="https://i.postimg.cc/C5z1WCrV/img-icon-medal-310110300.png" TargetMode="External"/><Relationship Id="rId257" Type="http://schemas.openxmlformats.org/officeDocument/2006/relationships/hyperlink" Target="https://ik.imagekit.io/alaaalaa6171/298%20The%20Red%20-%20Broggy%20-%20Medal%20_Broggy_.png?updatedAt=1770076458628" TargetMode="External"/><Relationship Id="rId256" Type="http://schemas.openxmlformats.org/officeDocument/2006/relationships/hyperlink" Target="https://i.postimg.cc/fyJL67qn/img-icon-medal-310110299.png" TargetMode="External"/><Relationship Id="rId255" Type="http://schemas.openxmlformats.org/officeDocument/2006/relationships/hyperlink" Target="https://i.postimg.cc/sD4sNFNc/264.png" TargetMode="External"/><Relationship Id="rId254" Type="http://schemas.openxmlformats.org/officeDocument/2006/relationships/hyperlink" Target="https://ik.imagekit.io/alaaalaa6171/299%20Happy%20Halloween%20-%20Uta%20-%20Medal%20_Halloween%20Uta_%20-%20Piece%20_Colored_.png?updatedAt=1770076458644" TargetMode="External"/><Relationship Id="rId293" Type="http://schemas.openxmlformats.org/officeDocument/2006/relationships/hyperlink" Target="https://ik.imagekit.io/alaaalaa6171/292%20CP9%20-%20Jabra%20-%20Medal%20_Jabra_.png?updatedAt=1770076458489" TargetMode="External"/><Relationship Id="rId292" Type="http://schemas.openxmlformats.org/officeDocument/2006/relationships/hyperlink" Target="https://i.postimg.cc/8cj5qdK3/img-icon-medal-310110293.png" TargetMode="External"/><Relationship Id="rId291" Type="http://schemas.openxmlformats.org/officeDocument/2006/relationships/hyperlink" Target="https://i.postimg.cc/J72qpsrt/258.png" TargetMode="External"/><Relationship Id="rId290" Type="http://schemas.openxmlformats.org/officeDocument/2006/relationships/hyperlink" Target="https://ik.imagekit.io/alaaalaa6171/293%20Awakened%20Form%20-%20Rob%20Lucci%20-%20Medal%20_Hand%20Pistol_%20-%20Piece%20_Colored_.png?updatedAt=1770076458506" TargetMode="External"/><Relationship Id="rId286" Type="http://schemas.openxmlformats.org/officeDocument/2006/relationships/hyperlink" Target="https://i.postimg.cc/gjnJfySQ/img-icon-medal-310110294.png" TargetMode="External"/><Relationship Id="rId285" Type="http://schemas.openxmlformats.org/officeDocument/2006/relationships/hyperlink" Target="https://i.postimg.cc/d3pj3xHG/259.png" TargetMode="External"/><Relationship Id="rId284" Type="http://schemas.openxmlformats.org/officeDocument/2006/relationships/hyperlink" Target="https://ik.imagekit.io/alaaalaa6171/294%20Awakened%20Form%20-%20Kaku%20-%20Medal%20_Nose%20Pistol_%20-%20Piece%20_Colored_.png?updatedAt=1770076458514" TargetMode="External"/><Relationship Id="rId283" Type="http://schemas.openxmlformats.org/officeDocument/2006/relationships/hyperlink" Target="https://ik.imagekit.io/alaaalaa6171/294%20Awakened%20Form%20-%20Kaku%20-%20Medal%20_Nose%20Pistol_%20-%20Piece.png?updatedAt=1770076458530" TargetMode="External"/><Relationship Id="rId289" Type="http://schemas.openxmlformats.org/officeDocument/2006/relationships/hyperlink" Target="https://ik.imagekit.io/alaaalaa6171/293%20Awakened%20Form%20-%20Rob%20Lucci%20-%20Medal%20_Hand%20Pistol_%20-%20Piece.png?updatedAt=1770076458504" TargetMode="External"/><Relationship Id="rId288" Type="http://schemas.openxmlformats.org/officeDocument/2006/relationships/hyperlink" Target="https://ik.imagekit.io/alaaalaa6171/293%20Awakened%20Form%20-%20Rob%20Lucci%20-%20Medal%20_Hand%20Pistol_%20_Colored_.png?updatedAt=1770076458564" TargetMode="External"/><Relationship Id="rId287" Type="http://schemas.openxmlformats.org/officeDocument/2006/relationships/hyperlink" Target="https://ik.imagekit.io/alaaalaa6171/293%20Awakened%20Form%20-%20Rob%20Lucci%20-%20Medal%20_Hand%20Pistol_.png?updatedAt=1770076458502" TargetMode="External"/><Relationship Id="rId282" Type="http://schemas.openxmlformats.org/officeDocument/2006/relationships/hyperlink" Target="https://ik.imagekit.io/alaaalaa6171/294%20Awakened%20Form%20-%20Kaku%20-%20Medal%20_Nose%20Pistol_%20_Colored_.png?updatedAt=1770076458602" TargetMode="External"/><Relationship Id="rId281" Type="http://schemas.openxmlformats.org/officeDocument/2006/relationships/hyperlink" Target="https://ik.imagekit.io/alaaalaa6171/294%20Awakened%20Form%20-%20Kaku%20-%20Medal%20_Nose%20Pistol_.png?updatedAt=1770076458574" TargetMode="External"/><Relationship Id="rId280" Type="http://schemas.openxmlformats.org/officeDocument/2006/relationships/hyperlink" Target="https://i.postimg.cc/ZnCR1P7G/img-icon-medal-310110296.png" TargetMode="External"/><Relationship Id="rId275" Type="http://schemas.openxmlformats.org/officeDocument/2006/relationships/hyperlink" Target="https://ik.imagekit.io/alaaalaa6171/295%20Vegapunk's%20Spy%20-%20Stussy%20-%20Medal%20_Vegapunk%60s%20Spy_.png?updatedAt=1770076458577" TargetMode="External"/><Relationship Id="rId274" Type="http://schemas.openxmlformats.org/officeDocument/2006/relationships/hyperlink" Target="https://i.postimg.cc/BbX6d5YR/img-icon-medal-310110295.png" TargetMode="External"/><Relationship Id="rId273" Type="http://schemas.openxmlformats.org/officeDocument/2006/relationships/hyperlink" Target="https://i.postimg.cc/MpkY8gjS/261.png" TargetMode="External"/><Relationship Id="rId272" Type="http://schemas.openxmlformats.org/officeDocument/2006/relationships/hyperlink" Target="https://ik.imagekit.io/alaaalaa6171/296%20Divine%20Departure%20-%20Shanks%20-%20Medal%20_Red_Haired%20Divine%20Departure_%20-%20Piece%20_Colored_.png?updatedAt=1770076458595" TargetMode="External"/><Relationship Id="rId279" Type="http://schemas.openxmlformats.org/officeDocument/2006/relationships/hyperlink" Target="https://i.postimg.cc/FHjVFGjJ/260.png" TargetMode="External"/><Relationship Id="rId278" Type="http://schemas.openxmlformats.org/officeDocument/2006/relationships/hyperlink" Target="https://ik.imagekit.io/alaaalaa6171/295%20Vegapunk's%20Spy%20-%20Stussy%20-%20Medal%20_Vegapunk%60s%20Spy_%20-%20Piece%20_Colored_.png?updatedAt=1770076458591" TargetMode="External"/><Relationship Id="rId277" Type="http://schemas.openxmlformats.org/officeDocument/2006/relationships/hyperlink" Target="https://ik.imagekit.io/alaaalaa6171/295%20Vegapunk's%20Spy%20-%20Stussy%20-%20Medal%20_Vegapunk%60s%20Spy_%20-%20Piece.png?updatedAt=1770076458600" TargetMode="External"/><Relationship Id="rId276" Type="http://schemas.openxmlformats.org/officeDocument/2006/relationships/hyperlink" Target="https://ik.imagekit.io/alaaalaa6171/295%20Vegapunk's%20Spy%20-%20Stussy%20-%20Medal%20_Vegapunk%60s%20Spy_%20_Colored_.png?updatedAt=1770076458579" TargetMode="External"/><Relationship Id="rId1851" Type="http://schemas.openxmlformats.org/officeDocument/2006/relationships/hyperlink" Target="https://ik.imagekit.io/alaaalaa6171/032%205t%20Hammer%20-%20Usopp%20-%20Medal%20_Pound_%20_Colored_.png?updatedAt=1770076405456" TargetMode="External"/><Relationship Id="rId1852" Type="http://schemas.openxmlformats.org/officeDocument/2006/relationships/hyperlink" Target="https://ik.imagekit.io/alaaalaa6171/032%205t%20Hammer%20-%20Usopp%20-%20Medal%20_Pound_%20-%20Piece.png?updatedAt=1770076404980" TargetMode="External"/><Relationship Id="rId1853" Type="http://schemas.openxmlformats.org/officeDocument/2006/relationships/hyperlink" Target="https://ik.imagekit.io/alaaalaa6171/032%205t%20Hammer%20-%20Usopp%20-%20Medal%20_Pound_%20-%20Piece%20_Colored_.png?updatedAt=1770076405421" TargetMode="External"/><Relationship Id="rId1854" Type="http://schemas.openxmlformats.org/officeDocument/2006/relationships/hyperlink" Target="https://i.postimg.cc/zBpHmGJW/img-icon-medal-310110032.png" TargetMode="External"/><Relationship Id="rId1855" Type="http://schemas.openxmlformats.org/officeDocument/2006/relationships/hyperlink" Target="https://ik.imagekit.io/alaaalaa6171/031%20Climate%20Baton%20-%20Nami%20-%20Medal%20_Climate%20Baton_.png?updatedAt=1770076405440" TargetMode="External"/><Relationship Id="rId1856" Type="http://schemas.openxmlformats.org/officeDocument/2006/relationships/hyperlink" Target="https://ik.imagekit.io/alaaalaa6171/031%20Climate%20Baton%20-%20Nami%20-%20Medal%20_Climate%20Baton_%20_Colored_.png?updatedAt=1770076405605" TargetMode="External"/><Relationship Id="rId1857" Type="http://schemas.openxmlformats.org/officeDocument/2006/relationships/hyperlink" Target="https://ik.imagekit.io/alaaalaa6171/031%20Climate%20Baton%20-%20Nami%20-%20Medal%20_Climate%20Baton_%20-%20Piece.png?updatedAt=1770076405277" TargetMode="External"/><Relationship Id="rId1858" Type="http://schemas.openxmlformats.org/officeDocument/2006/relationships/hyperlink" Target="https://ik.imagekit.io/alaaalaa6171/031%20Climate%20Baton%20-%20Nami%20-%20Medal%20_Climate%20Baton_%20-%20Piece%20_Colored_.png?updatedAt=1770076405392" TargetMode="External"/><Relationship Id="rId1859" Type="http://schemas.openxmlformats.org/officeDocument/2006/relationships/hyperlink" Target="https://i.postimg.cc/DZ54Vw2Q/img-icon-medal-310110034.png" TargetMode="External"/><Relationship Id="rId1850" Type="http://schemas.openxmlformats.org/officeDocument/2006/relationships/hyperlink" Target="https://ik.imagekit.io/alaaalaa6171/032%205t%20Hammer%20-%20Usopp%20-%20Medal%20_Pound_.png?updatedAt=1770076405165" TargetMode="External"/><Relationship Id="rId1840" Type="http://schemas.openxmlformats.org/officeDocument/2006/relationships/hyperlink" Target="https://ik.imagekit.io/alaaalaa6171/034%20Obe-Sword%20Style%20Iai%20Lion%20Song%20-%20Roronoa%20Zoro%20-%20Medal%20_Lion%20Song_.png?updatedAt=1770076405225" TargetMode="External"/><Relationship Id="rId1841" Type="http://schemas.openxmlformats.org/officeDocument/2006/relationships/hyperlink" Target="https://ik.imagekit.io/alaaalaa6171/034%20Obe-Sword%20Style%20Iai%20Lion%20Song%20-%20Roronoa%20Zoro%20-%20Medal%20_Lion%20Song_%20_Colored_.png?updatedAt=1770076405279" TargetMode="External"/><Relationship Id="rId1842" Type="http://schemas.openxmlformats.org/officeDocument/2006/relationships/hyperlink" Target="https://ik.imagekit.io/alaaalaa6171/034%20Obe-Sword%20Style%20Iai%20Lion%20Song%20-%20Roronoa%20Zoro%20-%20Medal%20_Lion%20Song_%20-%20Piece.png?updatedAt=1770076405073" TargetMode="External"/><Relationship Id="rId1843" Type="http://schemas.openxmlformats.org/officeDocument/2006/relationships/hyperlink" Target="https://ik.imagekit.io/alaaalaa6171/034%20Obe-Sword%20Style%20Iai%20Lion%20Song%20-%20Roronoa%20Zoro%20-%20Medal%20_Lion%20Song_%20-%20Piece%20_Colored_.png?updatedAt=1770076405020" TargetMode="External"/><Relationship Id="rId1844" Type="http://schemas.openxmlformats.org/officeDocument/2006/relationships/hyperlink" Target="https://i.postimg.cc/5y0YfW0z/img-icon-medal-310110039.png" TargetMode="External"/><Relationship Id="rId1845" Type="http://schemas.openxmlformats.org/officeDocument/2006/relationships/hyperlink" Target="https://ik.imagekit.io/alaaalaa6171/033%20Veau%20Vengeance%20-%20Sanji%20-%20Medal%20_Veau_.png?updatedAt=1770076405503" TargetMode="External"/><Relationship Id="rId1846" Type="http://schemas.openxmlformats.org/officeDocument/2006/relationships/hyperlink" Target="https://ik.imagekit.io/alaaalaa6171/033%20Veau%20Vengeance%20-%20Sanji%20-%20Medal%20_Veau_%20_Colored_.png?updatedAt=1770076405372" TargetMode="External"/><Relationship Id="rId1847" Type="http://schemas.openxmlformats.org/officeDocument/2006/relationships/hyperlink" Target="https://ik.imagekit.io/alaaalaa6171/033%20Veau%20Vengeance%20-%20Sanji%20-%20Medal%20_Veau_%20-%20Piece.png?updatedAt=1770076405041" TargetMode="External"/><Relationship Id="rId1848" Type="http://schemas.openxmlformats.org/officeDocument/2006/relationships/hyperlink" Target="https://ik.imagekit.io/alaaalaa6171/033%20Veau%20Vengeance%20-%20Sanji%20-%20Medal%20_Veau_%20-%20Piece%20_Colored_.png?updatedAt=1770076405556" TargetMode="External"/><Relationship Id="rId1849" Type="http://schemas.openxmlformats.org/officeDocument/2006/relationships/hyperlink" Target="https://i.postimg.cc/qqRhpHRy/img-icon-medal-310110041.png" TargetMode="External"/><Relationship Id="rId1873" Type="http://schemas.openxmlformats.org/officeDocument/2006/relationships/hyperlink" Target="https://ik.imagekit.io/alaaalaa6171/028%20Navy%20HQ_Master%20Chief%20Petty%20Officer%20-%20Tashigi%20-%20Medal%20_Ms.%20Wednesday_%20-%20Piece%20_Colored_.png?updatedAt=1770076405035" TargetMode="External"/><Relationship Id="rId1874" Type="http://schemas.openxmlformats.org/officeDocument/2006/relationships/hyperlink" Target="https://i.postimg.cc/hjKQ3dqv/img-icon-medal-310110017.png" TargetMode="External"/><Relationship Id="rId1875" Type="http://schemas.openxmlformats.org/officeDocument/2006/relationships/hyperlink" Target="https://ik.imagekit.io/alaaalaa6171/027%20Arlong%20Pirates_Officer%20-%20Choo%20-%20Medal%20_Kuroobi_.png?updatedAt=1770076405325" TargetMode="External"/><Relationship Id="rId1876" Type="http://schemas.openxmlformats.org/officeDocument/2006/relationships/hyperlink" Target="https://ik.imagekit.io/alaaalaa6171/027%20Arlong%20Pirates_Officer%20-%20Choo%20-%20Medal%20_Kuroobi_%20_Colored_.png?updatedAt=1770076405269" TargetMode="External"/><Relationship Id="rId1877" Type="http://schemas.openxmlformats.org/officeDocument/2006/relationships/hyperlink" Target="https://ik.imagekit.io/alaaalaa6171/027%20Arlong%20Pirates_Officer%20-%20Choo%20-%20Medal%20_Kuroobi_%20-%20Piece.png?updatedAt=1770076404986" TargetMode="External"/><Relationship Id="rId1878" Type="http://schemas.openxmlformats.org/officeDocument/2006/relationships/hyperlink" Target="https://ik.imagekit.io/alaaalaa6171/027%20Arlong%20Pirates_Officer%20-%20Choo%20-%20Medal%20_Kuroobi_%20-%20Piece%20_Colored_.png?updatedAt=1770076405574" TargetMode="External"/><Relationship Id="rId1879" Type="http://schemas.openxmlformats.org/officeDocument/2006/relationships/hyperlink" Target="https://i.postimg.cc/xCgNr10Y/img-icon-medal-310110019.png" TargetMode="External"/><Relationship Id="rId1870" Type="http://schemas.openxmlformats.org/officeDocument/2006/relationships/hyperlink" Target="https://ik.imagekit.io/alaaalaa6171/028%20Navy%20HQ_Master%20Chief%20Petty%20Officer%20-%20Tashigi%20-%20Medal%20_Ms.%20Wednesday_.png?updatedAt=1770076405186" TargetMode="External"/><Relationship Id="rId1871" Type="http://schemas.openxmlformats.org/officeDocument/2006/relationships/hyperlink" Target="https://ik.imagekit.io/alaaalaa6171/028%20Navy%20HQ_Master%20Chief%20Petty%20Officer%20-%20Tashigi%20-%20Medal%20_Ms.%20Wednesday_%20_Colored_.png?updatedAt=1770076405318" TargetMode="External"/><Relationship Id="rId1872" Type="http://schemas.openxmlformats.org/officeDocument/2006/relationships/hyperlink" Target="https://ik.imagekit.io/alaaalaa6171/028%20Navy%20HQ_Master%20Chief%20Petty%20Officer%20-%20Tashigi%20-%20Medal%20_Ms.%20Wednesday_%20-%20Piece.png?updatedAt=1770076404982" TargetMode="External"/><Relationship Id="rId1862" Type="http://schemas.openxmlformats.org/officeDocument/2006/relationships/hyperlink" Target="https://ik.imagekit.io/alaaalaa6171/030%20Baroque%20Works_Frontier%20Agents%20-%20Ms.%20Wednesday%20-%20Medal%20_Slip_Slip_%20-%20Piece.png?updatedAt=1770076404982" TargetMode="External"/><Relationship Id="rId1863" Type="http://schemas.openxmlformats.org/officeDocument/2006/relationships/hyperlink" Target="https://ik.imagekit.io/alaaalaa6171/030%20Baroque%20Works_Frontier%20Agents%20-%20Ms.%20Wednesday%20-%20Medal%20_Slip_Slip_%20-%20Piece%20_Colored_.png?updatedAt=1770076405335" TargetMode="External"/><Relationship Id="rId1864" Type="http://schemas.openxmlformats.org/officeDocument/2006/relationships/hyperlink" Target="https://i.postimg.cc/j5vnVSsh/img-icon-medal-310110035.png" TargetMode="External"/><Relationship Id="rId1865" Type="http://schemas.openxmlformats.org/officeDocument/2006/relationships/hyperlink" Target="https://ik.imagekit.io/alaaalaa6171/029%20Slip-Slip%20Fruit%20-%20Alvida%20-%20Medal%20_Tashigi_.png?updatedAt=1770076405401" TargetMode="External"/><Relationship Id="rId1866" Type="http://schemas.openxmlformats.org/officeDocument/2006/relationships/hyperlink" Target="https://ik.imagekit.io/alaaalaa6171/029%20Slip-Slip%20Fruit%20-%20Alvida%20-%20Medal%20_Tashigi_%20_Colored_.png?updatedAt=1770076405256" TargetMode="External"/><Relationship Id="rId1867" Type="http://schemas.openxmlformats.org/officeDocument/2006/relationships/hyperlink" Target="https://ik.imagekit.io/alaaalaa6171/029%20Slip-Slip%20Fruit%20-%20Alvida%20-%20Medal%20_Tashigi_%20-%20Piece.png?updatedAt=1770076404985" TargetMode="External"/><Relationship Id="rId1868" Type="http://schemas.openxmlformats.org/officeDocument/2006/relationships/hyperlink" Target="https://ik.imagekit.io/alaaalaa6171/029%20Slip-Slip%20Fruit%20-%20Alvida%20-%20Medal%20_Tashigi_%20-%20Piece%20_Colored_.png?updatedAt=1770076405082" TargetMode="External"/><Relationship Id="rId1869" Type="http://schemas.openxmlformats.org/officeDocument/2006/relationships/hyperlink" Target="https://i.postimg.cc/qRp6Z3dB/img-icon-medal-310110014.png" TargetMode="External"/><Relationship Id="rId1860" Type="http://schemas.openxmlformats.org/officeDocument/2006/relationships/hyperlink" Target="https://ik.imagekit.io/alaaalaa6171/030%20Baroque%20Works_Frontier%20Agents%20-%20Ms.%20Wednesday%20-%20Medal%20_Slip_Slip_.png?updatedAt=1770076405258" TargetMode="External"/><Relationship Id="rId1861" Type="http://schemas.openxmlformats.org/officeDocument/2006/relationships/hyperlink" Target="https://ik.imagekit.io/alaaalaa6171/030%20Baroque%20Works_Frontier%20Agents%20-%20Ms.%20Wednesday%20-%20Medal%20_Slip_Slip_%20_Colored_.png?updatedAt=1770076405238" TargetMode="External"/><Relationship Id="rId1810" Type="http://schemas.openxmlformats.org/officeDocument/2006/relationships/hyperlink" Target="https://i.postimg.cc/xCgNr10N/img-icon-medal-310110030.png" TargetMode="External"/><Relationship Id="rId1811" Type="http://schemas.openxmlformats.org/officeDocument/2006/relationships/hyperlink" Target="https://ik.imagekit.io/alaaalaa6171/039%20Arlong%20Pirates_Captain%20-%20Arlong%20-%20Medal%20_Saw_.png?updatedAt=1770076410323" TargetMode="External"/><Relationship Id="rId1812" Type="http://schemas.openxmlformats.org/officeDocument/2006/relationships/hyperlink" Target="https://ik.imagekit.io/alaaalaa6171/039%20Arlong%20Pirates_Captain%20-%20Arlong%20-%20Medal%20_Saw_%20_Colored_.png?updatedAt=1770076410322" TargetMode="External"/><Relationship Id="rId1813" Type="http://schemas.openxmlformats.org/officeDocument/2006/relationships/hyperlink" Target="https://ik.imagekit.io/alaaalaa6171/039%20Arlong%20Pirates_Captain%20-%20Arlong%20-%20Medal%20_Saw_%20-%20Piece.png?updatedAt=1770076410295" TargetMode="External"/><Relationship Id="rId1814" Type="http://schemas.openxmlformats.org/officeDocument/2006/relationships/hyperlink" Target="https://ik.imagekit.io/alaaalaa6171/039%20Arlong%20Pirates_Captain%20-%20Arlong%20-%20Medal%20_Saw_%20-%20Piece%20_Colored_.png?updatedAt=1770076410299" TargetMode="External"/><Relationship Id="rId1815" Type="http://schemas.openxmlformats.org/officeDocument/2006/relationships/hyperlink" Target="https://i.postimg.cc/zfvRz2wx/004.png" TargetMode="External"/><Relationship Id="rId1816" Type="http://schemas.openxmlformats.org/officeDocument/2006/relationships/hyperlink" Target="https://i.postimg.cc/nzT98hHX/img-icon-medal-310110029.png" TargetMode="External"/><Relationship Id="rId1817" Type="http://schemas.openxmlformats.org/officeDocument/2006/relationships/hyperlink" Target="https://ik.imagekit.io/alaaalaa6171/038%20The%20Seven%20Warlords%20of%20the%20Sea%20-%20Dracule%20Mihawk%20-%20Medal%20_Hawk_Eye_.png?updatedAt=1770076410303" TargetMode="External"/><Relationship Id="rId1818" Type="http://schemas.openxmlformats.org/officeDocument/2006/relationships/hyperlink" Target="https://ik.imagekit.io/alaaalaa6171/038%20The%20Seven%20Warlords%20of%20the%20Sea%20-%20Dracule%20Mihawk%20-%20Medal%20_Hawk_Eye_%20_Colored_.png?updatedAt=1770076410308" TargetMode="External"/><Relationship Id="rId1819" Type="http://schemas.openxmlformats.org/officeDocument/2006/relationships/hyperlink" Target="https://ik.imagekit.io/alaaalaa6171/038%20The%20Seven%20Warlords%20of%20the%20Sea%20-%20Dracule%20Mihawk%20-%20Medal%20_Hawk_Eye_%20-%20Piece.png?updatedAt=1770076410210" TargetMode="External"/><Relationship Id="rId1800" Type="http://schemas.openxmlformats.org/officeDocument/2006/relationships/hyperlink" Target="https://ik.imagekit.io/alaaalaa6171/041%20Navy%20HQ_Captain%20-%20Smoker%20-%20Medal%20_Smoker_%20_Colored_.png?updatedAt=1770076410481" TargetMode="External"/><Relationship Id="rId1801" Type="http://schemas.openxmlformats.org/officeDocument/2006/relationships/hyperlink" Target="https://ik.imagekit.io/alaaalaa6171/041%20Navy%20HQ_Captain%20-%20Smoker%20-%20Medal%20_Smoker_%20-%20Piece.png?updatedAt=1770076410464" TargetMode="External"/><Relationship Id="rId1802" Type="http://schemas.openxmlformats.org/officeDocument/2006/relationships/hyperlink" Target="https://ik.imagekit.io/alaaalaa6171/041%20Navy%20HQ_Captain%20-%20Smoker%20-%20Medal%20_Smoker_%20-%20Piece%20_Colored_.png?updatedAt=1770076410464" TargetMode="External"/><Relationship Id="rId1803" Type="http://schemas.openxmlformats.org/officeDocument/2006/relationships/hyperlink" Target="https://i.postimg.cc/0y8w3yzR/006.png" TargetMode="External"/><Relationship Id="rId1804" Type="http://schemas.openxmlformats.org/officeDocument/2006/relationships/hyperlink" Target="https://i.postimg.cc/85wf8z1s/img-icon-medal-310110027.png" TargetMode="External"/><Relationship Id="rId1805" Type="http://schemas.openxmlformats.org/officeDocument/2006/relationships/hyperlink" Target="https://ik.imagekit.io/alaaalaa6171/040%2030%20Million%20Berry%20Bounty%20-%20Monkey%20D.%20Luffy%20-%20Medal%20_Battle_Ax_.png?updatedAt=1770076410397" TargetMode="External"/><Relationship Id="rId1806" Type="http://schemas.openxmlformats.org/officeDocument/2006/relationships/hyperlink" Target="https://ik.imagekit.io/alaaalaa6171/040%2030%20Million%20Berry%20Bounty%20-%20Monkey%20D.%20Luffy%20-%20Medal%20_Battle_Ax_%20_Colored_.png?updatedAt=1770076410433" TargetMode="External"/><Relationship Id="rId1807" Type="http://schemas.openxmlformats.org/officeDocument/2006/relationships/hyperlink" Target="https://ik.imagekit.io/alaaalaa6171/040%2030%20Million%20Berry%20Bounty%20-%20Monkey%20D.%20Luffy%20-%20Medal%20_Battle_Ax_%20-%20Piece.png?updatedAt=1770076410355" TargetMode="External"/><Relationship Id="rId1808" Type="http://schemas.openxmlformats.org/officeDocument/2006/relationships/hyperlink" Target="https://ik.imagekit.io/alaaalaa6171/040%2030%20Million%20Berry%20Bounty%20-%20Monkey%20D.%20Luffy%20-%20Medal%20_Battle_Ax_%20-%20Piece%20_Colored_.png?updatedAt=1770076410338" TargetMode="External"/><Relationship Id="rId1809" Type="http://schemas.openxmlformats.org/officeDocument/2006/relationships/hyperlink" Target="https://i.postimg.cc/SxDMpb9X/005.png" TargetMode="External"/><Relationship Id="rId1830" Type="http://schemas.openxmlformats.org/officeDocument/2006/relationships/hyperlink" Target="https://ik.imagekit.io/alaaalaa6171/036%20Red-Haired%20Pirates_Sharp%20Shooter%20-%20Yasopp%20-%20Medal%20_Yasopp_%20_Colored_.png?updatedAt=1770076407171" TargetMode="External"/><Relationship Id="rId1831" Type="http://schemas.openxmlformats.org/officeDocument/2006/relationships/hyperlink" Target="https://ik.imagekit.io/alaaalaa6171/036%20Red-Haired%20Pirates_Sharp%20Shooter%20-%20Yasopp%20-%20Medal%20_Yasopp_%20-%20Piece.png?updatedAt=1770076407123" TargetMode="External"/><Relationship Id="rId1832" Type="http://schemas.openxmlformats.org/officeDocument/2006/relationships/hyperlink" Target="https://ik.imagekit.io/alaaalaa6171/036%20Red-Haired%20Pirates_Sharp%20Shooter%20-%20Yasopp%20-%20Medal%20_Yasopp_%20-%20Piece%20_Colored_.png?updatedAt=1770076406986" TargetMode="External"/><Relationship Id="rId1833" Type="http://schemas.openxmlformats.org/officeDocument/2006/relationships/hyperlink" Target="https://i.postimg.cc/prb9B2wS/001.png" TargetMode="External"/><Relationship Id="rId1834" Type="http://schemas.openxmlformats.org/officeDocument/2006/relationships/hyperlink" Target="https://i.postimg.cc/C51Bwp1b/img-icon-medal-310110042.png" TargetMode="External"/><Relationship Id="rId1835" Type="http://schemas.openxmlformats.org/officeDocument/2006/relationships/hyperlink" Target="https://ik.imagekit.io/alaaalaa6171/035%20Red-Haired%20Pirates_Captain%20-%20Shanks%20-%20Medal%20_Shanks_.png?updatedAt=1770076406868" TargetMode="External"/><Relationship Id="rId1836" Type="http://schemas.openxmlformats.org/officeDocument/2006/relationships/hyperlink" Target="https://ik.imagekit.io/alaaalaa6171/035%20Red-Haired%20Pirates_Captain%20-%20Shanks%20-%20Medal%20_Shanks_%20_Colored_.png?updatedAt=1770076406622" TargetMode="External"/><Relationship Id="rId1837" Type="http://schemas.openxmlformats.org/officeDocument/2006/relationships/hyperlink" Target="https://ik.imagekit.io/alaaalaa6171/035%20Red-Haired%20Pirates_Captain%20-%20Shanks%20-%20Medal%20_Shanks_%20-%20Piece.png?updatedAt=1770076405151" TargetMode="External"/><Relationship Id="rId1838" Type="http://schemas.openxmlformats.org/officeDocument/2006/relationships/hyperlink" Target="https://ik.imagekit.io/alaaalaa6171/035%20Red-Haired%20Pirates_Captain%20-%20Shanks%20-%20Medal%20_Shanks_%20-%20Piece%20_Colored_.png?updatedAt=1770076405203" TargetMode="External"/><Relationship Id="rId1839" Type="http://schemas.openxmlformats.org/officeDocument/2006/relationships/hyperlink" Target="https://i.postimg.cc/RhF6vxFf/img-icon-medal-310110040.png" TargetMode="External"/><Relationship Id="rId1820" Type="http://schemas.openxmlformats.org/officeDocument/2006/relationships/hyperlink" Target="https://ik.imagekit.io/alaaalaa6171/038%20The%20Seven%20Warlords%20of%20the%20Sea%20-%20Dracule%20Mihawk%20-%20Medal%20_Hawk_Eye_%20-%20Piece%20_Colored_.png?updatedAt=1770076409027" TargetMode="External"/><Relationship Id="rId1821" Type="http://schemas.openxmlformats.org/officeDocument/2006/relationships/hyperlink" Target="https://i.postimg.cc/Pq7vPb2T/003.png" TargetMode="External"/><Relationship Id="rId1822" Type="http://schemas.openxmlformats.org/officeDocument/2006/relationships/hyperlink" Target="https://i.postimg.cc/j5vnVSs5/img-icon-medal-310110025.png" TargetMode="External"/><Relationship Id="rId1823" Type="http://schemas.openxmlformats.org/officeDocument/2006/relationships/hyperlink" Target="https://ik.imagekit.io/alaaalaa6171/037%20Girl%20from%20Syrub%20Village%20-%20Kaya%20-%20Medal%20_Kaya_.png?updatedAt=1770076408491" TargetMode="External"/><Relationship Id="rId1824" Type="http://schemas.openxmlformats.org/officeDocument/2006/relationships/hyperlink" Target="https://ik.imagekit.io/alaaalaa6171/037%20Girl%20from%20Syrub%20Village%20-%20Kaya%20-%20Medal%20_Kaya_%20_Colored_.png?updatedAt=1770076408255" TargetMode="External"/><Relationship Id="rId1825" Type="http://schemas.openxmlformats.org/officeDocument/2006/relationships/hyperlink" Target="https://ik.imagekit.io/alaaalaa6171/037%20Girl%20from%20Syrub%20Village%20-%20Kaya%20-%20Medal%20_Kaya_%20-%20Piece.png?updatedAt=1770076407685" TargetMode="External"/><Relationship Id="rId1826" Type="http://schemas.openxmlformats.org/officeDocument/2006/relationships/hyperlink" Target="https://ik.imagekit.io/alaaalaa6171/037%20Girl%20from%20Syrub%20Village%20-%20Kaya%20-%20Medal%20_Kaya_%20-%20Piece%20_Colored_.png?updatedAt=1770076407474" TargetMode="External"/><Relationship Id="rId1827" Type="http://schemas.openxmlformats.org/officeDocument/2006/relationships/hyperlink" Target="https://i.postimg.cc/tTVZP1MP/002.png" TargetMode="External"/><Relationship Id="rId1828" Type="http://schemas.openxmlformats.org/officeDocument/2006/relationships/hyperlink" Target="https://i.postimg.cc/9M1w3QWr/img-icon-medal-310110028.png" TargetMode="External"/><Relationship Id="rId1829" Type="http://schemas.openxmlformats.org/officeDocument/2006/relationships/hyperlink" Target="https://ik.imagekit.io/alaaalaa6171/036%20Red-Haired%20Pirates_Sharp%20Shooter%20-%20Yasopp%20-%20Medal%20_Yasopp_.png?updatedAt=1770076407212" TargetMode="External"/><Relationship Id="rId1455" Type="http://schemas.openxmlformats.org/officeDocument/2006/relationships/hyperlink" Target="https://i.postimg.cc/DzkdMgdm/064.png" TargetMode="External"/><Relationship Id="rId1456" Type="http://schemas.openxmlformats.org/officeDocument/2006/relationships/hyperlink" Target="https://i.postimg.cc/kM1RfG1L/img-icon-medal-310110098.png" TargetMode="External"/><Relationship Id="rId1457" Type="http://schemas.openxmlformats.org/officeDocument/2006/relationships/hyperlink" Target="https://ik.imagekit.io/alaaalaa6171/098%20Happy%20Holiday%20-%20Nico%20Robin%20-%20Medal%20_Cuerpo%20Fleurs_.png?updatedAt=1770076420870" TargetMode="External"/><Relationship Id="rId1458" Type="http://schemas.openxmlformats.org/officeDocument/2006/relationships/hyperlink" Target="https://ik.imagekit.io/alaaalaa6171/098%20Happy%20Holiday%20-%20Nico%20Robin%20-%20Medal%20_Cuerpo%20Fleurs_%20_Colored_.png?updatedAt=1770076420865" TargetMode="External"/><Relationship Id="rId1459" Type="http://schemas.openxmlformats.org/officeDocument/2006/relationships/hyperlink" Target="https://ik.imagekit.io/alaaalaa6171/098%20Happy%20Holiday%20-%20Nico%20Robin%20-%20Medal%20_Cuerpo%20Fleurs_%20-%20Piece.png?updatedAt=1770076420874" TargetMode="External"/><Relationship Id="rId629" Type="http://schemas.openxmlformats.org/officeDocument/2006/relationships/hyperlink" Target="https://ik.imagekit.io/alaaalaa6171/236%20Raid%20on%20Onigashima%20-%20Jinbe%20-%20Medal%20_Raid%20Jinbe_.png?updatedAt=1770076447748" TargetMode="External"/><Relationship Id="rId624" Type="http://schemas.openxmlformats.org/officeDocument/2006/relationships/hyperlink" Target="https://ik.imagekit.io/alaaalaa6171/237%20Animal%20Kingdom%20Pirates_Tobi%20Roppo%20-%20Who%60s-Who%20-%20Medal%20_Who%60s_Who_%20_Colored_.png?updatedAt=1770076447690" TargetMode="External"/><Relationship Id="rId623" Type="http://schemas.openxmlformats.org/officeDocument/2006/relationships/hyperlink" Target="https://ik.imagekit.io/alaaalaa6171/237%20Animal%20Kingdom%20Pirates_Tobi%20Roppo%20-%20Who%60s-Who%20-%20Medal%20_Who%60s_Who_.png?updatedAt=1770076447726" TargetMode="External"/><Relationship Id="rId622" Type="http://schemas.openxmlformats.org/officeDocument/2006/relationships/hyperlink" Target="https://i.postimg.cc/0Q5rC17h/img-icon-medal-310110239.png" TargetMode="External"/><Relationship Id="rId621" Type="http://schemas.openxmlformats.org/officeDocument/2006/relationships/hyperlink" Target="https://i.postimg.cc/ncGDdr2L/203.png" TargetMode="External"/><Relationship Id="rId628" Type="http://schemas.openxmlformats.org/officeDocument/2006/relationships/hyperlink" Target="https://i.postimg.cc/MTZXYJ14/img-icon-medal-310110237.png" TargetMode="External"/><Relationship Id="rId627" Type="http://schemas.openxmlformats.org/officeDocument/2006/relationships/hyperlink" Target="https://i.postimg.cc/gkWhq8v5/202.png" TargetMode="External"/><Relationship Id="rId626" Type="http://schemas.openxmlformats.org/officeDocument/2006/relationships/hyperlink" Target="https://ik.imagekit.io/alaaalaa6171/237%20Animal%20Kingdom%20Pirates_Tobi%20Roppo%20-%20Who%60s-Who%20-%20Medal%20_Who%60s_Who_%20-%20Piece%20_Colored_.png?updatedAt=1770076447665" TargetMode="External"/><Relationship Id="rId625" Type="http://schemas.openxmlformats.org/officeDocument/2006/relationships/hyperlink" Target="https://ik.imagekit.io/alaaalaa6171/237%20Animal%20Kingdom%20Pirates_Tobi%20Roppo%20-%20Who%60s-Who%20-%20Medal%20_Who%60s_Who_%20-%20Piece.png?updatedAt=1770076447708" TargetMode="External"/><Relationship Id="rId1450" Type="http://schemas.openxmlformats.org/officeDocument/2006/relationships/hyperlink" Target="https://i.postimg.cc/bYCS3rVc/img-icon-medal-310110099.png" TargetMode="External"/><Relationship Id="rId620" Type="http://schemas.openxmlformats.org/officeDocument/2006/relationships/hyperlink" Target="https://ik.imagekit.io/alaaalaa6171/238%20First%20Act%20as%20a%20Married%20Couple%20-%20Charlotte%20Pudding%20-%20Medal%20_Mrs.%20Pudding_%20-%20Piece%20_Colored_.png?updatedAt=1770076447748" TargetMode="External"/><Relationship Id="rId1451" Type="http://schemas.openxmlformats.org/officeDocument/2006/relationships/hyperlink" Target="https://ik.imagekit.io/alaaalaa6171/099%20Animal%20Kingdom%20Pirates_Supreme%20Commander%20-%20Kaido%20-%20Medal%20_Kaido_.png?updatedAt=1770076420915" TargetMode="External"/><Relationship Id="rId1452" Type="http://schemas.openxmlformats.org/officeDocument/2006/relationships/hyperlink" Target="https://ik.imagekit.io/alaaalaa6171/099%20Animal%20Kingdom%20Pirates_Supreme%20Commander%20-%20Kaido%20-%20Medal%20_Kaido_%20_Colored_.png?updatedAt=1770076420927" TargetMode="External"/><Relationship Id="rId1453" Type="http://schemas.openxmlformats.org/officeDocument/2006/relationships/hyperlink" Target="https://ik.imagekit.io/alaaalaa6171/099%20Animal%20Kingdom%20Pirates_Supreme%20Commander%20-%20Kaido%20-%20Medal%20_Kaido_%20-%20Piece.png?updatedAt=1770076420923" TargetMode="External"/><Relationship Id="rId1454" Type="http://schemas.openxmlformats.org/officeDocument/2006/relationships/hyperlink" Target="https://ik.imagekit.io/alaaalaa6171/099%20Animal%20Kingdom%20Pirates_Supreme%20Commander%20-%20Kaido%20-%20Medal%20_Kaido_%20-%20Piece%20_Colored_.png?updatedAt=1770076420921" TargetMode="External"/><Relationship Id="rId1444" Type="http://schemas.openxmlformats.org/officeDocument/2006/relationships/hyperlink" Target="https://i.postimg.cc/y6Q3vxpC/img-icon-medal-310110100.png" TargetMode="External"/><Relationship Id="rId1445" Type="http://schemas.openxmlformats.org/officeDocument/2006/relationships/hyperlink" Target="https://ik.imagekit.io/alaaalaa6171/100%20Son%20of%20the%20King%20of%20the%20Pirates%20-%20Portgaz%20D.%20Ace%20-%20Medal%20_Flame%20Emperor_.png?updatedAt=1770076421045" TargetMode="External"/><Relationship Id="rId1446" Type="http://schemas.openxmlformats.org/officeDocument/2006/relationships/hyperlink" Target="https://ik.imagekit.io/alaaalaa6171/100%20Son%20of%20the%20King%20of%20the%20Pirates%20-%20Portgaz%20D.%20Ace%20-%20Medal%20_Flame%20Emperor_%20_Colored_.png?updatedAt=1770076420944" TargetMode="External"/><Relationship Id="rId1447" Type="http://schemas.openxmlformats.org/officeDocument/2006/relationships/hyperlink" Target="https://ik.imagekit.io/alaaalaa6171/100%20Son%20of%20the%20King%20of%20the%20Pirates%20-%20Portgaz%20D.%20Ace%20-%20Medal%20_Flame%20Emperor_%20-%20Piece.png?updatedAt=1770076420909" TargetMode="External"/><Relationship Id="rId1448" Type="http://schemas.openxmlformats.org/officeDocument/2006/relationships/hyperlink" Target="https://ik.imagekit.io/alaaalaa6171/100%20Son%20of%20the%20King%20of%20the%20Pirates%20-%20Portgaz%20D.%20Ace%20-%20Medal%20_Flame%20Emperor_%20-%20Piece%20_Colored_.png?updatedAt=1770076420888" TargetMode="External"/><Relationship Id="rId1449" Type="http://schemas.openxmlformats.org/officeDocument/2006/relationships/hyperlink" Target="https://i.postimg.cc/VkbWgTt3/065.png" TargetMode="External"/><Relationship Id="rId619" Type="http://schemas.openxmlformats.org/officeDocument/2006/relationships/hyperlink" Target="https://ik.imagekit.io/alaaalaa6171/238%20First%20Act%20as%20a%20Married%20Couple%20-%20Charlotte%20Pudding%20-%20Medal%20_Mrs.%20Pudding_%20-%20Piece.png?updatedAt=1770076447769" TargetMode="External"/><Relationship Id="rId618" Type="http://schemas.openxmlformats.org/officeDocument/2006/relationships/hyperlink" Target="https://ik.imagekit.io/alaaalaa6171/238%20First%20Act%20as%20a%20Married%20Couple%20-%20Charlotte%20Pudding%20-%20Medal%20_Mrs.%20Pudding_%20_Colored_.png?updatedAt=1770076447763" TargetMode="External"/><Relationship Id="rId613" Type="http://schemas.openxmlformats.org/officeDocument/2006/relationships/hyperlink" Target="https://ik.imagekit.io/alaaalaa6171/239%20Big%20Mom%20Pirates_'Sweet%203'%20General%20-%20Charlotte%20Cracker%20-%20Medal%20_Cracker_%20-%20Piece.png?updatedAt=1770076447703" TargetMode="External"/><Relationship Id="rId612" Type="http://schemas.openxmlformats.org/officeDocument/2006/relationships/hyperlink" Target="https://ik.imagekit.io/alaaalaa6171/239%20Big%20Mom%20Pirates_'Sweet%203'%20General%20-%20Charlotte%20Cracker%20-%20Medal%20_Cracker_%20_Colored_.png?updatedAt=1770076447784" TargetMode="External"/><Relationship Id="rId611" Type="http://schemas.openxmlformats.org/officeDocument/2006/relationships/hyperlink" Target="https://ik.imagekit.io/alaaalaa6171/239%20Big%20Mom%20Pirates_'Sweet%203'%20General%20-%20Charlotte%20Cracker%20-%20Medal%20_Cracker_.png?updatedAt=1770076447770" TargetMode="External"/><Relationship Id="rId610" Type="http://schemas.openxmlformats.org/officeDocument/2006/relationships/hyperlink" Target="https://i.postimg.cc/0Q5rC17T/img-icon-medal-310110240.png" TargetMode="External"/><Relationship Id="rId617" Type="http://schemas.openxmlformats.org/officeDocument/2006/relationships/hyperlink" Target="https://ik.imagekit.io/alaaalaa6171/238%20First%20Act%20as%20a%20Married%20Couple%20-%20Charlotte%20Pudding%20-%20Medal%20_Mrs.%20Pudding_.png?updatedAt=1770076447819" TargetMode="External"/><Relationship Id="rId616" Type="http://schemas.openxmlformats.org/officeDocument/2006/relationships/hyperlink" Target="https://i.postimg.cc/Y92jxB1K/img-icon-medal-310110238.png" TargetMode="External"/><Relationship Id="rId615" Type="http://schemas.openxmlformats.org/officeDocument/2006/relationships/hyperlink" Target="https://i.postimg.cc/wB7RTVpt/204.png" TargetMode="External"/><Relationship Id="rId614" Type="http://schemas.openxmlformats.org/officeDocument/2006/relationships/hyperlink" Target="https://ik.imagekit.io/alaaalaa6171/239%20Big%20Mom%20Pirates_'Sweet%203'%20General%20-%20Charlotte%20Cracker%20-%20Medal%20_Cracker_%20-%20Piece%20_Colored_.png?updatedAt=1770076447703" TargetMode="External"/><Relationship Id="rId1440" Type="http://schemas.openxmlformats.org/officeDocument/2006/relationships/hyperlink" Target="https://ik.imagekit.io/alaaalaa6171/101%20Whitebeard%20Pirates_1st%20Division%20Commander%20-%20Marco%20-%20Medal%20_Marco_%20_Colored_.png?updatedAt=1770076420989" TargetMode="External"/><Relationship Id="rId1441" Type="http://schemas.openxmlformats.org/officeDocument/2006/relationships/hyperlink" Target="https://ik.imagekit.io/alaaalaa6171/101%20Whitebeard%20Pirates_1st%20Division%20Commander%20-%20Marco%20-%20Medal%20_Marco_%20-%20Piece.png?updatedAt=1770076420948" TargetMode="External"/><Relationship Id="rId1442" Type="http://schemas.openxmlformats.org/officeDocument/2006/relationships/hyperlink" Target="https://ik.imagekit.io/alaaalaa6171/101%20Whitebeard%20Pirates_1st%20Division%20Commander%20-%20Marco%20-%20Medal%20_Marco_%20-%20Piece%20_Colored_.png?updatedAt=1770076420950" TargetMode="External"/><Relationship Id="rId1443" Type="http://schemas.openxmlformats.org/officeDocument/2006/relationships/hyperlink" Target="https://i.postimg.cc/fTPvxZVc/066.png" TargetMode="External"/><Relationship Id="rId1477" Type="http://schemas.openxmlformats.org/officeDocument/2006/relationships/hyperlink" Target="https://ik.imagekit.io/alaaalaa6171/095%20The%20Seven%20Warlords%20of%20the%20Sea%20-%20Bartholomew%20Kuma%20-%20Medal%20_Kuma_%20-%20Piece.png?updatedAt=1770076420783" TargetMode="External"/><Relationship Id="rId1478" Type="http://schemas.openxmlformats.org/officeDocument/2006/relationships/hyperlink" Target="https://ik.imagekit.io/alaaalaa6171/095%20The%20Seven%20Warlords%20of%20the%20Sea%20-%20Bartholomew%20Kuma%20-%20Medal%20_Kuma_%20-%20Piece%20_Colored_.png?updatedAt=1770076420791" TargetMode="External"/><Relationship Id="rId1479" Type="http://schemas.openxmlformats.org/officeDocument/2006/relationships/hyperlink" Target="https://i.postimg.cc/ZnRrdDZs/060.png" TargetMode="External"/><Relationship Id="rId646" Type="http://schemas.openxmlformats.org/officeDocument/2006/relationships/hyperlink" Target="https://i.postimg.cc/zfFVWGRN/img-icon-medal-310110233.png" TargetMode="External"/><Relationship Id="rId645" Type="http://schemas.openxmlformats.org/officeDocument/2006/relationships/hyperlink" Target="https://i.postimg.cc/mkQHWgG8/199.png" TargetMode="External"/><Relationship Id="rId644" Type="http://schemas.openxmlformats.org/officeDocument/2006/relationships/hyperlink" Target="https://ik.imagekit.io/alaaalaa6171/234%20Battle%20of%20Monsters%20on%20Onigashima%20-%20Kaido%20-%20Medal%20_Conqueror%20of%20Three%20Worlds%20Raganaraku_%20-%20Piece%20_Colored_.png?updatedAt=1770076447628" TargetMode="External"/><Relationship Id="rId643" Type="http://schemas.openxmlformats.org/officeDocument/2006/relationships/hyperlink" Target="https://ik.imagekit.io/alaaalaa6171/234%20Battle%20of%20Monsters%20on%20Onigashima%20-%20Kaido%20-%20Medal%20_Conqueror%20of%20Three%20Worlds%20Raganaraku_%20-%20Piece.png?updatedAt=1770076447670" TargetMode="External"/><Relationship Id="rId649" Type="http://schemas.openxmlformats.org/officeDocument/2006/relationships/hyperlink" Target="https://ik.imagekit.io/alaaalaa6171/233%20Battle%20of%20Monsters%20on%20Onigashima%20-%20Olin%20the%20Oiran%20-%20Medal%20_Olin_%20-%20Piece.png?updatedAt=1770076447687" TargetMode="External"/><Relationship Id="rId648" Type="http://schemas.openxmlformats.org/officeDocument/2006/relationships/hyperlink" Target="https://ik.imagekit.io/alaaalaa6171/233%20Battle%20of%20Monsters%20on%20Onigashima%20-%20Olin%20the%20Oiran%20-%20Medal%20_Olin_%20_Colored_.png?updatedAt=1770076447640" TargetMode="External"/><Relationship Id="rId647" Type="http://schemas.openxmlformats.org/officeDocument/2006/relationships/hyperlink" Target="https://ik.imagekit.io/alaaalaa6171/233%20Battle%20of%20Monsters%20on%20Onigashima%20-%20Olin%20the%20Oiran%20-%20Medal%20_Olin_.png?updatedAt=1770076447697" TargetMode="External"/><Relationship Id="rId1470" Type="http://schemas.openxmlformats.org/officeDocument/2006/relationships/hyperlink" Target="https://ik.imagekit.io/alaaalaa6171/096%20Happy%20Holiday%20-%20Tony%20Tony%20Chopper%20-%20Medal%20_Snow%20Creature_%20_Colored_.png?updatedAt=1770076420860" TargetMode="External"/><Relationship Id="rId1471" Type="http://schemas.openxmlformats.org/officeDocument/2006/relationships/hyperlink" Target="https://ik.imagekit.io/alaaalaa6171/096%20Happy%20Holiday%20-%20Tony%20Tony%20Chopper%20-%20Medal%20_Snow%20Creature_%20-%20Piece.png?updatedAt=1770076420863" TargetMode="External"/><Relationship Id="rId1472" Type="http://schemas.openxmlformats.org/officeDocument/2006/relationships/hyperlink" Target="https://ik.imagekit.io/alaaalaa6171/096%20Happy%20Holiday%20-%20Tony%20Tony%20Chopper%20-%20Medal%20_Snow%20Creature_%20-%20Piece%20_Colored_.png?updatedAt=1770076420868" TargetMode="External"/><Relationship Id="rId642" Type="http://schemas.openxmlformats.org/officeDocument/2006/relationships/hyperlink" Target="https://ik.imagekit.io/alaaalaa6171/234%20Battle%20of%20Monsters%20on%20Onigashima%20-%20Kaido%20-%20Medal%20_Conqueror%20of%20Three%20Worlds%20Raganaraku_%20_Colored_.png?updatedAt=1770076447669" TargetMode="External"/><Relationship Id="rId1473" Type="http://schemas.openxmlformats.org/officeDocument/2006/relationships/hyperlink" Target="https://i.postimg.cc/d1n2DKMT/061.png" TargetMode="External"/><Relationship Id="rId641" Type="http://schemas.openxmlformats.org/officeDocument/2006/relationships/hyperlink" Target="https://ik.imagekit.io/alaaalaa6171/234%20Battle%20of%20Monsters%20on%20Onigashima%20-%20Kaido%20-%20Medal%20_Conqueror%20of%20Three%20Worlds%20Raganaraku_.png?updatedAt=1770076447690" TargetMode="External"/><Relationship Id="rId1474" Type="http://schemas.openxmlformats.org/officeDocument/2006/relationships/hyperlink" Target="https://i.postimg.cc/BZYPMbYy/img-icon-medal-310110095.png" TargetMode="External"/><Relationship Id="rId640" Type="http://schemas.openxmlformats.org/officeDocument/2006/relationships/hyperlink" Target="https://i.postimg.cc/KYDRL8gF/img-icon-medal-310110235.png" TargetMode="External"/><Relationship Id="rId1475" Type="http://schemas.openxmlformats.org/officeDocument/2006/relationships/hyperlink" Target="https://ik.imagekit.io/alaaalaa6171/095%20The%20Seven%20Warlords%20of%20the%20Sea%20-%20Bartholomew%20Kuma%20-%20Medal%20_Kuma_.png?updatedAt=1770076420857" TargetMode="External"/><Relationship Id="rId1476" Type="http://schemas.openxmlformats.org/officeDocument/2006/relationships/hyperlink" Target="https://ik.imagekit.io/alaaalaa6171/095%20The%20Seven%20Warlords%20of%20the%20Sea%20-%20Bartholomew%20Kuma%20-%20Medal%20_Kuma_%20_Colored_.png?updatedAt=1770076420797" TargetMode="External"/><Relationship Id="rId1466" Type="http://schemas.openxmlformats.org/officeDocument/2006/relationships/hyperlink" Target="https://ik.imagekit.io/alaaalaa6171/097%20Happy%20Holiday%20-%20Franky%20-%20Medal%20_Nipple%20Iight_%20-%20Piece%20_Colored_.png?updatedAt=1770076420809" TargetMode="External"/><Relationship Id="rId1467" Type="http://schemas.openxmlformats.org/officeDocument/2006/relationships/hyperlink" Target="https://i.postimg.cc/FRhb9H64/062.png" TargetMode="External"/><Relationship Id="rId1468" Type="http://schemas.openxmlformats.org/officeDocument/2006/relationships/hyperlink" Target="https://i.postimg.cc/2jcL2ycM/img-icon-medal-310110096.png" TargetMode="External"/><Relationship Id="rId1469" Type="http://schemas.openxmlformats.org/officeDocument/2006/relationships/hyperlink" Target="https://ik.imagekit.io/alaaalaa6171/096%20Happy%20Holiday%20-%20Tony%20Tony%20Chopper%20-%20Medal%20_Snow%20Creature_.png?updatedAt=1770076420833" TargetMode="External"/><Relationship Id="rId635" Type="http://schemas.openxmlformats.org/officeDocument/2006/relationships/hyperlink" Target="https://ik.imagekit.io/alaaalaa6171/235%20Raid%20on%20Onigashima%20-%20Roronoa%20Zoro%20-%20Medal%20_Enma_.png?updatedAt=1770076447670" TargetMode="External"/><Relationship Id="rId634" Type="http://schemas.openxmlformats.org/officeDocument/2006/relationships/hyperlink" Target="https://i.postimg.cc/mDZhSW7n/img-icon-medal-310110236.png" TargetMode="External"/><Relationship Id="rId633" Type="http://schemas.openxmlformats.org/officeDocument/2006/relationships/hyperlink" Target="https://i.postimg.cc/V60t4FZy/201.png" TargetMode="External"/><Relationship Id="rId632" Type="http://schemas.openxmlformats.org/officeDocument/2006/relationships/hyperlink" Target="https://ik.imagekit.io/alaaalaa6171/236%20Raid%20on%20Onigashima%20-%20Jinbe%20-%20Medal%20_Raid%20Jinbe_%20-%20Piece%20_Colored_.png?updatedAt=1770076447734" TargetMode="External"/><Relationship Id="rId639" Type="http://schemas.openxmlformats.org/officeDocument/2006/relationships/hyperlink" Target="https://i.postimg.cc/2STn5yLt/200.png" TargetMode="External"/><Relationship Id="rId638" Type="http://schemas.openxmlformats.org/officeDocument/2006/relationships/hyperlink" Target="https://ik.imagekit.io/alaaalaa6171/235%20Raid%20on%20Onigashima%20-%20Roronoa%20Zoro%20-%20Medal%20_Enma_%20-%20Piece%20_Colored_.png?updatedAt=1770076447644" TargetMode="External"/><Relationship Id="rId637" Type="http://schemas.openxmlformats.org/officeDocument/2006/relationships/hyperlink" Target="https://ik.imagekit.io/alaaalaa6171/235%20Raid%20on%20Onigashima%20-%20Roronoa%20Zoro%20-%20Medal%20_Enma_%20-%20Piece.png?updatedAt=1770076447693" TargetMode="External"/><Relationship Id="rId636" Type="http://schemas.openxmlformats.org/officeDocument/2006/relationships/hyperlink" Target="https://ik.imagekit.io/alaaalaa6171/235%20Raid%20on%20Onigashima%20-%20Roronoa%20Zoro%20-%20Medal%20_Enma_%20_Colored_.png?updatedAt=1770076447639" TargetMode="External"/><Relationship Id="rId1460" Type="http://schemas.openxmlformats.org/officeDocument/2006/relationships/hyperlink" Target="https://ik.imagekit.io/alaaalaa6171/098%20Happy%20Holiday%20-%20Nico%20Robin%20-%20Medal%20_Cuerpo%20Fleurs_%20-%20Piece%20_Colored_.png?updatedAt=1770076420869" TargetMode="External"/><Relationship Id="rId1461" Type="http://schemas.openxmlformats.org/officeDocument/2006/relationships/hyperlink" Target="https://i.postimg.cc/XvfcSCQL/063.png" TargetMode="External"/><Relationship Id="rId631" Type="http://schemas.openxmlformats.org/officeDocument/2006/relationships/hyperlink" Target="https://ik.imagekit.io/alaaalaa6171/236%20Raid%20on%20Onigashima%20-%20Jinbe%20-%20Medal%20_Raid%20Jinbe_%20-%20Piece.png?updatedAt=1770076447685" TargetMode="External"/><Relationship Id="rId1462" Type="http://schemas.openxmlformats.org/officeDocument/2006/relationships/hyperlink" Target="https://i.postimg.cc/Kcq3Jjqd/img-icon-medal-310110097.png" TargetMode="External"/><Relationship Id="rId630" Type="http://schemas.openxmlformats.org/officeDocument/2006/relationships/hyperlink" Target="https://ik.imagekit.io/alaaalaa6171/236%20Raid%20on%20Onigashima%20-%20Jinbe%20-%20Medal%20_Raid%20Jinbe_%20_Colored_.png?updatedAt=1770076447741" TargetMode="External"/><Relationship Id="rId1463" Type="http://schemas.openxmlformats.org/officeDocument/2006/relationships/hyperlink" Target="https://ik.imagekit.io/alaaalaa6171/097%20Happy%20Holiday%20-%20Franky%20-%20Medal%20_Nipple%20Iight_.png?updatedAt=1770076420875" TargetMode="External"/><Relationship Id="rId1464" Type="http://schemas.openxmlformats.org/officeDocument/2006/relationships/hyperlink" Target="https://ik.imagekit.io/alaaalaa6171/097%20Happy%20Holiday%20-%20Franky%20-%20Medal%20_Nipple%20Iight_%20_Colored_.png?updatedAt=1770076420875" TargetMode="External"/><Relationship Id="rId1465" Type="http://schemas.openxmlformats.org/officeDocument/2006/relationships/hyperlink" Target="https://ik.imagekit.io/alaaalaa6171/097%20Happy%20Holiday%20-%20Franky%20-%20Medal%20_Nipple%20Iight_%20-%20Piece.png?updatedAt=1770076420848" TargetMode="External"/><Relationship Id="rId1411" Type="http://schemas.openxmlformats.org/officeDocument/2006/relationships/hyperlink" Target="https://ik.imagekit.io/alaaalaa6171/106%20Barto%20Club_Captain%20-%20Bartolomeo%20-%20Medal%20_Bartolomeo_%20-%20Piece.png?updatedAt=1770076421123" TargetMode="External"/><Relationship Id="rId1895" Type="http://schemas.openxmlformats.org/officeDocument/2006/relationships/hyperlink" Target="https://ik.imagekit.io/alaaalaa6171/023%20Krieg%60s%20Pirate%20Armada_Battle%20Commander%20-%20Gin%20-%20Medal%20_Gin_.png?updatedAt=1770076405125" TargetMode="External"/><Relationship Id="rId1412" Type="http://schemas.openxmlformats.org/officeDocument/2006/relationships/hyperlink" Target="https://ik.imagekit.io/alaaalaa6171/106%20Barto%20Club_Captain%20-%20Bartolomeo%20-%20Medal%20_Bartolomeo_%20-%20Piece%20_Colored_.png?updatedAt=1770076421115" TargetMode="External"/><Relationship Id="rId1896" Type="http://schemas.openxmlformats.org/officeDocument/2006/relationships/hyperlink" Target="https://ik.imagekit.io/alaaalaa6171/023%20Krieg%60s%20Pirate%20Armada_Battle%20Commander%20-%20Gin%20-%20Medal%20_Gin_%20_Colored_.png?updatedAt=1770076405152" TargetMode="External"/><Relationship Id="rId1413" Type="http://schemas.openxmlformats.org/officeDocument/2006/relationships/hyperlink" Target="https://i.postimg.cc/ydTP9ZRx/071.png" TargetMode="External"/><Relationship Id="rId1897" Type="http://schemas.openxmlformats.org/officeDocument/2006/relationships/hyperlink" Target="https://ik.imagekit.io/alaaalaa6171/023%20Krieg%60s%20Pirate%20Armada_Battle%20Commander%20-%20Gin%20-%20Medal%20_Gin_%20-%20Piece.png?updatedAt=1770076405327" TargetMode="External"/><Relationship Id="rId1414" Type="http://schemas.openxmlformats.org/officeDocument/2006/relationships/hyperlink" Target="https://i.postimg.cc/sf6GwxHV/img-icon-medal-310110104.png" TargetMode="External"/><Relationship Id="rId1898" Type="http://schemas.openxmlformats.org/officeDocument/2006/relationships/hyperlink" Target="https://ik.imagekit.io/alaaalaa6171/023%20Krieg%60s%20Pirate%20Armada_Battle%20Commander%20-%20Gin%20-%20Medal%20_Gin_%20-%20Piece%20_Colored_.png?updatedAt=1770076405564" TargetMode="External"/><Relationship Id="rId1415" Type="http://schemas.openxmlformats.org/officeDocument/2006/relationships/hyperlink" Target="https://ik.imagekit.io/alaaalaa6171/105%20The%20Parmount%20War%20-%20Monkey%20D.%20Luffy%201%20-%20Medal%20_Jet%20Rocket_.png?updatedAt=1770076421080" TargetMode="External"/><Relationship Id="rId1899" Type="http://schemas.openxmlformats.org/officeDocument/2006/relationships/hyperlink" Target="https://i.postimg.cc/xCgNr109/img-icon-medal-310110021.png" TargetMode="External"/><Relationship Id="rId1416" Type="http://schemas.openxmlformats.org/officeDocument/2006/relationships/hyperlink" Target="https://ik.imagekit.io/alaaalaa6171/105%20The%20Parmount%20War%20-%20Monkey%20D.%20Luffy%201%20-%20Medal%20_Jet%20Rocket_%20_Colored_.png?updatedAt=1770076421085" TargetMode="External"/><Relationship Id="rId1417" Type="http://schemas.openxmlformats.org/officeDocument/2006/relationships/hyperlink" Target="https://ik.imagekit.io/alaaalaa6171/105%20The%20Parmount%20War%20-%20Monkey%20D.%20Luffy%201%20-%20Medal%20_Jet%20Rocket_%20-%20Piece.png?updatedAt=1770076421094" TargetMode="External"/><Relationship Id="rId1418" Type="http://schemas.openxmlformats.org/officeDocument/2006/relationships/hyperlink" Target="https://ik.imagekit.io/alaaalaa6171/105%20The%20Parmount%20War%20-%20Monkey%20D.%20Luffy%201%20-%20Medal%20_Jet%20Rocket_%20-%20Piece%20_Colored_.png?updatedAt=1770076421075" TargetMode="External"/><Relationship Id="rId1419" Type="http://schemas.openxmlformats.org/officeDocument/2006/relationships/hyperlink" Target="https://i.postimg.cc/j2g43YZr/070.png" TargetMode="External"/><Relationship Id="rId1890" Type="http://schemas.openxmlformats.org/officeDocument/2006/relationships/hyperlink" Target="https://ik.imagekit.io/alaaalaa6171/024%20Krieg%60s%20Pirate%20Armada_Admiral%20-%20Don%20Krieg%20-%20Medal%20_Don%20Krieg_.png?updatedAt=1770076405263" TargetMode="External"/><Relationship Id="rId1891" Type="http://schemas.openxmlformats.org/officeDocument/2006/relationships/hyperlink" Target="https://ik.imagekit.io/alaaalaa6171/024%20Krieg%60s%20Pirate%20Armada_Admiral%20-%20Don%20Krieg%20-%20Medal%20_Don%20Krieg_%20_Colored_.png?updatedAt=1770076405396" TargetMode="External"/><Relationship Id="rId1892" Type="http://schemas.openxmlformats.org/officeDocument/2006/relationships/hyperlink" Target="https://ik.imagekit.io/alaaalaa6171/024%20Krieg%60s%20Pirate%20Armada_Admiral%20-%20Don%20Krieg%20-%20Medal%20_Don%20Krieg_%20-%20Piece.png?updatedAt=1770076404974" TargetMode="External"/><Relationship Id="rId1893" Type="http://schemas.openxmlformats.org/officeDocument/2006/relationships/hyperlink" Target="https://ik.imagekit.io/alaaalaa6171/024%20Krieg%60s%20Pirate%20Armada_Admiral%20-%20Don%20Krieg%20-%20Medal%20_Don%20Krieg_%20-%20Piece%20_Colored_.png?updatedAt=1770076405020" TargetMode="External"/><Relationship Id="rId1410" Type="http://schemas.openxmlformats.org/officeDocument/2006/relationships/hyperlink" Target="https://ik.imagekit.io/alaaalaa6171/106%20Barto%20Club_Captain%20-%20Bartolomeo%20-%20Medal%20_Bartolomeo_%20_Colored_.png?updatedAt=1770076421162" TargetMode="External"/><Relationship Id="rId1894" Type="http://schemas.openxmlformats.org/officeDocument/2006/relationships/hyperlink" Target="https://i.postimg.cc/XJxBMYVj/img-icon-medal-310110024.png" TargetMode="External"/><Relationship Id="rId1400" Type="http://schemas.openxmlformats.org/officeDocument/2006/relationships/hyperlink" Target="https://ik.imagekit.io/alaaalaa6171/108%20Navy%20HQ_Admiral%20Fujitora%20-%20_Issho_%20-%20Medal%20_Fujitora_%20-%20Piece%20_Colored_.png?updatedAt=1770076421149" TargetMode="External"/><Relationship Id="rId1884" Type="http://schemas.openxmlformats.org/officeDocument/2006/relationships/hyperlink" Target="https://i.postimg.cc/C1JnyxFF/img-icon-medal-310110023.png" TargetMode="External"/><Relationship Id="rId1401" Type="http://schemas.openxmlformats.org/officeDocument/2006/relationships/hyperlink" Target="https://i.postimg.cc/9fZ1mSFG/073.png" TargetMode="External"/><Relationship Id="rId1885" Type="http://schemas.openxmlformats.org/officeDocument/2006/relationships/hyperlink" Target="https://ik.imagekit.io/alaaalaa6171/025%20Arlong%20Pirates_Officer%20-%20Hatchan%20-%20Medal%20_Hachi_.png?updatedAt=1770076405293" TargetMode="External"/><Relationship Id="rId1402" Type="http://schemas.openxmlformats.org/officeDocument/2006/relationships/hyperlink" Target="https://i.postimg.cc/4NY7MGjC/img-icon-medal-310110107.png" TargetMode="External"/><Relationship Id="rId1886" Type="http://schemas.openxmlformats.org/officeDocument/2006/relationships/hyperlink" Target="https://ik.imagekit.io/alaaalaa6171/025%20Arlong%20Pirates_Officer%20-%20Hatchan%20-%20Medal%20_Hachi_%20_Colored_.png?updatedAt=1770076405390" TargetMode="External"/><Relationship Id="rId1403" Type="http://schemas.openxmlformats.org/officeDocument/2006/relationships/hyperlink" Target="https://ik.imagekit.io/alaaalaa6171/107%20Beautiful%20Pirates_Captain%20-%20Cavendish%20-%20Medal%20_Cavendish_.png?updatedAt=1770076421159" TargetMode="External"/><Relationship Id="rId1887" Type="http://schemas.openxmlformats.org/officeDocument/2006/relationships/hyperlink" Target="https://ik.imagekit.io/alaaalaa6171/025%20Arlong%20Pirates_Officer%20-%20Hatchan%20-%20Medal%20_Hachi_%20-%20Piece.png?updatedAt=1770076405209" TargetMode="External"/><Relationship Id="rId1404" Type="http://schemas.openxmlformats.org/officeDocument/2006/relationships/hyperlink" Target="https://ik.imagekit.io/alaaalaa6171/107%20Beautiful%20Pirates_Captain%20-%20Cavendish%20-%20Medal%20_Cavendish_%20_Colored_.png?updatedAt=1770076421134" TargetMode="External"/><Relationship Id="rId1888" Type="http://schemas.openxmlformats.org/officeDocument/2006/relationships/hyperlink" Target="https://ik.imagekit.io/alaaalaa6171/025%20Arlong%20Pirates_Officer%20-%20Hatchan%20-%20Medal%20_Hachi_%20-%20Piece%20_Colored_.png?updatedAt=1770076405407" TargetMode="External"/><Relationship Id="rId1405" Type="http://schemas.openxmlformats.org/officeDocument/2006/relationships/hyperlink" Target="https://ik.imagekit.io/alaaalaa6171/107%20Beautiful%20Pirates_Captain%20-%20Cavendish%20-%20Medal%20_Cavendish_%20-%20Piece.png?updatedAt=1770076421129" TargetMode="External"/><Relationship Id="rId1889" Type="http://schemas.openxmlformats.org/officeDocument/2006/relationships/hyperlink" Target="https://i.postimg.cc/9M1w3QWQ/img-icon-medal-310110022.png" TargetMode="External"/><Relationship Id="rId1406" Type="http://schemas.openxmlformats.org/officeDocument/2006/relationships/hyperlink" Target="https://ik.imagekit.io/alaaalaa6171/107%20Beautiful%20Pirates_Captain%20-%20Cavendish%20-%20Medal%20_Cavendish_%20-%20Piece%20_Colored_.png?updatedAt=1770076421164" TargetMode="External"/><Relationship Id="rId1407" Type="http://schemas.openxmlformats.org/officeDocument/2006/relationships/hyperlink" Target="https://i.postimg.cc/63Kcy0yF/072.png" TargetMode="External"/><Relationship Id="rId1408" Type="http://schemas.openxmlformats.org/officeDocument/2006/relationships/hyperlink" Target="https://i.postimg.cc/Kcq3Jjpc/img-icon-medal-310110106.png" TargetMode="External"/><Relationship Id="rId1409" Type="http://schemas.openxmlformats.org/officeDocument/2006/relationships/hyperlink" Target="https://ik.imagekit.io/alaaalaa6171/106%20Barto%20Club_Captain%20-%20Bartolomeo%20-%20Medal%20_Bartolomeo_.png?updatedAt=1770076421160" TargetMode="External"/><Relationship Id="rId1880" Type="http://schemas.openxmlformats.org/officeDocument/2006/relationships/hyperlink" Target="https://ik.imagekit.io/alaaalaa6171/026%20Arlong%20Pirates_Officer%20-%20Kuroobi%20-%20Medal%20_Choo_.png?updatedAt=1770076405228" TargetMode="External"/><Relationship Id="rId1881" Type="http://schemas.openxmlformats.org/officeDocument/2006/relationships/hyperlink" Target="https://ik.imagekit.io/alaaalaa6171/026%20Arlong%20Pirates_Officer%20-%20Kuroobi%20-%20Medal%20_Choo_%20_Colored_.png?updatedAt=1770076405415" TargetMode="External"/><Relationship Id="rId1882" Type="http://schemas.openxmlformats.org/officeDocument/2006/relationships/hyperlink" Target="https://ik.imagekit.io/alaaalaa6171/026%20Arlong%20Pirates_Officer%20-%20Kuroobi%20-%20Medal%20_Choo_%20-%20Piece.png?updatedAt=1770076405145" TargetMode="External"/><Relationship Id="rId1883" Type="http://schemas.openxmlformats.org/officeDocument/2006/relationships/hyperlink" Target="https://ik.imagekit.io/alaaalaa6171/026%20Arlong%20Pirates_Officer%20-%20Kuroobi%20-%20Medal%20_Choo_%20-%20Piece%20_Colored_.png?updatedAt=1770076405344" TargetMode="External"/><Relationship Id="rId1433" Type="http://schemas.openxmlformats.org/officeDocument/2006/relationships/hyperlink" Target="https://ik.imagekit.io/alaaalaa6171/102%20Navy%20HQ_Vice%20Admiral%20-%20Monkey%20D.%20Garb%20-%20Medal%20_Garp_.png?updatedAt=1770076420990" TargetMode="External"/><Relationship Id="rId1434" Type="http://schemas.openxmlformats.org/officeDocument/2006/relationships/hyperlink" Target="https://ik.imagekit.io/alaaalaa6171/102%20Navy%20HQ_Vice%20Admiral%20-%20Monkey%20D.%20Garb%20-%20Medal%20_Garp_%20_Colored_.png?updatedAt=1770076420990" TargetMode="External"/><Relationship Id="rId1435" Type="http://schemas.openxmlformats.org/officeDocument/2006/relationships/hyperlink" Target="https://ik.imagekit.io/alaaalaa6171/102%20Navy%20HQ_Vice%20Admiral%20-%20Monkey%20D.%20Garb%20-%20Medal%20_Garp_%20-%20Piece.png?updatedAt=1770076420981" TargetMode="External"/><Relationship Id="rId1436" Type="http://schemas.openxmlformats.org/officeDocument/2006/relationships/hyperlink" Target="https://ik.imagekit.io/alaaalaa6171/102%20Navy%20HQ_Vice%20Admiral%20-%20Monkey%20D.%20Garb%20-%20Medal%20_Garp_%20-%20Piece%20_Colored_.png?updatedAt=1770076420981" TargetMode="External"/><Relationship Id="rId1437" Type="http://schemas.openxmlformats.org/officeDocument/2006/relationships/hyperlink" Target="https://i.postimg.cc/m2kwzhgZ/067.png" TargetMode="External"/><Relationship Id="rId1438" Type="http://schemas.openxmlformats.org/officeDocument/2006/relationships/hyperlink" Target="https://i.postimg.cc/VsG0DvZ1/img-icon-medal-310110101.png" TargetMode="External"/><Relationship Id="rId1439" Type="http://schemas.openxmlformats.org/officeDocument/2006/relationships/hyperlink" Target="https://ik.imagekit.io/alaaalaa6171/101%20Whitebeard%20Pirates_1st%20Division%20Commander%20-%20Marco%20-%20Medal%20_Marco_.png?updatedAt=1770076420992" TargetMode="External"/><Relationship Id="rId609" Type="http://schemas.openxmlformats.org/officeDocument/2006/relationships/hyperlink" Target="https://i.postimg.cc/FHFJwvCV/205.png" TargetMode="External"/><Relationship Id="rId608" Type="http://schemas.openxmlformats.org/officeDocument/2006/relationships/hyperlink" Target="https://ik.imagekit.io/alaaalaa6171/240%20Big%20Mom%20Pirates_Crewmate%20-%20Charlotte%20Brulee%20-%20Medal%20_Brulee_%20-%20Piece%20_Colored_.png?updatedAt=1770076447785" TargetMode="External"/><Relationship Id="rId607" Type="http://schemas.openxmlformats.org/officeDocument/2006/relationships/hyperlink" Target="https://ik.imagekit.io/alaaalaa6171/240%20Big%20Mom%20Pirates_Crewmate%20-%20Charlotte%20Brulee%20-%20Medal%20_Brulee_%20-%20Piece.png?updatedAt=1770076447767" TargetMode="External"/><Relationship Id="rId602" Type="http://schemas.openxmlformats.org/officeDocument/2006/relationships/hyperlink" Target="https://ik.imagekit.io/alaaalaa6171/241%20Leader%20of%20the%20Whale%20Forest%20Guardians%20-%20Pedro%20-%20Medal%20_Leader_%20-%20Piece%20_Colored_.png?updatedAt=1770076447764" TargetMode="External"/><Relationship Id="rId601" Type="http://schemas.openxmlformats.org/officeDocument/2006/relationships/hyperlink" Target="https://ik.imagekit.io/alaaalaa6171/241%20Leader%20of%20the%20Whale%20Forest%20Guardians%20-%20Pedro%20-%20Medal%20_Leader_%20-%20Piece.png?updatedAt=1770076447765" TargetMode="External"/><Relationship Id="rId600" Type="http://schemas.openxmlformats.org/officeDocument/2006/relationships/hyperlink" Target="https://ik.imagekit.io/alaaalaa6171/241%20Leader%20of%20the%20Whale%20Forest%20Guardians%20-%20Pedro%20-%20Medal%20_Leader_%20_Colored_.png?updatedAt=1770076447792" TargetMode="External"/><Relationship Id="rId606" Type="http://schemas.openxmlformats.org/officeDocument/2006/relationships/hyperlink" Target="https://ik.imagekit.io/alaaalaa6171/240%20Big%20Mom%20Pirates_Crewmate%20-%20Charlotte%20Brulee%20-%20Medal%20_Brulee_%20_Colored_.png?updatedAt=1770076447790" TargetMode="External"/><Relationship Id="rId605" Type="http://schemas.openxmlformats.org/officeDocument/2006/relationships/hyperlink" Target="https://ik.imagekit.io/alaaalaa6171/240%20Big%20Mom%20Pirates_Crewmate%20-%20Charlotte%20Brulee%20-%20Medal%20_Brulee_.png?updatedAt=1770076447747" TargetMode="External"/><Relationship Id="rId604" Type="http://schemas.openxmlformats.org/officeDocument/2006/relationships/hyperlink" Target="https://i.postimg.cc/wvx3kYhd/img-icon-medal-310110242.png" TargetMode="External"/><Relationship Id="rId603" Type="http://schemas.openxmlformats.org/officeDocument/2006/relationships/hyperlink" Target="https://i.postimg.cc/zf6bLgzx/206.png" TargetMode="External"/><Relationship Id="rId1430" Type="http://schemas.openxmlformats.org/officeDocument/2006/relationships/hyperlink" Target="https://ik.imagekit.io/alaaalaa6171/103%20The%20Seven%20Warlords%20of%20the%20Sea%20-%20Marshall%20D.%20Teach%20-%20Medal%20_Teech_%20-%20Piece%20_Colored_.png?updatedAt=1770076420994" TargetMode="External"/><Relationship Id="rId1431" Type="http://schemas.openxmlformats.org/officeDocument/2006/relationships/hyperlink" Target="https://i.postimg.cc/1RJB3DPY/068.png" TargetMode="External"/><Relationship Id="rId1432" Type="http://schemas.openxmlformats.org/officeDocument/2006/relationships/hyperlink" Target="https://i.postimg.cc/FFWkDzC4/img-icon-medal-310110102.png" TargetMode="External"/><Relationship Id="rId1422" Type="http://schemas.openxmlformats.org/officeDocument/2006/relationships/hyperlink" Target="https://ik.imagekit.io/alaaalaa6171/104%20The%20Four%20Emperors%20-%20Shanks%20-%20Medal%20_Griffon_%20_Colored_.png?updatedAt=1770076421050" TargetMode="External"/><Relationship Id="rId1423" Type="http://schemas.openxmlformats.org/officeDocument/2006/relationships/hyperlink" Target="https://ik.imagekit.io/alaaalaa6171/104%20The%20Four%20Emperors%20-%20Shanks%20-%20Medal%20_Griffon_%20-%20Piece.png?updatedAt=1770076421042" TargetMode="External"/><Relationship Id="rId1424" Type="http://schemas.openxmlformats.org/officeDocument/2006/relationships/hyperlink" Target="https://ik.imagekit.io/alaaalaa6171/104%20The%20Four%20Emperors%20-%20Shanks%20-%20Medal%20_Griffon_%20-%20Piece%20_Colored_.png?updatedAt=1770076421047" TargetMode="External"/><Relationship Id="rId1425" Type="http://schemas.openxmlformats.org/officeDocument/2006/relationships/hyperlink" Target="https://i.postimg.cc/prXBBLQZ/069.png" TargetMode="External"/><Relationship Id="rId1426" Type="http://schemas.openxmlformats.org/officeDocument/2006/relationships/hyperlink" Target="https://i.postimg.cc/rynRQsZq/img-icon-medal-310110103.png" TargetMode="External"/><Relationship Id="rId1427" Type="http://schemas.openxmlformats.org/officeDocument/2006/relationships/hyperlink" Target="https://ik.imagekit.io/alaaalaa6171/103%20The%20Seven%20Warlords%20of%20the%20Sea%20-%20Marshall%20D.%20Teach%20-%20Medal%20_Teech_.png?updatedAt=1770076421070" TargetMode="External"/><Relationship Id="rId1428" Type="http://schemas.openxmlformats.org/officeDocument/2006/relationships/hyperlink" Target="https://ik.imagekit.io/alaaalaa6171/103%20The%20Seven%20Warlords%20of%20the%20Sea%20-%20Marshall%20D.%20Teach%20-%20Medal%20_Teech_%20_Colored_.png?updatedAt=1770076421036" TargetMode="External"/><Relationship Id="rId1429" Type="http://schemas.openxmlformats.org/officeDocument/2006/relationships/hyperlink" Target="https://ik.imagekit.io/alaaalaa6171/103%20The%20Seven%20Warlords%20of%20the%20Sea%20-%20Marshall%20D.%20Teach%20-%20Medal%20_Teech_%20-%20Piece.png?updatedAt=1770076421055" TargetMode="External"/><Relationship Id="rId1420" Type="http://schemas.openxmlformats.org/officeDocument/2006/relationships/hyperlink" Target="https://i.postimg.cc/Dfj4B0pv/img-icon-medal-310110105.png" TargetMode="External"/><Relationship Id="rId1421" Type="http://schemas.openxmlformats.org/officeDocument/2006/relationships/hyperlink" Target="https://ik.imagekit.io/alaaalaa6171/104%20The%20Four%20Emperors%20-%20Shanks%20-%20Medal%20_Griffon_.png?updatedAt=1770076421082" TargetMode="External"/><Relationship Id="rId1059" Type="http://schemas.openxmlformats.org/officeDocument/2006/relationships/hyperlink" Target="https://i.postimg.cc/6QMJ0ynj/130.png" TargetMode="External"/><Relationship Id="rId228" Type="http://schemas.openxmlformats.org/officeDocument/2006/relationships/hyperlink" Target="https://ik.imagekit.io/alaaalaa6171/303%20Punk-06%20-%20York%20-%20Medal%20_Punk_06_%20_Colored_.png?updatedAt=1770076459183" TargetMode="External"/><Relationship Id="rId227" Type="http://schemas.openxmlformats.org/officeDocument/2006/relationships/hyperlink" Target="https://ik.imagekit.io/alaaalaa6171/303%20Punk-06%20-%20York%20-%20Medal%20_Punk_06_.png?updatedAt=1770076458727" TargetMode="External"/><Relationship Id="rId226" Type="http://schemas.openxmlformats.org/officeDocument/2006/relationships/hyperlink" Target="https://i.postimg.cc/yxkdwhps/img-icon-medal-310110304.png" TargetMode="External"/><Relationship Id="rId225" Type="http://schemas.openxmlformats.org/officeDocument/2006/relationships/hyperlink" Target="https://i.postimg.cc/13phCScQ/269.png" TargetMode="External"/><Relationship Id="rId229" Type="http://schemas.openxmlformats.org/officeDocument/2006/relationships/hyperlink" Target="https://ik.imagekit.io/alaaalaa6171/303%20Punk-06%20-%20York%20-%20Medal%20_Punk_06_%20-%20Piece.png?updatedAt=1770076459108" TargetMode="External"/><Relationship Id="rId1050" Type="http://schemas.openxmlformats.org/officeDocument/2006/relationships/hyperlink" Target="https://ik.imagekit.io/alaaalaa6171/166%20Monster%20Point%20-%20Tony%20Tony%20Chopper%20-%20Medal%20_Palm_%20_Colored_.png?updatedAt=1770076431719" TargetMode="External"/><Relationship Id="rId220" Type="http://schemas.openxmlformats.org/officeDocument/2006/relationships/hyperlink" Target="https://i.postimg.cc/Vvd639Zz/img-icon-medal-310110305.png" TargetMode="External"/><Relationship Id="rId1051" Type="http://schemas.openxmlformats.org/officeDocument/2006/relationships/hyperlink" Target="https://ik.imagekit.io/alaaalaa6171/166%20Monster%20Point%20-%20Tony%20Tony%20Chopper%20-%20Medal%20_Palm_%20-%20Piece.png?updatedAt=1770076431703" TargetMode="External"/><Relationship Id="rId1052" Type="http://schemas.openxmlformats.org/officeDocument/2006/relationships/hyperlink" Target="https://ik.imagekit.io/alaaalaa6171/166%20Monster%20Point%20-%20Tony%20Tony%20Chopper%20-%20Medal%20_Palm_%20-%20Piece%20_Colored_.png?updatedAt=1770076431675" TargetMode="External"/><Relationship Id="rId1053" Type="http://schemas.openxmlformats.org/officeDocument/2006/relationships/hyperlink" Target="https://i.postimg.cc/N0svm192/131.png" TargetMode="External"/><Relationship Id="rId1054" Type="http://schemas.openxmlformats.org/officeDocument/2006/relationships/hyperlink" Target="https://i.postimg.cc/bwbGyTz7/img-icon-medal-310110166.png" TargetMode="External"/><Relationship Id="rId224" Type="http://schemas.openxmlformats.org/officeDocument/2006/relationships/hyperlink" Target="https://ik.imagekit.io/alaaalaa6171/304%20Seraphim%20-%20S-Shark%20-%20Medal%20_S_Shark_%20-%20Piece%20_Colored_.png?updatedAt=1770076458765" TargetMode="External"/><Relationship Id="rId1055" Type="http://schemas.openxmlformats.org/officeDocument/2006/relationships/hyperlink" Target="https://ik.imagekit.io/alaaalaa6171/165%20King%20of%20the%20Night%20-%20Cat%20Viper%20-%20Medal%20_Cat%20Viper_.png?updatedAt=1770076431719" TargetMode="External"/><Relationship Id="rId223" Type="http://schemas.openxmlformats.org/officeDocument/2006/relationships/hyperlink" Target="https://ik.imagekit.io/alaaalaa6171/304%20Seraphim%20-%20S-Shark%20-%20Medal%20_S_Shark_%20-%20Piece.png?updatedAt=1770076459097" TargetMode="External"/><Relationship Id="rId1056" Type="http://schemas.openxmlformats.org/officeDocument/2006/relationships/hyperlink" Target="https://ik.imagekit.io/alaaalaa6171/165%20King%20of%20the%20Night%20-%20Cat%20Viper%20-%20Medal%20_Cat%20Viper_%20_Colored_.png?updatedAt=1770076431722" TargetMode="External"/><Relationship Id="rId222" Type="http://schemas.openxmlformats.org/officeDocument/2006/relationships/hyperlink" Target="https://ik.imagekit.io/alaaalaa6171/304%20Seraphim%20-%20S-Shark%20-%20Medal%20_S_Shark_%20_Colored_.png?updatedAt=1770076458761" TargetMode="External"/><Relationship Id="rId1057" Type="http://schemas.openxmlformats.org/officeDocument/2006/relationships/hyperlink" Target="https://ik.imagekit.io/alaaalaa6171/165%20King%20of%20the%20Night%20-%20Cat%20Viper%20-%20Medal%20_Cat%20Viper_%20-%20Piece.png?updatedAt=1770076431699" TargetMode="External"/><Relationship Id="rId221" Type="http://schemas.openxmlformats.org/officeDocument/2006/relationships/hyperlink" Target="https://ik.imagekit.io/alaaalaa6171/304%20Seraphim%20-%20S-Shark%20-%20Medal%20_S_Shark_.png?updatedAt=1770076459135" TargetMode="External"/><Relationship Id="rId1058" Type="http://schemas.openxmlformats.org/officeDocument/2006/relationships/hyperlink" Target="https://ik.imagekit.io/alaaalaa6171/165%20King%20of%20the%20Night%20-%20Cat%20Viper%20-%20Medal%20_Cat%20Viper_%20-%20Piece%20_Colored_.png?updatedAt=1770076431673" TargetMode="External"/><Relationship Id="rId1048" Type="http://schemas.openxmlformats.org/officeDocument/2006/relationships/hyperlink" Target="https://i.postimg.cc/MpRc6D6k/img-icon-medal-310110167.png" TargetMode="External"/><Relationship Id="rId1049" Type="http://schemas.openxmlformats.org/officeDocument/2006/relationships/hyperlink" Target="https://ik.imagekit.io/alaaalaa6171/166%20Monster%20Point%20-%20Tony%20Tony%20Chopper%20-%20Medal%20_Palm_.png?updatedAt=1770076431679" TargetMode="External"/><Relationship Id="rId217" Type="http://schemas.openxmlformats.org/officeDocument/2006/relationships/hyperlink" Target="https://ik.imagekit.io/alaaalaa6171/305%20Egghead%20-%20Sanji%20-%20Medal%20_Egghead%20Sanji_%20-%20Piece.png?updatedAt=1770076458913" TargetMode="External"/><Relationship Id="rId216" Type="http://schemas.openxmlformats.org/officeDocument/2006/relationships/hyperlink" Target="https://ik.imagekit.io/alaaalaa6171/305%20Egghead%20-%20Sanji%20-%20Medal%20_Egghead%20Sanji_%20_Colored_.png?updatedAt=1770076462039" TargetMode="External"/><Relationship Id="rId215" Type="http://schemas.openxmlformats.org/officeDocument/2006/relationships/hyperlink" Target="https://ik.imagekit.io/alaaalaa6171/305%20Egghead%20-%20Sanji%20-%20Medal%20_Egghead%20Sanji_.png?updatedAt=1770076462759" TargetMode="External"/><Relationship Id="rId699" Type="http://schemas.openxmlformats.org/officeDocument/2006/relationships/hyperlink" Target="https://i.postimg.cc/c4hm6wSb/190.png" TargetMode="External"/><Relationship Id="rId214" Type="http://schemas.openxmlformats.org/officeDocument/2006/relationships/hyperlink" Target="https://i.postimg.cc/yxkdwhpV/img-icon-medal-310110306.png" TargetMode="External"/><Relationship Id="rId698" Type="http://schemas.openxmlformats.org/officeDocument/2006/relationships/hyperlink" Target="https://ik.imagekit.io/alaaalaa6171/225%20Don%20Quixote%20Pirates_Supreme%20Officer%20-%20Diamante%20-%20Medal%20_Ripple_Ripple_%20-%20Piece%20_Colored_.png?updatedAt=1770076443312" TargetMode="External"/><Relationship Id="rId219" Type="http://schemas.openxmlformats.org/officeDocument/2006/relationships/hyperlink" Target="https://i.postimg.cc/x1rV38m5/270.png" TargetMode="External"/><Relationship Id="rId218" Type="http://schemas.openxmlformats.org/officeDocument/2006/relationships/hyperlink" Target="https://ik.imagekit.io/alaaalaa6171/305%20Egghead%20-%20Sanji%20-%20Medal%20_Egghead%20Sanji_%20-%20Piece%20_Colored_.png?updatedAt=1770076458780" TargetMode="External"/><Relationship Id="rId693" Type="http://schemas.openxmlformats.org/officeDocument/2006/relationships/hyperlink" Target="https://i.postimg.cc/TYf0RQZb/191.png" TargetMode="External"/><Relationship Id="rId1040" Type="http://schemas.openxmlformats.org/officeDocument/2006/relationships/hyperlink" Target="https://ik.imagekit.io/alaaalaa6171/168%20Raid%20on%20Onigashima%20-%20Monkey%20D.%20Luffy%20-%20Medal%20_Raid%20Luffy_%20-%20Piece%20_Colored_.png?updatedAt=1770076431715" TargetMode="External"/><Relationship Id="rId692" Type="http://schemas.openxmlformats.org/officeDocument/2006/relationships/hyperlink" Target="https://ik.imagekit.io/alaaalaa6171/226%20Don%20Quixote%20Pirates_Supreme%20Officer%20-%20Trebol%20-%20Medal%20_Trebol_%20-%20Piece%20_Colored_.png?updatedAt=1770076443647" TargetMode="External"/><Relationship Id="rId1041" Type="http://schemas.openxmlformats.org/officeDocument/2006/relationships/hyperlink" Target="https://i.postimg.cc/L8Mp6dmT/133.png" TargetMode="External"/><Relationship Id="rId691" Type="http://schemas.openxmlformats.org/officeDocument/2006/relationships/hyperlink" Target="https://ik.imagekit.io/alaaalaa6171/226%20Don%20Quixote%20Pirates_Supreme%20Officer%20-%20Trebol%20-%20Medal%20_Trebol_%20-%20Piece.png?updatedAt=1770076443782" TargetMode="External"/><Relationship Id="rId1042" Type="http://schemas.openxmlformats.org/officeDocument/2006/relationships/hyperlink" Target="https://i.postimg.cc/g2RwzDzW/img-icon-medal-310110169.png" TargetMode="External"/><Relationship Id="rId690" Type="http://schemas.openxmlformats.org/officeDocument/2006/relationships/hyperlink" Target="https://ik.imagekit.io/alaaalaa6171/226%20Don%20Quixote%20Pirates_Supreme%20Officer%20-%20Trebol%20-%20Medal%20_Trebol_%20_Colored_.png?updatedAt=1770076445991" TargetMode="External"/><Relationship Id="rId1043" Type="http://schemas.openxmlformats.org/officeDocument/2006/relationships/hyperlink" Target="https://ik.imagekit.io/alaaalaa6171/167%20Enies%20Lobby%20-%20Nico%20Robin%20-%20Medal%20_Candula_.png?updatedAt=1770076431724" TargetMode="External"/><Relationship Id="rId213" Type="http://schemas.openxmlformats.org/officeDocument/2006/relationships/hyperlink" Target="https://i.postimg.cc/C5kGhx0q/271.png" TargetMode="External"/><Relationship Id="rId697" Type="http://schemas.openxmlformats.org/officeDocument/2006/relationships/hyperlink" Target="https://ik.imagekit.io/alaaalaa6171/225%20Don%20Quixote%20Pirates_Supreme%20Officer%20-%20Diamante%20-%20Medal%20_Ripple_Ripple_%20-%20Piece.png?updatedAt=1770076443389" TargetMode="External"/><Relationship Id="rId1044" Type="http://schemas.openxmlformats.org/officeDocument/2006/relationships/hyperlink" Target="https://ik.imagekit.io/alaaalaa6171/167%20Enies%20Lobby%20-%20Nico%20Robin%20-%20Medal%20_Candula_%20_Colored_.png?updatedAt=1770076431725" TargetMode="External"/><Relationship Id="rId212" Type="http://schemas.openxmlformats.org/officeDocument/2006/relationships/hyperlink" Target="https://ik.imagekit.io/alaaalaa6171/306%20Egghead%20-%20Jewelry%20Bonney%20-%20Medal%20_Egghead%20Bonney_%20-%20Piece%20_Colored_.png?updatedAt=1770076462885" TargetMode="External"/><Relationship Id="rId696" Type="http://schemas.openxmlformats.org/officeDocument/2006/relationships/hyperlink" Target="https://ik.imagekit.io/alaaalaa6171/225%20Don%20Quixote%20Pirates_Supreme%20Officer%20-%20Diamante%20-%20Medal%20_Ripple_Ripple_%20_Colored_.png?updatedAt=1770076443447" TargetMode="External"/><Relationship Id="rId1045" Type="http://schemas.openxmlformats.org/officeDocument/2006/relationships/hyperlink" Target="https://ik.imagekit.io/alaaalaa6171/167%20Enies%20Lobby%20-%20Nico%20Robin%20-%20Medal%20_Candula_%20-%20Piece.png?updatedAt=1770076431670" TargetMode="External"/><Relationship Id="rId211" Type="http://schemas.openxmlformats.org/officeDocument/2006/relationships/hyperlink" Target="https://ik.imagekit.io/alaaalaa6171/306%20Egghead%20-%20Jewelry%20Bonney%20-%20Medal%20_Egghead%20Bonney_%20-%20Piece.png?updatedAt=1770076464038" TargetMode="External"/><Relationship Id="rId695" Type="http://schemas.openxmlformats.org/officeDocument/2006/relationships/hyperlink" Target="https://ik.imagekit.io/alaaalaa6171/225%20Don%20Quixote%20Pirates_Supreme%20Officer%20-%20Diamante%20-%20Medal%20_Ripple_Ripple_.png?updatedAt=1770076443544" TargetMode="External"/><Relationship Id="rId1046" Type="http://schemas.openxmlformats.org/officeDocument/2006/relationships/hyperlink" Target="https://ik.imagekit.io/alaaalaa6171/167%20Enies%20Lobby%20-%20Nico%20Robin%20-%20Medal%20_Candula_%20-%20Piece%20_Colored_.png?updatedAt=1770076431730" TargetMode="External"/><Relationship Id="rId210" Type="http://schemas.openxmlformats.org/officeDocument/2006/relationships/hyperlink" Target="https://ik.imagekit.io/alaaalaa6171/306%20Egghead%20-%20Jewelry%20Bonney%20-%20Medal%20_Egghead%20Bonney_%20_Colored_.png?updatedAt=1770076464545" TargetMode="External"/><Relationship Id="rId694" Type="http://schemas.openxmlformats.org/officeDocument/2006/relationships/hyperlink" Target="https://i.postimg.cc/bv9sbwSM/img-icon-medal-310110226.png" TargetMode="External"/><Relationship Id="rId1047" Type="http://schemas.openxmlformats.org/officeDocument/2006/relationships/hyperlink" Target="https://i.postimg.cc/wjcd1Wvd/132.png" TargetMode="External"/><Relationship Id="rId249" Type="http://schemas.openxmlformats.org/officeDocument/2006/relationships/hyperlink" Target="https://i.postimg.cc/3RCt9QyX/265.png" TargetMode="External"/><Relationship Id="rId248" Type="http://schemas.openxmlformats.org/officeDocument/2006/relationships/hyperlink" Target="https://ik.imagekit.io/alaaalaa6171/300%20Punk-02%20-%20Lilith%20-%20Medal%20_Punk_02_%20-%20Piece%20_Colored_.png?updatedAt=1770076458720" TargetMode="External"/><Relationship Id="rId247" Type="http://schemas.openxmlformats.org/officeDocument/2006/relationships/hyperlink" Target="https://ik.imagekit.io/alaaalaa6171/300%20Punk-02%20-%20Lilith%20-%20Medal%20_Punk_02_%20-%20Piece.png?updatedAt=1770076458722" TargetMode="External"/><Relationship Id="rId1070" Type="http://schemas.openxmlformats.org/officeDocument/2006/relationships/hyperlink" Target="https://ik.imagekit.io/alaaalaa6171/163%20The%20Guardian%20of%20the%20Forest%20-%20Gaimon%20-%20Medal%20_Gaimon_%20-%20Piece%20_Colored_.png?updatedAt=1770076431649" TargetMode="External"/><Relationship Id="rId1071" Type="http://schemas.openxmlformats.org/officeDocument/2006/relationships/hyperlink" Target="https://i.postimg.cc/nzWyygdq/128.png" TargetMode="External"/><Relationship Id="rId1072" Type="http://schemas.openxmlformats.org/officeDocument/2006/relationships/hyperlink" Target="https://i.postimg.cc/W1rDNn2x/img-icon-medal-310110164.png" TargetMode="External"/><Relationship Id="rId242" Type="http://schemas.openxmlformats.org/officeDocument/2006/relationships/hyperlink" Target="https://ik.imagekit.io/alaaalaa6171/301%20Seraphim%20-%20S-Bear%20-%20Medal%20_S_Bear_%20-%20Piece%20_Colored_.png?updatedAt=1770076458694" TargetMode="External"/><Relationship Id="rId1073" Type="http://schemas.openxmlformats.org/officeDocument/2006/relationships/hyperlink" Target="https://ik.imagekit.io/alaaalaa6171/162%20Iron%20Pirate%20-%20General%20Franky%20-%20Medal%20_General%20Franky_.png?updatedAt=1770076431716" TargetMode="External"/><Relationship Id="rId241" Type="http://schemas.openxmlformats.org/officeDocument/2006/relationships/hyperlink" Target="https://ik.imagekit.io/alaaalaa6171/301%20Seraphim%20-%20S-Bear%20-%20Medal%20_S_Bear_%20-%20Piece.png?updatedAt=1770076458691" TargetMode="External"/><Relationship Id="rId1074" Type="http://schemas.openxmlformats.org/officeDocument/2006/relationships/hyperlink" Target="https://ik.imagekit.io/alaaalaa6171/162%20Iron%20Pirate%20-%20General%20Franky%20-%20Medal%20_General%20Franky_%20_Colored_.png?updatedAt=1770076431640" TargetMode="External"/><Relationship Id="rId240" Type="http://schemas.openxmlformats.org/officeDocument/2006/relationships/hyperlink" Target="https://ik.imagekit.io/alaaalaa6171/301%20Seraphim%20-%20S-Bear%20-%20Medal%20_S_Bear_%20_Colored_.png?updatedAt=1770076458725" TargetMode="External"/><Relationship Id="rId1075" Type="http://schemas.openxmlformats.org/officeDocument/2006/relationships/hyperlink" Target="https://ik.imagekit.io/alaaalaa6171/162%20Iron%20Pirate%20-%20General%20Franky%20-%20Medal%20_General%20Franky_%20-%20Piece.png?updatedAt=1770076431622" TargetMode="External"/><Relationship Id="rId1076" Type="http://schemas.openxmlformats.org/officeDocument/2006/relationships/hyperlink" Target="https://ik.imagekit.io/alaaalaa6171/162%20Iron%20Pirate%20-%20General%20Franky%20-%20Medal%20_General%20Franky_%20-%20Piece%20_Colored_.png?updatedAt=1770076431593" TargetMode="External"/><Relationship Id="rId246" Type="http://schemas.openxmlformats.org/officeDocument/2006/relationships/hyperlink" Target="https://ik.imagekit.io/alaaalaa6171/300%20Punk-02%20-%20Lilith%20-%20Medal%20_Punk_02_%20_Colored_.png?updatedAt=1770076458782" TargetMode="External"/><Relationship Id="rId1077" Type="http://schemas.openxmlformats.org/officeDocument/2006/relationships/hyperlink" Target="https://i.postimg.cc/QVGRt5Zt/127.png" TargetMode="External"/><Relationship Id="rId245" Type="http://schemas.openxmlformats.org/officeDocument/2006/relationships/hyperlink" Target="https://ik.imagekit.io/alaaalaa6171/300%20Punk-02%20-%20Lilith%20-%20Medal%20_Punk_02_.png?updatedAt=1770076458652" TargetMode="External"/><Relationship Id="rId1078" Type="http://schemas.openxmlformats.org/officeDocument/2006/relationships/hyperlink" Target="https://i.postimg.cc/mgMcLwbq/img-icon-medal-310110162.png" TargetMode="External"/><Relationship Id="rId244" Type="http://schemas.openxmlformats.org/officeDocument/2006/relationships/hyperlink" Target="https://i.postimg.cc/hvfjH8ZB/img-icon-medal-310110301.png" TargetMode="External"/><Relationship Id="rId1079" Type="http://schemas.openxmlformats.org/officeDocument/2006/relationships/hyperlink" Target="https://ik.imagekit.io/alaaalaa6171/161%20Savior%20-%20God%20Usopp%20-%20Medal%20_God%20Usopp_.png?updatedAt=1770076431632" TargetMode="External"/><Relationship Id="rId243" Type="http://schemas.openxmlformats.org/officeDocument/2006/relationships/hyperlink" Target="https://i.postimg.cc/d3s4xNdz/266.png" TargetMode="External"/><Relationship Id="rId239" Type="http://schemas.openxmlformats.org/officeDocument/2006/relationships/hyperlink" Target="https://ik.imagekit.io/alaaalaa6171/301%20Seraphim%20-%20S-Bear%20-%20Medal%20_S_Bear_.png?updatedAt=1770076458714" TargetMode="External"/><Relationship Id="rId238" Type="http://schemas.openxmlformats.org/officeDocument/2006/relationships/hyperlink" Target="https://i.postimg.cc/x8cCWGpQ/img-icon-medal-310110302.png" TargetMode="External"/><Relationship Id="rId237" Type="http://schemas.openxmlformats.org/officeDocument/2006/relationships/hyperlink" Target="https://i.postimg.cc/Gh2X4zdN/267.png" TargetMode="External"/><Relationship Id="rId236" Type="http://schemas.openxmlformats.org/officeDocument/2006/relationships/hyperlink" Target="https://ik.imagekit.io/alaaalaa6171/302%20Punk-05%20-%20Atlas%20-%20Medal%20_Punk_05_%20-%20Piece%20_Colored_.png?updatedAt=1770076458694" TargetMode="External"/><Relationship Id="rId1060" Type="http://schemas.openxmlformats.org/officeDocument/2006/relationships/hyperlink" Target="https://i.postimg.cc/2SvqkwzP/img-icon-medal-310110165.png" TargetMode="External"/><Relationship Id="rId1061" Type="http://schemas.openxmlformats.org/officeDocument/2006/relationships/hyperlink" Target="https://ik.imagekit.io/alaaalaa6171/164%20King%20of%20the%20Day%20-%20Dogstorm%20-%20Medal%20_Duke%20Dogstorm_.png?updatedAt=1770076431726" TargetMode="External"/><Relationship Id="rId231" Type="http://schemas.openxmlformats.org/officeDocument/2006/relationships/hyperlink" Target="https://i.postimg.cc/m258CMrr/268.png" TargetMode="External"/><Relationship Id="rId1062" Type="http://schemas.openxmlformats.org/officeDocument/2006/relationships/hyperlink" Target="https://ik.imagekit.io/alaaalaa6171/164%20King%20of%20the%20Day%20-%20Dogstorm%20-%20Medal%20_Duke%20Dogstorm_%20_Colored_.png?updatedAt=1770076431659" TargetMode="External"/><Relationship Id="rId230" Type="http://schemas.openxmlformats.org/officeDocument/2006/relationships/hyperlink" Target="https://ik.imagekit.io/alaaalaa6171/303%20Punk-06%20-%20York%20-%20Medal%20_Punk_06_%20-%20Piece%20_Colored_.png?updatedAt=1770076458691" TargetMode="External"/><Relationship Id="rId1063" Type="http://schemas.openxmlformats.org/officeDocument/2006/relationships/hyperlink" Target="https://ik.imagekit.io/alaaalaa6171/164%20King%20of%20the%20Day%20-%20Dogstorm%20-%20Medal%20_Duke%20Dogstorm_%20-%20Piece.png?updatedAt=1770076431665" TargetMode="External"/><Relationship Id="rId1064" Type="http://schemas.openxmlformats.org/officeDocument/2006/relationships/hyperlink" Target="https://ik.imagekit.io/alaaalaa6171/164%20King%20of%20the%20Day%20-%20Dogstorm%20-%20Medal%20_Duke%20Dogstorm_%20-%20Piece%20_Colored_.png?updatedAt=1770076431671" TargetMode="External"/><Relationship Id="rId1065" Type="http://schemas.openxmlformats.org/officeDocument/2006/relationships/hyperlink" Target="https://i.postimg.cc/3RWMbYZK/129.png" TargetMode="External"/><Relationship Id="rId235" Type="http://schemas.openxmlformats.org/officeDocument/2006/relationships/hyperlink" Target="https://ik.imagekit.io/alaaalaa6171/302%20Punk-05%20-%20Atlas%20-%20Medal%20_Punk_05_%20-%20Piece.png?updatedAt=1770076458775" TargetMode="External"/><Relationship Id="rId1066" Type="http://schemas.openxmlformats.org/officeDocument/2006/relationships/hyperlink" Target="https://i.postimg.cc/rwWdVJ83/img-icon-medal-310110163.png" TargetMode="External"/><Relationship Id="rId234" Type="http://schemas.openxmlformats.org/officeDocument/2006/relationships/hyperlink" Target="https://ik.imagekit.io/alaaalaa6171/302%20Punk-05%20-%20Atlas%20-%20Medal%20_Punk_05_%20_Colored_.png?updatedAt=1770076458670" TargetMode="External"/><Relationship Id="rId1067" Type="http://schemas.openxmlformats.org/officeDocument/2006/relationships/hyperlink" Target="https://ik.imagekit.io/alaaalaa6171/163%20The%20Guardian%20of%20the%20Forest%20-%20Gaimon%20-%20Medal%20_Gaimon_.png?updatedAt=1770076431648" TargetMode="External"/><Relationship Id="rId233" Type="http://schemas.openxmlformats.org/officeDocument/2006/relationships/hyperlink" Target="https://ik.imagekit.io/alaaalaa6171/302%20Punk-05%20-%20Atlas%20-%20Medal%20_Punk_05_.png?updatedAt=1770076458752" TargetMode="External"/><Relationship Id="rId1068" Type="http://schemas.openxmlformats.org/officeDocument/2006/relationships/hyperlink" Target="https://ik.imagekit.io/alaaalaa6171/163%20The%20Guardian%20of%20the%20Forest%20-%20Gaimon%20-%20Medal%20_Gaimon_%20_Colored_.png?updatedAt=1770076431705" TargetMode="External"/><Relationship Id="rId232" Type="http://schemas.openxmlformats.org/officeDocument/2006/relationships/hyperlink" Target="https://i.postimg.cc/D08ZtQpF/img-icon-medal-310110303.png" TargetMode="External"/><Relationship Id="rId1069" Type="http://schemas.openxmlformats.org/officeDocument/2006/relationships/hyperlink" Target="https://ik.imagekit.io/alaaalaa6171/163%20The%20Guardian%20of%20the%20Forest%20-%20Gaimon%20-%20Medal%20_Gaimon_%20-%20Piece.png?updatedAt=1770076431689" TargetMode="External"/><Relationship Id="rId1015" Type="http://schemas.openxmlformats.org/officeDocument/2006/relationships/hyperlink" Target="https://ik.imagekit.io/alaaalaa6171/172%20Baroque%20Works_Officer%20Agent%20-%20Mr.%203%20-%20Medal%20_Galdino_%20-%20Piece.png?updatedAt=1770076432643" TargetMode="External"/><Relationship Id="rId1499" Type="http://schemas.openxmlformats.org/officeDocument/2006/relationships/hyperlink" Target="https://ik.imagekit.io/alaaalaa6171/091%20The%20Seven%20Warlords%20of%20the%20Sea%20-%20Jinbe%20-%20Medal%20_Jinbe_.png?updatedAt=1770076418277" TargetMode="External"/><Relationship Id="rId1016" Type="http://schemas.openxmlformats.org/officeDocument/2006/relationships/hyperlink" Target="https://ik.imagekit.io/alaaalaa6171/172%20Baroque%20Works_Officer%20Agent%20-%20Mr.%203%20-%20Medal%20_Galdino_%20-%20Piece%20_Colored_.png?updatedAt=1770076432524" TargetMode="External"/><Relationship Id="rId1017" Type="http://schemas.openxmlformats.org/officeDocument/2006/relationships/hyperlink" Target="https://i.postimg.cc/3N4TWYyL/137.png" TargetMode="External"/><Relationship Id="rId1018" Type="http://schemas.openxmlformats.org/officeDocument/2006/relationships/hyperlink" Target="https://i.postimg.cc/9QT4mpmc/img-icon-medal-310110172.png" TargetMode="External"/><Relationship Id="rId1019" Type="http://schemas.openxmlformats.org/officeDocument/2006/relationships/hyperlink" Target="https://ik.imagekit.io/alaaalaa6171/171%20Raid%20on%20Onigashima%20-%20Trafalger%20Law%20-%20Medal%20_Raid%20Law_.png?updatedAt=1770076432377" TargetMode="External"/><Relationship Id="rId668" Type="http://schemas.openxmlformats.org/officeDocument/2006/relationships/hyperlink" Target="https://ik.imagekit.io/alaaalaa6171/230%20Top%20Secret%20Special%20Force%20Captain%20of%20'Sword'%20-%20X.%20Drake%20-%20Medal%20_X%20Calibur_%20-%20Piece%20_Colored_.png?updatedAt=1770076447577" TargetMode="External"/><Relationship Id="rId667" Type="http://schemas.openxmlformats.org/officeDocument/2006/relationships/hyperlink" Target="https://ik.imagekit.io/alaaalaa6171/230%20Top%20Secret%20Special%20Force%20Captain%20of%20'Sword'%20-%20X.%20Drake%20-%20Medal%20_X%20Calibur_%20-%20Piece.png?updatedAt=1770076447571" TargetMode="External"/><Relationship Id="rId666" Type="http://schemas.openxmlformats.org/officeDocument/2006/relationships/hyperlink" Target="https://ik.imagekit.io/alaaalaa6171/230%20Top%20Secret%20Special%20Force%20Captain%20of%20'Sword'%20-%20X.%20Drake%20-%20Medal%20_X%20Calibur_%20_Colored_.png?updatedAt=1770076447578" TargetMode="External"/><Relationship Id="rId665" Type="http://schemas.openxmlformats.org/officeDocument/2006/relationships/hyperlink" Target="https://ik.imagekit.io/alaaalaa6171/230%20Top%20Secret%20Special%20Force%20Captain%20of%20'Sword'%20-%20X.%20Drake%20-%20Medal%20_X%20Calibur_.png?updatedAt=1770076447667" TargetMode="External"/><Relationship Id="rId669" Type="http://schemas.openxmlformats.org/officeDocument/2006/relationships/hyperlink" Target="https://i.postimg.cc/0NQDKvpy/195.png" TargetMode="External"/><Relationship Id="rId1490" Type="http://schemas.openxmlformats.org/officeDocument/2006/relationships/hyperlink" Target="https://ik.imagekit.io/alaaalaa6171/093%20Firetank%20Pirates_Godfather%20-%20Capone%20Bege%20-%20Medal%20_Bege_%20-%20Piece%20_Colored_.png?updatedAt=1770076420273" TargetMode="External"/><Relationship Id="rId660" Type="http://schemas.openxmlformats.org/officeDocument/2006/relationships/hyperlink" Target="https://ik.imagekit.io/alaaalaa6171/231%20Animal%20Kingdom%20Pirates_Lead%20Performer%20-%20King%20-%20Medal%20_King_%20_Colored_.png?updatedAt=1770076447601" TargetMode="External"/><Relationship Id="rId1491" Type="http://schemas.openxmlformats.org/officeDocument/2006/relationships/hyperlink" Target="https://i.postimg.cc/Kcq72Fr6/058.png" TargetMode="External"/><Relationship Id="rId1492" Type="http://schemas.openxmlformats.org/officeDocument/2006/relationships/hyperlink" Target="https://i.postimg.cc/jqgnZ2gk/img-icon-medal-310110092.png" TargetMode="External"/><Relationship Id="rId1493" Type="http://schemas.openxmlformats.org/officeDocument/2006/relationships/hyperlink" Target="https://ik.imagekit.io/alaaalaa6171/092%20Whole%20Cake%20Island%20-%20Sanji%20-%20Medal%20_Boeuf%20Jarret%20Jarrer_.png?updatedAt=1770076419639" TargetMode="External"/><Relationship Id="rId1010" Type="http://schemas.openxmlformats.org/officeDocument/2006/relationships/hyperlink" Target="https://ik.imagekit.io/alaaalaa6171/173%20Baroque%20Works_Officer%20Agent%20-%20Ms.%20Goldenweek%20-%20Medal%20_Ms.%20Goldenweek_%20-%20Piece%20_Colored_.png?updatedAt=1770076435511" TargetMode="External"/><Relationship Id="rId1494" Type="http://schemas.openxmlformats.org/officeDocument/2006/relationships/hyperlink" Target="https://ik.imagekit.io/alaaalaa6171/092%20Whole%20Cake%20Island%20-%20Sanji%20-%20Medal%20_Boeuf%20Jarret%20Jarrer_%20_Colored_.png?updatedAt=1770076419012" TargetMode="External"/><Relationship Id="rId664" Type="http://schemas.openxmlformats.org/officeDocument/2006/relationships/hyperlink" Target="https://i.postimg.cc/vmtc9Z6w/img-icon-medal-310110231.png" TargetMode="External"/><Relationship Id="rId1011" Type="http://schemas.openxmlformats.org/officeDocument/2006/relationships/hyperlink" Target="https://i.postimg.cc/pT1v2pdh/138.png" TargetMode="External"/><Relationship Id="rId1495" Type="http://schemas.openxmlformats.org/officeDocument/2006/relationships/hyperlink" Target="https://ik.imagekit.io/alaaalaa6171/092%20Whole%20Cake%20Island%20-%20Sanji%20-%20Medal%20_Boeuf%20Jarret%20Jarrer_%20-%20Piece.png?updatedAt=1770076418889" TargetMode="External"/><Relationship Id="rId663" Type="http://schemas.openxmlformats.org/officeDocument/2006/relationships/hyperlink" Target="https://i.postimg.cc/PfZZw28Y/196.png" TargetMode="External"/><Relationship Id="rId1012" Type="http://schemas.openxmlformats.org/officeDocument/2006/relationships/hyperlink" Target="https://i.postimg.cc/6pR7W0Ww/img-icon-medal-310110173.png" TargetMode="External"/><Relationship Id="rId1496" Type="http://schemas.openxmlformats.org/officeDocument/2006/relationships/hyperlink" Target="https://ik.imagekit.io/alaaalaa6171/092%20Whole%20Cake%20Island%20-%20Sanji%20-%20Medal%20_Boeuf%20Jarret%20Jarrer_%20-%20Piece%20_Colored_.png?updatedAt=1770076418495" TargetMode="External"/><Relationship Id="rId662" Type="http://schemas.openxmlformats.org/officeDocument/2006/relationships/hyperlink" Target="https://ik.imagekit.io/alaaalaa6171/231%20Animal%20Kingdom%20Pirates_Lead%20Performer%20-%20King%20-%20Medal%20_King_%20-%20Piece%20_Colored_.png?updatedAt=1770076447651" TargetMode="External"/><Relationship Id="rId1013" Type="http://schemas.openxmlformats.org/officeDocument/2006/relationships/hyperlink" Target="https://ik.imagekit.io/alaaalaa6171/172%20Baroque%20Works_Officer%20Agent%20-%20Mr.%203%20-%20Medal%20_Galdino_.png?updatedAt=1770076432530" TargetMode="External"/><Relationship Id="rId1497" Type="http://schemas.openxmlformats.org/officeDocument/2006/relationships/hyperlink" Target="https://i.postimg.cc/TYKV2Stp/057.png" TargetMode="External"/><Relationship Id="rId661" Type="http://schemas.openxmlformats.org/officeDocument/2006/relationships/hyperlink" Target="https://ik.imagekit.io/alaaalaa6171/231%20Animal%20Kingdom%20Pirates_Lead%20Performer%20-%20King%20-%20Medal%20_King_%20-%20Piece.png?updatedAt=1770076447648" TargetMode="External"/><Relationship Id="rId1014" Type="http://schemas.openxmlformats.org/officeDocument/2006/relationships/hyperlink" Target="https://ik.imagekit.io/alaaalaa6171/172%20Baroque%20Works_Officer%20Agent%20-%20Mr.%203%20-%20Medal%20_Galdino_%20_Colored_.png?updatedAt=1770076432514" TargetMode="External"/><Relationship Id="rId1498" Type="http://schemas.openxmlformats.org/officeDocument/2006/relationships/hyperlink" Target="https://i.postimg.cc/rynRQsnJ/img-icon-medal-310110091.png" TargetMode="External"/><Relationship Id="rId1004" Type="http://schemas.openxmlformats.org/officeDocument/2006/relationships/hyperlink" Target="https://ik.imagekit.io/alaaalaa6171/174%20Lieutenant%20Royal%20Guard%20of%20Alabasta%20-%20Pell%20-%20Medal%20_Pell_%20-%20Piece%20_Colored_.png?updatedAt=1770076436454" TargetMode="External"/><Relationship Id="rId1488" Type="http://schemas.openxmlformats.org/officeDocument/2006/relationships/hyperlink" Target="https://ik.imagekit.io/alaaalaa6171/093%20Firetank%20Pirates_Godfather%20-%20Capone%20Bege%20-%20Medal%20_Bege_%20_Colored_.png?updatedAt=1770076420512" TargetMode="External"/><Relationship Id="rId1005" Type="http://schemas.openxmlformats.org/officeDocument/2006/relationships/hyperlink" Target="https://i.postimg.cc/sX2ydp3C/139.png" TargetMode="External"/><Relationship Id="rId1489" Type="http://schemas.openxmlformats.org/officeDocument/2006/relationships/hyperlink" Target="https://ik.imagekit.io/alaaalaa6171/093%20Firetank%20Pirates_Godfather%20-%20Capone%20Bege%20-%20Medal%20_Bege_%20-%20Piece.png?updatedAt=1770076420507" TargetMode="External"/><Relationship Id="rId1006" Type="http://schemas.openxmlformats.org/officeDocument/2006/relationships/hyperlink" Target="https://i.postimg.cc/qvntJLJJ/img-icon-medal-310110174.png" TargetMode="External"/><Relationship Id="rId1007" Type="http://schemas.openxmlformats.org/officeDocument/2006/relationships/hyperlink" Target="https://ik.imagekit.io/alaaalaa6171/173%20Baroque%20Works_Officer%20Agent%20-%20Ms.%20Goldenweek%20-%20Medal%20_Ms.%20Goldenweek_.png?updatedAt=1770076436413" TargetMode="External"/><Relationship Id="rId1008" Type="http://schemas.openxmlformats.org/officeDocument/2006/relationships/hyperlink" Target="https://ik.imagekit.io/alaaalaa6171/173%20Baroque%20Works_Officer%20Agent%20-%20Ms.%20Goldenweek%20-%20Medal%20_Ms.%20Goldenweek_%20_Colored_.png?updatedAt=1770076436442" TargetMode="External"/><Relationship Id="rId1009" Type="http://schemas.openxmlformats.org/officeDocument/2006/relationships/hyperlink" Target="https://ik.imagekit.io/alaaalaa6171/173%20Baroque%20Works_Officer%20Agent%20-%20Ms.%20Goldenweek%20-%20Medal%20_Ms.%20Goldenweek_%20-%20Piece.png?updatedAt=1770076435746" TargetMode="External"/><Relationship Id="rId657" Type="http://schemas.openxmlformats.org/officeDocument/2006/relationships/hyperlink" Target="https://i.postimg.cc/MHkQLjgn/197.png" TargetMode="External"/><Relationship Id="rId656" Type="http://schemas.openxmlformats.org/officeDocument/2006/relationships/hyperlink" Target="https://ik.imagekit.io/alaaalaa6171/232%20ODYSSEY%20-%20Adio%20Suerte%20-%20Medal%20_Adio_%20-%20Piece%20_Colored_.png?updatedAt=1770076447617" TargetMode="External"/><Relationship Id="rId655" Type="http://schemas.openxmlformats.org/officeDocument/2006/relationships/hyperlink" Target="https://ik.imagekit.io/alaaalaa6171/232%20ODYSSEY%20-%20Adio%20Suerte%20-%20Medal%20_Adio_%20-%20Piece.png?updatedAt=1770076447618" TargetMode="External"/><Relationship Id="rId654" Type="http://schemas.openxmlformats.org/officeDocument/2006/relationships/hyperlink" Target="https://ik.imagekit.io/alaaalaa6171/232%20ODYSSEY%20-%20Adio%20Suerte%20-%20Medal%20_Adio_%20_Colored_.png?updatedAt=1770076447647" TargetMode="External"/><Relationship Id="rId659" Type="http://schemas.openxmlformats.org/officeDocument/2006/relationships/hyperlink" Target="https://ik.imagekit.io/alaaalaa6171/231%20Animal%20Kingdom%20Pirates_Lead%20Performer%20-%20King%20-%20Medal%20_King_.png?updatedAt=1770076447601" TargetMode="External"/><Relationship Id="rId658" Type="http://schemas.openxmlformats.org/officeDocument/2006/relationships/hyperlink" Target="https://i.postimg.cc/TPJpm3W6/img-icon-medal-310110232.png" TargetMode="External"/><Relationship Id="rId1480" Type="http://schemas.openxmlformats.org/officeDocument/2006/relationships/hyperlink" Target="https://i.postimg.cc/44LHByLS/img-icon-medal-310110094.png" TargetMode="External"/><Relationship Id="rId1481" Type="http://schemas.openxmlformats.org/officeDocument/2006/relationships/hyperlink" Target="https://ik.imagekit.io/alaaalaa6171/094%20Germa%2066%20-%20Vinsmoke%20Reiju%20-%20Medal%20_Reiju_.png?updatedAt=1770076420849" TargetMode="External"/><Relationship Id="rId1482" Type="http://schemas.openxmlformats.org/officeDocument/2006/relationships/hyperlink" Target="https://ik.imagekit.io/alaaalaa6171/094%20Germa%2066%20-%20Vinsmoke%20Reiju%20-%20Medal%20_Reiju_%20_Colored_.png?updatedAt=1770076420857" TargetMode="External"/><Relationship Id="rId1483" Type="http://schemas.openxmlformats.org/officeDocument/2006/relationships/hyperlink" Target="https://ik.imagekit.io/alaaalaa6171/094%20Germa%2066%20-%20Vinsmoke%20Reiju%20-%20Medal%20_Reiju_%20-%20Piece.png?updatedAt=1770076420791" TargetMode="External"/><Relationship Id="rId653" Type="http://schemas.openxmlformats.org/officeDocument/2006/relationships/hyperlink" Target="https://ik.imagekit.io/alaaalaa6171/232%20ODYSSEY%20-%20Adio%20Suerte%20-%20Medal%20_Adio_.png?updatedAt=1770076447661" TargetMode="External"/><Relationship Id="rId1000" Type="http://schemas.openxmlformats.org/officeDocument/2006/relationships/hyperlink" Target="https://i.postimg.cc/cLYKxmxs/img-icon-medal-310110175.png" TargetMode="External"/><Relationship Id="rId1484" Type="http://schemas.openxmlformats.org/officeDocument/2006/relationships/hyperlink" Target="https://ik.imagekit.io/alaaalaa6171/094%20Germa%2066%20-%20Vinsmoke%20Reiju%20-%20Medal%20_Reiju_%20-%20Piece%20_Colored_.png?updatedAt=1770076420850" TargetMode="External"/><Relationship Id="rId652" Type="http://schemas.openxmlformats.org/officeDocument/2006/relationships/hyperlink" Target="https://i.postimg.cc/4d4n1RpS/img-icon-medal-310110234.png" TargetMode="External"/><Relationship Id="rId1001" Type="http://schemas.openxmlformats.org/officeDocument/2006/relationships/hyperlink" Target="https://ik.imagekit.io/alaaalaa6171/174%20Lieutenant%20Royal%20Guard%20of%20Alabasta%20-%20Pell%20-%20Medal%20_Pell_.png?updatedAt=1770076436886" TargetMode="External"/><Relationship Id="rId1485" Type="http://schemas.openxmlformats.org/officeDocument/2006/relationships/hyperlink" Target="https://i.postimg.cc/FzB0ggHr/059.png" TargetMode="External"/><Relationship Id="rId651" Type="http://schemas.openxmlformats.org/officeDocument/2006/relationships/hyperlink" Target="https://i.postimg.cc/PqRZm74z/198.png" TargetMode="External"/><Relationship Id="rId1002" Type="http://schemas.openxmlformats.org/officeDocument/2006/relationships/hyperlink" Target="https://ik.imagekit.io/alaaalaa6171/174%20Lieutenant%20Royal%20Guard%20of%20Alabasta%20-%20Pell%20-%20Medal%20_Pell_%20_Colored_.png?updatedAt=1770076436576" TargetMode="External"/><Relationship Id="rId1486" Type="http://schemas.openxmlformats.org/officeDocument/2006/relationships/hyperlink" Target="https://i.postimg.cc/Kcq3JjqW/img-icon-medal-310110093.png" TargetMode="External"/><Relationship Id="rId650" Type="http://schemas.openxmlformats.org/officeDocument/2006/relationships/hyperlink" Target="https://ik.imagekit.io/alaaalaa6171/233%20Battle%20of%20Monsters%20on%20Onigashima%20-%20Olin%20the%20Oiran%20-%20Medal%20_Olin_%20-%20Piece%20_Colored_.png?updatedAt=1770076447655" TargetMode="External"/><Relationship Id="rId1003" Type="http://schemas.openxmlformats.org/officeDocument/2006/relationships/hyperlink" Target="https://ik.imagekit.io/alaaalaa6171/174%20Lieutenant%20Royal%20Guard%20of%20Alabasta%20-%20Pell%20-%20Medal%20_Pell_%20-%20Piece.png?updatedAt=1770076436612" TargetMode="External"/><Relationship Id="rId1487" Type="http://schemas.openxmlformats.org/officeDocument/2006/relationships/hyperlink" Target="https://ik.imagekit.io/alaaalaa6171/093%20Firetank%20Pirates_Godfather%20-%20Capone%20Bege%20-%20Medal%20_Bege_.png?updatedAt=1770076420530" TargetMode="External"/><Relationship Id="rId1037" Type="http://schemas.openxmlformats.org/officeDocument/2006/relationships/hyperlink" Target="https://ik.imagekit.io/alaaalaa6171/168%20Raid%20on%20Onigashima%20-%20Monkey%20D.%20Luffy%20-%20Medal%20_Raid%20Luffy_.png?updatedAt=1770076431806" TargetMode="External"/><Relationship Id="rId1038" Type="http://schemas.openxmlformats.org/officeDocument/2006/relationships/hyperlink" Target="https://ik.imagekit.io/alaaalaa6171/168%20Raid%20on%20Onigashima%20-%20Monkey%20D.%20Luffy%20-%20Medal%20_Raid%20Luffy_%20_Colored_.png?updatedAt=1770076431733" TargetMode="External"/><Relationship Id="rId1039" Type="http://schemas.openxmlformats.org/officeDocument/2006/relationships/hyperlink" Target="https://ik.imagekit.io/alaaalaa6171/168%20Raid%20on%20Onigashima%20-%20Monkey%20D.%20Luffy%20-%20Medal%20_Raid%20Luffy_%20-%20Piece.png?updatedAt=1770076431733" TargetMode="External"/><Relationship Id="rId206" Type="http://schemas.openxmlformats.org/officeDocument/2006/relationships/hyperlink" Target="https://ik.imagekit.io/alaaalaa6171/307%20Navy%20HQ_Lt.%20Commander%20-%20Helmeppo%20-%20Medal%20_Lt.%20Commander%20Helmeppo_%20-%20Piece%20_Colored_.png?updatedAt=1770076465476" TargetMode="External"/><Relationship Id="rId205" Type="http://schemas.openxmlformats.org/officeDocument/2006/relationships/hyperlink" Target="https://ik.imagekit.io/alaaalaa6171/307%20Navy%20HQ_Lt.%20Commander%20-%20Helmeppo%20-%20Medal%20_Lt.%20Commander%20Helmeppo_%20-%20Piece.png?updatedAt=1770076465479" TargetMode="External"/><Relationship Id="rId689" Type="http://schemas.openxmlformats.org/officeDocument/2006/relationships/hyperlink" Target="https://ik.imagekit.io/alaaalaa6171/226%20Don%20Quixote%20Pirates_Supreme%20Officer%20-%20Trebol%20-%20Medal%20_Trebol_.png?updatedAt=1770076446120" TargetMode="External"/><Relationship Id="rId204" Type="http://schemas.openxmlformats.org/officeDocument/2006/relationships/hyperlink" Target="https://ik.imagekit.io/alaaalaa6171/307%20Navy%20HQ_Lt.%20Commander%20-%20Helmeppo%20-%20Medal%20_Lt.%20Commander%20Helmeppo_%20_Colored_.png?updatedAt=1770076465504" TargetMode="External"/><Relationship Id="rId688" Type="http://schemas.openxmlformats.org/officeDocument/2006/relationships/hyperlink" Target="https://i.postimg.cc/W4whr1qx/img-icon-medal-310110227.png" TargetMode="External"/><Relationship Id="rId203" Type="http://schemas.openxmlformats.org/officeDocument/2006/relationships/hyperlink" Target="https://ik.imagekit.io/alaaalaa6171/307%20Navy%20HQ_Lt.%20Commander%20-%20Helmeppo%20-%20Medal%20_Lt.%20Commander%20Helmeppo_.png?updatedAt=1770076465944" TargetMode="External"/><Relationship Id="rId687" Type="http://schemas.openxmlformats.org/officeDocument/2006/relationships/hyperlink" Target="https://i.postimg.cc/BZxN9Rws/192.png" TargetMode="External"/><Relationship Id="rId209" Type="http://schemas.openxmlformats.org/officeDocument/2006/relationships/hyperlink" Target="https://ik.imagekit.io/alaaalaa6171/306%20Egghead%20-%20Jewelry%20Bonney%20-%20Medal%20_Egghead%20Bonney_.png?updatedAt=1770076465190" TargetMode="External"/><Relationship Id="rId208" Type="http://schemas.openxmlformats.org/officeDocument/2006/relationships/hyperlink" Target="https://i.postimg.cc/Vvd639Zf/img-icon-medal-310110307.png" TargetMode="External"/><Relationship Id="rId207" Type="http://schemas.openxmlformats.org/officeDocument/2006/relationships/hyperlink" Target="https://i.postimg.cc/Kzd7hg6b/272.png" TargetMode="External"/><Relationship Id="rId682" Type="http://schemas.openxmlformats.org/officeDocument/2006/relationships/hyperlink" Target="https://i.postimg.cc/43QmtxHr/img-icon-medal-310110228.png" TargetMode="External"/><Relationship Id="rId681" Type="http://schemas.openxmlformats.org/officeDocument/2006/relationships/hyperlink" Target="https://i.postimg.cc/mkGw1Sk0/193.png" TargetMode="External"/><Relationship Id="rId1030" Type="http://schemas.openxmlformats.org/officeDocument/2006/relationships/hyperlink" Target="https://i.postimg.cc/pL89WZWM/img-icon-medal-310110170.png" TargetMode="External"/><Relationship Id="rId680" Type="http://schemas.openxmlformats.org/officeDocument/2006/relationships/hyperlink" Target="https://ik.imagekit.io/alaaalaa6171/228%20Kozuki%20Clan_Servant%20-%20Raizo%20-%20Medal%20_Raizo_%20-%20Piece%20_Colored_.png?updatedAt=1770076447499" TargetMode="External"/><Relationship Id="rId1031" Type="http://schemas.openxmlformats.org/officeDocument/2006/relationships/hyperlink" Target="https://ik.imagekit.io/alaaalaa6171/169%20Impel%20Down_Prisoner%20-%20Bon%20Clay,%20aka%20Mr.%202%20-%20Medal%20_Memoir%20of%20that%20Summer%20Day_.png?updatedAt=1770076431969" TargetMode="External"/><Relationship Id="rId1032" Type="http://schemas.openxmlformats.org/officeDocument/2006/relationships/hyperlink" Target="https://ik.imagekit.io/alaaalaa6171/169%20Impel%20Down_Prisoner%20-%20Bon%20Clay,%20aka%20Mr.%202%20-%20Medal%20_Memoir%20of%20that%20Summer%20Day_%20_Colored_.png?updatedAt=1770076431734" TargetMode="External"/><Relationship Id="rId202" Type="http://schemas.openxmlformats.org/officeDocument/2006/relationships/hyperlink" Target="https://i.postimg.cc/HnRxHJFG/img-icon-medal-310110308.png" TargetMode="External"/><Relationship Id="rId686" Type="http://schemas.openxmlformats.org/officeDocument/2006/relationships/hyperlink" Target="https://ik.imagekit.io/alaaalaa6171/227%20Veteran%20Kunoichi%20-%20Shinobu%20-%20Medal%20_Shinobu_%20-%20Piece%20_Colored_.png?updatedAt=1770076446591" TargetMode="External"/><Relationship Id="rId1033" Type="http://schemas.openxmlformats.org/officeDocument/2006/relationships/hyperlink" Target="https://ik.imagekit.io/alaaalaa6171/169%20Impel%20Down_Prisoner%20-%20Bon%20Clay,%20aka%20Mr.%202%20-%20Medal%20_Memoir%20of%20that%20Summer%20Day_%20-%20Piece.png?updatedAt=1770076431727" TargetMode="External"/><Relationship Id="rId201" Type="http://schemas.openxmlformats.org/officeDocument/2006/relationships/hyperlink" Target="https://i.postimg.cc/tCSbpPSm/273.png" TargetMode="External"/><Relationship Id="rId685" Type="http://schemas.openxmlformats.org/officeDocument/2006/relationships/hyperlink" Target="https://ik.imagekit.io/alaaalaa6171/227%20Veteran%20Kunoichi%20-%20Shinobu%20-%20Medal%20_Shinobu_%20-%20Piece.png?updatedAt=1770076447258" TargetMode="External"/><Relationship Id="rId1034" Type="http://schemas.openxmlformats.org/officeDocument/2006/relationships/hyperlink" Target="https://ik.imagekit.io/alaaalaa6171/169%20Impel%20Down_Prisoner%20-%20Bon%20Clay,%20aka%20Mr.%202%20-%20Medal%20_Memoir%20of%20that%20Summer%20Day_%20-%20Piece%20_Colored_.png?updatedAt=1770076431707" TargetMode="External"/><Relationship Id="rId200" Type="http://schemas.openxmlformats.org/officeDocument/2006/relationships/hyperlink" Target="https://ik.imagekit.io/alaaalaa6171/308%20Legendary%20Hero%20-%20Monkey%20D.%20Garp%20-%20Medal%20_Galaxy%20Impact_%20-%20Piece%20_Colored_.png?updatedAt=1770076465495" TargetMode="External"/><Relationship Id="rId684" Type="http://schemas.openxmlformats.org/officeDocument/2006/relationships/hyperlink" Target="https://ik.imagekit.io/alaaalaa6171/227%20Veteran%20Kunoichi%20-%20Shinobu%20-%20Medal%20_Shinobu_%20_Colored_.png?updatedAt=1770076447297" TargetMode="External"/><Relationship Id="rId1035" Type="http://schemas.openxmlformats.org/officeDocument/2006/relationships/hyperlink" Target="https://i.postimg.cc/9F92hXH0/134.png" TargetMode="External"/><Relationship Id="rId683" Type="http://schemas.openxmlformats.org/officeDocument/2006/relationships/hyperlink" Target="https://ik.imagekit.io/alaaalaa6171/227%20Veteran%20Kunoichi%20-%20Shinobu%20-%20Medal%20_Shinobu_.png?updatedAt=1770076447506" TargetMode="External"/><Relationship Id="rId1036" Type="http://schemas.openxmlformats.org/officeDocument/2006/relationships/hyperlink" Target="https://i.postimg.cc/MpRc6D62/img-icon-medal-310110168.png" TargetMode="External"/><Relationship Id="rId1026" Type="http://schemas.openxmlformats.org/officeDocument/2006/relationships/hyperlink" Target="https://ik.imagekit.io/alaaalaa6171/170%20Raid%20on%20Onigashima%20-%20Eustass%20Kid%20-%20Medal%20_Raid%20Kid_%20_Colored_.png?updatedAt=1770076431739" TargetMode="External"/><Relationship Id="rId1027" Type="http://schemas.openxmlformats.org/officeDocument/2006/relationships/hyperlink" Target="https://ik.imagekit.io/alaaalaa6171/170%20Raid%20on%20Onigashima%20-%20Eustass%20Kid%20-%20Medal%20_Raid%20Kid_%20-%20Piece.png?updatedAt=1770076431723" TargetMode="External"/><Relationship Id="rId1028" Type="http://schemas.openxmlformats.org/officeDocument/2006/relationships/hyperlink" Target="https://ik.imagekit.io/alaaalaa6171/170%20Raid%20on%20Onigashima%20-%20Eustass%20Kid%20-%20Medal%20_Raid%20Kid_%20-%20Piece%20_Colored_.png?updatedAt=1770076431730" TargetMode="External"/><Relationship Id="rId1029" Type="http://schemas.openxmlformats.org/officeDocument/2006/relationships/hyperlink" Target="https://i.postimg.cc/L4wSwY7G/135.png" TargetMode="External"/><Relationship Id="rId679" Type="http://schemas.openxmlformats.org/officeDocument/2006/relationships/hyperlink" Target="https://ik.imagekit.io/alaaalaa6171/228%20Kozuki%20Clan_Servant%20-%20Raizo%20-%20Medal%20_Raizo_%20-%20Piece.png?updatedAt=1770076447504" TargetMode="External"/><Relationship Id="rId678" Type="http://schemas.openxmlformats.org/officeDocument/2006/relationships/hyperlink" Target="https://ik.imagekit.io/alaaalaa6171/228%20Kozuki%20Clan_Servant%20-%20Raizo%20-%20Medal%20_Raizo_%20_Colored_.png?updatedAt=1770076447549" TargetMode="External"/><Relationship Id="rId677" Type="http://schemas.openxmlformats.org/officeDocument/2006/relationships/hyperlink" Target="https://ik.imagekit.io/alaaalaa6171/228%20Kozuki%20Clan_Servant%20-%20Raizo%20-%20Medal%20_Raizo_.png?updatedAt=1770076447552" TargetMode="External"/><Relationship Id="rId676" Type="http://schemas.openxmlformats.org/officeDocument/2006/relationships/hyperlink" Target="https://i.postimg.cc/BvBXDn1W/img-icon-medal-310110229.png" TargetMode="External"/><Relationship Id="rId671" Type="http://schemas.openxmlformats.org/officeDocument/2006/relationships/hyperlink" Target="https://ik.imagekit.io/alaaalaa6171/229%20Hyogoro%20Family_Big%20Boss%20-%20Hyogoro%20-%20Medal%20_Hyogoro_.png?updatedAt=1770076447674" TargetMode="External"/><Relationship Id="rId670" Type="http://schemas.openxmlformats.org/officeDocument/2006/relationships/hyperlink" Target="https://i.postimg.cc/6QfyRpGJ/img-icon-medal-310110230.png" TargetMode="External"/><Relationship Id="rId1020" Type="http://schemas.openxmlformats.org/officeDocument/2006/relationships/hyperlink" Target="https://ik.imagekit.io/alaaalaa6171/171%20Raid%20on%20Onigashima%20-%20Trafalger%20Law%20-%20Medal%20_Raid%20Law_%20_Colored_.png?updatedAt=1770076432381" TargetMode="External"/><Relationship Id="rId1021" Type="http://schemas.openxmlformats.org/officeDocument/2006/relationships/hyperlink" Target="https://ik.imagekit.io/alaaalaa6171/171%20Raid%20on%20Onigashima%20-%20Trafalger%20Law%20-%20Medal%20_Raid%20Law_%20-%20Piece.png?updatedAt=1770076432337" TargetMode="External"/><Relationship Id="rId675" Type="http://schemas.openxmlformats.org/officeDocument/2006/relationships/hyperlink" Target="https://i.postimg.cc/sXWm2LjY/194.png" TargetMode="External"/><Relationship Id="rId1022" Type="http://schemas.openxmlformats.org/officeDocument/2006/relationships/hyperlink" Target="https://ik.imagekit.io/alaaalaa6171/171%20Raid%20on%20Onigashima%20-%20Trafalger%20Law%20-%20Medal%20_Raid%20Law_%20-%20Piece%20_Colored_.png?updatedAt=1770076432320" TargetMode="External"/><Relationship Id="rId674" Type="http://schemas.openxmlformats.org/officeDocument/2006/relationships/hyperlink" Target="https://ik.imagekit.io/alaaalaa6171/229%20Hyogoro%20Family_Big%20Boss%20-%20Hyogoro%20-%20Medal%20_Hyogoro_%20-%20Piece%20_Colored_.png?updatedAt=1770076447571" TargetMode="External"/><Relationship Id="rId1023" Type="http://schemas.openxmlformats.org/officeDocument/2006/relationships/hyperlink" Target="https://i.postimg.cc/BbrGKkHJ/136.png" TargetMode="External"/><Relationship Id="rId673" Type="http://schemas.openxmlformats.org/officeDocument/2006/relationships/hyperlink" Target="https://ik.imagekit.io/alaaalaa6171/229%20Hyogoro%20Family_Big%20Boss%20-%20Hyogoro%20-%20Medal%20_Hyogoro_%20-%20Piece.png?updatedAt=1770076447639" TargetMode="External"/><Relationship Id="rId1024" Type="http://schemas.openxmlformats.org/officeDocument/2006/relationships/hyperlink" Target="https://i.postimg.cc/7Z7CHVHy/img-icon-medal-310110171.png" TargetMode="External"/><Relationship Id="rId672" Type="http://schemas.openxmlformats.org/officeDocument/2006/relationships/hyperlink" Target="https://ik.imagekit.io/alaaalaa6171/229%20Hyogoro%20Family_Big%20Boss%20-%20Hyogoro%20-%20Medal%20_Hyogoro_%20_Colored_.png?updatedAt=1770076447621" TargetMode="External"/><Relationship Id="rId1025" Type="http://schemas.openxmlformats.org/officeDocument/2006/relationships/hyperlink" Target="https://ik.imagekit.io/alaaalaa6171/170%20Raid%20on%20Onigashima%20-%20Eustass%20Kid%20-%20Medal%20_Raid%20Kid_.png?updatedAt=1770076431841" TargetMode="External"/><Relationship Id="rId190" Type="http://schemas.openxmlformats.org/officeDocument/2006/relationships/hyperlink" Target="https://i.postimg.cc/XqmJ3ZmR/img-icon-medal-310110310.png" TargetMode="External"/><Relationship Id="rId194" Type="http://schemas.openxmlformats.org/officeDocument/2006/relationships/hyperlink" Target="https://ik.imagekit.io/alaaalaa6171/309%20Navy%20HQ_Captain%20-%20Koby%20-%20Medal%20_The%20Future%20of%20the%20Navy_%20-%20Piece%20_Colored_.png?updatedAt=1770076465911" TargetMode="External"/><Relationship Id="rId193" Type="http://schemas.openxmlformats.org/officeDocument/2006/relationships/hyperlink" Target="https://ik.imagekit.io/alaaalaa6171/309%20Navy%20HQ_Captain%20-%20Koby%20-%20Medal%20_The%20Future%20of%20the%20Navy_%20-%20Piece.png?updatedAt=1770076465909" TargetMode="External"/><Relationship Id="rId192" Type="http://schemas.openxmlformats.org/officeDocument/2006/relationships/hyperlink" Target="https://ik.imagekit.io/alaaalaa6171/309%20Navy%20HQ_Captain%20-%20Koby%20-%20Medal%20_The%20Future%20of%20the%20Navy_%20_Colored_.png?updatedAt=1770076465976" TargetMode="External"/><Relationship Id="rId191" Type="http://schemas.openxmlformats.org/officeDocument/2006/relationships/hyperlink" Target="https://ik.imagekit.io/alaaalaa6171/309%20Navy%20HQ_Captain%20-%20Koby%20-%20Medal%20_The%20Future%20of%20the%20Navy_.png?updatedAt=1770076466022" TargetMode="External"/><Relationship Id="rId187" Type="http://schemas.openxmlformats.org/officeDocument/2006/relationships/hyperlink" Target="https://ik.imagekit.io/alaaalaa6171/310%20Blackbeard%20Pirates%20-%20Kuzan%20-%20Medal%20_Former%20Senior%20Apprentice_%20-%20Piece.png?updatedAt=1770076466042" TargetMode="External"/><Relationship Id="rId186" Type="http://schemas.openxmlformats.org/officeDocument/2006/relationships/hyperlink" Target="https://ik.imagekit.io/alaaalaa6171/310%20Blackbeard%20Pirates%20-%20Kuzan%20-%20Medal%20_Former%20Senior%20Apprentice_%20_Colored_.png?updatedAt=1770076466012" TargetMode="External"/><Relationship Id="rId185" Type="http://schemas.openxmlformats.org/officeDocument/2006/relationships/hyperlink" Target="https://ik.imagekit.io/alaaalaa6171/310%20Blackbeard%20Pirates%20-%20Kuzan%20-%20Medal%20_Former%20Senior%20Apprentice_.png?updatedAt=1770076465941" TargetMode="External"/><Relationship Id="rId184" Type="http://schemas.openxmlformats.org/officeDocument/2006/relationships/hyperlink" Target="https://i.postimg.cc/KjwzFKCS/img-icon-medal-310110311.png" TargetMode="External"/><Relationship Id="rId189" Type="http://schemas.openxmlformats.org/officeDocument/2006/relationships/hyperlink" Target="https://i.postimg.cc/4Nx90RW8/275.png" TargetMode="External"/><Relationship Id="rId188" Type="http://schemas.openxmlformats.org/officeDocument/2006/relationships/hyperlink" Target="https://ik.imagekit.io/alaaalaa6171/310%20Blackbeard%20Pirates%20-%20Kuzan%20-%20Medal%20_Former%20Senior%20Apprentice_%20-%20Piece%20_Colored_.png?updatedAt=1770076465921" TargetMode="External"/><Relationship Id="rId183" Type="http://schemas.openxmlformats.org/officeDocument/2006/relationships/hyperlink" Target="https://i.postimg.cc/P5L8tzsY/276.png" TargetMode="External"/><Relationship Id="rId182" Type="http://schemas.openxmlformats.org/officeDocument/2006/relationships/hyperlink" Target="https://ik.imagekit.io/alaaalaa6171/311%20Assistant%20Fish-Man%20Karate%20Master%20-%20Koala%20-%20Medal%20_Revolutionary%20Army%20Female%20Solider_%20-%20Piece%20_Colored_.png?updatedAt=1770076466044" TargetMode="External"/><Relationship Id="rId181" Type="http://schemas.openxmlformats.org/officeDocument/2006/relationships/hyperlink" Target="https://ik.imagekit.io/alaaalaa6171/311%20Assistant%20Fish-Man%20Karate%20Master%20-%20Koala%20-%20Medal%20_Revolutionary%20Army%20Female%20Solider_%20-%20Piece.png?updatedAt=1770076465941" TargetMode="External"/><Relationship Id="rId180" Type="http://schemas.openxmlformats.org/officeDocument/2006/relationships/hyperlink" Target="https://ik.imagekit.io/alaaalaa6171/311%20Assistant%20Fish-Man%20Karate%20Master%20-%20Koala%20-%20Medal%20_Revolutionary%20Army%20Female%20Solider_%20_Colored_.png?updatedAt=1770076465984" TargetMode="External"/><Relationship Id="rId176" Type="http://schemas.openxmlformats.org/officeDocument/2006/relationships/hyperlink" Target="https://ik.imagekit.io/alaaalaa6171/312%20Flame%20Emperor%20-%20Sabo%20-%20Medal%20_Rock%20Check_%20-%20Piece%20_Colored_.png?updatedAt=1770076465943" TargetMode="External"/><Relationship Id="rId175" Type="http://schemas.openxmlformats.org/officeDocument/2006/relationships/hyperlink" Target="https://ik.imagekit.io/alaaalaa6171/312%20Flame%20Emperor%20-%20Sabo%20-%20Medal%20_Rock%20Check_%20-%20Piece.png?updatedAt=1770076465958" TargetMode="External"/><Relationship Id="rId174" Type="http://schemas.openxmlformats.org/officeDocument/2006/relationships/hyperlink" Target="https://ik.imagekit.io/alaaalaa6171/312%20Flame%20Emperor%20-%20Sabo%20-%20Medal%20_Rock%20Check_%20_Colored_.png?updatedAt=1770076465997" TargetMode="External"/><Relationship Id="rId173" Type="http://schemas.openxmlformats.org/officeDocument/2006/relationships/hyperlink" Target="https://ik.imagekit.io/alaaalaa6171/312%20Flame%20Emperor%20-%20Sabo%20-%20Medal%20_Rock%20Check_.png?updatedAt=1770076465972" TargetMode="External"/><Relationship Id="rId179" Type="http://schemas.openxmlformats.org/officeDocument/2006/relationships/hyperlink" Target="https://ik.imagekit.io/alaaalaa6171/311%20Assistant%20Fish-Man%20Karate%20Master%20-%20Koala%20-%20Medal%20_Revolutionary%20Army%20Female%20Solider_.png?updatedAt=1770076465977" TargetMode="External"/><Relationship Id="rId178" Type="http://schemas.openxmlformats.org/officeDocument/2006/relationships/hyperlink" Target="https://i.postimg.cc/2yM6mqgY/img-icon-medal-310110312.png" TargetMode="External"/><Relationship Id="rId177" Type="http://schemas.openxmlformats.org/officeDocument/2006/relationships/hyperlink" Target="https://i.postimg.cc/KvpMSpVm/277.png" TargetMode="External"/><Relationship Id="rId1910" Type="http://schemas.openxmlformats.org/officeDocument/2006/relationships/hyperlink" Target="https://ik.imagekit.io/alaaalaa6171/020%20Buggy%20Pirates_Captain%20-%20Buggy%20-%20Medal%20_Buggy_.png?updatedAt=1770076405242" TargetMode="External"/><Relationship Id="rId1911" Type="http://schemas.openxmlformats.org/officeDocument/2006/relationships/hyperlink" Target="https://ik.imagekit.io/alaaalaa6171/020%20Buggy%20Pirates_Captain%20-%20Buggy%20-%20Medal%20_Buggy_%20_Colored_.png?updatedAt=1770076405220" TargetMode="External"/><Relationship Id="rId1912" Type="http://schemas.openxmlformats.org/officeDocument/2006/relationships/hyperlink" Target="https://ik.imagekit.io/alaaalaa6171/020%20Buggy%20Pirates_Captain%20-%20Buggy%20-%20Medal%20_Buggy_%20-%20Piece.png?updatedAt=1770076405309" TargetMode="External"/><Relationship Id="rId1913" Type="http://schemas.openxmlformats.org/officeDocument/2006/relationships/hyperlink" Target="https://ik.imagekit.io/alaaalaa6171/020%20Buggy%20Pirates_Captain%20-%20Buggy%20-%20Medal%20_Buggy_%20-%20Piece%20_Colored_.png?updatedAt=1770076405344" TargetMode="External"/><Relationship Id="rId1914" Type="http://schemas.openxmlformats.org/officeDocument/2006/relationships/hyperlink" Target="https://i.postimg.cc/HxT8PyCV/img-icon-medal-310110018.png" TargetMode="External"/><Relationship Id="rId1915" Type="http://schemas.openxmlformats.org/officeDocument/2006/relationships/hyperlink" Target="https://ik.imagekit.io/alaaalaa6171/019%20Bounty%20Hunter%20-%20Johnny%20-%20Medal%20_Johnny_.png?updatedAt=1770076405202" TargetMode="External"/><Relationship Id="rId1916" Type="http://schemas.openxmlformats.org/officeDocument/2006/relationships/hyperlink" Target="https://ik.imagekit.io/alaaalaa6171/019%20Bounty%20Hunter%20-%20Johnny%20-%20Medal%20_Johnny_%20_Colored_.png?updatedAt=1770076405196" TargetMode="External"/><Relationship Id="rId1917" Type="http://schemas.openxmlformats.org/officeDocument/2006/relationships/hyperlink" Target="https://ik.imagekit.io/alaaalaa6171/019%20Bounty%20Hunter%20-%20Johnny%20-%20Medal%20_Johnny_%20-%20Piece.png?updatedAt=1770076404914" TargetMode="External"/><Relationship Id="rId1918" Type="http://schemas.openxmlformats.org/officeDocument/2006/relationships/hyperlink" Target="https://ik.imagekit.io/alaaalaa6171/019%20Bounty%20Hunter%20-%20Johnny%20-%20Medal%20_Johnny_%20-%20Piece%20_Colored_.png?updatedAt=1770076405274" TargetMode="External"/><Relationship Id="rId1919" Type="http://schemas.openxmlformats.org/officeDocument/2006/relationships/hyperlink" Target="https://i.postimg.cc/Y9tLyWBJ/img-icon-medal-310110008.png" TargetMode="External"/><Relationship Id="rId1900" Type="http://schemas.openxmlformats.org/officeDocument/2006/relationships/hyperlink" Target="https://ik.imagekit.io/alaaalaa6171/022%20Baratie_Head%20Chef%20-%20Zeff%20-%20Medal%20_Zeff_.png?updatedAt=1770076405263" TargetMode="External"/><Relationship Id="rId1901" Type="http://schemas.openxmlformats.org/officeDocument/2006/relationships/hyperlink" Target="https://ik.imagekit.io/alaaalaa6171/022%20Baratie_Head%20Chef%20-%20Zeff%20-%20Medal%20_Zeff_%20_Colored_.png?updatedAt=1770076405366" TargetMode="External"/><Relationship Id="rId1902" Type="http://schemas.openxmlformats.org/officeDocument/2006/relationships/hyperlink" Target="https://ik.imagekit.io/alaaalaa6171/022%20Baratie_Head%20Chef%20-%20Zeff%20-%20Medal%20_Zeff_%20-%20Piece.png?updatedAt=1770076405446" TargetMode="External"/><Relationship Id="rId1903" Type="http://schemas.openxmlformats.org/officeDocument/2006/relationships/hyperlink" Target="https://ik.imagekit.io/alaaalaa6171/022%20Baratie_Head%20Chef%20-%20Zeff%20-%20Medal%20_Zeff_%20-%20Piece%20_Colored_.png?updatedAt=1770076405359" TargetMode="External"/><Relationship Id="rId1904" Type="http://schemas.openxmlformats.org/officeDocument/2006/relationships/hyperlink" Target="https://i.postimg.cc/C1JnyxF5/img-icon-medal-310110026.png" TargetMode="External"/><Relationship Id="rId1905" Type="http://schemas.openxmlformats.org/officeDocument/2006/relationships/hyperlink" Target="https://ik.imagekit.io/alaaalaa6171/021%20Black%20Cat%20Pirates_Former%20Captain%20-%20Captain%20Kuro%20-%20Medal%20_Kuro_.png?updatedAt=1770076405353" TargetMode="External"/><Relationship Id="rId1906" Type="http://schemas.openxmlformats.org/officeDocument/2006/relationships/hyperlink" Target="https://ik.imagekit.io/alaaalaa6171/021%20Black%20Cat%20Pirates_Former%20Captain%20-%20Captain%20Kuro%20-%20Medal%20_Kuro_%20_Colored_.png?updatedAt=1770076405568" TargetMode="External"/><Relationship Id="rId1907" Type="http://schemas.openxmlformats.org/officeDocument/2006/relationships/hyperlink" Target="https://ik.imagekit.io/alaaalaa6171/021%20Black%20Cat%20Pirates_Former%20Captain%20-%20Captain%20Kuro%20-%20Medal%20_Kuro_%20-%20Piece.png?updatedAt=1770076404922" TargetMode="External"/><Relationship Id="rId1908" Type="http://schemas.openxmlformats.org/officeDocument/2006/relationships/hyperlink" Target="https://ik.imagekit.io/alaaalaa6171/021%20Black%20Cat%20Pirates_Former%20Captain%20-%20Captain%20Kuro%20-%20Medal%20_Kuro_%20-%20Piece%20_Colored_.png?updatedAt=1770076405548" TargetMode="External"/><Relationship Id="rId1909" Type="http://schemas.openxmlformats.org/officeDocument/2006/relationships/hyperlink" Target="https://i.postimg.cc/xC9NFzS1/img-icon-medal-310110015.png" TargetMode="External"/><Relationship Id="rId198" Type="http://schemas.openxmlformats.org/officeDocument/2006/relationships/hyperlink" Target="https://ik.imagekit.io/alaaalaa6171/308%20Legendary%20Hero%20-%20Monkey%20D.%20Garp%20-%20Medal%20_Galaxy%20Impact_%20_Colored_.png?updatedAt=1770076465908" TargetMode="External"/><Relationship Id="rId197" Type="http://schemas.openxmlformats.org/officeDocument/2006/relationships/hyperlink" Target="https://ik.imagekit.io/alaaalaa6171/308%20Legendary%20Hero%20-%20Monkey%20D.%20Garp%20-%20Medal%20_Galaxy%20Impact_.png?updatedAt=1770076465913" TargetMode="External"/><Relationship Id="rId196" Type="http://schemas.openxmlformats.org/officeDocument/2006/relationships/hyperlink" Target="https://i.postimg.cc/Vvd639ZL/img-icon-medal-310110309.png" TargetMode="External"/><Relationship Id="rId195" Type="http://schemas.openxmlformats.org/officeDocument/2006/relationships/hyperlink" Target="https://i.postimg.cc/155SkMHq/274.png" TargetMode="External"/><Relationship Id="rId199" Type="http://schemas.openxmlformats.org/officeDocument/2006/relationships/hyperlink" Target="https://ik.imagekit.io/alaaalaa6171/308%20Legendary%20Hero%20-%20Monkey%20D.%20Garp%20-%20Medal%20_Galaxy%20Impact_%20-%20Piece.png?updatedAt=1770076465549" TargetMode="External"/><Relationship Id="rId150" Type="http://schemas.openxmlformats.org/officeDocument/2006/relationships/hyperlink" Target="https://ik.imagekit.io/alaaalaa6171/316%20Strong-Strong%20Fruit%20-%20Jesus%20Burgess%20-%20Medal%20_Gallion%20Lariat_%20_Colored_.png?updatedAt=1770076466068" TargetMode="External"/><Relationship Id="rId149" Type="http://schemas.openxmlformats.org/officeDocument/2006/relationships/hyperlink" Target="https://ik.imagekit.io/alaaalaa6171/316%20Strong-Strong%20Fruit%20-%20Jesus%20Burgess%20-%20Medal%20_Gallion%20Lariat_.png?updatedAt=1770076466057" TargetMode="External"/><Relationship Id="rId148" Type="http://schemas.openxmlformats.org/officeDocument/2006/relationships/hyperlink" Target="https://i.postimg.cc/8c95DFxp/img-icon-medal-310110317.png" TargetMode="External"/><Relationship Id="rId1090" Type="http://schemas.openxmlformats.org/officeDocument/2006/relationships/hyperlink" Target="https://i.postimg.cc/JzJyrq16/img-icon-medal-310110159.png" TargetMode="External"/><Relationship Id="rId1091" Type="http://schemas.openxmlformats.org/officeDocument/2006/relationships/hyperlink" Target="https://ik.imagekit.io/alaaalaa6171/159%20Minks%20-%20Carrot%20-%20Medal%20_Carrot_.png?updatedAt=1770076431496" TargetMode="External"/><Relationship Id="rId1092" Type="http://schemas.openxmlformats.org/officeDocument/2006/relationships/hyperlink" Target="https://ik.imagekit.io/alaaalaa6171/159%20Minks%20-%20Carrot%20-%20Medal%20_Carrot_%20_Colored_.png?updatedAt=1770076431527" TargetMode="External"/><Relationship Id="rId1093" Type="http://schemas.openxmlformats.org/officeDocument/2006/relationships/hyperlink" Target="https://ik.imagekit.io/alaaalaa6171/159%20Minks%20-%20Carrot%20-%20Medal%20_Carrot_%20-%20Piece.png?updatedAt=1770076431548" TargetMode="External"/><Relationship Id="rId1094" Type="http://schemas.openxmlformats.org/officeDocument/2006/relationships/hyperlink" Target="https://ik.imagekit.io/alaaalaa6171/159%20Minks%20-%20Carrot%20-%20Medal%20_Carrot_%20-%20Piece%20_Colored_.png?updatedAt=1770076431521" TargetMode="External"/><Relationship Id="rId143" Type="http://schemas.openxmlformats.org/officeDocument/2006/relationships/hyperlink" Target="https://ik.imagekit.io/alaaalaa6171/317%20Clear-Clear%20Fruit%20-%20Shiryu%20-%20Medal%20_Invisible%20Strike_.png?updatedAt=1770076466063" TargetMode="External"/><Relationship Id="rId1095" Type="http://schemas.openxmlformats.org/officeDocument/2006/relationships/hyperlink" Target="https://i.postimg.cc/4Np31QdW/124.png" TargetMode="External"/><Relationship Id="rId142" Type="http://schemas.openxmlformats.org/officeDocument/2006/relationships/hyperlink" Target="https://i.postimg.cc/mkJDRcK2/img-icon-medal-310110319.png" TargetMode="External"/><Relationship Id="rId1096" Type="http://schemas.openxmlformats.org/officeDocument/2006/relationships/hyperlink" Target="https://i.postimg.cc/GmYBLQcf/img-icon-medal-310110160.png" TargetMode="External"/><Relationship Id="rId141" Type="http://schemas.openxmlformats.org/officeDocument/2006/relationships/hyperlink" Target="https://i.postimg.cc/DzQ1dSsG/283.png" TargetMode="External"/><Relationship Id="rId1097" Type="http://schemas.openxmlformats.org/officeDocument/2006/relationships/hyperlink" Target="https://ik.imagekit.io/alaaalaa6171/158%20Roger%60s%20Rival%20-%20Edward%20Newgate%20-%20Medal%20_Tremor_Tremor_.png?updatedAt=1770076431398" TargetMode="External"/><Relationship Id="rId140" Type="http://schemas.openxmlformats.org/officeDocument/2006/relationships/hyperlink" Target="https://ik.imagekit.io/alaaalaa6171/318%20Celestial%20Dragon%20-%20St.%20Charlos%20-%20Medal%20_St.%20Charlos_%20-%20Piece%20_Colored_.png?updatedAt=1770076466063" TargetMode="External"/><Relationship Id="rId1098" Type="http://schemas.openxmlformats.org/officeDocument/2006/relationships/hyperlink" Target="https://ik.imagekit.io/alaaalaa6171/158%20Roger%60s%20Rival%20-%20Edward%20Newgate%20-%20Medal%20_Tremor_Tremor_%20_Colored_.png?updatedAt=1770076431397" TargetMode="External"/><Relationship Id="rId147" Type="http://schemas.openxmlformats.org/officeDocument/2006/relationships/hyperlink" Target="https://i.postimg.cc/FKXjLyfm/282.png" TargetMode="External"/><Relationship Id="rId1099" Type="http://schemas.openxmlformats.org/officeDocument/2006/relationships/hyperlink" Target="https://ik.imagekit.io/alaaalaa6171/158%20Roger%60s%20Rival%20-%20Edward%20Newgate%20-%20Medal%20_Tremor_Tremor_%20-%20Piece.png?updatedAt=1770076431395" TargetMode="External"/><Relationship Id="rId146" Type="http://schemas.openxmlformats.org/officeDocument/2006/relationships/hyperlink" Target="https://ik.imagekit.io/alaaalaa6171/317%20Clear-Clear%20Fruit%20-%20Shiryu%20-%20Medal%20_Invisible%20Strike_%20-%20Piece%20_Colored_.png?updatedAt=1770076466083" TargetMode="External"/><Relationship Id="rId145" Type="http://schemas.openxmlformats.org/officeDocument/2006/relationships/hyperlink" Target="https://ik.imagekit.io/alaaalaa6171/317%20Clear-Clear%20Fruit%20-%20Shiryu%20-%20Medal%20_Invisible%20Strike_%20-%20Piece.png?updatedAt=1770076466064" TargetMode="External"/><Relationship Id="rId144" Type="http://schemas.openxmlformats.org/officeDocument/2006/relationships/hyperlink" Target="https://ik.imagekit.io/alaaalaa6171/317%20Clear-Clear%20Fruit%20-%20Shiryu%20-%20Medal%20_Invisible%20Strike_%20_Colored_.png?updatedAt=1770076466036" TargetMode="External"/><Relationship Id="rId139" Type="http://schemas.openxmlformats.org/officeDocument/2006/relationships/hyperlink" Target="https://ik.imagekit.io/alaaalaa6171/318%20Celestial%20Dragon%20-%20St.%20Charlos%20-%20Medal%20_St.%20Charlos_%20-%20Piece.png?updatedAt=1770076466080" TargetMode="External"/><Relationship Id="rId138" Type="http://schemas.openxmlformats.org/officeDocument/2006/relationships/hyperlink" Target="https://ik.imagekit.io/alaaalaa6171/318%20Celestial%20Dragon%20-%20St.%20Charlos%20-%20Medal%20_St.%20Charlos_%20_Colored_.png?updatedAt=1770076466069" TargetMode="External"/><Relationship Id="rId137" Type="http://schemas.openxmlformats.org/officeDocument/2006/relationships/hyperlink" Target="https://ik.imagekit.io/alaaalaa6171/318%20Celestial%20Dragon%20-%20St.%20Charlos%20-%20Medal%20_St.%20Charlos_.png?updatedAt=1770076466036" TargetMode="External"/><Relationship Id="rId1080" Type="http://schemas.openxmlformats.org/officeDocument/2006/relationships/hyperlink" Target="https://ik.imagekit.io/alaaalaa6171/161%20Savior%20-%20God%20Usopp%20-%20Medal%20_God%20Usopp_%20_Colored_.png?updatedAt=1770076431627" TargetMode="External"/><Relationship Id="rId1081" Type="http://schemas.openxmlformats.org/officeDocument/2006/relationships/hyperlink" Target="https://ik.imagekit.io/alaaalaa6171/161%20Savior%20-%20God%20Usopp%20-%20Medal%20_God%20Usopp_%20-%20Piece.png?updatedAt=1770076431623" TargetMode="External"/><Relationship Id="rId1082" Type="http://schemas.openxmlformats.org/officeDocument/2006/relationships/hyperlink" Target="https://ik.imagekit.io/alaaalaa6171/161%20Savior%20-%20God%20Usopp%20-%20Medal%20_God%20Usopp_%20-%20Piece%20_Colored_.png?updatedAt=1770076431634" TargetMode="External"/><Relationship Id="rId1083" Type="http://schemas.openxmlformats.org/officeDocument/2006/relationships/hyperlink" Target="https://i.postimg.cc/pVhrmHtb/126.png" TargetMode="External"/><Relationship Id="rId132" Type="http://schemas.openxmlformats.org/officeDocument/2006/relationships/hyperlink" Target="https://ik.imagekit.io/alaaalaa6171/319%20Tontatta%20Pirates_Captain%20-%20Leo%20-%20Medal%20_Leo_%20_Colored_.png?updatedAt=1770076466058" TargetMode="External"/><Relationship Id="rId1084" Type="http://schemas.openxmlformats.org/officeDocument/2006/relationships/hyperlink" Target="https://i.postimg.cc/NjTys4gC/img-icon-medal-310110161.png" TargetMode="External"/><Relationship Id="rId131" Type="http://schemas.openxmlformats.org/officeDocument/2006/relationships/hyperlink" Target="https://ik.imagekit.io/alaaalaa6171/319%20Tontatta%20Pirates_Captain%20-%20Leo%20-%20Medal%20_Leo_.png?updatedAt=1770076466107" TargetMode="External"/><Relationship Id="rId1085" Type="http://schemas.openxmlformats.org/officeDocument/2006/relationships/hyperlink" Target="https://ik.imagekit.io/alaaalaa6171/160%20Revolutionary%20Army_Officer%20-%20Koala%201%20-%20Medal%20_Assistant%20Fish_Man%20Karate%20Master_.png?updatedAt=1770076431543" TargetMode="External"/><Relationship Id="rId130" Type="http://schemas.openxmlformats.org/officeDocument/2006/relationships/hyperlink" Target="https://i.postimg.cc/Y0Z9k4TS/img-icon-medal-310110320.png" TargetMode="External"/><Relationship Id="rId1086" Type="http://schemas.openxmlformats.org/officeDocument/2006/relationships/hyperlink" Target="https://ik.imagekit.io/alaaalaa6171/160%20Revolutionary%20Army_Officer%20-%20Koala%201%20-%20Medal%20_Assistant%20Fish_Man%20Karate%20Master_%20_Colored_.png?updatedAt=1770076431588" TargetMode="External"/><Relationship Id="rId1087" Type="http://schemas.openxmlformats.org/officeDocument/2006/relationships/hyperlink" Target="https://ik.imagekit.io/alaaalaa6171/160%20Revolutionary%20Army_Officer%20-%20Koala%201%20-%20Medal%20_Assistant%20Fish_Man%20Karate%20Master_%20-%20Piece.png?updatedAt=1770076431492" TargetMode="External"/><Relationship Id="rId136" Type="http://schemas.openxmlformats.org/officeDocument/2006/relationships/hyperlink" Target="https://i.postimg.cc/RhyF932Z/img-icon-medal-310110318.png" TargetMode="External"/><Relationship Id="rId1088" Type="http://schemas.openxmlformats.org/officeDocument/2006/relationships/hyperlink" Target="https://ik.imagekit.io/alaaalaa6171/160%20Revolutionary%20Army_Officer%20-%20Koala%201%20-%20Medal%20_Assistant%20Fish_Man%20Karate%20Master_%20-%20Piece%20_Colored_.png?updatedAt=1770076431485" TargetMode="External"/><Relationship Id="rId135" Type="http://schemas.openxmlformats.org/officeDocument/2006/relationships/hyperlink" Target="https://i.postimg.cc/0Nr2vQR5/284.png" TargetMode="External"/><Relationship Id="rId1089" Type="http://schemas.openxmlformats.org/officeDocument/2006/relationships/hyperlink" Target="https://i.postimg.cc/9X6MTnW4/125.png" TargetMode="External"/><Relationship Id="rId134" Type="http://schemas.openxmlformats.org/officeDocument/2006/relationships/hyperlink" Target="https://ik.imagekit.io/alaaalaa6171/319%20Tontatta%20Pirates_Captain%20-%20Leo%20-%20Medal%20_Leo_%20-%20Piece%20_Colored_.png?updatedAt=1770076466076" TargetMode="External"/><Relationship Id="rId133" Type="http://schemas.openxmlformats.org/officeDocument/2006/relationships/hyperlink" Target="https://ik.imagekit.io/alaaalaa6171/319%20Tontatta%20Pirates_Captain%20-%20Leo%20-%20Medal%20_Leo_%20-%20Piece.png?updatedAt=1770076466075" TargetMode="External"/><Relationship Id="rId172" Type="http://schemas.openxmlformats.org/officeDocument/2006/relationships/hyperlink" Target="https://i.postimg.cc/T1FwGyBG/img-icon-medal-310110313.png" TargetMode="External"/><Relationship Id="rId171" Type="http://schemas.openxmlformats.org/officeDocument/2006/relationships/hyperlink" Target="https://i.postimg.cc/Vs3HMt30/278.png" TargetMode="External"/><Relationship Id="rId170" Type="http://schemas.openxmlformats.org/officeDocument/2006/relationships/hyperlink" Target="https://ik.imagekit.io/alaaalaa6171/313%20Germa%2066%20-%20Vinsmoke%20Ichiji%20-%20Medal%20_Ichiji_%20-%20Piece%20_Colored_.png?updatedAt=1770076466014" TargetMode="External"/><Relationship Id="rId165" Type="http://schemas.openxmlformats.org/officeDocument/2006/relationships/hyperlink" Target="https://i.postimg.cc/wTL4kvpf/279.png" TargetMode="External"/><Relationship Id="rId164" Type="http://schemas.openxmlformats.org/officeDocument/2006/relationships/hyperlink" Target="https://ik.imagekit.io/alaaalaa6171/314%20Germa%2066%20-%20Vinsmoke%20Neji%20-%20Medal%20_Neji_%20-%20Piece%20_Colored_.png?updatedAt=1770076466049" TargetMode="External"/><Relationship Id="rId163" Type="http://schemas.openxmlformats.org/officeDocument/2006/relationships/hyperlink" Target="https://ik.imagekit.io/alaaalaa6171/314%20Germa%2066%20-%20Vinsmoke%20Neji%20-%20Medal%20_Neji_%20-%20Piece.png?updatedAt=1770076466067" TargetMode="External"/><Relationship Id="rId162" Type="http://schemas.openxmlformats.org/officeDocument/2006/relationships/hyperlink" Target="https://ik.imagekit.io/alaaalaa6171/314%20Germa%2066%20-%20Vinsmoke%20Neji%20-%20Medal%20_Neji_%20_Colored_.png?updatedAt=1770076466062" TargetMode="External"/><Relationship Id="rId169" Type="http://schemas.openxmlformats.org/officeDocument/2006/relationships/hyperlink" Target="https://ik.imagekit.io/alaaalaa6171/313%20Germa%2066%20-%20Vinsmoke%20Ichiji%20-%20Medal%20_Ichiji_%20-%20Piece.png?updatedAt=1770076466029" TargetMode="External"/><Relationship Id="rId168" Type="http://schemas.openxmlformats.org/officeDocument/2006/relationships/hyperlink" Target="https://ik.imagekit.io/alaaalaa6171/313%20Germa%2066%20-%20Vinsmoke%20Ichiji%20-%20Medal%20_Ichiji_%20_Colored_.png?updatedAt=1770076466012" TargetMode="External"/><Relationship Id="rId167" Type="http://schemas.openxmlformats.org/officeDocument/2006/relationships/hyperlink" Target="https://ik.imagekit.io/alaaalaa6171/313%20Germa%2066%20-%20Vinsmoke%20Ichiji%20-%20Medal%20_Ichiji_.png?updatedAt=1770076466031" TargetMode="External"/><Relationship Id="rId166" Type="http://schemas.openxmlformats.org/officeDocument/2006/relationships/hyperlink" Target="https://i.postimg.cc/HnRxHJFT/img-icon-medal-310110314.png" TargetMode="External"/><Relationship Id="rId161" Type="http://schemas.openxmlformats.org/officeDocument/2006/relationships/hyperlink" Target="https://ik.imagekit.io/alaaalaa6171/314%20Germa%2066%20-%20Vinsmoke%20Neji%20-%20Medal%20_Neji_.png?updatedAt=1770076466018" TargetMode="External"/><Relationship Id="rId160" Type="http://schemas.openxmlformats.org/officeDocument/2006/relationships/hyperlink" Target="https://i.postimg.cc/Y0Z9k4TM/img-icon-medal-310110315.png" TargetMode="External"/><Relationship Id="rId159" Type="http://schemas.openxmlformats.org/officeDocument/2006/relationships/hyperlink" Target="https://i.postimg.cc/6pq7KtP8/280.png" TargetMode="External"/><Relationship Id="rId154" Type="http://schemas.openxmlformats.org/officeDocument/2006/relationships/hyperlink" Target="https://i.postimg.cc/tJwTy18X/img-icon-medal-310110316.png" TargetMode="External"/><Relationship Id="rId153" Type="http://schemas.openxmlformats.org/officeDocument/2006/relationships/hyperlink" Target="https://i.postimg.cc/TYCyBpt8/281.png" TargetMode="External"/><Relationship Id="rId152" Type="http://schemas.openxmlformats.org/officeDocument/2006/relationships/hyperlink" Target="https://ik.imagekit.io/alaaalaa6171/316%20Strong-Strong%20Fruit%20-%20Jesus%20Burgess%20-%20Medal%20_Gallion%20Lariat_%20-%20Piece%20_Colored_.png?updatedAt=1770076465992" TargetMode="External"/><Relationship Id="rId151" Type="http://schemas.openxmlformats.org/officeDocument/2006/relationships/hyperlink" Target="https://ik.imagekit.io/alaaalaa6171/316%20Strong-Strong%20Fruit%20-%20Jesus%20Burgess%20-%20Medal%20_Gallion%20Lariat_%20-%20Piece.png?updatedAt=1770076466025" TargetMode="External"/><Relationship Id="rId158" Type="http://schemas.openxmlformats.org/officeDocument/2006/relationships/hyperlink" Target="https://ik.imagekit.io/alaaalaa6171/315%20Germa%2066%20-%20Vinsmoke%20Yonji%20-%20Medal%20_Yonji_%20-%20Piece%20_Colored_.png?updatedAt=1770076466050" TargetMode="External"/><Relationship Id="rId157" Type="http://schemas.openxmlformats.org/officeDocument/2006/relationships/hyperlink" Target="https://ik.imagekit.io/alaaalaa6171/315%20Germa%2066%20-%20Vinsmoke%20Yonji%20-%20Medal%20_Yonji_%20-%20Piece.png?updatedAt=1770076466026" TargetMode="External"/><Relationship Id="rId156" Type="http://schemas.openxmlformats.org/officeDocument/2006/relationships/hyperlink" Target="https://ik.imagekit.io/alaaalaa6171/315%20Germa%2066%20-%20Vinsmoke%20Yonji%20-%20Medal%20_Yonji_%20_Colored_.png?updatedAt=1770076466096" TargetMode="External"/><Relationship Id="rId155" Type="http://schemas.openxmlformats.org/officeDocument/2006/relationships/hyperlink" Target="https://ik.imagekit.io/alaaalaa6171/315%20Germa%2066%20-%20Vinsmoke%20Yonji%20-%20Medal%20_Yonji_.png?updatedAt=1770076466059" TargetMode="External"/><Relationship Id="rId1972" Type="http://schemas.openxmlformats.org/officeDocument/2006/relationships/hyperlink" Target="https://ik.imagekit.io/alaaalaa6171/008%20Straw%20Hat%20Pirates_Ship%20Carpenter%20-%20Franky%20-%20Medal%20_Franky_%20-%20Piece.png?updatedAt=1770076471379" TargetMode="External"/><Relationship Id="rId1973" Type="http://schemas.openxmlformats.org/officeDocument/2006/relationships/hyperlink" Target="https://ik.imagekit.io/alaaalaa6171/008%20Straw%20Hat%20Pirates_Ship%20Carpenter%20-%20Franky%20-%20Medal%20_Franky_%20-%20Piece%20_Colored_.png?updatedAt=1770076471354" TargetMode="External"/><Relationship Id="rId1974" Type="http://schemas.openxmlformats.org/officeDocument/2006/relationships/hyperlink" Target="https://i.postimg.cc/yd73rZC2/img-icon-medal-310110006.png" TargetMode="External"/><Relationship Id="rId1975" Type="http://schemas.openxmlformats.org/officeDocument/2006/relationships/hyperlink" Target="https://ik.imagekit.io/alaaalaa6171/007%20Straw%20Hat%20Pirates_Archaeologist%20-%20Nico%20Robin%20-%20Medal%20_Robin_.png?updatedAt=1770076471360" TargetMode="External"/><Relationship Id="rId1976" Type="http://schemas.openxmlformats.org/officeDocument/2006/relationships/hyperlink" Target="https://ik.imagekit.io/alaaalaa6171/007%20Straw%20Hat%20Pirates_Archaeologist%20-%20Nico%20Robin%20-%20Medal%20_Robin_%20_Colored_.png?updatedAt=1770076471422" TargetMode="External"/><Relationship Id="rId1977" Type="http://schemas.openxmlformats.org/officeDocument/2006/relationships/hyperlink" Target="https://ik.imagekit.io/alaaalaa6171/007%20Straw%20Hat%20Pirates_Archaeologist%20-%20Nico%20Robin%20-%20Medal%20_Robin_%20-%20Piece.png?updatedAt=1770076471408" TargetMode="External"/><Relationship Id="rId1978" Type="http://schemas.openxmlformats.org/officeDocument/2006/relationships/hyperlink" Target="https://ik.imagekit.io/alaaalaa6171/007%20Straw%20Hat%20Pirates_Archaeologist%20-%20Nico%20Robin%20-%20Medal%20_Robin_%20-%20Piece%20_Colored_.png?updatedAt=1770076471385" TargetMode="External"/><Relationship Id="rId1979" Type="http://schemas.openxmlformats.org/officeDocument/2006/relationships/hyperlink" Target="https://i.postimg.cc/50fQkCWr/img-icon-medal-310110004.png" TargetMode="External"/><Relationship Id="rId1970" Type="http://schemas.openxmlformats.org/officeDocument/2006/relationships/hyperlink" Target="https://ik.imagekit.io/alaaalaa6171/008%20Straw%20Hat%20Pirates_Ship%20Carpenter%20-%20Franky%20-%20Medal%20_Franky_.png?updatedAt=1770076471391" TargetMode="External"/><Relationship Id="rId1971" Type="http://schemas.openxmlformats.org/officeDocument/2006/relationships/hyperlink" Target="https://ik.imagekit.io/alaaalaa6171/008%20Straw%20Hat%20Pirates_Ship%20Carpenter%20-%20Franky%20-%20Medal%20_Franky_%20_Colored_.png?updatedAt=1770076471460" TargetMode="External"/><Relationship Id="rId1961" Type="http://schemas.openxmlformats.org/officeDocument/2006/relationships/hyperlink" Target="https://ik.imagekit.io/alaaalaa6171/010%20Mountain%20Bandits_Leader%20-%20Higuma%20the%20Bear%20-%20Medal%20_Higuma_%20_Colored_.png?updatedAt=1770076405388" TargetMode="External"/><Relationship Id="rId1962" Type="http://schemas.openxmlformats.org/officeDocument/2006/relationships/hyperlink" Target="https://ik.imagekit.io/alaaalaa6171/010%20Mountain%20Bandits_Leader%20-%20Higuma%20the%20Bear%20-%20Medal%20_Higuma_%20-%20Piece.png?updatedAt=1770076471471" TargetMode="External"/><Relationship Id="rId1963" Type="http://schemas.openxmlformats.org/officeDocument/2006/relationships/hyperlink" Target="https://ik.imagekit.io/alaaalaa6171/010%20Mountain%20Bandits_Leader%20-%20Higuma%20the%20Bear%20-%20Medal%20_Higuma_%20-%20Piece%20_Colored_.png?updatedAt=1770076471388" TargetMode="External"/><Relationship Id="rId1964" Type="http://schemas.openxmlformats.org/officeDocument/2006/relationships/hyperlink" Target="https://i.postimg.cc/prThPMTC/img-icon-medal-310110050.png" TargetMode="External"/><Relationship Id="rId1965" Type="http://schemas.openxmlformats.org/officeDocument/2006/relationships/hyperlink" Target="https://ik.imagekit.io/alaaalaa6171/009%20Straw%20Hat%20Pirates_Musician%20-%20Brook%20-%20Medal%20_Brook_.png?updatedAt=1770076471365" TargetMode="External"/><Relationship Id="rId1966" Type="http://schemas.openxmlformats.org/officeDocument/2006/relationships/hyperlink" Target="https://ik.imagekit.io/alaaalaa6171/009%20Straw%20Hat%20Pirates_Musician%20-%20Brook%20-%20Medal%20_Brook_%20_Colored_.png?updatedAt=1770076471365" TargetMode="External"/><Relationship Id="rId1967" Type="http://schemas.openxmlformats.org/officeDocument/2006/relationships/hyperlink" Target="https://ik.imagekit.io/alaaalaa6171/009%20Straw%20Hat%20Pirates_Musician%20-%20Brook%20-%20Medal%20_Brook_%20-%20Piece.png?updatedAt=1770076471432" TargetMode="External"/><Relationship Id="rId1968" Type="http://schemas.openxmlformats.org/officeDocument/2006/relationships/hyperlink" Target="https://ik.imagekit.io/alaaalaa6171/009%20Straw%20Hat%20Pirates_Musician%20-%20Brook%20-%20Medal%20_Brook_%20-%20Piece%20_Colored_.png?updatedAt=1770076471403" TargetMode="External"/><Relationship Id="rId1969" Type="http://schemas.openxmlformats.org/officeDocument/2006/relationships/hyperlink" Target="https://i.postimg.cc/LXmg01Fc/img-icon-medal-310110007.png" TargetMode="External"/><Relationship Id="rId1960" Type="http://schemas.openxmlformats.org/officeDocument/2006/relationships/hyperlink" Target="https://ik.imagekit.io/alaaalaa6171/010%20Mountain%20Bandits_Leader%20-%20Higuma%20the%20Bear%20-%20Medal%20_Higuma_.png?updatedAt=1770076405180" TargetMode="External"/><Relationship Id="rId1510" Type="http://schemas.openxmlformats.org/officeDocument/2006/relationships/hyperlink" Target="https://i.postimg.cc/CMPnm5Pc/img-icon-medal-310110089.png" TargetMode="External"/><Relationship Id="rId1994" Type="http://schemas.openxmlformats.org/officeDocument/2006/relationships/hyperlink" Target="https://i.postimg.cc/4dXHF9RF/img-icon-medal-310110002.png" TargetMode="External"/><Relationship Id="rId1511" Type="http://schemas.openxmlformats.org/officeDocument/2006/relationships/hyperlink" Target="https://ik.imagekit.io/alaaalaa6171/089%20Thriller%20Park%20Pirates_Mysterious%20Four%20-%20Perona%20-%20Medal%20_Perona_.png?updatedAt=1770076416170" TargetMode="External"/><Relationship Id="rId1995" Type="http://schemas.openxmlformats.org/officeDocument/2006/relationships/hyperlink" Target="https://ik.imagekit.io/alaaalaa6171/003%20Straw%20Hat%20Pirates_Navigator%20-%20Nami%20-%20Medal%20_Nami_.png?updatedAt=1770076471383" TargetMode="External"/><Relationship Id="rId1512" Type="http://schemas.openxmlformats.org/officeDocument/2006/relationships/hyperlink" Target="https://ik.imagekit.io/alaaalaa6171/089%20Thriller%20Park%20Pirates_Mysterious%20Four%20-%20Perona%20-%20Medal%20_Perona_%20_Colored_.png?updatedAt=1770076416158" TargetMode="External"/><Relationship Id="rId1996" Type="http://schemas.openxmlformats.org/officeDocument/2006/relationships/hyperlink" Target="https://ik.imagekit.io/alaaalaa6171/003%20Straw%20Hat%20Pirates_Navigator%20-%20Nami%20-%20Medal%20_Nami_%20_Colored_.png?updatedAt=1770076471372" TargetMode="External"/><Relationship Id="rId1513" Type="http://schemas.openxmlformats.org/officeDocument/2006/relationships/hyperlink" Target="https://ik.imagekit.io/alaaalaa6171/089%20Thriller%20Park%20Pirates_Mysterious%20Four%20-%20Perona%20-%20Medal%20_Perona_%20-%20Piece.png?updatedAt=1770076416554" TargetMode="External"/><Relationship Id="rId1997" Type="http://schemas.openxmlformats.org/officeDocument/2006/relationships/hyperlink" Target="https://ik.imagekit.io/alaaalaa6171/003%20Straw%20Hat%20Pirates_Navigator%20-%20Nami%20-%20Medal%20_Nami_%20-%20Piece.png?updatedAt=1770076471325" TargetMode="External"/><Relationship Id="rId1514" Type="http://schemas.openxmlformats.org/officeDocument/2006/relationships/hyperlink" Target="https://ik.imagekit.io/alaaalaa6171/089%20Thriller%20Park%20Pirates_Mysterious%20Four%20-%20Perona%20-%20Medal%20_Perona_%20-%20Piece%20_Colored_.png?updatedAt=1770076416487" TargetMode="External"/><Relationship Id="rId1998" Type="http://schemas.openxmlformats.org/officeDocument/2006/relationships/hyperlink" Target="https://ik.imagekit.io/alaaalaa6171/003%20Straw%20Hat%20Pirates_Navigator%20-%20Nami%20-%20Medal%20_Nami_%20-%20Piece%20_Colored_.png?updatedAt=1770076471437" TargetMode="External"/><Relationship Id="rId1515" Type="http://schemas.openxmlformats.org/officeDocument/2006/relationships/hyperlink" Target="https://i.postimg.cc/7Lk0VLw2/054.png" TargetMode="External"/><Relationship Id="rId1999" Type="http://schemas.openxmlformats.org/officeDocument/2006/relationships/hyperlink" Target="https://i.postimg.cc/wv9RbmYW/img-icon-medal-310110001.png" TargetMode="External"/><Relationship Id="rId1516" Type="http://schemas.openxmlformats.org/officeDocument/2006/relationships/hyperlink" Target="https://i.postimg.cc/cCbKHkt8/img-icon-medal-310110088.png" TargetMode="External"/><Relationship Id="rId1517" Type="http://schemas.openxmlformats.org/officeDocument/2006/relationships/hyperlink" Target="https://ik.imagekit.io/alaaalaa6171/088%20Legendary%20Samurai%20Zombie%20-%20Ryuma%20-%20Medal%20_Ryuma_.png?updatedAt=1770076416086" TargetMode="External"/><Relationship Id="rId1518" Type="http://schemas.openxmlformats.org/officeDocument/2006/relationships/hyperlink" Target="https://ik.imagekit.io/alaaalaa6171/088%20Legendary%20Samurai%20Zombie%20-%20Ryuma%20-%20Medal%20_Ryuma_%20_Colored_.png?updatedAt=1770076416107" TargetMode="External"/><Relationship Id="rId1519" Type="http://schemas.openxmlformats.org/officeDocument/2006/relationships/hyperlink" Target="https://ik.imagekit.io/alaaalaa6171/088%20Legendary%20Samurai%20Zombie%20-%20Ryuma%20-%20Medal%20_Ryuma_%20-%20Piece.png?updatedAt=1770076416120" TargetMode="External"/><Relationship Id="rId1990" Type="http://schemas.openxmlformats.org/officeDocument/2006/relationships/hyperlink" Target="https://ik.imagekit.io/alaaalaa6171/004%20Straw%20Hat%20Pirates_Sharp%20Shooter%20-%20Usopp%20-%20Medal%20_Usopp_.png?updatedAt=1770076471367" TargetMode="External"/><Relationship Id="rId1991" Type="http://schemas.openxmlformats.org/officeDocument/2006/relationships/hyperlink" Target="https://ik.imagekit.io/alaaalaa6171/004%20Straw%20Hat%20Pirates_Sharp%20Shooter%20-%20Usopp%20-%20Medal%20_Usopp_%20_Colored_.png?updatedAt=1770076471345" TargetMode="External"/><Relationship Id="rId1992" Type="http://schemas.openxmlformats.org/officeDocument/2006/relationships/hyperlink" Target="https://ik.imagekit.io/alaaalaa6171/004%20Straw%20Hat%20Pirates_Sharp%20Shooter%20-%20Usopp%20-%20Medal%20_Usopp_%20-%20Piece.png?updatedAt=1770076471286" TargetMode="External"/><Relationship Id="rId1993" Type="http://schemas.openxmlformats.org/officeDocument/2006/relationships/hyperlink" Target="https://ik.imagekit.io/alaaalaa6171/004%20Straw%20Hat%20Pirates_Sharp%20Shooter%20-%20Usopp%20-%20Medal%20_Usopp_%20-%20Piece%20_Colored_.png?updatedAt=1770076471386" TargetMode="External"/><Relationship Id="rId1983" Type="http://schemas.openxmlformats.org/officeDocument/2006/relationships/hyperlink" Target="https://ik.imagekit.io/alaaalaa6171/006%20Straw%20Hat%20Pirates_Doctor%20-%20Tony%20Tony%20Chopper%20-%20Medal%20_Chopper_%20-%20Piece%20_Colored_.png?updatedAt=1770076471370" TargetMode="External"/><Relationship Id="rId1500" Type="http://schemas.openxmlformats.org/officeDocument/2006/relationships/hyperlink" Target="https://ik.imagekit.io/alaaalaa6171/091%20The%20Seven%20Warlords%20of%20the%20Sea%20-%20Jinbe%20-%20Medal%20_Jinbe_%20_Colored_.png?updatedAt=1770076418066" TargetMode="External"/><Relationship Id="rId1984" Type="http://schemas.openxmlformats.org/officeDocument/2006/relationships/hyperlink" Target="https://i.postimg.cc/76qJQ2rW/img-icon-medal-310110003.png" TargetMode="External"/><Relationship Id="rId1501" Type="http://schemas.openxmlformats.org/officeDocument/2006/relationships/hyperlink" Target="https://ik.imagekit.io/alaaalaa6171/091%20The%20Seven%20Warlords%20of%20the%20Sea%20-%20Jinbe%20-%20Medal%20_Jinbe_%20-%20Piece.png?updatedAt=1770076417775" TargetMode="External"/><Relationship Id="rId1985" Type="http://schemas.openxmlformats.org/officeDocument/2006/relationships/hyperlink" Target="https://ik.imagekit.io/alaaalaa6171/005%20Straw%20Hat%20Pirates_Cook%20-%20Sanji%20-%20Medal%20_Sanji_.png?updatedAt=1770076471409" TargetMode="External"/><Relationship Id="rId1502" Type="http://schemas.openxmlformats.org/officeDocument/2006/relationships/hyperlink" Target="https://ik.imagekit.io/alaaalaa6171/091%20The%20Seven%20Warlords%20of%20the%20Sea%20-%20Jinbe%20-%20Medal%20_Jinbe_%20-%20Piece%20_Colored_.png?updatedAt=1770076417234" TargetMode="External"/><Relationship Id="rId1986" Type="http://schemas.openxmlformats.org/officeDocument/2006/relationships/hyperlink" Target="https://ik.imagekit.io/alaaalaa6171/005%20Straw%20Hat%20Pirates_Cook%20-%20Sanji%20-%20Medal%20_Sanji_%20_Colored_.png?updatedAt=1770076471395" TargetMode="External"/><Relationship Id="rId1503" Type="http://schemas.openxmlformats.org/officeDocument/2006/relationships/hyperlink" Target="https://i.postimg.cc/bN4QZT5L/056.png" TargetMode="External"/><Relationship Id="rId1987" Type="http://schemas.openxmlformats.org/officeDocument/2006/relationships/hyperlink" Target="https://ik.imagekit.io/alaaalaa6171/005%20Straw%20Hat%20Pirates_Cook%20-%20Sanji%20-%20Medal%20_Sanji_%20-%20Piece.png?updatedAt=1770076471378" TargetMode="External"/><Relationship Id="rId1504" Type="http://schemas.openxmlformats.org/officeDocument/2006/relationships/hyperlink" Target="https://i.postimg.cc/c19tXC9B/img-icon-medal-310110090.png" TargetMode="External"/><Relationship Id="rId1988" Type="http://schemas.openxmlformats.org/officeDocument/2006/relationships/hyperlink" Target="https://ik.imagekit.io/alaaalaa6171/005%20Straw%20Hat%20Pirates_Cook%20-%20Sanji%20-%20Medal%20_Sanji_%20-%20Piece%20_Colored_.png?updatedAt=1770076471443" TargetMode="External"/><Relationship Id="rId1505" Type="http://schemas.openxmlformats.org/officeDocument/2006/relationships/hyperlink" Target="https://ik.imagekit.io/alaaalaa6171/090%20Imprisoned%20Bride%20-%20Nami%20-%20Medal%20_Bride_.png?updatedAt=1770076416379" TargetMode="External"/><Relationship Id="rId1989" Type="http://schemas.openxmlformats.org/officeDocument/2006/relationships/hyperlink" Target="https://i.postimg.cc/1tyVYq12/img-icon-medal-310110005.png" TargetMode="External"/><Relationship Id="rId1506" Type="http://schemas.openxmlformats.org/officeDocument/2006/relationships/hyperlink" Target="https://ik.imagekit.io/alaaalaa6171/090%20Imprisoned%20Bride%20-%20Nami%20-%20Medal%20_Bride_%20_Colored_.png?updatedAt=1770076416349" TargetMode="External"/><Relationship Id="rId1507" Type="http://schemas.openxmlformats.org/officeDocument/2006/relationships/hyperlink" Target="https://ik.imagekit.io/alaaalaa6171/090%20Imprisoned%20Bride%20-%20Nami%20-%20Medal%20_Bride_%20-%20Piece.png?updatedAt=1770076416315" TargetMode="External"/><Relationship Id="rId1508" Type="http://schemas.openxmlformats.org/officeDocument/2006/relationships/hyperlink" Target="https://ik.imagekit.io/alaaalaa6171/090%20Imprisoned%20Bride%20-%20Nami%20-%20Medal%20_Bride_%20-%20Piece%20_Colored_.png?updatedAt=1770076416304" TargetMode="External"/><Relationship Id="rId1509" Type="http://schemas.openxmlformats.org/officeDocument/2006/relationships/hyperlink" Target="https://i.postimg.cc/GmYvGDwR/055.png" TargetMode="External"/><Relationship Id="rId1980" Type="http://schemas.openxmlformats.org/officeDocument/2006/relationships/hyperlink" Target="https://ik.imagekit.io/alaaalaa6171/006%20Straw%20Hat%20Pirates_Doctor%20-%20Tony%20Tony%20Chopper%20-%20Medal%20_Chopper_.png?updatedAt=1770076471454" TargetMode="External"/><Relationship Id="rId1981" Type="http://schemas.openxmlformats.org/officeDocument/2006/relationships/hyperlink" Target="https://ik.imagekit.io/alaaalaa6171/006%20Straw%20Hat%20Pirates_Doctor%20-%20Tony%20Tony%20Chopper%20-%20Medal%20_Chopper_%20_Colored_.png?updatedAt=1770076471383" TargetMode="External"/><Relationship Id="rId1982" Type="http://schemas.openxmlformats.org/officeDocument/2006/relationships/hyperlink" Target="https://ik.imagekit.io/alaaalaa6171/006%20Straw%20Hat%20Pirates_Doctor%20-%20Tony%20Tony%20Chopper%20-%20Medal%20_Chopper_%20-%20Piece.png?updatedAt=1770076471350" TargetMode="External"/><Relationship Id="rId1930" Type="http://schemas.openxmlformats.org/officeDocument/2006/relationships/hyperlink" Target="https://ik.imagekit.io/alaaalaa6171/016%20Black%20Cat%20Pirates_Captain%20-%20Django%20-%20Medal%20_Django_.png?updatedAt=1770076405572" TargetMode="External"/><Relationship Id="rId1931" Type="http://schemas.openxmlformats.org/officeDocument/2006/relationships/hyperlink" Target="https://ik.imagekit.io/alaaalaa6171/016%20Black%20Cat%20Pirates_Captain%20-%20Django%20-%20Medal%20_Django_%20_Colored_.png?updatedAt=1770076405450" TargetMode="External"/><Relationship Id="rId1932" Type="http://schemas.openxmlformats.org/officeDocument/2006/relationships/hyperlink" Target="https://ik.imagekit.io/alaaalaa6171/016%20Black%20Cat%20Pirates_Captain%20-%20Django%20-%20Medal%20_Django_%20-%20Piece.png?updatedAt=1770076405314" TargetMode="External"/><Relationship Id="rId1933" Type="http://schemas.openxmlformats.org/officeDocument/2006/relationships/hyperlink" Target="https://ik.imagekit.io/alaaalaa6171/016%20Black%20Cat%20Pirates_Captain%20-%20Django%20-%20Medal%20_Django_%20-%20Piece%20_Colored_.png?updatedAt=1770076405190" TargetMode="External"/><Relationship Id="rId1934" Type="http://schemas.openxmlformats.org/officeDocument/2006/relationships/hyperlink" Target="https://i.postimg.cc/FRhknLQs/img-icon-medal-310110016.png" TargetMode="External"/><Relationship Id="rId1935" Type="http://schemas.openxmlformats.org/officeDocument/2006/relationships/hyperlink" Target="https://ik.imagekit.io/alaaalaa6171/015%20Buggy%20Pirates_Chief%20of%20Staff%20-%20Cabaji%20-%20Medal%20_Cabaji_.png?updatedAt=1770076405321" TargetMode="External"/><Relationship Id="rId1936" Type="http://schemas.openxmlformats.org/officeDocument/2006/relationships/hyperlink" Target="https://ik.imagekit.io/alaaalaa6171/015%20Buggy%20Pirates_Chief%20of%20Staff%20-%20Cabaji%20-%20Medal%20_Cabaji_%20_Colored_.png?updatedAt=1770076405581" TargetMode="External"/><Relationship Id="rId1937" Type="http://schemas.openxmlformats.org/officeDocument/2006/relationships/hyperlink" Target="https://ik.imagekit.io/alaaalaa6171/015%20Buggy%20Pirates_Chief%20of%20Staff%20-%20Cabaji%20-%20Medal%20_Cabaji_%20-%20Piece.png?updatedAt=1770076404914" TargetMode="External"/><Relationship Id="rId1938" Type="http://schemas.openxmlformats.org/officeDocument/2006/relationships/hyperlink" Target="https://ik.imagekit.io/alaaalaa6171/015%20Buggy%20Pirates_Chief%20of%20Staff%20-%20Cabaji%20-%20Medal%20_Cabaji_%20-%20Piece%20_Colored_.png?updatedAt=1770076405210" TargetMode="External"/><Relationship Id="rId1939" Type="http://schemas.openxmlformats.org/officeDocument/2006/relationships/hyperlink" Target="https://i.postimg.cc/j5Rnk7rY/img-icon-medal-310110010.png" TargetMode="External"/><Relationship Id="rId1920" Type="http://schemas.openxmlformats.org/officeDocument/2006/relationships/hyperlink" Target="https://ik.imagekit.io/alaaalaa6171/018%20Bounty%20Hunter%20-%20Yosaku%20-%20Medal%20_Yosaku_.png?updatedAt=1770076405589" TargetMode="External"/><Relationship Id="rId1921" Type="http://schemas.openxmlformats.org/officeDocument/2006/relationships/hyperlink" Target="https://ik.imagekit.io/alaaalaa6171/018%20Bounty%20Hunter%20-%20Yosaku%20-%20Medal%20_Yosaku_%20_Colored_.png?updatedAt=1770076405142" TargetMode="External"/><Relationship Id="rId1922" Type="http://schemas.openxmlformats.org/officeDocument/2006/relationships/hyperlink" Target="https://ik.imagekit.io/alaaalaa6171/018%20Bounty%20Hunter%20-%20Yosaku%20-%20Medal%20_Yosaku_%20-%20Piece.png?updatedAt=1770076404878" TargetMode="External"/><Relationship Id="rId1923" Type="http://schemas.openxmlformats.org/officeDocument/2006/relationships/hyperlink" Target="https://ik.imagekit.io/alaaalaa6171/018%20Bounty%20Hunter%20-%20Yosaku%20-%20Medal%20_Yosaku_%20-%20Piece%20_Colored_.png?updatedAt=1770076405400" TargetMode="External"/><Relationship Id="rId1924" Type="http://schemas.openxmlformats.org/officeDocument/2006/relationships/hyperlink" Target="https://i.postimg.cc/vBXxRZQb/img-icon-medal-310110020.png" TargetMode="External"/><Relationship Id="rId1925" Type="http://schemas.openxmlformats.org/officeDocument/2006/relationships/hyperlink" Target="https://ik.imagekit.io/alaaalaa6171/017%20Black%20Cat%20Pirates_Guard%20-%20Butchie%20-%20Medal%20_Butchie_.png?updatedAt=1770076405404" TargetMode="External"/><Relationship Id="rId1926" Type="http://schemas.openxmlformats.org/officeDocument/2006/relationships/hyperlink" Target="https://ik.imagekit.io/alaaalaa6171/017%20Black%20Cat%20Pirates_Guard%20-%20Butchie%20-%20Medal%20_Butchie_%20_Colored_.png?updatedAt=1770076405383" TargetMode="External"/><Relationship Id="rId1927" Type="http://schemas.openxmlformats.org/officeDocument/2006/relationships/hyperlink" Target="https://ik.imagekit.io/alaaalaa6171/017%20Black%20Cat%20Pirates_Guard%20-%20Butchie%20-%20Medal%20_Butchie_%20-%20Piece.png?updatedAt=1770076404928" TargetMode="External"/><Relationship Id="rId1928" Type="http://schemas.openxmlformats.org/officeDocument/2006/relationships/hyperlink" Target="https://ik.imagekit.io/alaaalaa6171/017%20Black%20Cat%20Pirates_Guard%20-%20Butchie%20-%20Medal%20_Butchie_%20-%20Piece%20_Colored_.png?updatedAt=1770076405120" TargetMode="External"/><Relationship Id="rId1929" Type="http://schemas.openxmlformats.org/officeDocument/2006/relationships/hyperlink" Target="https://i.postimg.cc/26CLXZfm/img-icon-medal-310110011.png" TargetMode="External"/><Relationship Id="rId1950" Type="http://schemas.openxmlformats.org/officeDocument/2006/relationships/hyperlink" Target="https://ik.imagekit.io/alaaalaa6171/012%20Alvida%20Pirates_Captain%20-%20Alvida%20-%20Medal%20_Alvida_.png?updatedAt=1770076404845" TargetMode="External"/><Relationship Id="rId1951" Type="http://schemas.openxmlformats.org/officeDocument/2006/relationships/hyperlink" Target="https://ik.imagekit.io/alaaalaa6171/012%20Alvida%20Pirates_Captain%20-%20Alvida%20-%20Medal%20_Alvida_%20_Colored_.png?updatedAt=1770076404998" TargetMode="External"/><Relationship Id="rId1952" Type="http://schemas.openxmlformats.org/officeDocument/2006/relationships/hyperlink" Target="https://ik.imagekit.io/alaaalaa6171/012%20Alvida%20Pirates_Captain%20-%20Alvida%20-%20Medal%20_Alvida_%20-%20Piece.png?updatedAt=1770076404959" TargetMode="External"/><Relationship Id="rId1953" Type="http://schemas.openxmlformats.org/officeDocument/2006/relationships/hyperlink" Target="https://ik.imagekit.io/alaaalaa6171/012%20Alvida%20Pirates_Captain%20-%20Alvida%20-%20Medal%20_Alvida_%20-%20Piece%20_Colored_.png?updatedAt=1770076405284" TargetMode="External"/><Relationship Id="rId1954" Type="http://schemas.openxmlformats.org/officeDocument/2006/relationships/hyperlink" Target="https://i.postimg.cc/gJGLBZPz/img-icon-medal-310110013.png" TargetMode="External"/><Relationship Id="rId1955" Type="http://schemas.openxmlformats.org/officeDocument/2006/relationships/hyperlink" Target="https://ik.imagekit.io/alaaalaa6171/011%20Chore%20Boy%20-%20Koby%20-%20Medal%20_Koby_.png?updatedAt=1770076404792" TargetMode="External"/><Relationship Id="rId1956" Type="http://schemas.openxmlformats.org/officeDocument/2006/relationships/hyperlink" Target="https://ik.imagekit.io/alaaalaa6171/011%20Chore%20Boy%20-%20Koby%20-%20Medal%20_Koby_%20_Colored_.png?updatedAt=1770076404711" TargetMode="External"/><Relationship Id="rId1957" Type="http://schemas.openxmlformats.org/officeDocument/2006/relationships/hyperlink" Target="https://ik.imagekit.io/alaaalaa6171/011%20Chore%20Boy%20-%20Koby%20-%20Medal%20_Koby_%20-%20Piece.png?updatedAt=1770076405306" TargetMode="External"/><Relationship Id="rId1958" Type="http://schemas.openxmlformats.org/officeDocument/2006/relationships/hyperlink" Target="https://ik.imagekit.io/alaaalaa6171/011%20Chore%20Boy%20-%20Koby%20-%20Medal%20_Koby_%20-%20Piece%20_Colored_.png?updatedAt=1770076404732" TargetMode="External"/><Relationship Id="rId1959" Type="http://schemas.openxmlformats.org/officeDocument/2006/relationships/hyperlink" Target="https://i.postimg.cc/0jQM91Qt/img-icon-medal-310110052.png" TargetMode="External"/><Relationship Id="rId1940" Type="http://schemas.openxmlformats.org/officeDocument/2006/relationships/hyperlink" Target="https://ik.imagekit.io/alaaalaa6171/014%20Navy%20Captain%20-%20Morgan%20-%20Medal%20_Morgan_.png?updatedAt=1770076405130" TargetMode="External"/><Relationship Id="rId1941" Type="http://schemas.openxmlformats.org/officeDocument/2006/relationships/hyperlink" Target="https://ik.imagekit.io/alaaalaa6171/014%20Navy%20Captain%20-%20Morgan%20-%20Medal%20_Morgan_%20_Colored_.png?updatedAt=1770076405562" TargetMode="External"/><Relationship Id="rId1942" Type="http://schemas.openxmlformats.org/officeDocument/2006/relationships/hyperlink" Target="https://ik.imagekit.io/alaaalaa6171/014%20Navy%20Captain%20-%20Morgan%20-%20Medal%20_Morgan_%20-%20Piece.png?updatedAt=1770076404940" TargetMode="External"/><Relationship Id="rId1943" Type="http://schemas.openxmlformats.org/officeDocument/2006/relationships/hyperlink" Target="https://ik.imagekit.io/alaaalaa6171/014%20Navy%20Captain%20-%20Morgan%20-%20Medal%20_Morgan_%20-%20Piece%20_Colored_.png?updatedAt=1770076405580" TargetMode="External"/><Relationship Id="rId1944" Type="http://schemas.openxmlformats.org/officeDocument/2006/relationships/hyperlink" Target="https://i.postimg.cc/Kzm3sMyb/img-icon-medal-310110012.png" TargetMode="External"/><Relationship Id="rId1945" Type="http://schemas.openxmlformats.org/officeDocument/2006/relationships/hyperlink" Target="https://ik.imagekit.io/alaaalaa6171/013%20The%20Idiot%20Son%20-%20Helmeppo%20-%20Medal%20_Helmeppo_.png?updatedAt=1770076405112" TargetMode="External"/><Relationship Id="rId1946" Type="http://schemas.openxmlformats.org/officeDocument/2006/relationships/hyperlink" Target="https://ik.imagekit.io/alaaalaa6171/013%20The%20Idiot%20Son%20-%20Helmeppo%20-%20Medal%20_Helmeppo_%20_Colored_.png?updatedAt=1770076405301" TargetMode="External"/><Relationship Id="rId1947" Type="http://schemas.openxmlformats.org/officeDocument/2006/relationships/hyperlink" Target="https://ik.imagekit.io/alaaalaa6171/013%20The%20Idiot%20Son%20-%20Helmeppo%20-%20Medal%20_Helmeppo_%20-%20Piece.png?updatedAt=1770076405011" TargetMode="External"/><Relationship Id="rId1948" Type="http://schemas.openxmlformats.org/officeDocument/2006/relationships/hyperlink" Target="https://ik.imagekit.io/alaaalaa6171/013%20The%20Idiot%20Son%20-%20Helmeppo%20-%20Medal%20_Helmeppo_%20-%20Piece%20_Colored_.png?updatedAt=1770076404858" TargetMode="External"/><Relationship Id="rId1949" Type="http://schemas.openxmlformats.org/officeDocument/2006/relationships/hyperlink" Target="https://i.postimg.cc/W3sqfkPR/img-icon-medal-310110009.png" TargetMode="External"/><Relationship Id="rId1576" Type="http://schemas.openxmlformats.org/officeDocument/2006/relationships/hyperlink" Target="https://i.postimg.cc/90n4MgwV/img-icon-medal-310110077.png" TargetMode="External"/><Relationship Id="rId1577" Type="http://schemas.openxmlformats.org/officeDocument/2006/relationships/hyperlink" Target="https://ik.imagekit.io/alaaalaa6171/078%20STAMPEDE%20-%20Monkey%20D.%20Luffy%20-%20Medal%20_Luffy%20(STAMPEDE)_.png?updatedAt=1770076415933" TargetMode="External"/><Relationship Id="rId1578" Type="http://schemas.openxmlformats.org/officeDocument/2006/relationships/hyperlink" Target="https://ik.imagekit.io/alaaalaa6171/078%20STAMPEDE%20-%20Monkey%20D.%20Luffy%20-%20Medal%20_Luffy%20(STAMPEDE)_%20_Colored_.png?updatedAt=1770076415945" TargetMode="External"/><Relationship Id="rId1579" Type="http://schemas.openxmlformats.org/officeDocument/2006/relationships/hyperlink" Target="https://ik.imagekit.io/alaaalaa6171/078%20STAMPEDE%20-%20Monkey%20D.%20Luffy%20-%20Medal%20_Luffy%20(STAMPEDE)_%20-%20Piece.png?updatedAt=1770076415934" TargetMode="External"/><Relationship Id="rId509" Type="http://schemas.openxmlformats.org/officeDocument/2006/relationships/hyperlink" Target="https://ik.imagekit.io/alaaalaa6171/256%20New%20Fish-Man%20Pirates_Captain%20-%20Hody%20Jones%20-%20Medal%20_Shark%20Pack_.png?updatedAt=1770076452936" TargetMode="External"/><Relationship Id="rId508" Type="http://schemas.openxmlformats.org/officeDocument/2006/relationships/hyperlink" Target="https://i.postimg.cc/Y9X0nD3q/img-icon-medal-310110258.png" TargetMode="External"/><Relationship Id="rId503" Type="http://schemas.openxmlformats.org/officeDocument/2006/relationships/hyperlink" Target="https://ik.imagekit.io/alaaalaa6171/257%20Battle%20of%20Monsters%20on%20Onigashima%20-%20Kid%20&amp;%20Law%20-%20Medal%20_Kid%20&amp;%20Law_.png?updatedAt=1770076453018" TargetMode="External"/><Relationship Id="rId987" Type="http://schemas.openxmlformats.org/officeDocument/2006/relationships/hyperlink" Target="https://i.postimg.cc/FHjhjrT8/142.png" TargetMode="External"/><Relationship Id="rId502" Type="http://schemas.openxmlformats.org/officeDocument/2006/relationships/hyperlink" Target="https://i.postimg.cc/V6s5FPjb/img-icon-medal-310110257.png" TargetMode="External"/><Relationship Id="rId986" Type="http://schemas.openxmlformats.org/officeDocument/2006/relationships/hyperlink" Target="https://ik.imagekit.io/alaaalaa6171/177%20Land%20of%20Wano%20-%20Bonekichi%20-%20Medal%20_Ice_Burn_%20-%20Piece%20_Colored_.png?updatedAt=1770076436963" TargetMode="External"/><Relationship Id="rId501" Type="http://schemas.openxmlformats.org/officeDocument/2006/relationships/hyperlink" Target="https://i.postimg.cc/Qdd3jF9w/223.png" TargetMode="External"/><Relationship Id="rId985" Type="http://schemas.openxmlformats.org/officeDocument/2006/relationships/hyperlink" Target="https://ik.imagekit.io/alaaalaa6171/177%20Land%20of%20Wano%20-%20Bonekichi%20-%20Medal%20_Ice_Burn_%20-%20Piece.png?updatedAt=1770076436910" TargetMode="External"/><Relationship Id="rId500" Type="http://schemas.openxmlformats.org/officeDocument/2006/relationships/hyperlink" Target="https://ik.imagekit.io/alaaalaa6171/258%20Raid%20on%20Onigashima%20-%20Killer%20-%20Medal%20_Raid%20Killer_%20-%20Piece%20_Colored_.png?updatedAt=1770076452974" TargetMode="External"/><Relationship Id="rId984" Type="http://schemas.openxmlformats.org/officeDocument/2006/relationships/hyperlink" Target="https://ik.imagekit.io/alaaalaa6171/177%20Land%20of%20Wano%20-%20Bonekichi%20-%20Medal%20_Ice_Burn_%20_Colored_.png?updatedAt=1770076436915" TargetMode="External"/><Relationship Id="rId507" Type="http://schemas.openxmlformats.org/officeDocument/2006/relationships/hyperlink" Target="https://i.postimg.cc/XY10qn9J/222.png" TargetMode="External"/><Relationship Id="rId506" Type="http://schemas.openxmlformats.org/officeDocument/2006/relationships/hyperlink" Target="https://ik.imagekit.io/alaaalaa6171/257%20Battle%20of%20Monsters%20on%20Onigashima%20-%20Kid%20&amp;%20Law%20-%20Medal%20_Kid%20&amp;%20Law_%20-%20Piece%20_Colored_.png?updatedAt=1770076452936" TargetMode="External"/><Relationship Id="rId505" Type="http://schemas.openxmlformats.org/officeDocument/2006/relationships/hyperlink" Target="https://ik.imagekit.io/alaaalaa6171/257%20Battle%20of%20Monsters%20on%20Onigashima%20-%20Kid%20&amp;%20Law%20-%20Medal%20_Kid%20&amp;%20Law_%20-%20Piece.png?updatedAt=1770076452939" TargetMode="External"/><Relationship Id="rId989" Type="http://schemas.openxmlformats.org/officeDocument/2006/relationships/hyperlink" Target="https://ik.imagekit.io/alaaalaa6171/176%20Land%20of%20Wano%20-%20Orobi%20-%20Medal%20_Delphinium_.png?updatedAt=1770076436949" TargetMode="External"/><Relationship Id="rId504" Type="http://schemas.openxmlformats.org/officeDocument/2006/relationships/hyperlink" Target="https://ik.imagekit.io/alaaalaa6171/257%20Battle%20of%20Monsters%20on%20Onigashima%20-%20Kid%20&amp;%20Law%20-%20Medal%20_Kid%20&amp;%20Law_%20_Colored_.png?updatedAt=1770076452952" TargetMode="External"/><Relationship Id="rId988" Type="http://schemas.openxmlformats.org/officeDocument/2006/relationships/hyperlink" Target="https://i.postimg.cc/dVd7sBsV/img-icon-medal-310110177.png" TargetMode="External"/><Relationship Id="rId1570" Type="http://schemas.openxmlformats.org/officeDocument/2006/relationships/hyperlink" Target="https://i.postimg.cc/mk5cDp1G/img-icon-medal-310110076.png" TargetMode="External"/><Relationship Id="rId1571" Type="http://schemas.openxmlformats.org/officeDocument/2006/relationships/hyperlink" Target="https://ik.imagekit.io/alaaalaa6171/079%20STAMPEDE%20-%20Sabo%20-%20Medal%20_Sabo%20(STAMPEDE)_.png?updatedAt=1770076416001" TargetMode="External"/><Relationship Id="rId983" Type="http://schemas.openxmlformats.org/officeDocument/2006/relationships/hyperlink" Target="https://ik.imagekit.io/alaaalaa6171/177%20Land%20of%20Wano%20-%20Bonekichi%20-%20Medal%20_Ice_Burn_.png?updatedAt=1770076436973" TargetMode="External"/><Relationship Id="rId1572" Type="http://schemas.openxmlformats.org/officeDocument/2006/relationships/hyperlink" Target="https://ik.imagekit.io/alaaalaa6171/079%20STAMPEDE%20-%20Sabo%20-%20Medal%20_Sabo%20(STAMPEDE)_%20_Colored_.png?updatedAt=1770076415987" TargetMode="External"/><Relationship Id="rId982" Type="http://schemas.openxmlformats.org/officeDocument/2006/relationships/hyperlink" Target="https://i.postimg.cc/7Z7CHVH6/img-icon-medal-310110178.png" TargetMode="External"/><Relationship Id="rId1573" Type="http://schemas.openxmlformats.org/officeDocument/2006/relationships/hyperlink" Target="https://ik.imagekit.io/alaaalaa6171/079%20STAMPEDE%20-%20Sabo%20-%20Medal%20_Sabo%20(STAMPEDE)_%20-%20Piece.png?updatedAt=1770076416027" TargetMode="External"/><Relationship Id="rId981" Type="http://schemas.openxmlformats.org/officeDocument/2006/relationships/hyperlink" Target="https://i.postimg.cc/L8dHYY3j/143.png" TargetMode="External"/><Relationship Id="rId1574" Type="http://schemas.openxmlformats.org/officeDocument/2006/relationships/hyperlink" Target="https://ik.imagekit.io/alaaalaa6171/079%20STAMPEDE%20-%20Sabo%20-%20Medal%20_Sabo%20(STAMPEDE)_%20-%20Piece%20_Colored_.png?updatedAt=1770076415950" TargetMode="External"/><Relationship Id="rId980" Type="http://schemas.openxmlformats.org/officeDocument/2006/relationships/hyperlink" Target="https://ik.imagekit.io/alaaalaa6171/178%20Navy%20HQ_Fleet%20Admiral%20Akainu%20-%20_Sakazuki_%20-%20Medal%20_Fleet%20Admiral%20Akainu_%20-%20Piece%20_Colored_.png?updatedAt=1770076436942" TargetMode="External"/><Relationship Id="rId1575" Type="http://schemas.openxmlformats.org/officeDocument/2006/relationships/hyperlink" Target="https://i.postimg.cc/jjtnfk46/044.png" TargetMode="External"/><Relationship Id="rId1565" Type="http://schemas.openxmlformats.org/officeDocument/2006/relationships/hyperlink" Target="https://ik.imagekit.io/alaaalaa6171/080%20Gear%20Four_Bounceman%20-%20Monkey%20D.%20Luffy%20-%20Medal%20_King%20Kong%20Gun_.png?updatedAt=1770076416011" TargetMode="External"/><Relationship Id="rId1566" Type="http://schemas.openxmlformats.org/officeDocument/2006/relationships/hyperlink" Target="https://ik.imagekit.io/alaaalaa6171/080%20Gear%20Four_Bounceman%20-%20Monkey%20D.%20Luffy%20-%20Medal%20_King%20Kong%20Gun_%20_Colored_.png?updatedAt=1770076416005" TargetMode="External"/><Relationship Id="rId1567" Type="http://schemas.openxmlformats.org/officeDocument/2006/relationships/hyperlink" Target="https://ik.imagekit.io/alaaalaa6171/080%20Gear%20Four_Bounceman%20-%20Monkey%20D.%20Luffy%20-%20Medal%20_King%20Kong%20Gun_%20-%20Piece.png?updatedAt=1770076416004" TargetMode="External"/><Relationship Id="rId1568" Type="http://schemas.openxmlformats.org/officeDocument/2006/relationships/hyperlink" Target="https://ik.imagekit.io/alaaalaa6171/080%20Gear%20Four_Bounceman%20-%20Monkey%20D.%20Luffy%20-%20Medal%20_King%20Kong%20Gun_%20-%20Piece%20_Colored_.png?updatedAt=1770076416030" TargetMode="External"/><Relationship Id="rId1569" Type="http://schemas.openxmlformats.org/officeDocument/2006/relationships/hyperlink" Target="https://i.postimg.cc/x1KbcSMT/045.png" TargetMode="External"/><Relationship Id="rId976" Type="http://schemas.openxmlformats.org/officeDocument/2006/relationships/hyperlink" Target="https://i.postimg.cc/sgSBjcj2/img-icon-medal-310110179.png" TargetMode="External"/><Relationship Id="rId975" Type="http://schemas.openxmlformats.org/officeDocument/2006/relationships/hyperlink" Target="https://i.postimg.cc/CMQM06ZP/144.png" TargetMode="External"/><Relationship Id="rId974" Type="http://schemas.openxmlformats.org/officeDocument/2006/relationships/hyperlink" Target="https://ik.imagekit.io/alaaalaa6171/179%20Navy%20HQ_Master%20Chief%20Petty%20Officer%20-%20Koby%20-%20Medal%20_Koby%20(Paramount%20War)_%20-%20Piece%20_Colored_.png?updatedAt=1770076437014" TargetMode="External"/><Relationship Id="rId973" Type="http://schemas.openxmlformats.org/officeDocument/2006/relationships/hyperlink" Target="https://ik.imagekit.io/alaaalaa6171/179%20Navy%20HQ_Master%20Chief%20Petty%20Officer%20-%20Koby%20-%20Medal%20_Koby%20(Paramount%20War)_%20-%20Piece.png?updatedAt=1770076436980" TargetMode="External"/><Relationship Id="rId979" Type="http://schemas.openxmlformats.org/officeDocument/2006/relationships/hyperlink" Target="https://ik.imagekit.io/alaaalaa6171/178%20Navy%20HQ_Fleet%20Admiral%20Akainu%20-%20_Sakazuki_%20-%20Medal%20_Fleet%20Admiral%20Akainu_%20-%20Piece.png?updatedAt=1770076436953" TargetMode="External"/><Relationship Id="rId978" Type="http://schemas.openxmlformats.org/officeDocument/2006/relationships/hyperlink" Target="https://ik.imagekit.io/alaaalaa6171/178%20Navy%20HQ_Fleet%20Admiral%20Akainu%20-%20_Sakazuki_%20-%20Medal%20_Fleet%20Admiral%20Akainu_%20_Colored_.png?updatedAt=1770076436956" TargetMode="External"/><Relationship Id="rId977" Type="http://schemas.openxmlformats.org/officeDocument/2006/relationships/hyperlink" Target="https://ik.imagekit.io/alaaalaa6171/178%20Navy%20HQ_Fleet%20Admiral%20Akainu%20-%20_Sakazuki_%20-%20Medal%20_Fleet%20Admiral%20Akainu_.png?updatedAt=1770076436959" TargetMode="External"/><Relationship Id="rId1560" Type="http://schemas.openxmlformats.org/officeDocument/2006/relationships/hyperlink" Target="https://ik.imagekit.io/alaaalaa6171/081%20The%20Seven%20Warlords%20of%20the%20Sea%20-%20Don%20Quixote%20Doflamingo%20-%20Medal%20_Billow_White_%20_Colored_.png?updatedAt=1770076415983" TargetMode="External"/><Relationship Id="rId972" Type="http://schemas.openxmlformats.org/officeDocument/2006/relationships/hyperlink" Target="https://ik.imagekit.io/alaaalaa6171/179%20Navy%20HQ_Master%20Chief%20Petty%20Officer%20-%20Koby%20-%20Medal%20_Koby%20(Paramount%20War)_%20_Colored_.png?updatedAt=1770076436951" TargetMode="External"/><Relationship Id="rId1561" Type="http://schemas.openxmlformats.org/officeDocument/2006/relationships/hyperlink" Target="https://ik.imagekit.io/alaaalaa6171/081%20The%20Seven%20Warlords%20of%20the%20Sea%20-%20Don%20Quixote%20Doflamingo%20-%20Medal%20_Billow_White_%20-%20Piece.png?updatedAt=1770076416021" TargetMode="External"/><Relationship Id="rId971" Type="http://schemas.openxmlformats.org/officeDocument/2006/relationships/hyperlink" Target="https://ik.imagekit.io/alaaalaa6171/179%20Navy%20HQ_Master%20Chief%20Petty%20Officer%20-%20Koby%20-%20Medal%20_Koby%20(Paramount%20War)_.png?updatedAt=1770076436984" TargetMode="External"/><Relationship Id="rId1562" Type="http://schemas.openxmlformats.org/officeDocument/2006/relationships/hyperlink" Target="https://ik.imagekit.io/alaaalaa6171/081%20The%20Seven%20Warlords%20of%20the%20Sea%20-%20Don%20Quixote%20Doflamingo%20-%20Medal%20_Billow_White_%20-%20Piece%20_Colored_.png?updatedAt=1770076416090" TargetMode="External"/><Relationship Id="rId970" Type="http://schemas.openxmlformats.org/officeDocument/2006/relationships/hyperlink" Target="https://i.postimg.cc/L8fq9T9n/img-icon-medal-310110182.png" TargetMode="External"/><Relationship Id="rId1563" Type="http://schemas.openxmlformats.org/officeDocument/2006/relationships/hyperlink" Target="https://i.postimg.cc/mgxHLrc5/046.png" TargetMode="External"/><Relationship Id="rId1564" Type="http://schemas.openxmlformats.org/officeDocument/2006/relationships/hyperlink" Target="https://i.postimg.cc/Gt5B2gTd/img-icon-medal-310110080.png" TargetMode="External"/><Relationship Id="rId1114" Type="http://schemas.openxmlformats.org/officeDocument/2006/relationships/hyperlink" Target="https://i.postimg.cc/MpRc6DW9/img-icon-medal-310110156.png" TargetMode="External"/><Relationship Id="rId1598" Type="http://schemas.openxmlformats.org/officeDocument/2006/relationships/hyperlink" Target="https://ik.imagekit.io/alaaalaa6171/075%20Impel%20Down_Prisoner%20-%20Crocodile%20-%20Medal%20_Sables_%20-%20Piece%20_Colored_.png?updatedAt=1770076415874" TargetMode="External"/><Relationship Id="rId1115" Type="http://schemas.openxmlformats.org/officeDocument/2006/relationships/hyperlink" Target="https://ik.imagekit.io/alaaalaa6171/155%20Kyoshiro%20Family_Boss%20-%20Napping%20Kyoshiro%20-%20Medal%20_Napping%20Kyoshiro_.png?updatedAt=1770076431615" TargetMode="External"/><Relationship Id="rId1599" Type="http://schemas.openxmlformats.org/officeDocument/2006/relationships/hyperlink" Target="https://i.postimg.cc/brDZ8XqP/040.png" TargetMode="External"/><Relationship Id="rId1116" Type="http://schemas.openxmlformats.org/officeDocument/2006/relationships/hyperlink" Target="https://ik.imagekit.io/alaaalaa6171/155%20Kyoshiro%20Family_Boss%20-%20Napping%20Kyoshiro%20-%20Medal%20_Napping%20Kyoshiro_%20_Colored_.png?updatedAt=1770076431630" TargetMode="External"/><Relationship Id="rId1117" Type="http://schemas.openxmlformats.org/officeDocument/2006/relationships/hyperlink" Target="https://ik.imagekit.io/alaaalaa6171/155%20Kyoshiro%20Family_Boss%20-%20Napping%20Kyoshiro%20-%20Medal%20_Napping%20Kyoshiro_%20-%20Piece.png?updatedAt=1770076431621" TargetMode="External"/><Relationship Id="rId1118" Type="http://schemas.openxmlformats.org/officeDocument/2006/relationships/hyperlink" Target="https://ik.imagekit.io/alaaalaa6171/155%20Kyoshiro%20Family_Boss%20-%20Napping%20Kyoshiro%20-%20Medal%20_Napping%20Kyoshiro_%20-%20Piece%20_Colored_.png?updatedAt=1770076431623" TargetMode="External"/><Relationship Id="rId1119" Type="http://schemas.openxmlformats.org/officeDocument/2006/relationships/hyperlink" Target="https://i.postimg.cc/YSD2SXnC/120.png" TargetMode="External"/><Relationship Id="rId525" Type="http://schemas.openxmlformats.org/officeDocument/2006/relationships/hyperlink" Target="https://i.postimg.cc/63nsMRg2/219.png" TargetMode="External"/><Relationship Id="rId524" Type="http://schemas.openxmlformats.org/officeDocument/2006/relationships/hyperlink" Target="https://ik.imagekit.io/alaaalaa6171/254%20Caribou%20Pirates_Captain%20-%20Caribou%20-%20Medal%20_Caribou_%20-%20Piece%20_Colored_.png?updatedAt=1770076452720" TargetMode="External"/><Relationship Id="rId523" Type="http://schemas.openxmlformats.org/officeDocument/2006/relationships/hyperlink" Target="https://ik.imagekit.io/alaaalaa6171/254%20Caribou%20Pirates_Captain%20-%20Caribou%20-%20Medal%20_Caribou_%20-%20Piece.png?updatedAt=1770076452737" TargetMode="External"/><Relationship Id="rId522" Type="http://schemas.openxmlformats.org/officeDocument/2006/relationships/hyperlink" Target="https://ik.imagekit.io/alaaalaa6171/254%20Caribou%20Pirates_Captain%20-%20Caribou%20-%20Medal%20_Caribou_%20_Colored_.png?updatedAt=1770076452753" TargetMode="External"/><Relationship Id="rId529" Type="http://schemas.openxmlformats.org/officeDocument/2006/relationships/hyperlink" Target="https://ik.imagekit.io/alaaalaa6171/253%20Flying%20Pirates_Captain%20-%20Vander%20Decken%20IX%20-%20Medal%20_Vander%20Decken%20IX_%20-%20Piece.png?updatedAt=1770076452099" TargetMode="External"/><Relationship Id="rId528" Type="http://schemas.openxmlformats.org/officeDocument/2006/relationships/hyperlink" Target="https://ik.imagekit.io/alaaalaa6171/253%20Flying%20Pirates_Captain%20-%20Vander%20Decken%20IX%20-%20Medal%20_Vander%20Decken%20IX_%20_Colored_.png?updatedAt=1770076452704" TargetMode="External"/><Relationship Id="rId527" Type="http://schemas.openxmlformats.org/officeDocument/2006/relationships/hyperlink" Target="https://ik.imagekit.io/alaaalaa6171/253%20Flying%20Pirates_Captain%20-%20Vander%20Decken%20IX%20-%20Medal%20_Vander%20Decken%20IX_.png?updatedAt=1770076452705" TargetMode="External"/><Relationship Id="rId526" Type="http://schemas.openxmlformats.org/officeDocument/2006/relationships/hyperlink" Target="https://i.postimg.cc/QtNVqZpK/img-icon-medal-310110254.png" TargetMode="External"/><Relationship Id="rId1590" Type="http://schemas.openxmlformats.org/officeDocument/2006/relationships/hyperlink" Target="https://ik.imagekit.io/alaaalaa6171/076%20Navy%20Infiltrator%20-%20Portgaz%20D.%20Ace%20-%20Medal%20_Fire%20Pillar_%20_Colored_.png?updatedAt=1770076415929" TargetMode="External"/><Relationship Id="rId1591" Type="http://schemas.openxmlformats.org/officeDocument/2006/relationships/hyperlink" Target="https://ik.imagekit.io/alaaalaa6171/076%20Navy%20Infiltrator%20-%20Portgaz%20D.%20Ace%20-%20Medal%20_Fire%20Pillar_%20-%20Piece.png?updatedAt=1770076415907" TargetMode="External"/><Relationship Id="rId1592" Type="http://schemas.openxmlformats.org/officeDocument/2006/relationships/hyperlink" Target="https://ik.imagekit.io/alaaalaa6171/076%20Navy%20Infiltrator%20-%20Portgaz%20D.%20Ace%20-%20Medal%20_Fire%20Pillar_%20-%20Piece%20_Colored_.png?updatedAt=1770076415958" TargetMode="External"/><Relationship Id="rId1593" Type="http://schemas.openxmlformats.org/officeDocument/2006/relationships/hyperlink" Target="https://i.postimg.cc/NMPKWGqb/041.png" TargetMode="External"/><Relationship Id="rId521" Type="http://schemas.openxmlformats.org/officeDocument/2006/relationships/hyperlink" Target="https://ik.imagekit.io/alaaalaa6171/254%20Caribou%20Pirates_Captain%20-%20Caribou%20-%20Medal%20_Caribou_.png?updatedAt=1770076452725" TargetMode="External"/><Relationship Id="rId1110" Type="http://schemas.openxmlformats.org/officeDocument/2006/relationships/hyperlink" Target="https://ik.imagekit.io/alaaalaa6171/156%20Kozuki%20Clan_Servant%20-%20Ashura%20Doji%20-%20Medal%20_Ashura%20Doji_%20_Colored_.png?updatedAt=1770076431628" TargetMode="External"/><Relationship Id="rId1594" Type="http://schemas.openxmlformats.org/officeDocument/2006/relationships/hyperlink" Target="https://i.postimg.cc/ZnM9Rsvz/img-icon-medal-310110075.png" TargetMode="External"/><Relationship Id="rId520" Type="http://schemas.openxmlformats.org/officeDocument/2006/relationships/hyperlink" Target="https://i.postimg.cc/XJNXg6wZ/img-icon-medal-310110255.png" TargetMode="External"/><Relationship Id="rId1111" Type="http://schemas.openxmlformats.org/officeDocument/2006/relationships/hyperlink" Target="https://ik.imagekit.io/alaaalaa6171/156%20Kozuki%20Clan_Servant%20-%20Ashura%20Doji%20-%20Medal%20_Ashura%20Doji_%20-%20Piece.png?updatedAt=1770076431596" TargetMode="External"/><Relationship Id="rId1595" Type="http://schemas.openxmlformats.org/officeDocument/2006/relationships/hyperlink" Target="https://ik.imagekit.io/alaaalaa6171/075%20Impel%20Down_Prisoner%20-%20Crocodile%20-%20Medal%20_Sables_.png?updatedAt=1770076415936" TargetMode="External"/><Relationship Id="rId1112" Type="http://schemas.openxmlformats.org/officeDocument/2006/relationships/hyperlink" Target="https://ik.imagekit.io/alaaalaa6171/156%20Kozuki%20Clan_Servant%20-%20Ashura%20Doji%20-%20Medal%20_Ashura%20Doji_%20-%20Piece%20_Colored_.png?updatedAt=1770076431606" TargetMode="External"/><Relationship Id="rId1596" Type="http://schemas.openxmlformats.org/officeDocument/2006/relationships/hyperlink" Target="https://ik.imagekit.io/alaaalaa6171/075%20Impel%20Down_Prisoner%20-%20Crocodile%20-%20Medal%20_Sables_%20_Colored_.png?updatedAt=1770076415937" TargetMode="External"/><Relationship Id="rId1113" Type="http://schemas.openxmlformats.org/officeDocument/2006/relationships/hyperlink" Target="https://i.postimg.cc/rpwFM69H/121.png" TargetMode="External"/><Relationship Id="rId1597" Type="http://schemas.openxmlformats.org/officeDocument/2006/relationships/hyperlink" Target="https://ik.imagekit.io/alaaalaa6171/075%20Impel%20Down_Prisoner%20-%20Crocodile%20-%20Medal%20_Sables_%20-%20Piece.png?updatedAt=1770076415875" TargetMode="External"/><Relationship Id="rId1103" Type="http://schemas.openxmlformats.org/officeDocument/2006/relationships/hyperlink" Target="https://ik.imagekit.io/alaaalaa6171/157%20Hero%20of%20the%20Navy%20-%20Monkey%20D.%20Garb%20-%20Medal%20_Hero_.png?updatedAt=1770076431397" TargetMode="External"/><Relationship Id="rId1587" Type="http://schemas.openxmlformats.org/officeDocument/2006/relationships/hyperlink" Target="https://i.postimg.cc/fLb32tFJ/042.png" TargetMode="External"/><Relationship Id="rId1104" Type="http://schemas.openxmlformats.org/officeDocument/2006/relationships/hyperlink" Target="https://ik.imagekit.io/alaaalaa6171/157%20Hero%20of%20the%20Navy%20-%20Monkey%20D.%20Garb%20-%20Medal%20_Hero_%20_Colored_.png?updatedAt=1770076431628" TargetMode="External"/><Relationship Id="rId1588" Type="http://schemas.openxmlformats.org/officeDocument/2006/relationships/hyperlink" Target="https://i.postimg.cc/1Xjgt7V9/img-icon-medal-310110078.png" TargetMode="External"/><Relationship Id="rId1105" Type="http://schemas.openxmlformats.org/officeDocument/2006/relationships/hyperlink" Target="https://ik.imagekit.io/alaaalaa6171/157%20Hero%20of%20the%20Navy%20-%20Monkey%20D.%20Garb%20-%20Medal%20_Hero_%20-%20Piece.png?updatedAt=1770076431607" TargetMode="External"/><Relationship Id="rId1589" Type="http://schemas.openxmlformats.org/officeDocument/2006/relationships/hyperlink" Target="https://ik.imagekit.io/alaaalaa6171/076%20Navy%20Infiltrator%20-%20Portgaz%20D.%20Ace%20-%20Medal%20_Fire%20Pillar_.png?updatedAt=1770076415910" TargetMode="External"/><Relationship Id="rId1106" Type="http://schemas.openxmlformats.org/officeDocument/2006/relationships/hyperlink" Target="https://ik.imagekit.io/alaaalaa6171/157%20Hero%20of%20the%20Navy%20-%20Monkey%20D.%20Garb%20-%20Medal%20_Hero_%20-%20Piece%20_Colored_.png?updatedAt=1770076431617" TargetMode="External"/><Relationship Id="rId1107" Type="http://schemas.openxmlformats.org/officeDocument/2006/relationships/hyperlink" Target="https://i.postimg.cc/nhkcyVq7/122.png" TargetMode="External"/><Relationship Id="rId1108" Type="http://schemas.openxmlformats.org/officeDocument/2006/relationships/hyperlink" Target="https://i.postimg.cc/L6GYF7pd/img-icon-medal-310110157.png" TargetMode="External"/><Relationship Id="rId1109" Type="http://schemas.openxmlformats.org/officeDocument/2006/relationships/hyperlink" Target="https://ik.imagekit.io/alaaalaa6171/156%20Kozuki%20Clan_Servant%20-%20Ashura%20Doji%20-%20Medal%20_Ashura%20Doji_.png?updatedAt=1770076431590" TargetMode="External"/><Relationship Id="rId519" Type="http://schemas.openxmlformats.org/officeDocument/2006/relationships/hyperlink" Target="https://i.postimg.cc/Jh9V3K6C/220.png" TargetMode="External"/><Relationship Id="rId514" Type="http://schemas.openxmlformats.org/officeDocument/2006/relationships/hyperlink" Target="https://i.postimg.cc/Tw2hcvrL/img-icon-medal-310110256.png" TargetMode="External"/><Relationship Id="rId998" Type="http://schemas.openxmlformats.org/officeDocument/2006/relationships/hyperlink" Target="https://ik.imagekit.io/alaaalaa6171/175%20Princess%20and%20Loyal%20Partner%20-%20Vivi%20&amp;%20Karoo%20-%20Medal%20_Vivi%20&amp;%20Karoo_%20-%20Piece%20_Colored_.png?updatedAt=1770076436889" TargetMode="External"/><Relationship Id="rId513" Type="http://schemas.openxmlformats.org/officeDocument/2006/relationships/hyperlink" Target="https://i.postimg.cc/7LCrTjNN/221.png" TargetMode="External"/><Relationship Id="rId997" Type="http://schemas.openxmlformats.org/officeDocument/2006/relationships/hyperlink" Target="https://ik.imagekit.io/alaaalaa6171/175%20Princess%20and%20Loyal%20Partner%20-%20Vivi%20&amp;%20Karoo%20-%20Medal%20_Vivi%20&amp;%20Karoo_%20-%20Piece.png?updatedAt=1770076436888" TargetMode="External"/><Relationship Id="rId512" Type="http://schemas.openxmlformats.org/officeDocument/2006/relationships/hyperlink" Target="https://ik.imagekit.io/alaaalaa6171/256%20New%20Fish-Man%20Pirates_Captain%20-%20Hody%20Jones%20-%20Medal%20_Shark%20Pack_%20-%20Piece%20_Colored_.png?updatedAt=1770076452951" TargetMode="External"/><Relationship Id="rId996" Type="http://schemas.openxmlformats.org/officeDocument/2006/relationships/hyperlink" Target="https://ik.imagekit.io/alaaalaa6171/175%20Princess%20and%20Loyal%20Partner%20-%20Vivi%20&amp;%20Karoo%20-%20Medal%20_Vivi%20&amp;%20Karoo_%20_Colored_.png?updatedAt=1770076436880" TargetMode="External"/><Relationship Id="rId511" Type="http://schemas.openxmlformats.org/officeDocument/2006/relationships/hyperlink" Target="https://ik.imagekit.io/alaaalaa6171/256%20New%20Fish-Man%20Pirates_Captain%20-%20Hody%20Jones%20-%20Medal%20_Shark%20Pack_%20-%20Piece.png?updatedAt=1770076452931" TargetMode="External"/><Relationship Id="rId995" Type="http://schemas.openxmlformats.org/officeDocument/2006/relationships/hyperlink" Target="https://ik.imagekit.io/alaaalaa6171/175%20Princess%20and%20Loyal%20Partner%20-%20Vivi%20&amp;%20Karoo%20-%20Medal%20_Vivi%20&amp;%20Karoo_.png?updatedAt=1770076436897" TargetMode="External"/><Relationship Id="rId518" Type="http://schemas.openxmlformats.org/officeDocument/2006/relationships/hyperlink" Target="https://ik.imagekit.io/alaaalaa6171/255%20Ryugu%20Kingdom_King%20-%20Neptune%20-%20Medal%20_Neptune_%20-%20Piece%20_Colored_.png?updatedAt=1770076452756" TargetMode="External"/><Relationship Id="rId517" Type="http://schemas.openxmlformats.org/officeDocument/2006/relationships/hyperlink" Target="https://ik.imagekit.io/alaaalaa6171/255%20Ryugu%20Kingdom_King%20-%20Neptune%20-%20Medal%20_Neptune_%20-%20Piece.png?updatedAt=1770076452729" TargetMode="External"/><Relationship Id="rId516" Type="http://schemas.openxmlformats.org/officeDocument/2006/relationships/hyperlink" Target="https://ik.imagekit.io/alaaalaa6171/255%20Ryugu%20Kingdom_King%20-%20Neptune%20-%20Medal%20_Neptune_%20_Colored_.png?updatedAt=1770076452983" TargetMode="External"/><Relationship Id="rId515" Type="http://schemas.openxmlformats.org/officeDocument/2006/relationships/hyperlink" Target="https://ik.imagekit.io/alaaalaa6171/255%20Ryugu%20Kingdom_King%20-%20Neptune%20-%20Medal%20_Neptune_.png?updatedAt=1770076452926" TargetMode="External"/><Relationship Id="rId999" Type="http://schemas.openxmlformats.org/officeDocument/2006/relationships/hyperlink" Target="https://i.postimg.cc/Jhxm2TVQ/140.png" TargetMode="External"/><Relationship Id="rId990" Type="http://schemas.openxmlformats.org/officeDocument/2006/relationships/hyperlink" Target="https://ik.imagekit.io/alaaalaa6171/176%20Land%20of%20Wano%20-%20Orobi%20-%20Medal%20_Delphinium_%20_Colored_.png?updatedAt=1770076436918" TargetMode="External"/><Relationship Id="rId1580" Type="http://schemas.openxmlformats.org/officeDocument/2006/relationships/hyperlink" Target="https://ik.imagekit.io/alaaalaa6171/078%20STAMPEDE%20-%20Monkey%20D.%20Luffy%20-%20Medal%20_Luffy%20(STAMPEDE)_%20-%20Piece%20_Colored_.png?updatedAt=1770076415927" TargetMode="External"/><Relationship Id="rId1581" Type="http://schemas.openxmlformats.org/officeDocument/2006/relationships/hyperlink" Target="https://i.postimg.cc/SKd2f7gB/043.png" TargetMode="External"/><Relationship Id="rId1582" Type="http://schemas.openxmlformats.org/officeDocument/2006/relationships/hyperlink" Target="https://i.postimg.cc/6qm73b4B/img-icon-medal-310110079.png" TargetMode="External"/><Relationship Id="rId510" Type="http://schemas.openxmlformats.org/officeDocument/2006/relationships/hyperlink" Target="https://ik.imagekit.io/alaaalaa6171/256%20New%20Fish-Man%20Pirates_Captain%20-%20Hody%20Jones%20-%20Medal%20_Shark%20Pack_%20_Colored_.png?updatedAt=1770076452934" TargetMode="External"/><Relationship Id="rId994" Type="http://schemas.openxmlformats.org/officeDocument/2006/relationships/hyperlink" Target="https://i.postimg.cc/Z539bcbK/img-icon-medal-310110176.png" TargetMode="External"/><Relationship Id="rId1583" Type="http://schemas.openxmlformats.org/officeDocument/2006/relationships/hyperlink" Target="https://ik.imagekit.io/alaaalaa6171/077%20STAMPEDE%20-%20Smoker%20-%20Medal%20_Smoker%20(STAMPEDE)_.png?updatedAt=1770076415954" TargetMode="External"/><Relationship Id="rId993" Type="http://schemas.openxmlformats.org/officeDocument/2006/relationships/hyperlink" Target="https://i.postimg.cc/cJ00hpjH/141.png" TargetMode="External"/><Relationship Id="rId1100" Type="http://schemas.openxmlformats.org/officeDocument/2006/relationships/hyperlink" Target="https://ik.imagekit.io/alaaalaa6171/158%20Roger%60s%20Rival%20-%20Edward%20Newgate%20-%20Medal%20_Tremor_Tremor_%20-%20Piece%20_Colored_.png?updatedAt=1770076431398" TargetMode="External"/><Relationship Id="rId1584" Type="http://schemas.openxmlformats.org/officeDocument/2006/relationships/hyperlink" Target="https://ik.imagekit.io/alaaalaa6171/077%20STAMPEDE%20-%20Smoker%20-%20Medal%20_Smoker%20(STAMPEDE)_%20_Colored_.png?updatedAt=1770076415942" TargetMode="External"/><Relationship Id="rId992" Type="http://schemas.openxmlformats.org/officeDocument/2006/relationships/hyperlink" Target="https://ik.imagekit.io/alaaalaa6171/176%20Land%20of%20Wano%20-%20Orobi%20-%20Medal%20_Delphinium_%20-%20Piece%20_Colored_.png?updatedAt=1770076436942" TargetMode="External"/><Relationship Id="rId1101" Type="http://schemas.openxmlformats.org/officeDocument/2006/relationships/hyperlink" Target="https://i.postimg.cc/htgtZQQc/123.png" TargetMode="External"/><Relationship Id="rId1585" Type="http://schemas.openxmlformats.org/officeDocument/2006/relationships/hyperlink" Target="https://ik.imagekit.io/alaaalaa6171/077%20STAMPEDE%20-%20Smoker%20-%20Medal%20_Smoker%20(STAMPEDE)_%20-%20Piece.png?updatedAt=1770076415945" TargetMode="External"/><Relationship Id="rId991" Type="http://schemas.openxmlformats.org/officeDocument/2006/relationships/hyperlink" Target="https://ik.imagekit.io/alaaalaa6171/176%20Land%20of%20Wano%20-%20Orobi%20-%20Medal%20_Delphinium_%20-%20Piece.png?updatedAt=1770076436889" TargetMode="External"/><Relationship Id="rId1102" Type="http://schemas.openxmlformats.org/officeDocument/2006/relationships/hyperlink" Target="https://i.postimg.cc/Hk5JY2pS/img-icon-medal-310110158.png" TargetMode="External"/><Relationship Id="rId1586" Type="http://schemas.openxmlformats.org/officeDocument/2006/relationships/hyperlink" Target="https://ik.imagekit.io/alaaalaa6171/077%20STAMPEDE%20-%20Smoker%20-%20Medal%20_Smoker%20(STAMPEDE)_%20-%20Piece%20_Colored_.png?updatedAt=1770076415923" TargetMode="External"/><Relationship Id="rId1532" Type="http://schemas.openxmlformats.org/officeDocument/2006/relationships/hyperlink" Target="https://ik.imagekit.io/alaaalaa6171/086%20Big%20Mom%20Pirates_'Sweet%203'%20General%20-%20Charlotte%20Katakuri%20-%20Medal%20_Katakuri_%20-%20Piece%20_Colored_.png?updatedAt=1770076416073" TargetMode="External"/><Relationship Id="rId1533" Type="http://schemas.openxmlformats.org/officeDocument/2006/relationships/hyperlink" Target="https://i.postimg.cc/gJMhmqRV/051.png" TargetMode="External"/><Relationship Id="rId1534" Type="http://schemas.openxmlformats.org/officeDocument/2006/relationships/hyperlink" Target="https://i.postimg.cc/1Xjgt7Vn/img-icon-medal-310110085.png" TargetMode="External"/><Relationship Id="rId1535" Type="http://schemas.openxmlformats.org/officeDocument/2006/relationships/hyperlink" Target="https://ik.imagekit.io/alaaalaa6171/085%20Big%20Mom%20Pirates_Captain%20-%20Charlotte%20Linlin%20-%20Medal%20_Big%20Mom_.png?updatedAt=1770076416042" TargetMode="External"/><Relationship Id="rId1536" Type="http://schemas.openxmlformats.org/officeDocument/2006/relationships/hyperlink" Target="https://ik.imagekit.io/alaaalaa6171/085%20Big%20Mom%20Pirates_Captain%20-%20Charlotte%20Linlin%20-%20Medal%20_Big%20Mom_%20_Colored_.png?updatedAt=1770076416040" TargetMode="External"/><Relationship Id="rId1537" Type="http://schemas.openxmlformats.org/officeDocument/2006/relationships/hyperlink" Target="https://ik.imagekit.io/alaaalaa6171/085%20Big%20Mom%20Pirates_Captain%20-%20Charlotte%20Linlin%20-%20Medal%20_Big%20Mom_%20-%20Piece.png?updatedAt=1770076416067" TargetMode="External"/><Relationship Id="rId1538" Type="http://schemas.openxmlformats.org/officeDocument/2006/relationships/hyperlink" Target="https://ik.imagekit.io/alaaalaa6171/085%20Big%20Mom%20Pirates_Captain%20-%20Charlotte%20Linlin%20-%20Medal%20_Big%20Mom_%20-%20Piece%20_Colored_.png?updatedAt=1770076416039" TargetMode="External"/><Relationship Id="rId1539" Type="http://schemas.openxmlformats.org/officeDocument/2006/relationships/hyperlink" Target="https://i.postimg.cc/yxkZdgXw/050.png" TargetMode="External"/><Relationship Id="rId949" Type="http://schemas.openxmlformats.org/officeDocument/2006/relationships/hyperlink" Target="https://ik.imagekit.io/alaaalaa6171/183%20Don%20Quixote%20Pirates_Captain%20-%20Don%20Quixote%20Doflamingo%20-%20Medal%20_Young%20Master_%20-%20Piece.png?updatedAt=1770076436987" TargetMode="External"/><Relationship Id="rId948" Type="http://schemas.openxmlformats.org/officeDocument/2006/relationships/hyperlink" Target="https://ik.imagekit.io/alaaalaa6171/183%20Don%20Quixote%20Pirates_Captain%20-%20Don%20Quixote%20Doflamingo%20-%20Medal%20_Young%20Master_%20_Colored_.png?updatedAt=1770076436999" TargetMode="External"/><Relationship Id="rId943" Type="http://schemas.openxmlformats.org/officeDocument/2006/relationships/hyperlink" Target="https://ik.imagekit.io/alaaalaa6171/184%20Don%20Quixote%20Pirates_Special%20Officer%20-%20Sugar%20-%20Medal%20_Sugar_%20-%20Piece.png?updatedAt=1770076437104" TargetMode="External"/><Relationship Id="rId942" Type="http://schemas.openxmlformats.org/officeDocument/2006/relationships/hyperlink" Target="https://ik.imagekit.io/alaaalaa6171/184%20Don%20Quixote%20Pirates_Special%20Officer%20-%20Sugar%20-%20Medal%20_Sugar_%20_Colored_.png?updatedAt=1770076437035" TargetMode="External"/><Relationship Id="rId941" Type="http://schemas.openxmlformats.org/officeDocument/2006/relationships/hyperlink" Target="https://ik.imagekit.io/alaaalaa6171/184%20Don%20Quixote%20Pirates_Special%20Officer%20-%20Sugar%20-%20Medal%20_Sugar_.png?updatedAt=1770076437061" TargetMode="External"/><Relationship Id="rId940" Type="http://schemas.openxmlformats.org/officeDocument/2006/relationships/hyperlink" Target="https://i.postimg.cc/tgjsYxJ9/img-icon-medal-310110186.png" TargetMode="External"/><Relationship Id="rId947" Type="http://schemas.openxmlformats.org/officeDocument/2006/relationships/hyperlink" Target="https://ik.imagekit.io/alaaalaa6171/183%20Don%20Quixote%20Pirates_Captain%20-%20Don%20Quixote%20Doflamingo%20-%20Medal%20_Young%20Master_.png?updatedAt=1770076437055" TargetMode="External"/><Relationship Id="rId946" Type="http://schemas.openxmlformats.org/officeDocument/2006/relationships/hyperlink" Target="https://i.postimg.cc/k5m2BbG9/img-icon-medal-310110184.png" TargetMode="External"/><Relationship Id="rId945" Type="http://schemas.openxmlformats.org/officeDocument/2006/relationships/hyperlink" Target="https://i.postimg.cc/Xvk70jFd/149.png" TargetMode="External"/><Relationship Id="rId944" Type="http://schemas.openxmlformats.org/officeDocument/2006/relationships/hyperlink" Target="https://ik.imagekit.io/alaaalaa6171/184%20Don%20Quixote%20Pirates_Special%20Officer%20-%20Sugar%20-%20Medal%20_Sugar_%20-%20Piece%20_Colored_.png?updatedAt=1770076437028" TargetMode="External"/><Relationship Id="rId1530" Type="http://schemas.openxmlformats.org/officeDocument/2006/relationships/hyperlink" Target="https://ik.imagekit.io/alaaalaa6171/086%20Big%20Mom%20Pirates_'Sweet%203'%20General%20-%20Charlotte%20Katakuri%20-%20Medal%20_Katakuri_%20_Colored_.png?updatedAt=1770076416113" TargetMode="External"/><Relationship Id="rId1531" Type="http://schemas.openxmlformats.org/officeDocument/2006/relationships/hyperlink" Target="https://ik.imagekit.io/alaaalaa6171/086%20Big%20Mom%20Pirates_'Sweet%203'%20General%20-%20Charlotte%20Katakuri%20-%20Medal%20_Katakuri_%20-%20Piece.png?updatedAt=1770076416084" TargetMode="External"/><Relationship Id="rId1521" Type="http://schemas.openxmlformats.org/officeDocument/2006/relationships/hyperlink" Target="https://i.postimg.cc/cJBY5NL5/053.png" TargetMode="External"/><Relationship Id="rId1522" Type="http://schemas.openxmlformats.org/officeDocument/2006/relationships/hyperlink" Target="https://i.postimg.cc/HnhJxv8J/img-icon-medal-310110086.png" TargetMode="External"/><Relationship Id="rId1523" Type="http://schemas.openxmlformats.org/officeDocument/2006/relationships/hyperlink" Target="https://ik.imagekit.io/alaaalaa6171/087%20Ray%20of%20Hope%20-%20Nightmare%20Luffy%20-%20Medal%20_Nightmare_.png?updatedAt=1770076416060" TargetMode="External"/><Relationship Id="rId1524" Type="http://schemas.openxmlformats.org/officeDocument/2006/relationships/hyperlink" Target="https://ik.imagekit.io/alaaalaa6171/087%20Ray%20of%20Hope%20-%20Nightmare%20Luffy%20-%20Medal%20_Nightmare_%20_Colored_.png?updatedAt=1770076416082" TargetMode="External"/><Relationship Id="rId1525" Type="http://schemas.openxmlformats.org/officeDocument/2006/relationships/hyperlink" Target="https://ik.imagekit.io/alaaalaa6171/087%20Ray%20of%20Hope%20-%20Nightmare%20Luffy%20-%20Medal%20_Nightmare_%20-%20Piece.png?updatedAt=1770076416067" TargetMode="External"/><Relationship Id="rId1526" Type="http://schemas.openxmlformats.org/officeDocument/2006/relationships/hyperlink" Target="https://ik.imagekit.io/alaaalaa6171/087%20Ray%20of%20Hope%20-%20Nightmare%20Luffy%20-%20Medal%20_Nightmare_%20-%20Piece%20_Colored_.png?updatedAt=1770076416077" TargetMode="External"/><Relationship Id="rId1527" Type="http://schemas.openxmlformats.org/officeDocument/2006/relationships/hyperlink" Target="https://i.postimg.cc/G23DWSB3/052.png" TargetMode="External"/><Relationship Id="rId1528" Type="http://schemas.openxmlformats.org/officeDocument/2006/relationships/hyperlink" Target="https://i.postimg.cc/0jB6QXKK/img-icon-medal-310110087.png" TargetMode="External"/><Relationship Id="rId1529" Type="http://schemas.openxmlformats.org/officeDocument/2006/relationships/hyperlink" Target="https://ik.imagekit.io/alaaalaa6171/086%20Big%20Mom%20Pirates_'Sweet%203'%20General%20-%20Charlotte%20Katakuri%20-%20Medal%20_Katakuri_.png?updatedAt=1770076416115" TargetMode="External"/><Relationship Id="rId939" Type="http://schemas.openxmlformats.org/officeDocument/2006/relationships/hyperlink" Target="https://i.postimg.cc/5tVNGYHf/150.png" TargetMode="External"/><Relationship Id="rId938" Type="http://schemas.openxmlformats.org/officeDocument/2006/relationships/hyperlink" Target="https://ik.imagekit.io/alaaalaa6171/185%20Don%20Quixote%20Pirates_Supreme%20Officer%20-%20Vergo%20-%20Medal%20_Bamboo%20Demon_%20-%20Piece%20_Colored_.png?updatedAt=1770076437032" TargetMode="External"/><Relationship Id="rId937" Type="http://schemas.openxmlformats.org/officeDocument/2006/relationships/hyperlink" Target="https://ik.imagekit.io/alaaalaa6171/185%20Don%20Quixote%20Pirates_Supreme%20Officer%20-%20Vergo%20-%20Medal%20_Bamboo%20Demon_%20-%20Piece.png?updatedAt=1770076437050" TargetMode="External"/><Relationship Id="rId932" Type="http://schemas.openxmlformats.org/officeDocument/2006/relationships/hyperlink" Target="https://ik.imagekit.io/alaaalaa6171/186%20Don%20Quixote%20Pirates_Officer%20-%20Monet%20-%20Medal%20_Monet_%20-%20Piece%20_Colored_.png?updatedAt=1770076437039" TargetMode="External"/><Relationship Id="rId931" Type="http://schemas.openxmlformats.org/officeDocument/2006/relationships/hyperlink" Target="https://ik.imagekit.io/alaaalaa6171/186%20Don%20Quixote%20Pirates_Officer%20-%20Monet%20-%20Medal%20_Monet_%20-%20Piece.png?updatedAt=1770076437067" TargetMode="External"/><Relationship Id="rId930" Type="http://schemas.openxmlformats.org/officeDocument/2006/relationships/hyperlink" Target="https://ik.imagekit.io/alaaalaa6171/186%20Don%20Quixote%20Pirates_Officer%20-%20Monet%20-%20Medal%20_Monet_%20_Colored_.png?updatedAt=1770076437069" TargetMode="External"/><Relationship Id="rId936" Type="http://schemas.openxmlformats.org/officeDocument/2006/relationships/hyperlink" Target="https://ik.imagekit.io/alaaalaa6171/185%20Don%20Quixote%20Pirates_Supreme%20Officer%20-%20Vergo%20-%20Medal%20_Bamboo%20Demon_%20_Colored_.png?updatedAt=1770076437088" TargetMode="External"/><Relationship Id="rId935" Type="http://schemas.openxmlformats.org/officeDocument/2006/relationships/hyperlink" Target="https://ik.imagekit.io/alaaalaa6171/185%20Don%20Quixote%20Pirates_Supreme%20Officer%20-%20Vergo%20-%20Medal%20_Bamboo%20Demon_.png?updatedAt=1770076437081" TargetMode="External"/><Relationship Id="rId934" Type="http://schemas.openxmlformats.org/officeDocument/2006/relationships/hyperlink" Target="https://i.postimg.cc/cJSvrnC0/img-icon-medal-310110185.png" TargetMode="External"/><Relationship Id="rId933" Type="http://schemas.openxmlformats.org/officeDocument/2006/relationships/hyperlink" Target="https://i.postimg.cc/kg8gfFgj/151.png" TargetMode="External"/><Relationship Id="rId1520" Type="http://schemas.openxmlformats.org/officeDocument/2006/relationships/hyperlink" Target="https://ik.imagekit.io/alaaalaa6171/088%20Legendary%20Samurai%20Zombie%20-%20Ryuma%20-%20Medal%20_Ryuma_%20-%20Piece%20_Colored_.png?updatedAt=1770076416097" TargetMode="External"/><Relationship Id="rId1554" Type="http://schemas.openxmlformats.org/officeDocument/2006/relationships/hyperlink" Target="https://ik.imagekit.io/alaaalaa6171/082%20Land%20of%20Wano%20-%20Trafalgar%20Law%20-%20Medal%20_ROOM_%20_Colored_.png?updatedAt=1770076416016" TargetMode="External"/><Relationship Id="rId1555" Type="http://schemas.openxmlformats.org/officeDocument/2006/relationships/hyperlink" Target="https://ik.imagekit.io/alaaalaa6171/082%20Land%20of%20Wano%20-%20Trafalgar%20Law%20-%20Medal%20_ROOM_%20-%20Piece.png?updatedAt=1770076416011" TargetMode="External"/><Relationship Id="rId1556" Type="http://schemas.openxmlformats.org/officeDocument/2006/relationships/hyperlink" Target="https://ik.imagekit.io/alaaalaa6171/082%20Land%20of%20Wano%20-%20Trafalgar%20Law%20-%20Medal%20_ROOM_%20-%20Piece%20_Colored_.png?updatedAt=1770076416020" TargetMode="External"/><Relationship Id="rId1557" Type="http://schemas.openxmlformats.org/officeDocument/2006/relationships/hyperlink" Target="https://i.postimg.cc/MKfBJBGB/047.png" TargetMode="External"/><Relationship Id="rId1558" Type="http://schemas.openxmlformats.org/officeDocument/2006/relationships/hyperlink" Target="https://i.postimg.cc/BbV867Pt/img-icon-medal-310110082.png" TargetMode="External"/><Relationship Id="rId1559" Type="http://schemas.openxmlformats.org/officeDocument/2006/relationships/hyperlink" Target="https://ik.imagekit.io/alaaalaa6171/081%20The%20Seven%20Warlords%20of%20the%20Sea%20-%20Don%20Quixote%20Doflamingo%20-%20Medal%20_Billow_White_.png?updatedAt=1770076415976" TargetMode="External"/><Relationship Id="rId965" Type="http://schemas.openxmlformats.org/officeDocument/2006/relationships/hyperlink" Target="https://ik.imagekit.io/alaaalaa6171/180%20Navy%20HQ_Science%20Team%20Captain%20-%20Sentomaru%20-%20Medal%20_Sentomaru_.png?updatedAt=1770076437057" TargetMode="External"/><Relationship Id="rId964" Type="http://schemas.openxmlformats.org/officeDocument/2006/relationships/hyperlink" Target="https://i.postimg.cc/9QT4mpmz/img-icon-medal-310110181.png" TargetMode="External"/><Relationship Id="rId963" Type="http://schemas.openxmlformats.org/officeDocument/2006/relationships/hyperlink" Target="https://i.postimg.cc/rsK8W5HN/146.png" TargetMode="External"/><Relationship Id="rId962" Type="http://schemas.openxmlformats.org/officeDocument/2006/relationships/hyperlink" Target="https://ik.imagekit.io/alaaalaa6171/181%20Don%20Quixote%20Pirates_Servant%20Assassin%20-%20Baby%205%20-%20Medal%20_Baby%205_%20-%20Piece%20_Colored_.png?updatedAt=1770076436990" TargetMode="External"/><Relationship Id="rId969" Type="http://schemas.openxmlformats.org/officeDocument/2006/relationships/hyperlink" Target="https://i.postimg.cc/vTkGvcFF/145.png" TargetMode="External"/><Relationship Id="rId968" Type="http://schemas.openxmlformats.org/officeDocument/2006/relationships/hyperlink" Target="https://ik.imagekit.io/alaaalaa6171/180%20Navy%20HQ_Science%20Team%20Captain%20-%20Sentomaru%20-%20Medal%20_Sentomaru_%20-%20Piece%20_Colored_.png?updatedAt=1770076436979" TargetMode="External"/><Relationship Id="rId967" Type="http://schemas.openxmlformats.org/officeDocument/2006/relationships/hyperlink" Target="https://ik.imagekit.io/alaaalaa6171/180%20Navy%20HQ_Science%20Team%20Captain%20-%20Sentomaru%20-%20Medal%20_Sentomaru_%20-%20Piece.png?updatedAt=1770076436961" TargetMode="External"/><Relationship Id="rId966" Type="http://schemas.openxmlformats.org/officeDocument/2006/relationships/hyperlink" Target="https://ik.imagekit.io/alaaalaa6171/180%20Navy%20HQ_Science%20Team%20Captain%20-%20Sentomaru%20-%20Medal%20_Sentomaru_%20_Colored_.png?updatedAt=1770076436973" TargetMode="External"/><Relationship Id="rId961" Type="http://schemas.openxmlformats.org/officeDocument/2006/relationships/hyperlink" Target="https://ik.imagekit.io/alaaalaa6171/181%20Don%20Quixote%20Pirates_Servant%20Assassin%20-%20Baby%205%20-%20Medal%20_Baby%205_%20-%20Piece.png?updatedAt=1770076437028" TargetMode="External"/><Relationship Id="rId1550" Type="http://schemas.openxmlformats.org/officeDocument/2006/relationships/hyperlink" Target="https://ik.imagekit.io/alaaalaa6171/083%20Land%20of%20Wano%20-%20Basil%20Hawkins%20-%20Medal%20_Hawkins_%20-%20Piece%20_Colored_.png?updatedAt=1770076416041" TargetMode="External"/><Relationship Id="rId960" Type="http://schemas.openxmlformats.org/officeDocument/2006/relationships/hyperlink" Target="https://ik.imagekit.io/alaaalaa6171/181%20Don%20Quixote%20Pirates_Servant%20Assassin%20-%20Baby%205%20-%20Medal%20_Baby%205_%20_Colored_.png?updatedAt=1770076436960" TargetMode="External"/><Relationship Id="rId1551" Type="http://schemas.openxmlformats.org/officeDocument/2006/relationships/hyperlink" Target="https://i.postimg.cc/PfRD7ydh/048.png" TargetMode="External"/><Relationship Id="rId1552" Type="http://schemas.openxmlformats.org/officeDocument/2006/relationships/hyperlink" Target="https://i.postimg.cc/BbV867Pb/img-icon-medal-310110081.png" TargetMode="External"/><Relationship Id="rId1553" Type="http://schemas.openxmlformats.org/officeDocument/2006/relationships/hyperlink" Target="https://ik.imagekit.io/alaaalaa6171/082%20Land%20of%20Wano%20-%20Trafalgar%20Law%20-%20Medal%20_ROOM_.png?updatedAt=1770076415993" TargetMode="External"/><Relationship Id="rId1543" Type="http://schemas.openxmlformats.org/officeDocument/2006/relationships/hyperlink" Target="https://ik.imagekit.io/alaaalaa6171/084%20Land%20of%20Wano%20-%20Zorojuro%20-%20Medal%20_Ultra%20Tiger%20Hunt_%20-%20Piece.png?updatedAt=1770076416022" TargetMode="External"/><Relationship Id="rId1544" Type="http://schemas.openxmlformats.org/officeDocument/2006/relationships/hyperlink" Target="https://ik.imagekit.io/alaaalaa6171/084%20Land%20of%20Wano%20-%20Zorojuro%20-%20Medal%20_Ultra%20Tiger%20Hunt_%20-%20Piece%20_Colored_.png?updatedAt=1770076416017" TargetMode="External"/><Relationship Id="rId1545" Type="http://schemas.openxmlformats.org/officeDocument/2006/relationships/hyperlink" Target="https://i.postimg.cc/fyp00z8k/049.png" TargetMode="External"/><Relationship Id="rId1546" Type="http://schemas.openxmlformats.org/officeDocument/2006/relationships/hyperlink" Target="https://i.postimg.cc/4ySKd2H3/img-icon-medal-310110083.png" TargetMode="External"/><Relationship Id="rId1547" Type="http://schemas.openxmlformats.org/officeDocument/2006/relationships/hyperlink" Target="https://ik.imagekit.io/alaaalaa6171/083%20Land%20of%20Wano%20-%20Basil%20Hawkins%20-%20Medal%20_Hawkins_.png?updatedAt=1770076416032" TargetMode="External"/><Relationship Id="rId1548" Type="http://schemas.openxmlformats.org/officeDocument/2006/relationships/hyperlink" Target="https://ik.imagekit.io/alaaalaa6171/083%20Land%20of%20Wano%20-%20Basil%20Hawkins%20-%20Medal%20_Hawkins_%20_Colored_.png?updatedAt=1770076415988" TargetMode="External"/><Relationship Id="rId1549" Type="http://schemas.openxmlformats.org/officeDocument/2006/relationships/hyperlink" Target="https://ik.imagekit.io/alaaalaa6171/083%20Land%20of%20Wano%20-%20Basil%20Hawkins%20-%20Medal%20_Hawkins_%20-%20Piece.png?updatedAt=1770076416009" TargetMode="External"/><Relationship Id="rId959" Type="http://schemas.openxmlformats.org/officeDocument/2006/relationships/hyperlink" Target="https://ik.imagekit.io/alaaalaa6171/181%20Don%20Quixote%20Pirates_Servant%20Assassin%20-%20Baby%205%20-%20Medal%20_Baby%205_.png?updatedAt=1770076436992" TargetMode="External"/><Relationship Id="rId954" Type="http://schemas.openxmlformats.org/officeDocument/2006/relationships/hyperlink" Target="https://ik.imagekit.io/alaaalaa6171/182%20Don%20Quixote%20Pirates_Officer%20-%20Se%C3%B1or%20Pink%20-%20Medal%20_Hard_Boiled_%20_Colored_.png?updatedAt=1770076437053" TargetMode="External"/><Relationship Id="rId953" Type="http://schemas.openxmlformats.org/officeDocument/2006/relationships/hyperlink" Target="https://ik.imagekit.io/alaaalaa6171/182%20Don%20Quixote%20Pirates_Officer%20-%20Se%C3%B1or%20Pink%20-%20Medal%20_Hard_Boiled_.png?updatedAt=1770076437028" TargetMode="External"/><Relationship Id="rId952" Type="http://schemas.openxmlformats.org/officeDocument/2006/relationships/hyperlink" Target="https://i.postimg.cc/wjJtqVq1/img-icon-medal-310110183.png" TargetMode="External"/><Relationship Id="rId951" Type="http://schemas.openxmlformats.org/officeDocument/2006/relationships/hyperlink" Target="https://i.postimg.cc/bJYYy7HM/148.png" TargetMode="External"/><Relationship Id="rId958" Type="http://schemas.openxmlformats.org/officeDocument/2006/relationships/hyperlink" Target="https://i.postimg.cc/htxJDrDv/img-icon-medal-310110180.png" TargetMode="External"/><Relationship Id="rId957" Type="http://schemas.openxmlformats.org/officeDocument/2006/relationships/hyperlink" Target="https://i.postimg.cc/cHDxrFFJ/147.png" TargetMode="External"/><Relationship Id="rId956" Type="http://schemas.openxmlformats.org/officeDocument/2006/relationships/hyperlink" Target="https://ik.imagekit.io/alaaalaa6171/182%20Don%20Quixote%20Pirates_Officer%20-%20Se%C3%B1or%20Pink%20-%20Medal%20_Hard_Boiled_%20-%20Piece%20_Colored_.png?updatedAt=1770076437045" TargetMode="External"/><Relationship Id="rId955" Type="http://schemas.openxmlformats.org/officeDocument/2006/relationships/hyperlink" Target="https://ik.imagekit.io/alaaalaa6171/182%20Don%20Quixote%20Pirates_Officer%20-%20Se%C3%B1or%20Pink%20-%20Medal%20_Hard_Boiled_%20-%20Piece.png?updatedAt=1770076436990" TargetMode="External"/><Relationship Id="rId950" Type="http://schemas.openxmlformats.org/officeDocument/2006/relationships/hyperlink" Target="https://ik.imagekit.io/alaaalaa6171/183%20Don%20Quixote%20Pirates_Captain%20-%20Don%20Quixote%20Doflamingo%20-%20Medal%20_Young%20Master_%20-%20Piece%20_Colored_.png?updatedAt=1770076437038" TargetMode="External"/><Relationship Id="rId1540" Type="http://schemas.openxmlformats.org/officeDocument/2006/relationships/hyperlink" Target="https://i.postimg.cc/1Xjgt7VR/img-icon-medal-310110084.png" TargetMode="External"/><Relationship Id="rId1541" Type="http://schemas.openxmlformats.org/officeDocument/2006/relationships/hyperlink" Target="https://ik.imagekit.io/alaaalaa6171/084%20Land%20of%20Wano%20-%20Zorojuro%20-%20Medal%20_Ultra%20Tiger%20Hunt_.png?updatedAt=1770076416103" TargetMode="External"/><Relationship Id="rId1542" Type="http://schemas.openxmlformats.org/officeDocument/2006/relationships/hyperlink" Target="https://ik.imagekit.io/alaaalaa6171/084%20Land%20of%20Wano%20-%20Zorojuro%20-%20Medal%20_Ultra%20Tiger%20Hunt_%20_Colored_.png?updatedAt=1770076416021" TargetMode="External"/><Relationship Id="rId590" Type="http://schemas.openxmlformats.org/officeDocument/2006/relationships/hyperlink" Target="https://ik.imagekit.io/alaaalaa6171/243%20Former%20Happosui%20Army_12th%20Chief%20-%20Chin%20Jao%20-%20Medal%20_Chin%20Jao_%20-%20Piece%20_Colored_.png?updatedAt=1770076447789" TargetMode="External"/><Relationship Id="rId107" Type="http://schemas.openxmlformats.org/officeDocument/2006/relationships/hyperlink" Target="https://ik.imagekit.io/alaaalaa6171/323%20Davy%20Back%20Fight%20-%20Sanji%201%20-%20Medal%20_Arm%C3%A9e%20de%20l_Air%20Power%20Shoot_.png?updatedAt=1770076466244" TargetMode="External"/><Relationship Id="rId106" Type="http://schemas.openxmlformats.org/officeDocument/2006/relationships/hyperlink" Target="https://i.postimg.cc/Zn2RZ9X9/img-icon-medal-310110324.png" TargetMode="External"/><Relationship Id="rId105" Type="http://schemas.openxmlformats.org/officeDocument/2006/relationships/hyperlink" Target="https://i.postimg.cc/GhQ3p26M/289.png" TargetMode="External"/><Relationship Id="rId589" Type="http://schemas.openxmlformats.org/officeDocument/2006/relationships/hyperlink" Target="https://ik.imagekit.io/alaaalaa6171/243%20Former%20Happosui%20Army_12th%20Chief%20-%20Chin%20Jao%20-%20Medal%20_Chin%20Jao_%20-%20Piece.png?updatedAt=1770076447822" TargetMode="External"/><Relationship Id="rId104" Type="http://schemas.openxmlformats.org/officeDocument/2006/relationships/hyperlink" Target="https://ik.imagekit.io/alaaalaa6171/324%20Ama%20no%20Murakumo%20Sword%20Kizaru%20-%20_Borsalino_%20-%20Medal%20_Borsalino_%20-%20Piece%20_Colored_.png?updatedAt=1770076466191" TargetMode="External"/><Relationship Id="rId588" Type="http://schemas.openxmlformats.org/officeDocument/2006/relationships/hyperlink" Target="https://ik.imagekit.io/alaaalaa6171/243%20Former%20Happosui%20Army_12th%20Chief%20-%20Chin%20Jao%20-%20Medal%20_Chin%20Jao_%20_Colored_.png?updatedAt=1770076447824" TargetMode="External"/><Relationship Id="rId109" Type="http://schemas.openxmlformats.org/officeDocument/2006/relationships/hyperlink" Target="https://ik.imagekit.io/alaaalaa6171/323%20Davy%20Back%20Fight%20-%20Sanji%201%20-%20Medal%20_Arm%C3%A9e%20de%20l_Air%20Power%20Shoot_%20-%20Piece.png?updatedAt=1770076466185" TargetMode="External"/><Relationship Id="rId1170" Type="http://schemas.openxmlformats.org/officeDocument/2006/relationships/hyperlink" Target="https://ik.imagekit.io/alaaalaa6171/146%20Luffy%20&amp;%20Law%20Pirate%20Alliance%20-%20Monkey%20D.%20Luffy%201%20-%20Medal%20_Fire_Fist%20Pistol%20Red%20Hawk_%20_Colored_.png?updatedAt=1770076430777" TargetMode="External"/><Relationship Id="rId108" Type="http://schemas.openxmlformats.org/officeDocument/2006/relationships/hyperlink" Target="https://ik.imagekit.io/alaaalaa6171/323%20Davy%20Back%20Fight%20-%20Sanji%201%20-%20Medal%20_Arm%C3%A9e%20de%20l_Air%20Power%20Shoot_%20_Colored_.png?updatedAt=1770076466219" TargetMode="External"/><Relationship Id="rId1171" Type="http://schemas.openxmlformats.org/officeDocument/2006/relationships/hyperlink" Target="https://ik.imagekit.io/alaaalaa6171/146%20Luffy%20&amp;%20Law%20Pirate%20Alliance%20-%20Monkey%20D.%20Luffy%201%20-%20Medal%20_Fire_Fist%20Pistol%20Red%20Hawk_%20-%20Piece.png?updatedAt=1770076430755" TargetMode="External"/><Relationship Id="rId583" Type="http://schemas.openxmlformats.org/officeDocument/2006/relationships/hyperlink" Target="https://ik.imagekit.io/alaaalaa6171/244%20Slicing%20Winds%20of%20Rommel%20-%20Hakuba%20-%20Medal%20_Hakuba_%20-%20Piece.png?updatedAt=1770076447807" TargetMode="External"/><Relationship Id="rId1172" Type="http://schemas.openxmlformats.org/officeDocument/2006/relationships/hyperlink" Target="https://ik.imagekit.io/alaaalaa6171/146%20Luffy%20&amp;%20Law%20Pirate%20Alliance%20-%20Monkey%20D.%20Luffy%201%20-%20Medal%20_Fire_Fist%20Pistol%20Red%20Hawk_%20-%20Piece%20_Colored_.png?updatedAt=1770076430752" TargetMode="External"/><Relationship Id="rId582" Type="http://schemas.openxmlformats.org/officeDocument/2006/relationships/hyperlink" Target="https://ik.imagekit.io/alaaalaa6171/244%20Slicing%20Winds%20of%20Rommel%20-%20Hakuba%20-%20Medal%20_Hakuba_%20_Colored_.png?updatedAt=1770076447821" TargetMode="External"/><Relationship Id="rId1173" Type="http://schemas.openxmlformats.org/officeDocument/2006/relationships/hyperlink" Target="https://i.postimg.cc/RFnmZvJg/111.png" TargetMode="External"/><Relationship Id="rId581" Type="http://schemas.openxmlformats.org/officeDocument/2006/relationships/hyperlink" Target="https://ik.imagekit.io/alaaalaa6171/244%20Slicing%20Winds%20of%20Rommel%20-%20Hakuba%20-%20Medal%20_Hakuba_.png?updatedAt=1770076447854" TargetMode="External"/><Relationship Id="rId1174" Type="http://schemas.openxmlformats.org/officeDocument/2006/relationships/hyperlink" Target="https://i.postimg.cc/yY2gC5zL/img-icon-medal-310110146.png" TargetMode="External"/><Relationship Id="rId580" Type="http://schemas.openxmlformats.org/officeDocument/2006/relationships/hyperlink" Target="https://i.postimg.cc/Y92jxB1t/img-icon-medal-310110246.png" TargetMode="External"/><Relationship Id="rId1175" Type="http://schemas.openxmlformats.org/officeDocument/2006/relationships/hyperlink" Target="https://ik.imagekit.io/alaaalaa6171/145%20Kozuki%20Clan_Servant%20-%20Kin'emon%20-%20Medal%20_Kin%60%60emon_.png?updatedAt=1770076429775" TargetMode="External"/><Relationship Id="rId103" Type="http://schemas.openxmlformats.org/officeDocument/2006/relationships/hyperlink" Target="https://ik.imagekit.io/alaaalaa6171/324%20Ama%20no%20Murakumo%20Sword%20Kizaru%20-%20_Borsalino_%20-%20Medal%20_Borsalino_%20-%20Piece.png?updatedAt=1770076466160" TargetMode="External"/><Relationship Id="rId587" Type="http://schemas.openxmlformats.org/officeDocument/2006/relationships/hyperlink" Target="https://ik.imagekit.io/alaaalaa6171/243%20Former%20Happosui%20Army_12th%20Chief%20-%20Chin%20Jao%20-%20Medal%20_Chin%20Jao_.png?updatedAt=1770076447876" TargetMode="External"/><Relationship Id="rId1176" Type="http://schemas.openxmlformats.org/officeDocument/2006/relationships/hyperlink" Target="https://ik.imagekit.io/alaaalaa6171/145%20Kozuki%20Clan_Servant%20-%20Kin'emon%20-%20Medal%20_Kin%60%60emon_%20_Colored_.png?updatedAt=1770076429449" TargetMode="External"/><Relationship Id="rId102" Type="http://schemas.openxmlformats.org/officeDocument/2006/relationships/hyperlink" Target="https://ik.imagekit.io/alaaalaa6171/324%20Ama%20no%20Murakumo%20Sword%20Kizaru%20-%20_Borsalino_%20-%20Medal%20_Borsalino_%20_Colored_.png?updatedAt=1770076466232" TargetMode="External"/><Relationship Id="rId586" Type="http://schemas.openxmlformats.org/officeDocument/2006/relationships/hyperlink" Target="https://i.postimg.cc/tTR7zGhb/img-icon-medal-310110244.png" TargetMode="External"/><Relationship Id="rId1177" Type="http://schemas.openxmlformats.org/officeDocument/2006/relationships/hyperlink" Target="https://ik.imagekit.io/alaaalaa6171/145%20Kozuki%20Clan_Servant%20-%20Kin'emon%20-%20Medal%20_Kin%60%60emon_%20-%20Piece.png?updatedAt=1770076429095" TargetMode="External"/><Relationship Id="rId101" Type="http://schemas.openxmlformats.org/officeDocument/2006/relationships/hyperlink" Target="https://ik.imagekit.io/alaaalaa6171/324%20Ama%20no%20Murakumo%20Sword%20Kizaru%20-%20_Borsalino_%20-%20Medal%20_Borsalino_.png?updatedAt=1770076466200" TargetMode="External"/><Relationship Id="rId585" Type="http://schemas.openxmlformats.org/officeDocument/2006/relationships/hyperlink" Target="https://i.postimg.cc/brjZgf2b/209.png" TargetMode="External"/><Relationship Id="rId1178" Type="http://schemas.openxmlformats.org/officeDocument/2006/relationships/hyperlink" Target="https://ik.imagekit.io/alaaalaa6171/145%20Kozuki%20Clan_Servant%20-%20Kin'emon%20-%20Medal%20_Kin%60%60emon_%20-%20Piece%20_Colored_.png?updatedAt=1770076426864" TargetMode="External"/><Relationship Id="rId100" Type="http://schemas.openxmlformats.org/officeDocument/2006/relationships/hyperlink" Target="https://i.postimg.cc/SK6zrG3W/img-icon-medal-310110325.png" TargetMode="External"/><Relationship Id="rId584" Type="http://schemas.openxmlformats.org/officeDocument/2006/relationships/hyperlink" Target="https://ik.imagekit.io/alaaalaa6171/244%20Slicing%20Winds%20of%20Rommel%20-%20Hakuba%20-%20Medal%20_Hakuba_%20-%20Piece%20_Colored_.png?updatedAt=1770076447839" TargetMode="External"/><Relationship Id="rId1179" Type="http://schemas.openxmlformats.org/officeDocument/2006/relationships/hyperlink" Target="https://i.postimg.cc/L5KpqGz2/110.png" TargetMode="External"/><Relationship Id="rId1169" Type="http://schemas.openxmlformats.org/officeDocument/2006/relationships/hyperlink" Target="https://ik.imagekit.io/alaaalaa6171/146%20Luffy%20&amp;%20Law%20Pirate%20Alliance%20-%20Monkey%20D.%20Luffy%201%20-%20Medal%20_Fire_Fist%20Pistol%20Red%20Hawk_.png?updatedAt=1770076430791" TargetMode="External"/><Relationship Id="rId579" Type="http://schemas.openxmlformats.org/officeDocument/2006/relationships/hyperlink" Target="https://i.postimg.cc/SR7Jt1WP/210.png" TargetMode="External"/><Relationship Id="rId578" Type="http://schemas.openxmlformats.org/officeDocument/2006/relationships/hyperlink" Target="https://ik.imagekit.io/alaaalaa6171/245%20Disciple%20of%20the%20Martial%20Arts%20-%20Kung%20Fu%20Jugon%20-%20Medal%20_Kung%20Fu%20Jugon_%20-%20Piece%20_Colored_.png?updatedAt=1770076447829" TargetMode="External"/><Relationship Id="rId577" Type="http://schemas.openxmlformats.org/officeDocument/2006/relationships/hyperlink" Target="https://ik.imagekit.io/alaaalaa6171/245%20Disciple%20of%20the%20Martial%20Arts%20-%20Kung%20Fu%20Jugon%20-%20Medal%20_Kung%20Fu%20Jugon_%20-%20Piece.png?updatedAt=1770076447903" TargetMode="External"/><Relationship Id="rId1160" Type="http://schemas.openxmlformats.org/officeDocument/2006/relationships/hyperlink" Target="https://ik.imagekit.io/alaaalaa6171/148%20Royal%20Wedding%20-%20Sanji%20-%20Medal%20_Sky%20Walk_%20-%20Piece%20_Colored_.png?updatedAt=1770076431396" TargetMode="External"/><Relationship Id="rId572" Type="http://schemas.openxmlformats.org/officeDocument/2006/relationships/hyperlink" Target="https://ik.imagekit.io/alaaalaa6171/246%20The%20Kingdom%20of%20Prodence_King%20-%20Elizabello%20II%20-%20Medal%20_Elizabello%20II_%20-%20Piece%20_Colored_.png?updatedAt=1770076447821" TargetMode="External"/><Relationship Id="rId1161" Type="http://schemas.openxmlformats.org/officeDocument/2006/relationships/hyperlink" Target="https://i.postimg.cc/dtRqCQHX/113.png" TargetMode="External"/><Relationship Id="rId571" Type="http://schemas.openxmlformats.org/officeDocument/2006/relationships/hyperlink" Target="https://ik.imagekit.io/alaaalaa6171/246%20The%20Kingdom%20of%20Prodence_King%20-%20Elizabello%20II%20-%20Medal%20_Elizabello%20II_%20-%20Piece.png?updatedAt=1770076447818" TargetMode="External"/><Relationship Id="rId1162" Type="http://schemas.openxmlformats.org/officeDocument/2006/relationships/hyperlink" Target="https://i.postimg.cc/ZKXBzgh7/img-icon-medal-310110148.png" TargetMode="External"/><Relationship Id="rId570" Type="http://schemas.openxmlformats.org/officeDocument/2006/relationships/hyperlink" Target="https://ik.imagekit.io/alaaalaa6171/246%20The%20Kingdom%20of%20Prodence_King%20-%20Elizabello%20II%20-%20Medal%20_Elizabello%20II_%20_Colored_.png?updatedAt=1770076447808" TargetMode="External"/><Relationship Id="rId1163" Type="http://schemas.openxmlformats.org/officeDocument/2006/relationships/hyperlink" Target="https://ik.imagekit.io/alaaalaa6171/147%20The%20Billion-Fold%20World%20Trichiliocosm%20-%20Roronoa%20Zoro%20-%20Medal%20_The%20Billion_Fold%20World%20Trichiliocosm_.png?updatedAt=1770076430783" TargetMode="External"/><Relationship Id="rId1164" Type="http://schemas.openxmlformats.org/officeDocument/2006/relationships/hyperlink" Target="https://ik.imagekit.io/alaaalaa6171/147%20The%20Billion-Fold%20World%20Trichiliocosm%20-%20Roronoa%20Zoro%20-%20Medal%20_The%20Billion_Fold%20World%20Trichiliocosm_%20_Colored_.png?updatedAt=1770076430782" TargetMode="External"/><Relationship Id="rId576" Type="http://schemas.openxmlformats.org/officeDocument/2006/relationships/hyperlink" Target="https://ik.imagekit.io/alaaalaa6171/245%20Disciple%20of%20the%20Martial%20Arts%20-%20Kung%20Fu%20Jugon%20-%20Medal%20_Kung%20Fu%20Jugon_%20_Colored_.png?updatedAt=1770076447883" TargetMode="External"/><Relationship Id="rId1165" Type="http://schemas.openxmlformats.org/officeDocument/2006/relationships/hyperlink" Target="https://ik.imagekit.io/alaaalaa6171/147%20The%20Billion-Fold%20World%20Trichiliocosm%20-%20Roronoa%20Zoro%20-%20Medal%20_The%20Billion_Fold%20World%20Trichiliocosm_%20-%20Piece.png?updatedAt=1770076430780" TargetMode="External"/><Relationship Id="rId575" Type="http://schemas.openxmlformats.org/officeDocument/2006/relationships/hyperlink" Target="https://ik.imagekit.io/alaaalaa6171/245%20Disciple%20of%20the%20Martial%20Arts%20-%20Kung%20Fu%20Jugon%20-%20Medal%20_Kung%20Fu%20Jugon_.png?updatedAt=1770076447852" TargetMode="External"/><Relationship Id="rId1166" Type="http://schemas.openxmlformats.org/officeDocument/2006/relationships/hyperlink" Target="https://ik.imagekit.io/alaaalaa6171/147%20The%20Billion-Fold%20World%20Trichiliocosm%20-%20Roronoa%20Zoro%20-%20Medal%20_The%20Billion_Fold%20World%20Trichiliocosm_%20-%20Piece%20_Colored_.png?updatedAt=1770076430788" TargetMode="External"/><Relationship Id="rId574" Type="http://schemas.openxmlformats.org/officeDocument/2006/relationships/hyperlink" Target="https://i.postimg.cc/fLWkvQxD/img-icon-medal-310110245.png" TargetMode="External"/><Relationship Id="rId1167" Type="http://schemas.openxmlformats.org/officeDocument/2006/relationships/hyperlink" Target="https://i.postimg.cc/fbyZ1czn/112.png" TargetMode="External"/><Relationship Id="rId573" Type="http://schemas.openxmlformats.org/officeDocument/2006/relationships/hyperlink" Target="https://i.postimg.cc/mZQzDk0S/211.png" TargetMode="External"/><Relationship Id="rId1168" Type="http://schemas.openxmlformats.org/officeDocument/2006/relationships/hyperlink" Target="https://i.postimg.cc/TYBLvSXk/img-icon-medal-310110147.png" TargetMode="External"/><Relationship Id="rId129" Type="http://schemas.openxmlformats.org/officeDocument/2006/relationships/hyperlink" Target="https://i.postimg.cc/VkKL2thH/285.png" TargetMode="External"/><Relationship Id="rId128" Type="http://schemas.openxmlformats.org/officeDocument/2006/relationships/hyperlink" Target="https://ik.imagekit.io/alaaalaa6171/320%20Happosui%20Army_13th%20Chief%20-%20Sai%20-%20Medal%20_Sai_%20-%20Piece%20_Colored_.png?updatedAt=1770076466102" TargetMode="External"/><Relationship Id="rId127" Type="http://schemas.openxmlformats.org/officeDocument/2006/relationships/hyperlink" Target="https://ik.imagekit.io/alaaalaa6171/320%20Happosui%20Army_13th%20Chief%20-%20Sai%20-%20Medal%20_Sai_%20-%20Piece.png?updatedAt=1770076466212" TargetMode="External"/><Relationship Id="rId126" Type="http://schemas.openxmlformats.org/officeDocument/2006/relationships/hyperlink" Target="https://ik.imagekit.io/alaaalaa6171/320%20Happosui%20Army_13th%20Chief%20-%20Sai%20-%20Medal%20_Sai_%20_Colored_.png?updatedAt=1770076466125" TargetMode="External"/><Relationship Id="rId1190" Type="http://schemas.openxmlformats.org/officeDocument/2006/relationships/hyperlink" Target="https://ik.imagekit.io/alaaalaa6171/143%20Punk%20Hazard%20-%20Smoker%20(Chambres)%20-%20Medal%20_Smoker%20(Chambres)_%20-%20Piece%20_Colored_.png?updatedAt=1770076426754" TargetMode="External"/><Relationship Id="rId1191" Type="http://schemas.openxmlformats.org/officeDocument/2006/relationships/hyperlink" Target="https://i.postimg.cc/qBy0fMTR/108.png" TargetMode="External"/><Relationship Id="rId1192" Type="http://schemas.openxmlformats.org/officeDocument/2006/relationships/hyperlink" Target="https://i.postimg.cc/NfZ9vVwx/img-icon-medal-310110143.png" TargetMode="External"/><Relationship Id="rId1193" Type="http://schemas.openxmlformats.org/officeDocument/2006/relationships/hyperlink" Target="https://ik.imagekit.io/alaaalaa6171/142%20The%20Parmount%20War%20-%20Gecko%20Moria%20-%20Medal%20_Spiky%20Shadow%20Iizard_.png?updatedAt=1770076426757" TargetMode="External"/><Relationship Id="rId121" Type="http://schemas.openxmlformats.org/officeDocument/2006/relationships/hyperlink" Target="https://ik.imagekit.io/alaaalaa6171/321%20Davy%20Back%20Fight%20-%20Monkey%20D.%20Luffy%20-%20Medal%20_Flail_%20-%20Piece.png?updatedAt=1770076466104" TargetMode="External"/><Relationship Id="rId1194" Type="http://schemas.openxmlformats.org/officeDocument/2006/relationships/hyperlink" Target="https://ik.imagekit.io/alaaalaa6171/142%20The%20Parmount%20War%20-%20Gecko%20Moria%20-%20Medal%20_Spiky%20Shadow%20Iizard_%20_Colored_.png?updatedAt=1770076426742" TargetMode="External"/><Relationship Id="rId120" Type="http://schemas.openxmlformats.org/officeDocument/2006/relationships/hyperlink" Target="https://ik.imagekit.io/alaaalaa6171/321%20Davy%20Back%20Fight%20-%20Monkey%20D.%20Luffy%20-%20Medal%20_Flail_%20_Colored_.png?updatedAt=1770076466178" TargetMode="External"/><Relationship Id="rId1195" Type="http://schemas.openxmlformats.org/officeDocument/2006/relationships/hyperlink" Target="https://ik.imagekit.io/alaaalaa6171/142%20The%20Parmount%20War%20-%20Gecko%20Moria%20-%20Medal%20_Spiky%20Shadow%20Iizard_%20-%20Piece.png?updatedAt=1770076426813" TargetMode="External"/><Relationship Id="rId1196" Type="http://schemas.openxmlformats.org/officeDocument/2006/relationships/hyperlink" Target="https://ik.imagekit.io/alaaalaa6171/142%20The%20Parmount%20War%20-%20Gecko%20Moria%20-%20Medal%20_Spiky%20Shadow%20Iizard_%20-%20Piece%20_Colored_.png?updatedAt=1770076426767" TargetMode="External"/><Relationship Id="rId1197" Type="http://schemas.openxmlformats.org/officeDocument/2006/relationships/hyperlink" Target="https://i.postimg.cc/4N1gdLnR/107.png" TargetMode="External"/><Relationship Id="rId125" Type="http://schemas.openxmlformats.org/officeDocument/2006/relationships/hyperlink" Target="https://ik.imagekit.io/alaaalaa6171/320%20Happosui%20Army_13th%20Chief%20-%20Sai%20-%20Medal%20_Sai_.png?updatedAt=1770076466137" TargetMode="External"/><Relationship Id="rId1198" Type="http://schemas.openxmlformats.org/officeDocument/2006/relationships/hyperlink" Target="https://i.postimg.cc/VL2rPTcR/img-icon-medal-310110142.png" TargetMode="External"/><Relationship Id="rId124" Type="http://schemas.openxmlformats.org/officeDocument/2006/relationships/hyperlink" Target="https://i.postimg.cc/GtV2rB6t/img-icon-medal-310110321.png" TargetMode="External"/><Relationship Id="rId1199" Type="http://schemas.openxmlformats.org/officeDocument/2006/relationships/hyperlink" Target="https://ik.imagekit.io/alaaalaa6171/141%20The%20Parmount%20War%20-%20Crocodile%20-%20Medal%20_Crescent%20Cutlass_.png?updatedAt=1770076426749" TargetMode="External"/><Relationship Id="rId123" Type="http://schemas.openxmlformats.org/officeDocument/2006/relationships/hyperlink" Target="https://i.postimg.cc/6pgMfH5j/286.png" TargetMode="External"/><Relationship Id="rId122" Type="http://schemas.openxmlformats.org/officeDocument/2006/relationships/hyperlink" Target="https://ik.imagekit.io/alaaalaa6171/321%20Davy%20Back%20Fight%20-%20Monkey%20D.%20Luffy%20-%20Medal%20_Flail_%20-%20Piece%20_Colored_.png?updatedAt=1770076466140" TargetMode="External"/><Relationship Id="rId118" Type="http://schemas.openxmlformats.org/officeDocument/2006/relationships/hyperlink" Target="https://i.postimg.cc/gjQJdw1J/img-icon-medal-310110322.png" TargetMode="External"/><Relationship Id="rId117" Type="http://schemas.openxmlformats.org/officeDocument/2006/relationships/hyperlink" Target="https://i.postimg.cc/pdjqGDm2/287.png" TargetMode="External"/><Relationship Id="rId116" Type="http://schemas.openxmlformats.org/officeDocument/2006/relationships/hyperlink" Target="https://ik.imagekit.io/alaaalaa6171/322%20Foxy%20Pirates_Captain%20-%20Foxy%20-%20Medal%20_Foxy_%20-%20Piece%20_Colored_.png?updatedAt=1770076466148" TargetMode="External"/><Relationship Id="rId115" Type="http://schemas.openxmlformats.org/officeDocument/2006/relationships/hyperlink" Target="https://ik.imagekit.io/alaaalaa6171/322%20Foxy%20Pirates_Captain%20-%20Foxy%20-%20Medal%20_Foxy_%20-%20Piece.png?updatedAt=1770076466132" TargetMode="External"/><Relationship Id="rId599" Type="http://schemas.openxmlformats.org/officeDocument/2006/relationships/hyperlink" Target="https://ik.imagekit.io/alaaalaa6171/241%20Leader%20of%20the%20Whale%20Forest%20Guardians%20-%20Pedro%20-%20Medal%20_Leader_.png?updatedAt=1770076447791" TargetMode="External"/><Relationship Id="rId1180" Type="http://schemas.openxmlformats.org/officeDocument/2006/relationships/hyperlink" Target="https://i.postimg.cc/kXL6PZdw/img-icon-medal-310110145.png" TargetMode="External"/><Relationship Id="rId1181" Type="http://schemas.openxmlformats.org/officeDocument/2006/relationships/hyperlink" Target="https://ik.imagekit.io/alaaalaa6171/144%20Former%20Navy%20Admiral%20-%20Kuzan%20-%20Medal%20_Pheasant%20Peck_.png?updatedAt=1770076426866" TargetMode="External"/><Relationship Id="rId119" Type="http://schemas.openxmlformats.org/officeDocument/2006/relationships/hyperlink" Target="https://ik.imagekit.io/alaaalaa6171/321%20Davy%20Back%20Fight%20-%20Monkey%20D.%20Luffy%20-%20Medal%20_Flail_.png?updatedAt=1770076466119" TargetMode="External"/><Relationship Id="rId1182" Type="http://schemas.openxmlformats.org/officeDocument/2006/relationships/hyperlink" Target="https://ik.imagekit.io/alaaalaa6171/144%20Former%20Navy%20Admiral%20-%20Kuzan%20-%20Medal%20_Pheasant%20Peck_%20_Colored_.png?updatedAt=1770076426813" TargetMode="External"/><Relationship Id="rId110" Type="http://schemas.openxmlformats.org/officeDocument/2006/relationships/hyperlink" Target="https://ik.imagekit.io/alaaalaa6171/323%20Davy%20Back%20Fight%20-%20Sanji%201%20-%20Medal%20_Arm%C3%A9e%20de%20l_Air%20Power%20Shoot_%20-%20Piece%20_Colored_.png?updatedAt=1770076466143" TargetMode="External"/><Relationship Id="rId594" Type="http://schemas.openxmlformats.org/officeDocument/2006/relationships/hyperlink" Target="https://ik.imagekit.io/alaaalaa6171/242%20Big%20Mom%20Pirates_Crewmate%20-%20Charoltte%20Oven%20-%20Medal%20_Oven_%20_Colored_.png?updatedAt=1770076447763" TargetMode="External"/><Relationship Id="rId1183" Type="http://schemas.openxmlformats.org/officeDocument/2006/relationships/hyperlink" Target="https://ik.imagekit.io/alaaalaa6171/144%20Former%20Navy%20Admiral%20-%20Kuzan%20-%20Medal%20_Pheasant%20Peck_%20-%20Piece.png?updatedAt=1770076426776" TargetMode="External"/><Relationship Id="rId593" Type="http://schemas.openxmlformats.org/officeDocument/2006/relationships/hyperlink" Target="https://ik.imagekit.io/alaaalaa6171/242%20Big%20Mom%20Pirates_Crewmate%20-%20Charoltte%20Oven%20-%20Medal%20_Oven_.png?updatedAt=1770076447751" TargetMode="External"/><Relationship Id="rId1184" Type="http://schemas.openxmlformats.org/officeDocument/2006/relationships/hyperlink" Target="https://ik.imagekit.io/alaaalaa6171/144%20Former%20Navy%20Admiral%20-%20Kuzan%20-%20Medal%20_Pheasant%20Peck_%20-%20Piece%20_Colored_.png?updatedAt=1770076426808" TargetMode="External"/><Relationship Id="rId592" Type="http://schemas.openxmlformats.org/officeDocument/2006/relationships/hyperlink" Target="https://i.postimg.cc/ZRY0LzrZ/img-icon-medal-310110243.png" TargetMode="External"/><Relationship Id="rId1185" Type="http://schemas.openxmlformats.org/officeDocument/2006/relationships/hyperlink" Target="https://i.postimg.cc/yxmz0nP9/109.png" TargetMode="External"/><Relationship Id="rId591" Type="http://schemas.openxmlformats.org/officeDocument/2006/relationships/hyperlink" Target="https://i.postimg.cc/9M94yQzC/208.png" TargetMode="External"/><Relationship Id="rId1186" Type="http://schemas.openxmlformats.org/officeDocument/2006/relationships/hyperlink" Target="https://i.postimg.cc/c4PgGjNh/img-icon-medal-310110144.png" TargetMode="External"/><Relationship Id="rId114" Type="http://schemas.openxmlformats.org/officeDocument/2006/relationships/hyperlink" Target="https://ik.imagekit.io/alaaalaa6171/322%20Foxy%20Pirates_Captain%20-%20Foxy%20-%20Medal%20_Foxy_%20_Colored_.png?updatedAt=1770076466152" TargetMode="External"/><Relationship Id="rId598" Type="http://schemas.openxmlformats.org/officeDocument/2006/relationships/hyperlink" Target="https://i.postimg.cc/fLWkvQY6/img-icon-medal-310110241.png" TargetMode="External"/><Relationship Id="rId1187" Type="http://schemas.openxmlformats.org/officeDocument/2006/relationships/hyperlink" Target="https://ik.imagekit.io/alaaalaa6171/143%20Punk%20Hazard%20-%20Smoker%20(Chambres)%20-%20Medal%20_Smoker%20(Chambres)_.png?updatedAt=1770076426784" TargetMode="External"/><Relationship Id="rId113" Type="http://schemas.openxmlformats.org/officeDocument/2006/relationships/hyperlink" Target="https://ik.imagekit.io/alaaalaa6171/322%20Foxy%20Pirates_Captain%20-%20Foxy%20-%20Medal%20_Foxy_.png?updatedAt=1770076466187" TargetMode="External"/><Relationship Id="rId597" Type="http://schemas.openxmlformats.org/officeDocument/2006/relationships/hyperlink" Target="https://i.postimg.cc/7ZBTkRp8/207.png" TargetMode="External"/><Relationship Id="rId1188" Type="http://schemas.openxmlformats.org/officeDocument/2006/relationships/hyperlink" Target="https://ik.imagekit.io/alaaalaa6171/143%20Punk%20Hazard%20-%20Smoker%20(Chambres)%20-%20Medal%20_Smoker%20(Chambres)_%20_Colored_.png?updatedAt=1770076426817" TargetMode="External"/><Relationship Id="rId112" Type="http://schemas.openxmlformats.org/officeDocument/2006/relationships/hyperlink" Target="https://i.postimg.cc/hv6jgJNh/img-icon-medal-310110323.png" TargetMode="External"/><Relationship Id="rId596" Type="http://schemas.openxmlformats.org/officeDocument/2006/relationships/hyperlink" Target="https://ik.imagekit.io/alaaalaa6171/242%20Big%20Mom%20Pirates_Crewmate%20-%20Charoltte%20Oven%20-%20Medal%20_Oven_%20-%20Piece%20_Colored_.png?updatedAt=1770076447773" TargetMode="External"/><Relationship Id="rId1189" Type="http://schemas.openxmlformats.org/officeDocument/2006/relationships/hyperlink" Target="https://ik.imagekit.io/alaaalaa6171/143%20Punk%20Hazard%20-%20Smoker%20(Chambres)%20-%20Medal%20_Smoker%20(Chambres)_%20-%20Piece.png?updatedAt=1770076426768" TargetMode="External"/><Relationship Id="rId111" Type="http://schemas.openxmlformats.org/officeDocument/2006/relationships/hyperlink" Target="https://i.postimg.cc/m2R2RMpz/288.png" TargetMode="External"/><Relationship Id="rId595" Type="http://schemas.openxmlformats.org/officeDocument/2006/relationships/hyperlink" Target="https://ik.imagekit.io/alaaalaa6171/242%20Big%20Mom%20Pirates_Crewmate%20-%20Charoltte%20Oven%20-%20Medal%20_Oven_%20-%20Piece.png?updatedAt=1770076447815" TargetMode="External"/><Relationship Id="rId1136" Type="http://schemas.openxmlformats.org/officeDocument/2006/relationships/hyperlink" Target="https://ik.imagekit.io/alaaalaa6171/152%20Kozuki%20Clan_Servant%20-%20Kawamatsu%20-%20Medal%20_Kawamatsu_%20-%20Piece%20_Colored_.png?updatedAt=1770076431641" TargetMode="External"/><Relationship Id="rId1137" Type="http://schemas.openxmlformats.org/officeDocument/2006/relationships/hyperlink" Target="https://i.postimg.cc/Dw27PVRz/117.png" TargetMode="External"/><Relationship Id="rId1138" Type="http://schemas.openxmlformats.org/officeDocument/2006/relationships/hyperlink" Target="https://i.postimg.cc/fT1tQFh6/img-icon-medal-310110154.png" TargetMode="External"/><Relationship Id="rId1139" Type="http://schemas.openxmlformats.org/officeDocument/2006/relationships/hyperlink" Target="https://ik.imagekit.io/alaaalaa6171/151%20Most%20Handsome%20Swordman%20in%20the%20Land%20of%20Wano%20-%20Kikunojo%20-%20Medal%20_Kikunojo_.png?updatedAt=1770076431564" TargetMode="External"/><Relationship Id="rId547" Type="http://schemas.openxmlformats.org/officeDocument/2006/relationships/hyperlink" Target="https://ik.imagekit.io/alaaalaa6171/250%20Okuchi-no-Makami%20-%20Yamato%20-%20Medal%20_Namuji%20Glacier%20Fang_%20-%20Piece.png?updatedAt=1770076447906" TargetMode="External"/><Relationship Id="rId546" Type="http://schemas.openxmlformats.org/officeDocument/2006/relationships/hyperlink" Target="https://ik.imagekit.io/alaaalaa6171/250%20Okuchi-no-Makami%20-%20Yamato%20-%20Medal%20_Namuji%20Glacier%20Fang_%20_Colored_.png?updatedAt=1770076447915" TargetMode="External"/><Relationship Id="rId545" Type="http://schemas.openxmlformats.org/officeDocument/2006/relationships/hyperlink" Target="https://ik.imagekit.io/alaaalaa6171/250%20Okuchi-no-Makami%20-%20Yamato%20-%20Medal%20_Namuji%20Glacier%20Fang_.png?updatedAt=1770076447919" TargetMode="External"/><Relationship Id="rId544" Type="http://schemas.openxmlformats.org/officeDocument/2006/relationships/hyperlink" Target="https://i.postimg.cc/MTZXYJyH/img-icon-medal-310110251.png" TargetMode="External"/><Relationship Id="rId549" Type="http://schemas.openxmlformats.org/officeDocument/2006/relationships/hyperlink" Target="https://i.postimg.cc/VLgJqTsr/215.png" TargetMode="External"/><Relationship Id="rId548" Type="http://schemas.openxmlformats.org/officeDocument/2006/relationships/hyperlink" Target="https://ik.imagekit.io/alaaalaa6171/250%20Okuchi-no-Makami%20-%20Yamato%20-%20Medal%20_Namuji%20Glacier%20Fang_%20-%20Piece%20_Colored_.png?updatedAt=1770076448303" TargetMode="External"/><Relationship Id="rId1130" Type="http://schemas.openxmlformats.org/officeDocument/2006/relationships/hyperlink" Target="https://ik.imagekit.io/alaaalaa6171/153%20Land%20of%20Wano%20-%20Chopperemon%20-%20Medal%20_Chopperemon_%20-%20Piece%20_Colored_.png?updatedAt=1770076431625" TargetMode="External"/><Relationship Id="rId1131" Type="http://schemas.openxmlformats.org/officeDocument/2006/relationships/hyperlink" Target="https://i.postimg.cc/FHDNPWQV/118.png" TargetMode="External"/><Relationship Id="rId543" Type="http://schemas.openxmlformats.org/officeDocument/2006/relationships/hyperlink" Target="https://i.postimg.cc/T1Jz6xRT/216.png" TargetMode="External"/><Relationship Id="rId1132" Type="http://schemas.openxmlformats.org/officeDocument/2006/relationships/hyperlink" Target="https://i.postimg.cc/qMWhHYdP/img-icon-medal-310110155.png" TargetMode="External"/><Relationship Id="rId542" Type="http://schemas.openxmlformats.org/officeDocument/2006/relationships/hyperlink" Target="https://ik.imagekit.io/alaaalaa6171/251%20Raid%20on%20Onigashima%20-%20Nami%20-%20Medal%20_Raid%20Nami_%20-%20Piece%20_Colored_.png?updatedAt=1770076448267" TargetMode="External"/><Relationship Id="rId1133" Type="http://schemas.openxmlformats.org/officeDocument/2006/relationships/hyperlink" Target="https://ik.imagekit.io/alaaalaa6171/152%20Kozuki%20Clan_Servant%20-%20Kawamatsu%20-%20Medal%20_Kawamatsu_.png?updatedAt=1770076431586" TargetMode="External"/><Relationship Id="rId541" Type="http://schemas.openxmlformats.org/officeDocument/2006/relationships/hyperlink" Target="https://ik.imagekit.io/alaaalaa6171/251%20Raid%20on%20Onigashima%20-%20Nami%20-%20Medal%20_Raid%20Nami_%20-%20Piece.png?updatedAt=1770076448266" TargetMode="External"/><Relationship Id="rId1134" Type="http://schemas.openxmlformats.org/officeDocument/2006/relationships/hyperlink" Target="https://ik.imagekit.io/alaaalaa6171/152%20Kozuki%20Clan_Servant%20-%20Kawamatsu%20-%20Medal%20_Kawamatsu_%20_Colored_.png?updatedAt=1770076431549" TargetMode="External"/><Relationship Id="rId540" Type="http://schemas.openxmlformats.org/officeDocument/2006/relationships/hyperlink" Target="https://ik.imagekit.io/alaaalaa6171/251%20Raid%20on%20Onigashima%20-%20Nami%20-%20Medal%20_Raid%20Nami_%20_Colored_.png?updatedAt=1770076448380" TargetMode="External"/><Relationship Id="rId1135" Type="http://schemas.openxmlformats.org/officeDocument/2006/relationships/hyperlink" Target="https://ik.imagekit.io/alaaalaa6171/152%20Kozuki%20Clan_Servant%20-%20Kawamatsu%20-%20Medal%20_Kawamatsu_%20-%20Piece.png?updatedAt=1770076431551" TargetMode="External"/><Relationship Id="rId1125" Type="http://schemas.openxmlformats.org/officeDocument/2006/relationships/hyperlink" Target="https://i.postimg.cc/TwZRVKX8/119.png" TargetMode="External"/><Relationship Id="rId1126" Type="http://schemas.openxmlformats.org/officeDocument/2006/relationships/hyperlink" Target="https://i.postimg.cc/65F2xSNF/img-icon-medal-310110153.png" TargetMode="External"/><Relationship Id="rId1127" Type="http://schemas.openxmlformats.org/officeDocument/2006/relationships/hyperlink" Target="https://ik.imagekit.io/alaaalaa6171/153%20Land%20of%20Wano%20-%20Chopperemon%20-%20Medal%20_Chopperemon_.png?updatedAt=1770076431545" TargetMode="External"/><Relationship Id="rId1128" Type="http://schemas.openxmlformats.org/officeDocument/2006/relationships/hyperlink" Target="https://ik.imagekit.io/alaaalaa6171/153%20Land%20of%20Wano%20-%20Chopperemon%20-%20Medal%20_Chopperemon_%20_Colored_.png?updatedAt=1770076431534" TargetMode="External"/><Relationship Id="rId1129" Type="http://schemas.openxmlformats.org/officeDocument/2006/relationships/hyperlink" Target="https://ik.imagekit.io/alaaalaa6171/153%20Land%20of%20Wano%20-%20Chopperemon%20-%20Medal%20_Chopperemon_%20-%20Piece.png?updatedAt=1770076431558" TargetMode="External"/><Relationship Id="rId536" Type="http://schemas.openxmlformats.org/officeDocument/2006/relationships/hyperlink" Target="https://ik.imagekit.io/alaaalaa6171/252%20Raid%20on%20Onigashima%20-%20Usopp%20-%20Medal%20_Raid%20Usopp_%20-%20Piece%20_Colored_.png?updatedAt=1770076448127" TargetMode="External"/><Relationship Id="rId535" Type="http://schemas.openxmlformats.org/officeDocument/2006/relationships/hyperlink" Target="https://ik.imagekit.io/alaaalaa6171/252%20Raid%20on%20Onigashima%20-%20Usopp%20-%20Medal%20_Raid%20Usopp_%20-%20Piece.png?updatedAt=1770076448947" TargetMode="External"/><Relationship Id="rId534" Type="http://schemas.openxmlformats.org/officeDocument/2006/relationships/hyperlink" Target="https://ik.imagekit.io/alaaalaa6171/252%20Raid%20on%20Onigashima%20-%20Usopp%20-%20Medal%20_Raid%20Usopp_%20_Colored_.png?updatedAt=1770076448937" TargetMode="External"/><Relationship Id="rId533" Type="http://schemas.openxmlformats.org/officeDocument/2006/relationships/hyperlink" Target="https://ik.imagekit.io/alaaalaa6171/252%20Raid%20on%20Onigashima%20-%20Usopp%20-%20Medal%20_Raid%20Usopp_.png?updatedAt=1770076450763" TargetMode="External"/><Relationship Id="rId539" Type="http://schemas.openxmlformats.org/officeDocument/2006/relationships/hyperlink" Target="https://ik.imagekit.io/alaaalaa6171/251%20Raid%20on%20Onigashima%20-%20Nami%20-%20Medal%20_Raid%20Nami_.png?updatedAt=1770076447975" TargetMode="External"/><Relationship Id="rId538" Type="http://schemas.openxmlformats.org/officeDocument/2006/relationships/hyperlink" Target="https://i.postimg.cc/qRBgGH8R/img-icon-medal-310110252.png" TargetMode="External"/><Relationship Id="rId537" Type="http://schemas.openxmlformats.org/officeDocument/2006/relationships/hyperlink" Target="https://i.postimg.cc/v87F9r5C/217.png" TargetMode="External"/><Relationship Id="rId1120" Type="http://schemas.openxmlformats.org/officeDocument/2006/relationships/hyperlink" Target="https://i.postimg.cc/CL9BptVX/img-icon-medal-310110152.png" TargetMode="External"/><Relationship Id="rId532" Type="http://schemas.openxmlformats.org/officeDocument/2006/relationships/hyperlink" Target="https://i.postimg.cc/wvx3kYh3/img-icon-medal-310110253.png" TargetMode="External"/><Relationship Id="rId1121" Type="http://schemas.openxmlformats.org/officeDocument/2006/relationships/hyperlink" Target="https://ik.imagekit.io/alaaalaa6171/154%20King%20of%20the%20Pirates%20-%20Gol%20D.%20Roger%20-%20Medal%20_Roger_.png?updatedAt=1770076431624" TargetMode="External"/><Relationship Id="rId531" Type="http://schemas.openxmlformats.org/officeDocument/2006/relationships/hyperlink" Target="https://i.postimg.cc/D0T9H03C/218.png" TargetMode="External"/><Relationship Id="rId1122" Type="http://schemas.openxmlformats.org/officeDocument/2006/relationships/hyperlink" Target="https://ik.imagekit.io/alaaalaa6171/154%20King%20of%20the%20Pirates%20-%20Gol%20D.%20Roger%20-%20Medal%20_Roger_%20_Colored_.png?updatedAt=1770076431627" TargetMode="External"/><Relationship Id="rId530" Type="http://schemas.openxmlformats.org/officeDocument/2006/relationships/hyperlink" Target="https://ik.imagekit.io/alaaalaa6171/253%20Flying%20Pirates_Captain%20-%20Vander%20Decken%20IX%20-%20Medal%20_Vander%20Decken%20IX_%20-%20Piece%20_Colored_.png?updatedAt=1770076451280" TargetMode="External"/><Relationship Id="rId1123" Type="http://schemas.openxmlformats.org/officeDocument/2006/relationships/hyperlink" Target="https://ik.imagekit.io/alaaalaa6171/154%20King%20of%20the%20Pirates%20-%20Gol%20D.%20Roger%20-%20Medal%20_Roger_%20-%20Piece.png?updatedAt=1770076431566" TargetMode="External"/><Relationship Id="rId1124" Type="http://schemas.openxmlformats.org/officeDocument/2006/relationships/hyperlink" Target="https://ik.imagekit.io/alaaalaa6171/154%20King%20of%20the%20Pirates%20-%20Gol%20D.%20Roger%20-%20Medal%20_Roger_%20-%20Piece%20_Colored_.png?updatedAt=1770076431487" TargetMode="External"/><Relationship Id="rId1158" Type="http://schemas.openxmlformats.org/officeDocument/2006/relationships/hyperlink" Target="https://ik.imagekit.io/alaaalaa6171/148%20Royal%20Wedding%20-%20Sanji%20-%20Medal%20_Sky%20Walk_%20_Colored_.png?updatedAt=1770076431383" TargetMode="External"/><Relationship Id="rId2005" Type="http://schemas.openxmlformats.org/officeDocument/2006/relationships/hyperlink" Target="https://ik.imagekit.io/alaaalaa6171/001%20Straw%20Hat%20Pirates_Captain%20-%20Monkey%20D.%20Luffy%20-%20Medal%20_Luffy_%20_Colored_.png?updatedAt=1770076471379" TargetMode="External"/><Relationship Id="rId1159" Type="http://schemas.openxmlformats.org/officeDocument/2006/relationships/hyperlink" Target="https://ik.imagekit.io/alaaalaa6171/148%20Royal%20Wedding%20-%20Sanji%20-%20Medal%20_Sky%20Walk_%20-%20Piece.png?updatedAt=1770076431424" TargetMode="External"/><Relationship Id="rId2006" Type="http://schemas.openxmlformats.org/officeDocument/2006/relationships/hyperlink" Target="https://ik.imagekit.io/alaaalaa6171/001%20Straw%20Hat%20Pirates_Captain%20-%20Monkey%20D.%20Luffy%20-%20Medal%20_Luffy_%20-%20Piece.png?updatedAt=1770076471287" TargetMode="External"/><Relationship Id="rId2007" Type="http://schemas.openxmlformats.org/officeDocument/2006/relationships/hyperlink" Target="https://ik.imagekit.io/alaaalaa6171/001%20Straw%20Hat%20Pirates_Captain%20-%20Monkey%20D.%20Luffy%20-%20Medal%20_Luffy_%20-%20Piece%20_Colored_.png?updatedAt=1770076471255" TargetMode="External"/><Relationship Id="rId2008" Type="http://schemas.openxmlformats.org/officeDocument/2006/relationships/drawing" Target="../drawings/drawing3.xml"/><Relationship Id="rId569" Type="http://schemas.openxmlformats.org/officeDocument/2006/relationships/hyperlink" Target="https://ik.imagekit.io/alaaalaa6171/246%20The%20Kingdom%20of%20Prodence_King%20-%20Elizabello%20II%20-%20Medal%20_Elizabello%20II_.png?updatedAt=1770076447898" TargetMode="External"/><Relationship Id="rId568" Type="http://schemas.openxmlformats.org/officeDocument/2006/relationships/hyperlink" Target="https://i.postimg.cc/rmyz92S8/img-icon-medal-310110247.png" TargetMode="External"/><Relationship Id="rId567" Type="http://schemas.openxmlformats.org/officeDocument/2006/relationships/hyperlink" Target="https://i.postimg.cc/sDsBZyzC/212.png" TargetMode="External"/><Relationship Id="rId566" Type="http://schemas.openxmlformats.org/officeDocument/2006/relationships/hyperlink" Target="https://ik.imagekit.io/alaaalaa6171/247%20Triple-X-Level%20Boxer%20-%20Ideo%20-%20Medal%20_Ideo_%20-%20Piece%20_Colored_.png?updatedAt=1770076447908" TargetMode="External"/><Relationship Id="rId561" Type="http://schemas.openxmlformats.org/officeDocument/2006/relationships/hyperlink" Target="https://i.postimg.cc/kg5BfcDj/213.png" TargetMode="External"/><Relationship Id="rId1150" Type="http://schemas.openxmlformats.org/officeDocument/2006/relationships/hyperlink" Target="https://i.postimg.cc/7YjGrcyQ/img-icon-medal-310110150.png" TargetMode="External"/><Relationship Id="rId560" Type="http://schemas.openxmlformats.org/officeDocument/2006/relationships/hyperlink" Target="https://ik.imagekit.io/alaaalaa6171/248%20Raid%20on%20Onigashima%20-%20Nico%20Robin%20-%20Medal%20_Raid%20Robin_%20-%20Piece%20_Colored_.png?updatedAt=1770076447827" TargetMode="External"/><Relationship Id="rId1151" Type="http://schemas.openxmlformats.org/officeDocument/2006/relationships/hyperlink" Target="https://ik.imagekit.io/alaaalaa6171/149%20Fire%20Fist%20-%20Portgaz%20D.%20Ace%201%20-%20Medal%20_Cross%20Fire_.png?updatedAt=1770076431427" TargetMode="External"/><Relationship Id="rId1152" Type="http://schemas.openxmlformats.org/officeDocument/2006/relationships/hyperlink" Target="https://ik.imagekit.io/alaaalaa6171/149%20Fire%20Fist%20-%20Portgaz%20D.%20Ace%201%20-%20Medal%20_Cross%20Fire_%20_Colored_.png?updatedAt=1770076431480" TargetMode="External"/><Relationship Id="rId1153" Type="http://schemas.openxmlformats.org/officeDocument/2006/relationships/hyperlink" Target="https://ik.imagekit.io/alaaalaa6171/149%20Fire%20Fist%20-%20Portgaz%20D.%20Ace%201%20-%20Medal%20_Cross%20Fire_%20-%20Piece.png?updatedAt=1770076431488" TargetMode="External"/><Relationship Id="rId2000" Type="http://schemas.openxmlformats.org/officeDocument/2006/relationships/hyperlink" Target="https://ik.imagekit.io/alaaalaa6171/002%20Straw%20Hat%20Pirates_Combatant%20-%20Roronoa%20Zoro%20-%20Medal%20_Zoro_.png?updatedAt=1770076471263" TargetMode="External"/><Relationship Id="rId565" Type="http://schemas.openxmlformats.org/officeDocument/2006/relationships/hyperlink" Target="https://ik.imagekit.io/alaaalaa6171/247%20Triple-X-Level%20Boxer%20-%20Ideo%20-%20Medal%20_Ideo_%20-%20Piece.png?updatedAt=1770076447897" TargetMode="External"/><Relationship Id="rId1154" Type="http://schemas.openxmlformats.org/officeDocument/2006/relationships/hyperlink" Target="https://ik.imagekit.io/alaaalaa6171/149%20Fire%20Fist%20-%20Portgaz%20D.%20Ace%201%20-%20Medal%20_Cross%20Fire_%20-%20Piece%20_Colored_.png?updatedAt=1770076431447" TargetMode="External"/><Relationship Id="rId2001" Type="http://schemas.openxmlformats.org/officeDocument/2006/relationships/hyperlink" Target="https://ik.imagekit.io/alaaalaa6171/002%20Straw%20Hat%20Pirates_Combatant%20-%20Roronoa%20Zoro%20-%20Medal%20_Zoro_%20_Colored_.png?updatedAt=1770076471255" TargetMode="External"/><Relationship Id="rId564" Type="http://schemas.openxmlformats.org/officeDocument/2006/relationships/hyperlink" Target="https://ik.imagekit.io/alaaalaa6171/247%20Triple-X-Level%20Boxer%20-%20Ideo%20-%20Medal%20_Ideo_%20_Colored_.png?updatedAt=1770076447861" TargetMode="External"/><Relationship Id="rId1155" Type="http://schemas.openxmlformats.org/officeDocument/2006/relationships/hyperlink" Target="https://i.postimg.cc/pXMWy5Zz/114.png" TargetMode="External"/><Relationship Id="rId2002" Type="http://schemas.openxmlformats.org/officeDocument/2006/relationships/hyperlink" Target="https://ik.imagekit.io/alaaalaa6171/002%20Straw%20Hat%20Pirates_Combatant%20-%20Roronoa%20Zoro%20-%20Medal%20_Zoro_%20-%20Piece.png?updatedAt=1770076471404" TargetMode="External"/><Relationship Id="rId563" Type="http://schemas.openxmlformats.org/officeDocument/2006/relationships/hyperlink" Target="https://ik.imagekit.io/alaaalaa6171/247%20Triple-X-Level%20Boxer%20-%20Ideo%20-%20Medal%20_Ideo_.png?updatedAt=1770076447825" TargetMode="External"/><Relationship Id="rId1156" Type="http://schemas.openxmlformats.org/officeDocument/2006/relationships/hyperlink" Target="https://i.postimg.cc/dtgkcXKN/img-icon-medal-310110149.png" TargetMode="External"/><Relationship Id="rId2003" Type="http://schemas.openxmlformats.org/officeDocument/2006/relationships/hyperlink" Target="https://ik.imagekit.io/alaaalaa6171/002%20Straw%20Hat%20Pirates_Combatant%20-%20Roronoa%20Zoro%20-%20Medal%20_Zoro_%20-%20Piece%20_Colored_.png?updatedAt=1770076471390" TargetMode="External"/><Relationship Id="rId562" Type="http://schemas.openxmlformats.org/officeDocument/2006/relationships/hyperlink" Target="https://i.postimg.cc/636ThxdW/img-icon-medal-310110248.png" TargetMode="External"/><Relationship Id="rId1157" Type="http://schemas.openxmlformats.org/officeDocument/2006/relationships/hyperlink" Target="https://ik.imagekit.io/alaaalaa6171/148%20Royal%20Wedding%20-%20Sanji%20-%20Medal%20_Sky%20Walk_.png?updatedAt=1770076431469" TargetMode="External"/><Relationship Id="rId2004" Type="http://schemas.openxmlformats.org/officeDocument/2006/relationships/hyperlink" Target="https://ik.imagekit.io/alaaalaa6171/001%20Straw%20Hat%20Pirates_Captain%20-%20Monkey%20D.%20Luffy%20-%20Medal%20_Luffy_.png?updatedAt=1770076471327" TargetMode="External"/><Relationship Id="rId1147" Type="http://schemas.openxmlformats.org/officeDocument/2006/relationships/hyperlink" Target="https://ik.imagekit.io/alaaalaa6171/150%20Daimyo%20of%20Kuri%20-%20Kozuki%20Oden%20-%20Medal%20_Kozuki%20Oden_%20-%20Piece.png?updatedAt=1770076431508" TargetMode="External"/><Relationship Id="rId1148" Type="http://schemas.openxmlformats.org/officeDocument/2006/relationships/hyperlink" Target="https://ik.imagekit.io/alaaalaa6171/150%20Daimyo%20of%20Kuri%20-%20Kozuki%20Oden%20-%20Medal%20_Kozuki%20Oden_%20-%20Piece%20_Colored_.png?updatedAt=1770076431547" TargetMode="External"/><Relationship Id="rId1149" Type="http://schemas.openxmlformats.org/officeDocument/2006/relationships/hyperlink" Target="https://i.postimg.cc/wxmx6Qh9/115.png" TargetMode="External"/><Relationship Id="rId558" Type="http://schemas.openxmlformats.org/officeDocument/2006/relationships/hyperlink" Target="https://ik.imagekit.io/alaaalaa6171/248%20Raid%20on%20Onigashima%20-%20Nico%20Robin%20-%20Medal%20_Raid%20Robin_%20_Colored_.png?updatedAt=1770076447913" TargetMode="External"/><Relationship Id="rId557" Type="http://schemas.openxmlformats.org/officeDocument/2006/relationships/hyperlink" Target="https://ik.imagekit.io/alaaalaa6171/248%20Raid%20on%20Onigashima%20-%20Nico%20Robin%20-%20Medal%20_Raid%20Robin_.png?updatedAt=1770076447874" TargetMode="External"/><Relationship Id="rId556" Type="http://schemas.openxmlformats.org/officeDocument/2006/relationships/hyperlink" Target="https://i.postimg.cc/MTZXYJyZ/img-icon-medal-310110249.png" TargetMode="External"/><Relationship Id="rId555" Type="http://schemas.openxmlformats.org/officeDocument/2006/relationships/hyperlink" Target="https://i.postimg.cc/zGP3Mggq/214.png" TargetMode="External"/><Relationship Id="rId559" Type="http://schemas.openxmlformats.org/officeDocument/2006/relationships/hyperlink" Target="https://ik.imagekit.io/alaaalaa6171/248%20Raid%20on%20Onigashima%20-%20Nico%20Robin%20-%20Medal%20_Raid%20Robin_%20-%20Piece.png?updatedAt=1770076447918" TargetMode="External"/><Relationship Id="rId550" Type="http://schemas.openxmlformats.org/officeDocument/2006/relationships/hyperlink" Target="https://i.postimg.cc/tTR7zGhY/img-icon-medal-310110250.png" TargetMode="External"/><Relationship Id="rId1140" Type="http://schemas.openxmlformats.org/officeDocument/2006/relationships/hyperlink" Target="https://ik.imagekit.io/alaaalaa6171/151%20Most%20Handsome%20Swordman%20in%20the%20Land%20of%20Wano%20-%20Kikunojo%20-%20Medal%20_Kikunojo_%20_Colored_.png?updatedAt=1770076431554" TargetMode="External"/><Relationship Id="rId1141" Type="http://schemas.openxmlformats.org/officeDocument/2006/relationships/hyperlink" Target="https://ik.imagekit.io/alaaalaa6171/151%20Most%20Handsome%20Swordman%20in%20the%20Land%20of%20Wano%20-%20Kikunojo%20-%20Medal%20_Kikunojo_%20-%20Piece.png?updatedAt=1770076431516" TargetMode="External"/><Relationship Id="rId1142" Type="http://schemas.openxmlformats.org/officeDocument/2006/relationships/hyperlink" Target="https://ik.imagekit.io/alaaalaa6171/151%20Most%20Handsome%20Swordman%20in%20the%20Land%20of%20Wano%20-%20Kikunojo%20-%20Medal%20_Kikunojo_%20-%20Piece%20_Colored_.png?updatedAt=1770076431606" TargetMode="External"/><Relationship Id="rId554" Type="http://schemas.openxmlformats.org/officeDocument/2006/relationships/hyperlink" Target="https://ik.imagekit.io/alaaalaa6171/249%20Raid%20on%20Onigashima%20-%20Brook%20-%20Medal%20_Raid%20Brook_%20-%20Piece%20_Colored_.png?updatedAt=1770076447908" TargetMode="External"/><Relationship Id="rId1143" Type="http://schemas.openxmlformats.org/officeDocument/2006/relationships/hyperlink" Target="https://i.postimg.cc/T1gTCTRK/116.png" TargetMode="External"/><Relationship Id="rId553" Type="http://schemas.openxmlformats.org/officeDocument/2006/relationships/hyperlink" Target="https://ik.imagekit.io/alaaalaa6171/249%20Raid%20on%20Onigashima%20-%20Brook%20-%20Medal%20_Raid%20Brook_%20-%20Piece.png?updatedAt=1770076447868" TargetMode="External"/><Relationship Id="rId1144" Type="http://schemas.openxmlformats.org/officeDocument/2006/relationships/hyperlink" Target="https://i.postimg.cc/3Jz4Q6Hq/img-icon-medal-310110151.png" TargetMode="External"/><Relationship Id="rId552" Type="http://schemas.openxmlformats.org/officeDocument/2006/relationships/hyperlink" Target="https://ik.imagekit.io/alaaalaa6171/249%20Raid%20on%20Onigashima%20-%20Brook%20-%20Medal%20_Raid%20Brook_%20_Colored_.png?updatedAt=1770076447847" TargetMode="External"/><Relationship Id="rId1145" Type="http://schemas.openxmlformats.org/officeDocument/2006/relationships/hyperlink" Target="https://ik.imagekit.io/alaaalaa6171/150%20Daimyo%20of%20Kuri%20-%20Kozuki%20Oden%20-%20Medal%20_Kozuki%20Oden_.png?updatedAt=1770076431462" TargetMode="External"/><Relationship Id="rId551" Type="http://schemas.openxmlformats.org/officeDocument/2006/relationships/hyperlink" Target="https://ik.imagekit.io/alaaalaa6171/249%20Raid%20on%20Onigashima%20-%20Brook%20-%20Medal%20_Raid%20Brook_.png?updatedAt=1770076447851" TargetMode="External"/><Relationship Id="rId1146" Type="http://schemas.openxmlformats.org/officeDocument/2006/relationships/hyperlink" Target="https://ik.imagekit.io/alaaalaa6171/150%20Daimyo%20of%20Kuri%20-%20Kozuki%20Oden%20-%20Medal%20_Kozuki%20Oden_%20_Colored_.png?updatedAt=1770076431558" TargetMode="External"/><Relationship Id="rId495" Type="http://schemas.openxmlformats.org/officeDocument/2006/relationships/hyperlink" Target="https://i.postimg.cc/3JBhMXR2/224.png" TargetMode="External"/><Relationship Id="rId494" Type="http://schemas.openxmlformats.org/officeDocument/2006/relationships/hyperlink" Target="https://ik.imagekit.io/alaaalaa6171/259%20Singer%20of%20the%20New%20Genesis%20-%20Uta%20-%20Medal%20_Shanks%60%60%20Daughter_%20-%20Piece%20_Colored_.png?updatedAt=1770076452988" TargetMode="External"/><Relationship Id="rId493" Type="http://schemas.openxmlformats.org/officeDocument/2006/relationships/hyperlink" Target="https://ik.imagekit.io/alaaalaa6171/259%20Singer%20of%20the%20New%20Genesis%20-%20Uta%20-%20Medal%20_Shanks%60%60%20Daughter_%20-%20Piece.png?updatedAt=1770076452996" TargetMode="External"/><Relationship Id="rId492" Type="http://schemas.openxmlformats.org/officeDocument/2006/relationships/hyperlink" Target="https://ik.imagekit.io/alaaalaa6171/259%20Singer%20of%20the%20New%20Genesis%20-%20Uta%20-%20Medal%20_Shanks%60%60%20Daughter_%20_Colored_.png?updatedAt=1770076452975" TargetMode="External"/><Relationship Id="rId499" Type="http://schemas.openxmlformats.org/officeDocument/2006/relationships/hyperlink" Target="https://ik.imagekit.io/alaaalaa6171/258%20Raid%20on%20Onigashima%20-%20Killer%20-%20Medal%20_Raid%20Killer_%20-%20Piece.png?updatedAt=1770076452962" TargetMode="External"/><Relationship Id="rId498" Type="http://schemas.openxmlformats.org/officeDocument/2006/relationships/hyperlink" Target="https://ik.imagekit.io/alaaalaa6171/258%20Raid%20on%20Onigashima%20-%20Killer%20-%20Medal%20_Raid%20Killer_%20_Colored_.png?updatedAt=1770076452966" TargetMode="External"/><Relationship Id="rId497" Type="http://schemas.openxmlformats.org/officeDocument/2006/relationships/hyperlink" Target="https://ik.imagekit.io/alaaalaa6171/258%20Raid%20on%20Onigashima%20-%20Killer%20-%20Medal%20_Raid%20Killer_.png?updatedAt=1770076452978" TargetMode="External"/><Relationship Id="rId496" Type="http://schemas.openxmlformats.org/officeDocument/2006/relationships/hyperlink" Target="https://i.postimg.cc/PxfNMnmD/img-icon-medal-310110260.png" TargetMode="External"/><Relationship Id="rId1610" Type="http://schemas.openxmlformats.org/officeDocument/2006/relationships/hyperlink" Target="https://ik.imagekit.io/alaaalaa6171/073%20Bikini%20-%20Nami%20-%20Medal%20_Bikini%20Nami_%20-%20Piece%20_Colored_.png?updatedAt=1770076415833" TargetMode="External"/><Relationship Id="rId1611" Type="http://schemas.openxmlformats.org/officeDocument/2006/relationships/hyperlink" Target="https://i.postimg.cc/RCy3d0TZ/038.png" TargetMode="External"/><Relationship Id="rId1612" Type="http://schemas.openxmlformats.org/officeDocument/2006/relationships/hyperlink" Target="https://i.postimg.cc/nrPszSjg/img-icon-medal-310110072.png" TargetMode="External"/><Relationship Id="rId1613" Type="http://schemas.openxmlformats.org/officeDocument/2006/relationships/hyperlink" Target="https://ik.imagekit.io/alaaalaa6171/072%202%20Years%20Later_Ship%20Carpenter%20-%20Franky%20-%20Medal%20_Radical_.png?updatedAt=1770076415843" TargetMode="External"/><Relationship Id="rId1614" Type="http://schemas.openxmlformats.org/officeDocument/2006/relationships/hyperlink" Target="https://ik.imagekit.io/alaaalaa6171/072%202%20Years%20Later_Ship%20Carpenter%20-%20Franky%20-%20Medal%20_Radical_%20_Colored_.png?updatedAt=1770076415805" TargetMode="External"/><Relationship Id="rId1615" Type="http://schemas.openxmlformats.org/officeDocument/2006/relationships/hyperlink" Target="https://ik.imagekit.io/alaaalaa6171/072%202%20Years%20Later_Ship%20Carpenter%20-%20Franky%20-%20Medal%20_Radical_%20-%20Piece.png?updatedAt=1770076415798" TargetMode="External"/><Relationship Id="rId1616" Type="http://schemas.openxmlformats.org/officeDocument/2006/relationships/hyperlink" Target="https://ik.imagekit.io/alaaalaa6171/072%202%20Years%20Later_Ship%20Carpenter%20-%20Franky%20-%20Medal%20_Radical_%20-%20Piece%20_Colored_.png?updatedAt=1770076415823" TargetMode="External"/><Relationship Id="rId907" Type="http://schemas.openxmlformats.org/officeDocument/2006/relationships/hyperlink" Target="https://ik.imagekit.io/alaaalaa6171/190%20Whole%20Cake%20Island%20-%20Jinbe%20-%20Medal%20_Boss_%20-%20Piece.png?updatedAt=1770076437091" TargetMode="External"/><Relationship Id="rId1617" Type="http://schemas.openxmlformats.org/officeDocument/2006/relationships/hyperlink" Target="https://i.postimg.cc/02SzBqtd/037.png" TargetMode="External"/><Relationship Id="rId906" Type="http://schemas.openxmlformats.org/officeDocument/2006/relationships/hyperlink" Target="https://ik.imagekit.io/alaaalaa6171/190%20Whole%20Cake%20Island%20-%20Jinbe%20-%20Medal%20_Boss_%20_Colored_.png?updatedAt=1770076437119" TargetMode="External"/><Relationship Id="rId1618" Type="http://schemas.openxmlformats.org/officeDocument/2006/relationships/hyperlink" Target="https://i.postimg.cc/HnhJxvcK/img-icon-medal-310110071.png" TargetMode="External"/><Relationship Id="rId905" Type="http://schemas.openxmlformats.org/officeDocument/2006/relationships/hyperlink" Target="https://ik.imagekit.io/alaaalaa6171/190%20Whole%20Cake%20Island%20-%20Jinbe%20-%20Medal%20_Boss_.png?updatedAt=1770076437162" TargetMode="External"/><Relationship Id="rId1619" Type="http://schemas.openxmlformats.org/officeDocument/2006/relationships/hyperlink" Target="https://ik.imagekit.io/alaaalaa6171/071%202%20Years%20Later_Musician%20-%20Brook%20-%20Medal%20_Blizzard%20Slice_.png?updatedAt=1770076415870" TargetMode="External"/><Relationship Id="rId904" Type="http://schemas.openxmlformats.org/officeDocument/2006/relationships/hyperlink" Target="https://i.postimg.cc/HLgrVynk/img-icon-medal-310110191.png" TargetMode="External"/><Relationship Id="rId909" Type="http://schemas.openxmlformats.org/officeDocument/2006/relationships/hyperlink" Target="https://i.postimg.cc/Gt5mSXDf/155.png" TargetMode="External"/><Relationship Id="rId908" Type="http://schemas.openxmlformats.org/officeDocument/2006/relationships/hyperlink" Target="https://ik.imagekit.io/alaaalaa6171/190%20Whole%20Cake%20Island%20-%20Jinbe%20-%20Medal%20_Boss_%20-%20Piece%20_Colored_.png?updatedAt=1770076437100" TargetMode="External"/><Relationship Id="rId903" Type="http://schemas.openxmlformats.org/officeDocument/2006/relationships/hyperlink" Target="https://i.postimg.cc/Gt2pQW4Y/156.png" TargetMode="External"/><Relationship Id="rId902" Type="http://schemas.openxmlformats.org/officeDocument/2006/relationships/hyperlink" Target="https://ik.imagekit.io/alaaalaa6171/191%20Roger%20Pirates_First%20Mate%20-%20Silvers%20Rayleigh%20-%20Medal%20_The%20Dark%20King_%20-%20Piece%20_Colored_.png?updatedAt=1770076437214" TargetMode="External"/><Relationship Id="rId901" Type="http://schemas.openxmlformats.org/officeDocument/2006/relationships/hyperlink" Target="https://ik.imagekit.io/alaaalaa6171/191%20Roger%20Pirates_First%20Mate%20-%20Silvers%20Rayleigh%20-%20Medal%20_The%20Dark%20King_%20-%20Piece.png?updatedAt=1770076437131" TargetMode="External"/><Relationship Id="rId900" Type="http://schemas.openxmlformats.org/officeDocument/2006/relationships/hyperlink" Target="https://ik.imagekit.io/alaaalaa6171/191%20Roger%20Pirates_First%20Mate%20-%20Silvers%20Rayleigh%20-%20Medal%20_The%20Dark%20King_%20_Colored_.png?updatedAt=1770076437101" TargetMode="External"/><Relationship Id="rId1600" Type="http://schemas.openxmlformats.org/officeDocument/2006/relationships/hyperlink" Target="https://i.postimg.cc/SRvXs1YF/img-icon-medal-310110074.png" TargetMode="External"/><Relationship Id="rId1601" Type="http://schemas.openxmlformats.org/officeDocument/2006/relationships/hyperlink" Target="https://ik.imagekit.io/alaaalaa6171/074%20Bikini%20-%20Boa%20Hancock%20-%20Medal%20_Bikini%20Hancock_.png?updatedAt=1770076415858" TargetMode="External"/><Relationship Id="rId1602" Type="http://schemas.openxmlformats.org/officeDocument/2006/relationships/hyperlink" Target="https://ik.imagekit.io/alaaalaa6171/074%20Bikini%20-%20Boa%20Hancock%20-%20Medal%20_Bikini%20Hancock_%20_Colored_.png?updatedAt=1770076415867" TargetMode="External"/><Relationship Id="rId1603" Type="http://schemas.openxmlformats.org/officeDocument/2006/relationships/hyperlink" Target="https://ik.imagekit.io/alaaalaa6171/074%20Bikini%20-%20Boa%20Hancock%20-%20Medal%20_Bikini%20Hancock_%20-%20Piece.png?updatedAt=1770076415825" TargetMode="External"/><Relationship Id="rId1604" Type="http://schemas.openxmlformats.org/officeDocument/2006/relationships/hyperlink" Target="https://ik.imagekit.io/alaaalaa6171/074%20Bikini%20-%20Boa%20Hancock%20-%20Medal%20_Bikini%20Hancock_%20-%20Piece%20_Colored_.png?updatedAt=1770076415824" TargetMode="External"/><Relationship Id="rId1605" Type="http://schemas.openxmlformats.org/officeDocument/2006/relationships/hyperlink" Target="https://i.postimg.cc/hvkftCGd/039.png" TargetMode="External"/><Relationship Id="rId1606" Type="http://schemas.openxmlformats.org/officeDocument/2006/relationships/hyperlink" Target="https://i.postimg.cc/WzHD3YqR/img-icon-medal-310110073.png" TargetMode="External"/><Relationship Id="rId1607" Type="http://schemas.openxmlformats.org/officeDocument/2006/relationships/hyperlink" Target="https://ik.imagekit.io/alaaalaa6171/073%20Bikini%20-%20Nami%20-%20Medal%20_Bikini%20Nami_.png?updatedAt=1770076415847" TargetMode="External"/><Relationship Id="rId1608" Type="http://schemas.openxmlformats.org/officeDocument/2006/relationships/hyperlink" Target="https://ik.imagekit.io/alaaalaa6171/073%20Bikini%20-%20Nami%20-%20Medal%20_Bikini%20Nami_%20_Colored_.png?updatedAt=1770076415847" TargetMode="External"/><Relationship Id="rId1609" Type="http://schemas.openxmlformats.org/officeDocument/2006/relationships/hyperlink" Target="https://ik.imagekit.io/alaaalaa6171/073%20Bikini%20-%20Nami%20-%20Medal%20_Bikini%20Nami_%20-%20Piece.png?updatedAt=1770076415865" TargetMode="External"/><Relationship Id="rId1631" Type="http://schemas.openxmlformats.org/officeDocument/2006/relationships/hyperlink" Target="https://ik.imagekit.io/alaaalaa6171/069%202%20Years%20Later_Doctor%20-%20Tony%20Tony%20Chopper%20-%20Medal%20_Bed%20Rest_.png?updatedAt=1770076415735" TargetMode="External"/><Relationship Id="rId1632" Type="http://schemas.openxmlformats.org/officeDocument/2006/relationships/hyperlink" Target="https://ik.imagekit.io/alaaalaa6171/069%202%20Years%20Later_Doctor%20-%20Tony%20Tony%20Chopper%20-%20Medal%20_Bed%20Rest_%20_Colored_.png?updatedAt=1770076415716" TargetMode="External"/><Relationship Id="rId1633" Type="http://schemas.openxmlformats.org/officeDocument/2006/relationships/hyperlink" Target="https://ik.imagekit.io/alaaalaa6171/069%202%20Years%20Later_Doctor%20-%20Tony%20Tony%20Chopper%20-%20Medal%20_Bed%20Rest_%20-%20Piece.png?updatedAt=1770076415709" TargetMode="External"/><Relationship Id="rId1634" Type="http://schemas.openxmlformats.org/officeDocument/2006/relationships/hyperlink" Target="https://ik.imagekit.io/alaaalaa6171/069%202%20Years%20Later_Doctor%20-%20Tony%20Tony%20Chopper%20-%20Medal%20_Bed%20Rest_%20-%20Piece%20_Colored_.png?updatedAt=1770076415730" TargetMode="External"/><Relationship Id="rId1635" Type="http://schemas.openxmlformats.org/officeDocument/2006/relationships/hyperlink" Target="https://i.postimg.cc/xCqCyrJm/034.png" TargetMode="External"/><Relationship Id="rId1636" Type="http://schemas.openxmlformats.org/officeDocument/2006/relationships/hyperlink" Target="https://i.postimg.cc/C51Bwp50/img-icon-medal-310110067.png" TargetMode="External"/><Relationship Id="rId1637" Type="http://schemas.openxmlformats.org/officeDocument/2006/relationships/hyperlink" Target="https://ik.imagekit.io/alaaalaa6171/068%20Navy%20HQ_Admiral%20Kizaru%20-%20_Borsalino_%20-%20Medal%20_Kizaru_.png?updatedAt=1770076415674" TargetMode="External"/><Relationship Id="rId1638" Type="http://schemas.openxmlformats.org/officeDocument/2006/relationships/hyperlink" Target="https://ik.imagekit.io/alaaalaa6171/068%20Navy%20HQ_Admiral%20Kizaru%20-%20_Borsalino_%20-%20Medal%20_Kizaru_%20_Colored_.png?updatedAt=1770076415677" TargetMode="External"/><Relationship Id="rId929" Type="http://schemas.openxmlformats.org/officeDocument/2006/relationships/hyperlink" Target="https://ik.imagekit.io/alaaalaa6171/186%20Don%20Quixote%20Pirates_Officer%20-%20Monet%20-%20Medal%20_Monet_.png?updatedAt=1770076437094" TargetMode="External"/><Relationship Id="rId1639" Type="http://schemas.openxmlformats.org/officeDocument/2006/relationships/hyperlink" Target="https://ik.imagekit.io/alaaalaa6171/068%20Navy%20HQ_Admiral%20Kizaru%20-%20_Borsalino_%20-%20Medal%20_Kizaru_%20-%20Piece.png?updatedAt=1770076415664" TargetMode="External"/><Relationship Id="rId928" Type="http://schemas.openxmlformats.org/officeDocument/2006/relationships/hyperlink" Target="https://i.postimg.cc/jjbDL72s/img-icon-medal-310110187.png" TargetMode="External"/><Relationship Id="rId927" Type="http://schemas.openxmlformats.org/officeDocument/2006/relationships/hyperlink" Target="https://i.postimg.cc/fT1bcgDt/152.png" TargetMode="External"/><Relationship Id="rId926" Type="http://schemas.openxmlformats.org/officeDocument/2006/relationships/hyperlink" Target="https://ik.imagekit.io/alaaalaa6171/187%20Whole%20Cake%20Island%20-%20Nami%20-%20Medal%20_Sorcery%20Climate%20Baton_%20-%20Piece%20_Colored_.png?updatedAt=1770076437040" TargetMode="External"/><Relationship Id="rId921" Type="http://schemas.openxmlformats.org/officeDocument/2006/relationships/hyperlink" Target="https://i.postimg.cc/BQj61G9f/153.png" TargetMode="External"/><Relationship Id="rId920" Type="http://schemas.openxmlformats.org/officeDocument/2006/relationships/hyperlink" Target="https://ik.imagekit.io/alaaalaa6171/188%20Whole%20Cake%20Island%20-%20Brook%20-%20Medal%20_Soul%20King_%20-%20Piece%20_Colored_.png?updatedAt=1770076437083" TargetMode="External"/><Relationship Id="rId925" Type="http://schemas.openxmlformats.org/officeDocument/2006/relationships/hyperlink" Target="https://ik.imagekit.io/alaaalaa6171/187%20Whole%20Cake%20Island%20-%20Nami%20-%20Medal%20_Sorcery%20Climate%20Baton_%20-%20Piece.png?updatedAt=1770076437073" TargetMode="External"/><Relationship Id="rId924" Type="http://schemas.openxmlformats.org/officeDocument/2006/relationships/hyperlink" Target="https://ik.imagekit.io/alaaalaa6171/187%20Whole%20Cake%20Island%20-%20Nami%20-%20Medal%20_Sorcery%20Climate%20Baton_%20_Colored_.png?updatedAt=1770076437074" TargetMode="External"/><Relationship Id="rId923" Type="http://schemas.openxmlformats.org/officeDocument/2006/relationships/hyperlink" Target="https://ik.imagekit.io/alaaalaa6171/187%20Whole%20Cake%20Island%20-%20Nami%20-%20Medal%20_Sorcery%20Climate%20Baton_.png?updatedAt=1770076437119" TargetMode="External"/><Relationship Id="rId922" Type="http://schemas.openxmlformats.org/officeDocument/2006/relationships/hyperlink" Target="https://i.postimg.cc/7Lk5f2hH/img-icon-medal-310110188.png" TargetMode="External"/><Relationship Id="rId1630" Type="http://schemas.openxmlformats.org/officeDocument/2006/relationships/hyperlink" Target="https://i.postimg.cc/kGpV4Y6H/img-icon-medal-310110069.png" TargetMode="External"/><Relationship Id="rId1620" Type="http://schemas.openxmlformats.org/officeDocument/2006/relationships/hyperlink" Target="https://ik.imagekit.io/alaaalaa6171/071%202%20Years%20Later_Musician%20-%20Brook%20-%20Medal%20_Blizzard%20Slice_%20_Colored_.png?updatedAt=1770076415762" TargetMode="External"/><Relationship Id="rId1621" Type="http://schemas.openxmlformats.org/officeDocument/2006/relationships/hyperlink" Target="https://ik.imagekit.io/alaaalaa6171/071%202%20Years%20Later_Musician%20-%20Brook%20-%20Medal%20_Blizzard%20Slice_%20-%20Piece.png?updatedAt=1770076415793" TargetMode="External"/><Relationship Id="rId1622" Type="http://schemas.openxmlformats.org/officeDocument/2006/relationships/hyperlink" Target="https://ik.imagekit.io/alaaalaa6171/071%202%20Years%20Later_Musician%20-%20Brook%20-%20Medal%20_Blizzard%20Slice_%20-%20Piece%20_Colored_.png?updatedAt=1770076415768" TargetMode="External"/><Relationship Id="rId1623" Type="http://schemas.openxmlformats.org/officeDocument/2006/relationships/hyperlink" Target="https://i.postimg.cc/QdrFLnwL/036.png" TargetMode="External"/><Relationship Id="rId1624" Type="http://schemas.openxmlformats.org/officeDocument/2006/relationships/hyperlink" Target="https://i.postimg.cc/gjTwJtXf/img-icon-medal-310110070.png" TargetMode="External"/><Relationship Id="rId1625" Type="http://schemas.openxmlformats.org/officeDocument/2006/relationships/hyperlink" Target="https://ik.imagekit.io/alaaalaa6171/070%202%20Years%20Later_Archaeologist%20-%20Nico%20Robin%20-%20Medal%20_Mille%20Fleurs_.png?updatedAt=1770076415761" TargetMode="External"/><Relationship Id="rId1626" Type="http://schemas.openxmlformats.org/officeDocument/2006/relationships/hyperlink" Target="https://ik.imagekit.io/alaaalaa6171/070%202%20Years%20Later_Archaeologist%20-%20Nico%20Robin%20-%20Medal%20_Mille%20Fleurs_%20_Colored_.png?updatedAt=1770076415766" TargetMode="External"/><Relationship Id="rId1627" Type="http://schemas.openxmlformats.org/officeDocument/2006/relationships/hyperlink" Target="https://ik.imagekit.io/alaaalaa6171/070%202%20Years%20Later_Archaeologist%20-%20Nico%20Robin%20-%20Medal%20_Mille%20Fleurs_%20-%20Piece.png?updatedAt=1770076415737" TargetMode="External"/><Relationship Id="rId918" Type="http://schemas.openxmlformats.org/officeDocument/2006/relationships/hyperlink" Target="https://ik.imagekit.io/alaaalaa6171/188%20Whole%20Cake%20Island%20-%20Brook%20-%20Medal%20_Soul%20King_%20_Colored_.png?updatedAt=1770076437136" TargetMode="External"/><Relationship Id="rId1628" Type="http://schemas.openxmlformats.org/officeDocument/2006/relationships/hyperlink" Target="https://ik.imagekit.io/alaaalaa6171/070%202%20Years%20Later_Archaeologist%20-%20Nico%20Robin%20-%20Medal%20_Mille%20Fleurs_%20-%20Piece%20_Colored_.png?updatedAt=1770076415721" TargetMode="External"/><Relationship Id="rId917" Type="http://schemas.openxmlformats.org/officeDocument/2006/relationships/hyperlink" Target="https://ik.imagekit.io/alaaalaa6171/188%20Whole%20Cake%20Island%20-%20Brook%20-%20Medal%20_Soul%20King_.png?updatedAt=1770076437100" TargetMode="External"/><Relationship Id="rId1629" Type="http://schemas.openxmlformats.org/officeDocument/2006/relationships/hyperlink" Target="https://i.postimg.cc/PqSJwfxh/035.png" TargetMode="External"/><Relationship Id="rId916" Type="http://schemas.openxmlformats.org/officeDocument/2006/relationships/hyperlink" Target="https://i.postimg.cc/TP6KpD1Y/img-icon-medal-310110189.png" TargetMode="External"/><Relationship Id="rId915" Type="http://schemas.openxmlformats.org/officeDocument/2006/relationships/hyperlink" Target="https://i.postimg.cc/RCshFZYT/154.png" TargetMode="External"/><Relationship Id="rId919" Type="http://schemas.openxmlformats.org/officeDocument/2006/relationships/hyperlink" Target="https://ik.imagekit.io/alaaalaa6171/188%20Whole%20Cake%20Island%20-%20Brook%20-%20Medal%20_Soul%20King_%20-%20Piece.png?updatedAt=1770076437095" TargetMode="External"/><Relationship Id="rId910" Type="http://schemas.openxmlformats.org/officeDocument/2006/relationships/hyperlink" Target="https://i.postimg.cc/9fhDr70X/img-icon-medal-310110190.png" TargetMode="External"/><Relationship Id="rId914" Type="http://schemas.openxmlformats.org/officeDocument/2006/relationships/hyperlink" Target="https://ik.imagekit.io/alaaalaa6171/189%20Big%20Mom%20Pirates_Crewmate%20-%20Charlotte%20Pudding%201%20-%20Medal%20_Pudding_%20-%20Piece%20_Colored_.png?updatedAt=1770076437094" TargetMode="External"/><Relationship Id="rId913" Type="http://schemas.openxmlformats.org/officeDocument/2006/relationships/hyperlink" Target="https://ik.imagekit.io/alaaalaa6171/189%20Big%20Mom%20Pirates_Crewmate%20-%20Charlotte%20Pudding%201%20-%20Medal%20_Pudding_%20-%20Piece.png?updatedAt=1770076437148" TargetMode="External"/><Relationship Id="rId912" Type="http://schemas.openxmlformats.org/officeDocument/2006/relationships/hyperlink" Target="https://ik.imagekit.io/alaaalaa6171/189%20Big%20Mom%20Pirates_Crewmate%20-%20Charlotte%20Pudding%201%20-%20Medal%20_Pudding_%20_Colored_.png?updatedAt=1770076437126" TargetMode="External"/><Relationship Id="rId911" Type="http://schemas.openxmlformats.org/officeDocument/2006/relationships/hyperlink" Target="https://ik.imagekit.io/alaaalaa6171/189%20Big%20Mom%20Pirates_Crewmate%20-%20Charlotte%20Pudding%201%20-%20Medal%20_Pudding_.png?updatedAt=1770076437125" TargetMode="External"/><Relationship Id="rId1213" Type="http://schemas.openxmlformats.org/officeDocument/2006/relationships/hyperlink" Target="https://ik.imagekit.io/alaaalaa6171/139%20Kuja%20Pirates_Captain%20-%20Boa%20Hancock%20-%20Medal%20_Perfume%20Femur_%20-%20Piece.png?updatedAt=1770076426326" TargetMode="External"/><Relationship Id="rId1697" Type="http://schemas.openxmlformats.org/officeDocument/2006/relationships/hyperlink" Target="https://ik.imagekit.io/alaaalaa6171/058%20Kid%20Pirates_Captain%20-%20Eustass%20Kid%20-%20Medal%20_Kid_.png?updatedAt=1770076410938" TargetMode="External"/><Relationship Id="rId1214" Type="http://schemas.openxmlformats.org/officeDocument/2006/relationships/hyperlink" Target="https://ik.imagekit.io/alaaalaa6171/139%20Kuja%20Pirates_Captain%20-%20Boa%20Hancock%20-%20Medal%20_Perfume%20Femur_%20-%20Piece%20_Colored_.png?updatedAt=1770076426336" TargetMode="External"/><Relationship Id="rId1698" Type="http://schemas.openxmlformats.org/officeDocument/2006/relationships/hyperlink" Target="https://ik.imagekit.io/alaaalaa6171/058%20Kid%20Pirates_Captain%20-%20Eustass%20Kid%20-%20Medal%20_Kid_%20_Colored_.png?updatedAt=1770076410927" TargetMode="External"/><Relationship Id="rId1215" Type="http://schemas.openxmlformats.org/officeDocument/2006/relationships/hyperlink" Target="https://i.postimg.cc/x1xVGXKs/104.png" TargetMode="External"/><Relationship Id="rId1699" Type="http://schemas.openxmlformats.org/officeDocument/2006/relationships/hyperlink" Target="https://ik.imagekit.io/alaaalaa6171/058%20Kid%20Pirates_Captain%20-%20Eustass%20Kid%20-%20Medal%20_Kid_%20-%20Piece.png?updatedAt=1770076410934" TargetMode="External"/><Relationship Id="rId1216" Type="http://schemas.openxmlformats.org/officeDocument/2006/relationships/hyperlink" Target="https://i.postimg.cc/xTBJV7Sv/img-icon-medal-310110139.png" TargetMode="External"/><Relationship Id="rId1217" Type="http://schemas.openxmlformats.org/officeDocument/2006/relationships/hyperlink" Target="https://ik.imagekit.io/alaaalaa6171/138%20The%20Greatest%20Swordman%20in%20the%20World%20-%20Dracule%20Mihawk%20-%20Medal%20_The%20Master%20Swordman_.png?updatedAt=1770076426316" TargetMode="External"/><Relationship Id="rId1218" Type="http://schemas.openxmlformats.org/officeDocument/2006/relationships/hyperlink" Target="https://ik.imagekit.io/alaaalaa6171/138%20The%20Greatest%20Swordman%20in%20the%20World%20-%20Dracule%20Mihawk%20-%20Medal%20_The%20Master%20Swordman_%20_Colored_.png?updatedAt=1770076426284" TargetMode="External"/><Relationship Id="rId1219" Type="http://schemas.openxmlformats.org/officeDocument/2006/relationships/hyperlink" Target="https://ik.imagekit.io/alaaalaa6171/138%20The%20Greatest%20Swordman%20in%20the%20World%20-%20Dracule%20Mihawk%20-%20Medal%20_The%20Master%20Swordman_%20-%20Piece.png?updatedAt=1770076426282" TargetMode="External"/><Relationship Id="rId866" Type="http://schemas.openxmlformats.org/officeDocument/2006/relationships/hyperlink" Target="https://ik.imagekit.io/alaaalaa6171/197%20The%20Strongest%20Creature%20Alive%20-%20Kaido%20-%20Medal%20_Blast%20Breath_%20-%20Piece%20_Colored_.png?updatedAt=1770076437201" TargetMode="External"/><Relationship Id="rId865" Type="http://schemas.openxmlformats.org/officeDocument/2006/relationships/hyperlink" Target="https://ik.imagekit.io/alaaalaa6171/197%20The%20Strongest%20Creature%20Alive%20-%20Kaido%20-%20Medal%20_Blast%20Breath_%20-%20Piece.png?updatedAt=1770076437486" TargetMode="External"/><Relationship Id="rId864" Type="http://schemas.openxmlformats.org/officeDocument/2006/relationships/hyperlink" Target="https://ik.imagekit.io/alaaalaa6171/197%20The%20Strongest%20Creature%20Alive%20-%20Kaido%20-%20Medal%20_Blast%20Breath_%20_Colored_.png?updatedAt=1770076437212" TargetMode="External"/><Relationship Id="rId863" Type="http://schemas.openxmlformats.org/officeDocument/2006/relationships/hyperlink" Target="https://ik.imagekit.io/alaaalaa6171/197%20The%20Strongest%20Creature%20Alive%20-%20Kaido%20-%20Medal%20_Blast%20Breath_.png?updatedAt=1770076437621" TargetMode="External"/><Relationship Id="rId869" Type="http://schemas.openxmlformats.org/officeDocument/2006/relationships/hyperlink" Target="https://ik.imagekit.io/alaaalaa6171/196%20Animal%20Kingdom%20Pirates_Lead%20Performer%20-%20Queen%20-%20Medal%20_Queen_.png?updatedAt=1770076437189" TargetMode="External"/><Relationship Id="rId868" Type="http://schemas.openxmlformats.org/officeDocument/2006/relationships/hyperlink" Target="https://i.postimg.cc/7Lk5f2hT/img-icon-medal-310110197.png" TargetMode="External"/><Relationship Id="rId867" Type="http://schemas.openxmlformats.org/officeDocument/2006/relationships/hyperlink" Target="https://i.postimg.cc/vHK4PZLm/162.png" TargetMode="External"/><Relationship Id="rId1690" Type="http://schemas.openxmlformats.org/officeDocument/2006/relationships/hyperlink" Target="https://i.postimg.cc/Wz3Fsc3x/img-icon-medal-310110060.png" TargetMode="External"/><Relationship Id="rId1691" Type="http://schemas.openxmlformats.org/officeDocument/2006/relationships/hyperlink" Target="https://ik.imagekit.io/alaaalaa6171/059%20Heart%20Pirates_Captain%20-%20Trafalger%20Law%20-%20Medal%20_Law_.png?updatedAt=1770076410939" TargetMode="External"/><Relationship Id="rId1692" Type="http://schemas.openxmlformats.org/officeDocument/2006/relationships/hyperlink" Target="https://ik.imagekit.io/alaaalaa6171/059%20Heart%20Pirates_Captain%20-%20Trafalger%20Law%20-%20Medal%20_Law_%20_Colored_.png?updatedAt=1770076410875" TargetMode="External"/><Relationship Id="rId862" Type="http://schemas.openxmlformats.org/officeDocument/2006/relationships/hyperlink" Target="https://i.postimg.cc/N0cK5HF2/img-icon-medal-310110198.png" TargetMode="External"/><Relationship Id="rId1693" Type="http://schemas.openxmlformats.org/officeDocument/2006/relationships/hyperlink" Target="https://ik.imagekit.io/alaaalaa6171/059%20Heart%20Pirates_Captain%20-%20Trafalger%20Law%20-%20Medal%20_Law_%20-%20Piece.png?updatedAt=1770076410897" TargetMode="External"/><Relationship Id="rId861" Type="http://schemas.openxmlformats.org/officeDocument/2006/relationships/hyperlink" Target="https://i.postimg.cc/CL5ZHq8t/163.png" TargetMode="External"/><Relationship Id="rId1210" Type="http://schemas.openxmlformats.org/officeDocument/2006/relationships/hyperlink" Target="https://i.postimg.cc/jdBwY9rQ/img-icon-medal-310110140.png" TargetMode="External"/><Relationship Id="rId1694" Type="http://schemas.openxmlformats.org/officeDocument/2006/relationships/hyperlink" Target="https://ik.imagekit.io/alaaalaa6171/059%20Heart%20Pirates_Captain%20-%20Trafalger%20Law%20-%20Medal%20_Law_%20-%20Piece%20_Colored_.png?updatedAt=1770076410858" TargetMode="External"/><Relationship Id="rId860" Type="http://schemas.openxmlformats.org/officeDocument/2006/relationships/hyperlink" Target="https://ik.imagekit.io/alaaalaa6171/198%20Man%20Who%20Dreams%20of%20Becoming%20the%20King%20of%20the%20Pirates%20-%20Monkey%20D.%20Luffy%20-%20Medal%20_Straw%20Hat_%20-%20Piece%20_Colored_.png?updatedAt=1770076437831" TargetMode="External"/><Relationship Id="rId1211" Type="http://schemas.openxmlformats.org/officeDocument/2006/relationships/hyperlink" Target="https://ik.imagekit.io/alaaalaa6171/139%20Kuja%20Pirates_Captain%20-%20Boa%20Hancock%20-%20Medal%20_Perfume%20Femur_.png?updatedAt=1770076426328" TargetMode="External"/><Relationship Id="rId1695" Type="http://schemas.openxmlformats.org/officeDocument/2006/relationships/hyperlink" Target="https://i.postimg.cc/mrLyQSY9/024.png" TargetMode="External"/><Relationship Id="rId1212" Type="http://schemas.openxmlformats.org/officeDocument/2006/relationships/hyperlink" Target="https://ik.imagekit.io/alaaalaa6171/139%20Kuja%20Pirates_Captain%20-%20Boa%20Hancock%20-%20Medal%20_Perfume%20Femur_%20_Colored_.png?updatedAt=1770076426309" TargetMode="External"/><Relationship Id="rId1696" Type="http://schemas.openxmlformats.org/officeDocument/2006/relationships/hyperlink" Target="https://i.postimg.cc/wMvy9YvP/img-icon-medal-310110058.png" TargetMode="External"/><Relationship Id="rId1202" Type="http://schemas.openxmlformats.org/officeDocument/2006/relationships/hyperlink" Target="https://ik.imagekit.io/alaaalaa6171/141%20The%20Parmount%20War%20-%20Crocodile%20-%20Medal%20_Crescent%20Cutlass_%20-%20Piece%20_Colored_.png?updatedAt=1770076426331" TargetMode="External"/><Relationship Id="rId1686" Type="http://schemas.openxmlformats.org/officeDocument/2006/relationships/hyperlink" Target="https://ik.imagekit.io/alaaalaa6171/060%202%20Years%20Later_Captain%20-%20Monkey%20D.%20Luffy%20-%20Medal%20_Elephant%20Gatling_%20_Colored_.png?updatedAt=1770076410946" TargetMode="External"/><Relationship Id="rId1203" Type="http://schemas.openxmlformats.org/officeDocument/2006/relationships/hyperlink" Target="https://i.postimg.cc/65KKBJWh/106.png" TargetMode="External"/><Relationship Id="rId1687" Type="http://schemas.openxmlformats.org/officeDocument/2006/relationships/hyperlink" Target="https://ik.imagekit.io/alaaalaa6171/060%202%20Years%20Later_Captain%20-%20Monkey%20D.%20Luffy%20-%20Medal%20_Elephant%20Gatling_%20-%20Piece.png?updatedAt=1770076410932" TargetMode="External"/><Relationship Id="rId1204" Type="http://schemas.openxmlformats.org/officeDocument/2006/relationships/hyperlink" Target="https://i.postimg.cc/L6GYF7M3/img-icon-medal-310110141.png" TargetMode="External"/><Relationship Id="rId1688" Type="http://schemas.openxmlformats.org/officeDocument/2006/relationships/hyperlink" Target="https://ik.imagekit.io/alaaalaa6171/060%202%20Years%20Later_Captain%20-%20Monkey%20D.%20Luffy%20-%20Medal%20_Elephant%20Gatling_%20-%20Piece%20_Colored_.png?updatedAt=1770076410907" TargetMode="External"/><Relationship Id="rId1205" Type="http://schemas.openxmlformats.org/officeDocument/2006/relationships/hyperlink" Target="https://ik.imagekit.io/alaaalaa6171/140%20Ghost%20Princess%20-%20Perona%20-%20Medal%20_Negative%20Ghost_.png?updatedAt=1770076426324" TargetMode="External"/><Relationship Id="rId1689" Type="http://schemas.openxmlformats.org/officeDocument/2006/relationships/hyperlink" Target="https://i.postimg.cc/vm0LX6hN/025.png" TargetMode="External"/><Relationship Id="rId1206" Type="http://schemas.openxmlformats.org/officeDocument/2006/relationships/hyperlink" Target="https://ik.imagekit.io/alaaalaa6171/140%20Ghost%20Princess%20-%20Perona%20-%20Medal%20_Negative%20Ghost_%20_Colored_.png?updatedAt=1770076426309" TargetMode="External"/><Relationship Id="rId1207" Type="http://schemas.openxmlformats.org/officeDocument/2006/relationships/hyperlink" Target="https://ik.imagekit.io/alaaalaa6171/140%20Ghost%20Princess%20-%20Perona%20-%20Medal%20_Negative%20Ghost_%20-%20Piece.png?updatedAt=1770076426343" TargetMode="External"/><Relationship Id="rId1208" Type="http://schemas.openxmlformats.org/officeDocument/2006/relationships/hyperlink" Target="https://ik.imagekit.io/alaaalaa6171/140%20Ghost%20Princess%20-%20Perona%20-%20Medal%20_Negative%20Ghost_%20-%20Piece%20_Colored_.png?updatedAt=1770076426318" TargetMode="External"/><Relationship Id="rId1209" Type="http://schemas.openxmlformats.org/officeDocument/2006/relationships/hyperlink" Target="https://i.postimg.cc/XY70yfyG/105.png" TargetMode="External"/><Relationship Id="rId855" Type="http://schemas.openxmlformats.org/officeDocument/2006/relationships/hyperlink" Target="https://i.postimg.cc/T17KvRzC/164.png" TargetMode="External"/><Relationship Id="rId854" Type="http://schemas.openxmlformats.org/officeDocument/2006/relationships/hyperlink" Target="https://ik.imagekit.io/alaaalaa6171/199%20Germa%2066_Generalissimo%20-%20Vinsmoke%20Judge%201%20-%20Medal%20_Judge_%20-%20Piece%20_Colored_.png?updatedAt=1770076438215" TargetMode="External"/><Relationship Id="rId853" Type="http://schemas.openxmlformats.org/officeDocument/2006/relationships/hyperlink" Target="https://ik.imagekit.io/alaaalaa6171/199%20Germa%2066_Generalissimo%20-%20Vinsmoke%20Judge%201%20-%20Medal%20_Judge_%20-%20Piece.png?updatedAt=1770076438181" TargetMode="External"/><Relationship Id="rId852" Type="http://schemas.openxmlformats.org/officeDocument/2006/relationships/hyperlink" Target="https://ik.imagekit.io/alaaalaa6171/199%20Germa%2066_Generalissimo%20-%20Vinsmoke%20Judge%201%20-%20Medal%20_Judge_%20_Colored_.png?updatedAt=1770076438396" TargetMode="External"/><Relationship Id="rId859" Type="http://schemas.openxmlformats.org/officeDocument/2006/relationships/hyperlink" Target="https://ik.imagekit.io/alaaalaa6171/198%20Man%20Who%20Dreams%20of%20Becoming%20the%20King%20of%20the%20Pirates%20-%20Monkey%20D.%20Luffy%20-%20Medal%20_Straw%20Hat_%20-%20Piece.png?updatedAt=1770076437919" TargetMode="External"/><Relationship Id="rId858" Type="http://schemas.openxmlformats.org/officeDocument/2006/relationships/hyperlink" Target="https://ik.imagekit.io/alaaalaa6171/198%20Man%20Who%20Dreams%20of%20Becoming%20the%20King%20of%20the%20Pirates%20-%20Monkey%20D.%20Luffy%20-%20Medal%20_Straw%20Hat_%20_Colored_.png?updatedAt=1770076438029" TargetMode="External"/><Relationship Id="rId857" Type="http://schemas.openxmlformats.org/officeDocument/2006/relationships/hyperlink" Target="https://ik.imagekit.io/alaaalaa6171/198%20Man%20Who%20Dreams%20of%20Becoming%20the%20King%20of%20the%20Pirates%20-%20Monkey%20D.%20Luffy%20-%20Medal%20_Straw%20Hat_.png?updatedAt=1770076438155" TargetMode="External"/><Relationship Id="rId856" Type="http://schemas.openxmlformats.org/officeDocument/2006/relationships/hyperlink" Target="https://i.postimg.cc/HLgrVyny/img-icon-medal-310110199.png" TargetMode="External"/><Relationship Id="rId1680" Type="http://schemas.openxmlformats.org/officeDocument/2006/relationships/hyperlink" Target="https://ik.imagekit.io/alaaalaa6171/061%20Alabasta_Princess%20-%20Nefeltari%20Vivi%20-%20Medal%20_Vivi_%20_Colored_.png?updatedAt=1770076410944" TargetMode="External"/><Relationship Id="rId1681" Type="http://schemas.openxmlformats.org/officeDocument/2006/relationships/hyperlink" Target="https://ik.imagekit.io/alaaalaa6171/061%20Alabasta_Princess%20-%20Nefeltari%20Vivi%20-%20Medal%20_Vivi_%20-%20Piece.png?updatedAt=1770076410902" TargetMode="External"/><Relationship Id="rId851" Type="http://schemas.openxmlformats.org/officeDocument/2006/relationships/hyperlink" Target="https://ik.imagekit.io/alaaalaa6171/199%20Germa%2066_Generalissimo%20-%20Vinsmoke%20Judge%201%20-%20Medal%20_Judge_.png?updatedAt=1770076440778" TargetMode="External"/><Relationship Id="rId1682" Type="http://schemas.openxmlformats.org/officeDocument/2006/relationships/hyperlink" Target="https://ik.imagekit.io/alaaalaa6171/061%20Alabasta_Princess%20-%20Nefeltari%20Vivi%20-%20Medal%20_Vivi_%20-%20Piece%20_Colored_.png?updatedAt=1770076410906" TargetMode="External"/><Relationship Id="rId850" Type="http://schemas.openxmlformats.org/officeDocument/2006/relationships/hyperlink" Target="https://i.postimg.cc/25D1VZyv/img-icon-medal-310110200.png" TargetMode="External"/><Relationship Id="rId1683" Type="http://schemas.openxmlformats.org/officeDocument/2006/relationships/hyperlink" Target="https://i.postimg.cc/g2PD0prN/026.png" TargetMode="External"/><Relationship Id="rId1200" Type="http://schemas.openxmlformats.org/officeDocument/2006/relationships/hyperlink" Target="https://ik.imagekit.io/alaaalaa6171/141%20The%20Parmount%20War%20-%20Crocodile%20-%20Medal%20_Crescent%20Cutlass_%20_Colored_.png?updatedAt=1770076426335" TargetMode="External"/><Relationship Id="rId1684" Type="http://schemas.openxmlformats.org/officeDocument/2006/relationships/hyperlink" Target="https://i.postimg.cc/L5XYmFXr/img-icon-medal-310110059.png" TargetMode="External"/><Relationship Id="rId1201" Type="http://schemas.openxmlformats.org/officeDocument/2006/relationships/hyperlink" Target="https://ik.imagekit.io/alaaalaa6171/141%20The%20Parmount%20War%20-%20Crocodile%20-%20Medal%20_Crescent%20Cutlass_%20-%20Piece.png?updatedAt=1770076426315" TargetMode="External"/><Relationship Id="rId1685" Type="http://schemas.openxmlformats.org/officeDocument/2006/relationships/hyperlink" Target="https://ik.imagekit.io/alaaalaa6171/060%202%20Years%20Later_Captain%20-%20Monkey%20D.%20Luffy%20-%20Medal%20_Elephant%20Gatling_.png?updatedAt=1770076410886" TargetMode="External"/><Relationship Id="rId1235" Type="http://schemas.openxmlformats.org/officeDocument/2006/relationships/hyperlink" Target="https://ik.imagekit.io/alaaalaa6171/135%20Superhuman%20-%20Charlotte%20Katakuri%20-%20Medal%20_Buzz%20Cut%20Mochi_.png?updatedAt=1770076426283" TargetMode="External"/><Relationship Id="rId1236" Type="http://schemas.openxmlformats.org/officeDocument/2006/relationships/hyperlink" Target="https://ik.imagekit.io/alaaalaa6171/135%20Superhuman%20-%20Charlotte%20Katakuri%20-%20Medal%20_Buzz%20Cut%20Mochi_%20_Colored_.png?updatedAt=1770076426237" TargetMode="External"/><Relationship Id="rId1237" Type="http://schemas.openxmlformats.org/officeDocument/2006/relationships/hyperlink" Target="https://ik.imagekit.io/alaaalaa6171/135%20Superhuman%20-%20Charlotte%20Katakuri%20-%20Medal%20_Buzz%20Cut%20Mochi_%20-%20Piece.png?updatedAt=1770076426328" TargetMode="External"/><Relationship Id="rId1238" Type="http://schemas.openxmlformats.org/officeDocument/2006/relationships/hyperlink" Target="https://ik.imagekit.io/alaaalaa6171/135%20Superhuman%20-%20Charlotte%20Katakuri%20-%20Medal%20_Buzz%20Cut%20Mochi_%20-%20Piece%20_Colored_.png?updatedAt=1770076426227" TargetMode="External"/><Relationship Id="rId1239" Type="http://schemas.openxmlformats.org/officeDocument/2006/relationships/hyperlink" Target="https://i.postimg.cc/NMThwbZV/100.png" TargetMode="External"/><Relationship Id="rId409" Type="http://schemas.openxmlformats.org/officeDocument/2006/relationships/hyperlink" Target="https://ik.imagekit.io/alaaalaa6171/273%20Navy%20HQ_Admiral%20Ryokugyu%20-%20_Aramaki_%20-%20Medal%20_Ryokugyu_%20-%20Piece.png?updatedAt=1770076453225" TargetMode="External"/><Relationship Id="rId404" Type="http://schemas.openxmlformats.org/officeDocument/2006/relationships/hyperlink" Target="https://ik.imagekit.io/alaaalaa6171/274%20Shogun%20of%20Wano%20-%20Kozuki%20Momonosuke%20-%20Medal%20_Shogun%20of%20Wano_%20-%20Piece%20_Colored_.png?updatedAt=1770076453209" TargetMode="External"/><Relationship Id="rId888" Type="http://schemas.openxmlformats.org/officeDocument/2006/relationships/hyperlink" Target="https://ik.imagekit.io/alaaalaa6171/193%20Former%20Whitebeard%20Pirates_16th%20Division%20Commander%20-%20Izo%20-%20Medal%20_Izo_%20_Colored_.png?updatedAt=1770076437136" TargetMode="External"/><Relationship Id="rId403" Type="http://schemas.openxmlformats.org/officeDocument/2006/relationships/hyperlink" Target="https://ik.imagekit.io/alaaalaa6171/274%20Shogun%20of%20Wano%20-%20Kozuki%20Momonosuke%20-%20Medal%20_Shogun%20of%20Wano_%20-%20Piece.png?updatedAt=1770076453260" TargetMode="External"/><Relationship Id="rId887" Type="http://schemas.openxmlformats.org/officeDocument/2006/relationships/hyperlink" Target="https://ik.imagekit.io/alaaalaa6171/193%20Former%20Whitebeard%20Pirates_16th%20Division%20Commander%20-%20Izo%20-%20Medal%20_Izo_.png?updatedAt=1770076437182" TargetMode="External"/><Relationship Id="rId402" Type="http://schemas.openxmlformats.org/officeDocument/2006/relationships/hyperlink" Target="https://ik.imagekit.io/alaaalaa6171/274%20Shogun%20of%20Wano%20-%20Kozuki%20Momonosuke%20-%20Medal%20_Shogun%20of%20Wano_%20_Colored_.png?updatedAt=1770076453286" TargetMode="External"/><Relationship Id="rId886" Type="http://schemas.openxmlformats.org/officeDocument/2006/relationships/hyperlink" Target="https://i.postimg.cc/XvbrpCqr/img-icon-medal-310110194.png" TargetMode="External"/><Relationship Id="rId401" Type="http://schemas.openxmlformats.org/officeDocument/2006/relationships/hyperlink" Target="https://ik.imagekit.io/alaaalaa6171/274%20Shogun%20of%20Wano%20-%20Kozuki%20Momonosuke%20-%20Medal%20_Shogun%20of%20Wano_.png?updatedAt=1770076453235" TargetMode="External"/><Relationship Id="rId885" Type="http://schemas.openxmlformats.org/officeDocument/2006/relationships/hyperlink" Target="https://i.postimg.cc/25Q38Fpq/159.png" TargetMode="External"/><Relationship Id="rId408" Type="http://schemas.openxmlformats.org/officeDocument/2006/relationships/hyperlink" Target="https://ik.imagekit.io/alaaalaa6171/273%20Navy%20HQ_Admiral%20Ryokugyu%20-%20_Aramaki_%20-%20Medal%20_Ryokugyu_%20_Colored_.png?updatedAt=1770076453198" TargetMode="External"/><Relationship Id="rId407" Type="http://schemas.openxmlformats.org/officeDocument/2006/relationships/hyperlink" Target="https://ik.imagekit.io/alaaalaa6171/273%20Navy%20HQ_Admiral%20Ryokugyu%20-%20_Aramaki_%20-%20Medal%20_Ryokugyu_.png?updatedAt=1770076453208" TargetMode="External"/><Relationship Id="rId406" Type="http://schemas.openxmlformats.org/officeDocument/2006/relationships/hyperlink" Target="https://i.postimg.cc/Qt6C4Ybq/img-icon-medal-310110274.png" TargetMode="External"/><Relationship Id="rId405" Type="http://schemas.openxmlformats.org/officeDocument/2006/relationships/hyperlink" Target="https://i.postimg.cc/QdWXB05P/239.png" TargetMode="External"/><Relationship Id="rId889" Type="http://schemas.openxmlformats.org/officeDocument/2006/relationships/hyperlink" Target="https://ik.imagekit.io/alaaalaa6171/193%20Former%20Whitebeard%20Pirates_16th%20Division%20Commander%20-%20Izo%20-%20Medal%20_Izo_%20-%20Piece.png?updatedAt=1770076437146" TargetMode="External"/><Relationship Id="rId880" Type="http://schemas.openxmlformats.org/officeDocument/2006/relationships/hyperlink" Target="https://i.postimg.cc/TP6KpD1y/img-icon-medal-310110195.png" TargetMode="External"/><Relationship Id="rId1230" Type="http://schemas.openxmlformats.org/officeDocument/2006/relationships/hyperlink" Target="https://ik.imagekit.io/alaaalaa6171/136%20The%20Seven%20Warlords%20of%20the%20Sea%20-%20Buggy%20-%20Medal%20_Chop_Chop_%20_Colored_.png?updatedAt=1770076426304" TargetMode="External"/><Relationship Id="rId400" Type="http://schemas.openxmlformats.org/officeDocument/2006/relationships/hyperlink" Target="https://i.postimg.cc/76BhstVV/img-icon-medal-310110275.png" TargetMode="External"/><Relationship Id="rId884" Type="http://schemas.openxmlformats.org/officeDocument/2006/relationships/hyperlink" Target="https://ik.imagekit.io/alaaalaa6171/194%20Kaido%60s%20Son%20-%20Yamato%20-%20Medal%20_Kaido%60s%20Son_%20-%20Piece%20_Colored_.png?updatedAt=1770076437219" TargetMode="External"/><Relationship Id="rId1231" Type="http://schemas.openxmlformats.org/officeDocument/2006/relationships/hyperlink" Target="https://ik.imagekit.io/alaaalaa6171/136%20The%20Seven%20Warlords%20of%20the%20Sea%20-%20Buggy%20-%20Medal%20_Chop_Chop_%20-%20Piece.png?updatedAt=1770076426293" TargetMode="External"/><Relationship Id="rId883" Type="http://schemas.openxmlformats.org/officeDocument/2006/relationships/hyperlink" Target="https://ik.imagekit.io/alaaalaa6171/194%20Kaido%60s%20Son%20-%20Yamato%20-%20Medal%20_Kaido%60s%20Son_%20-%20Piece.png?updatedAt=1770076437202" TargetMode="External"/><Relationship Id="rId1232" Type="http://schemas.openxmlformats.org/officeDocument/2006/relationships/hyperlink" Target="https://ik.imagekit.io/alaaalaa6171/136%20The%20Seven%20Warlords%20of%20the%20Sea%20-%20Buggy%20-%20Medal%20_Chop_Chop_%20-%20Piece%20_Colored_.png?updatedAt=1770076426242" TargetMode="External"/><Relationship Id="rId882" Type="http://schemas.openxmlformats.org/officeDocument/2006/relationships/hyperlink" Target="https://ik.imagekit.io/alaaalaa6171/194%20Kaido%60s%20Son%20-%20Yamato%20-%20Medal%20_Kaido%60s%20Son_%20_Colored_.png?updatedAt=1770076437629" TargetMode="External"/><Relationship Id="rId1233" Type="http://schemas.openxmlformats.org/officeDocument/2006/relationships/hyperlink" Target="https://i.postimg.cc/MZ7kPP7f/101.png" TargetMode="External"/><Relationship Id="rId881" Type="http://schemas.openxmlformats.org/officeDocument/2006/relationships/hyperlink" Target="https://ik.imagekit.io/alaaalaa6171/194%20Kaido%60s%20Son%20-%20Yamato%20-%20Medal%20_Kaido%60s%20Son_.png?updatedAt=1770076437212" TargetMode="External"/><Relationship Id="rId1234" Type="http://schemas.openxmlformats.org/officeDocument/2006/relationships/hyperlink" Target="https://i.postimg.cc/gk1Xb5PR/img-icon-medal-310110136.png" TargetMode="External"/><Relationship Id="rId1224" Type="http://schemas.openxmlformats.org/officeDocument/2006/relationships/hyperlink" Target="https://ik.imagekit.io/alaaalaa6171/137%20Former%20World%20Government_Science%20Division%20Member%20-%20Caesar%20Clown%20-%20Medal%20_Caesar_%20_Colored_.png?updatedAt=1770076426278" TargetMode="External"/><Relationship Id="rId1225" Type="http://schemas.openxmlformats.org/officeDocument/2006/relationships/hyperlink" Target="https://ik.imagekit.io/alaaalaa6171/137%20Former%20World%20Government_Science%20Division%20Member%20-%20Caesar%20Clown%20-%20Medal%20_Caesar_%20-%20Piece.png?updatedAt=1770076426303" TargetMode="External"/><Relationship Id="rId1226" Type="http://schemas.openxmlformats.org/officeDocument/2006/relationships/hyperlink" Target="https://ik.imagekit.io/alaaalaa6171/137%20Former%20World%20Government_Science%20Division%20Member%20-%20Caesar%20Clown%20-%20Medal%20_Caesar_%20-%20Piece%20_Colored_.png?updatedAt=1770076426295" TargetMode="External"/><Relationship Id="rId1227" Type="http://schemas.openxmlformats.org/officeDocument/2006/relationships/hyperlink" Target="https://i.postimg.cc/43jCMj2V/102.png" TargetMode="External"/><Relationship Id="rId1228" Type="http://schemas.openxmlformats.org/officeDocument/2006/relationships/hyperlink" Target="https://i.postimg.cc/c4PgGjNQ/img-icon-medal-310110137.png" TargetMode="External"/><Relationship Id="rId1229" Type="http://schemas.openxmlformats.org/officeDocument/2006/relationships/hyperlink" Target="https://ik.imagekit.io/alaaalaa6171/136%20The%20Seven%20Warlords%20of%20the%20Sea%20-%20Buggy%20-%20Medal%20_Chop_Chop_.png?updatedAt=1770076426251" TargetMode="External"/><Relationship Id="rId877" Type="http://schemas.openxmlformats.org/officeDocument/2006/relationships/hyperlink" Target="https://ik.imagekit.io/alaaalaa6171/195%20Animal%20Kingdom%20Pirates_Lead%20Performer%20-%20Jack%20-%20Medal%20_Jack_%20-%20Piece.png?updatedAt=1770076437155" TargetMode="External"/><Relationship Id="rId876" Type="http://schemas.openxmlformats.org/officeDocument/2006/relationships/hyperlink" Target="https://ik.imagekit.io/alaaalaa6171/195%20Animal%20Kingdom%20Pirates_Lead%20Performer%20-%20Jack%20-%20Medal%20_Jack_%20_Colored_.png?updatedAt=1770076437222" TargetMode="External"/><Relationship Id="rId875" Type="http://schemas.openxmlformats.org/officeDocument/2006/relationships/hyperlink" Target="https://ik.imagekit.io/alaaalaa6171/195%20Animal%20Kingdom%20Pirates_Lead%20Performer%20-%20Jack%20-%20Medal%20_Jack_.png?updatedAt=1770076437208" TargetMode="External"/><Relationship Id="rId874" Type="http://schemas.openxmlformats.org/officeDocument/2006/relationships/hyperlink" Target="https://i.postimg.cc/XvbrpCqG/img-icon-medal-310110196.png" TargetMode="External"/><Relationship Id="rId879" Type="http://schemas.openxmlformats.org/officeDocument/2006/relationships/hyperlink" Target="https://i.postimg.cc/25RVD9tR/160.png" TargetMode="External"/><Relationship Id="rId878" Type="http://schemas.openxmlformats.org/officeDocument/2006/relationships/hyperlink" Target="https://ik.imagekit.io/alaaalaa6171/195%20Animal%20Kingdom%20Pirates_Lead%20Performer%20-%20Jack%20-%20Medal%20_Jack_%20-%20Piece%20_Colored_.png?updatedAt=1770076437167" TargetMode="External"/><Relationship Id="rId873" Type="http://schemas.openxmlformats.org/officeDocument/2006/relationships/hyperlink" Target="https://i.postimg.cc/ht7fNRp1/161.png" TargetMode="External"/><Relationship Id="rId1220" Type="http://schemas.openxmlformats.org/officeDocument/2006/relationships/hyperlink" Target="https://ik.imagekit.io/alaaalaa6171/138%20The%20Greatest%20Swordman%20in%20the%20World%20-%20Dracule%20Mihawk%20-%20Medal%20_The%20Master%20Swordman_%20-%20Piece%20_Colored_.png?updatedAt=1770076426311" TargetMode="External"/><Relationship Id="rId872" Type="http://schemas.openxmlformats.org/officeDocument/2006/relationships/hyperlink" Target="https://ik.imagekit.io/alaaalaa6171/196%20Animal%20Kingdom%20Pirates_Lead%20Performer%20-%20Queen%20-%20Medal%20_Queen_%20-%20Piece%20_Colored_.png?updatedAt=1770076437229" TargetMode="External"/><Relationship Id="rId1221" Type="http://schemas.openxmlformats.org/officeDocument/2006/relationships/hyperlink" Target="https://i.postimg.cc/MGn29z5z/103.png" TargetMode="External"/><Relationship Id="rId871" Type="http://schemas.openxmlformats.org/officeDocument/2006/relationships/hyperlink" Target="https://ik.imagekit.io/alaaalaa6171/196%20Animal%20Kingdom%20Pirates_Lead%20Performer%20-%20Queen%20-%20Medal%20_Queen_%20-%20Piece.png?updatedAt=1770076437228" TargetMode="External"/><Relationship Id="rId1222" Type="http://schemas.openxmlformats.org/officeDocument/2006/relationships/hyperlink" Target="https://i.postimg.cc/c4PgGjN7/img-icon-medal-310110138.png" TargetMode="External"/><Relationship Id="rId870" Type="http://schemas.openxmlformats.org/officeDocument/2006/relationships/hyperlink" Target="https://ik.imagekit.io/alaaalaa6171/196%20Animal%20Kingdom%20Pirates_Lead%20Performer%20-%20Queen%20-%20Medal%20_Queen_%20_Colored_.png?updatedAt=1770076437187" TargetMode="External"/><Relationship Id="rId1223" Type="http://schemas.openxmlformats.org/officeDocument/2006/relationships/hyperlink" Target="https://ik.imagekit.io/alaaalaa6171/137%20Former%20World%20Government_Science%20Division%20Member%20-%20Caesar%20Clown%20-%20Medal%20_Caesar_.png?updatedAt=1770076426270" TargetMode="External"/><Relationship Id="rId1653" Type="http://schemas.openxmlformats.org/officeDocument/2006/relationships/hyperlink" Target="https://i.postimg.cc/LX7sxyLb/031.png" TargetMode="External"/><Relationship Id="rId1654" Type="http://schemas.openxmlformats.org/officeDocument/2006/relationships/hyperlink" Target="https://i.postimg.cc/tJTZ9GJj/img-icon-medal-310110065.png" TargetMode="External"/><Relationship Id="rId1655" Type="http://schemas.openxmlformats.org/officeDocument/2006/relationships/hyperlink" Target="https://ik.imagekit.io/alaaalaa6171/065%202%20Years%20Later_Cook%20-%20Sanji%20-%20Medal%20_Concasser_.png?updatedAt=1770076414794" TargetMode="External"/><Relationship Id="rId1656" Type="http://schemas.openxmlformats.org/officeDocument/2006/relationships/hyperlink" Target="https://ik.imagekit.io/alaaalaa6171/065%202%20Years%20Later_Cook%20-%20Sanji%20-%20Medal%20_Concasser_%20_Colored_.png?updatedAt=1770076414735" TargetMode="External"/><Relationship Id="rId1657" Type="http://schemas.openxmlformats.org/officeDocument/2006/relationships/hyperlink" Target="https://ik.imagekit.io/alaaalaa6171/065%202%20Years%20Later_Cook%20-%20Sanji%20-%20Medal%20_Concasser_%20-%20Piece.png?updatedAt=1770076414741" TargetMode="External"/><Relationship Id="rId1658" Type="http://schemas.openxmlformats.org/officeDocument/2006/relationships/hyperlink" Target="https://ik.imagekit.io/alaaalaa6171/065%202%20Years%20Later_Cook%20-%20Sanji%20-%20Medal%20_Concasser_%20-%20Piece%20_Colored_.png?updatedAt=1770076414731" TargetMode="External"/><Relationship Id="rId1659" Type="http://schemas.openxmlformats.org/officeDocument/2006/relationships/hyperlink" Target="https://i.postimg.cc/QVZd3H6g/030.png" TargetMode="External"/><Relationship Id="rId829" Type="http://schemas.openxmlformats.org/officeDocument/2006/relationships/hyperlink" Target="https://ik.imagekit.io/alaaalaa6171/203%20Whitebeard%20Pirates_3rd%20Division%20Commander%20-%20Jozu%20-%20Medal%20_Jozu_%20-%20Piece.png?updatedAt=1770076442213" TargetMode="External"/><Relationship Id="rId828" Type="http://schemas.openxmlformats.org/officeDocument/2006/relationships/hyperlink" Target="https://ik.imagekit.io/alaaalaa6171/203%20Whitebeard%20Pirates_3rd%20Division%20Commander%20-%20Jozu%20-%20Medal%20_Jozu_%20_Colored_.png?updatedAt=1770076442210" TargetMode="External"/><Relationship Id="rId827" Type="http://schemas.openxmlformats.org/officeDocument/2006/relationships/hyperlink" Target="https://ik.imagekit.io/alaaalaa6171/203%20Whitebeard%20Pirates_3rd%20Division%20Commander%20-%20Jozu%20-%20Medal%20_Jozu_.png?updatedAt=1770076442219" TargetMode="External"/><Relationship Id="rId822" Type="http://schemas.openxmlformats.org/officeDocument/2006/relationships/hyperlink" Target="https://ik.imagekit.io/alaaalaa6171/204%20Blackbeard%20Pirates_Former%20Head%20Jailer%20of%20Impel%20Down%20-%20Shiryu%20-%20Medal%20_Shiryu_%20_Colored_.png?updatedAt=1770076442219" TargetMode="External"/><Relationship Id="rId821" Type="http://schemas.openxmlformats.org/officeDocument/2006/relationships/hyperlink" Target="https://ik.imagekit.io/alaaalaa6171/204%20Blackbeard%20Pirates_Former%20Head%20Jailer%20of%20Impel%20Down%20-%20Shiryu%20-%20Medal%20_Shiryu_.png?updatedAt=1770076442228" TargetMode="External"/><Relationship Id="rId820" Type="http://schemas.openxmlformats.org/officeDocument/2006/relationships/hyperlink" Target="https://i.postimg.cc/KY21RMjr/img-icon-medal-310110205.png" TargetMode="External"/><Relationship Id="rId826" Type="http://schemas.openxmlformats.org/officeDocument/2006/relationships/hyperlink" Target="https://i.postimg.cc/fbNVJ9yc/img-icon-medal-310110204.png" TargetMode="External"/><Relationship Id="rId825" Type="http://schemas.openxmlformats.org/officeDocument/2006/relationships/hyperlink" Target="https://i.postimg.cc/2SqZmZ8v/169.png" TargetMode="External"/><Relationship Id="rId824" Type="http://schemas.openxmlformats.org/officeDocument/2006/relationships/hyperlink" Target="https://ik.imagekit.io/alaaalaa6171/204%20Blackbeard%20Pirates_Former%20Head%20Jailer%20of%20Impel%20Down%20-%20Shiryu%20-%20Medal%20_Shiryu_%20-%20Piece%20_Colored_.png?updatedAt=1770076442208" TargetMode="External"/><Relationship Id="rId823" Type="http://schemas.openxmlformats.org/officeDocument/2006/relationships/hyperlink" Target="https://ik.imagekit.io/alaaalaa6171/204%20Blackbeard%20Pirates_Former%20Head%20Jailer%20of%20Impel%20Down%20-%20Shiryu%20-%20Medal%20_Shiryu_%20-%20Piece.png?updatedAt=1770076442226" TargetMode="External"/><Relationship Id="rId1650" Type="http://schemas.openxmlformats.org/officeDocument/2006/relationships/hyperlink" Target="https://ik.imagekit.io/alaaalaa6171/066%202%20Years%20Later_Sharp%20Shooter%20-%20Usopp%20-%20Medal%20_Green%20Star_%20_Colored_.png?updatedAt=1770076415581" TargetMode="External"/><Relationship Id="rId1651" Type="http://schemas.openxmlformats.org/officeDocument/2006/relationships/hyperlink" Target="https://ik.imagekit.io/alaaalaa6171/066%202%20Years%20Later_Sharp%20Shooter%20-%20Usopp%20-%20Medal%20_Green%20Star_%20-%20Piece.png?updatedAt=1770076415564" TargetMode="External"/><Relationship Id="rId1652" Type="http://schemas.openxmlformats.org/officeDocument/2006/relationships/hyperlink" Target="https://ik.imagekit.io/alaaalaa6171/066%202%20Years%20Later_Sharp%20Shooter%20-%20Usopp%20-%20Medal%20_Green%20Star_%20-%20Piece%20_Colored_.png?updatedAt=1770076415432" TargetMode="External"/><Relationship Id="rId1642" Type="http://schemas.openxmlformats.org/officeDocument/2006/relationships/hyperlink" Target="https://i.postimg.cc/zvcLB2bP/img-icon-medal-310110068.png" TargetMode="External"/><Relationship Id="rId1643" Type="http://schemas.openxmlformats.org/officeDocument/2006/relationships/hyperlink" Target="https://ik.imagekit.io/alaaalaa6171/067%20Bonney%20Pirates_Captain%20-%20Jewelry%20Bonney%20-%20Medal%20_Bonney_.png?updatedAt=1770076415619" TargetMode="External"/><Relationship Id="rId1644" Type="http://schemas.openxmlformats.org/officeDocument/2006/relationships/hyperlink" Target="https://ik.imagekit.io/alaaalaa6171/067%20Bonney%20Pirates_Captain%20-%20Jewelry%20Bonney%20-%20Medal%20_Bonney_%20_Colored_.png?updatedAt=1770076415625" TargetMode="External"/><Relationship Id="rId1645" Type="http://schemas.openxmlformats.org/officeDocument/2006/relationships/hyperlink" Target="https://ik.imagekit.io/alaaalaa6171/067%20Bonney%20Pirates_Captain%20-%20Jewelry%20Bonney%20-%20Medal%20_Bonney_%20-%20Piece.png?updatedAt=1770076415635" TargetMode="External"/><Relationship Id="rId1646" Type="http://schemas.openxmlformats.org/officeDocument/2006/relationships/hyperlink" Target="https://ik.imagekit.io/alaaalaa6171/067%20Bonney%20Pirates_Captain%20-%20Jewelry%20Bonney%20-%20Medal%20_Bonney_%20-%20Piece%20_Colored_.png?updatedAt=1770076415567" TargetMode="External"/><Relationship Id="rId1647" Type="http://schemas.openxmlformats.org/officeDocument/2006/relationships/hyperlink" Target="https://i.postimg.cc/QdkHjJZF/032.png" TargetMode="External"/><Relationship Id="rId1648" Type="http://schemas.openxmlformats.org/officeDocument/2006/relationships/hyperlink" Target="https://i.postimg.cc/zvBbqYv1/img-icon-medal-310110066.png" TargetMode="External"/><Relationship Id="rId1649" Type="http://schemas.openxmlformats.org/officeDocument/2006/relationships/hyperlink" Target="https://ik.imagekit.io/alaaalaa6171/066%202%20Years%20Later_Sharp%20Shooter%20-%20Usopp%20-%20Medal%20_Green%20Star_.png?updatedAt=1770076415563" TargetMode="External"/><Relationship Id="rId819" Type="http://schemas.openxmlformats.org/officeDocument/2006/relationships/hyperlink" Target="https://i.postimg.cc/X71CT834/170.png" TargetMode="External"/><Relationship Id="rId818" Type="http://schemas.openxmlformats.org/officeDocument/2006/relationships/hyperlink" Target="https://ik.imagekit.io/alaaalaa6171/205%20Land%20of%20Wano%20-%20Usohachi%20-%20Medal%20_Usohachi_%20-%20Piece%20_Colored_.png?updatedAt=1770076442255" TargetMode="External"/><Relationship Id="rId817" Type="http://schemas.openxmlformats.org/officeDocument/2006/relationships/hyperlink" Target="https://ik.imagekit.io/alaaalaa6171/205%20Land%20of%20Wano%20-%20Usohachi%20-%20Medal%20_Usohachi_%20-%20Piece.png?updatedAt=1770076442534" TargetMode="External"/><Relationship Id="rId816" Type="http://schemas.openxmlformats.org/officeDocument/2006/relationships/hyperlink" Target="https://ik.imagekit.io/alaaalaa6171/205%20Land%20of%20Wano%20-%20Usohachi%20-%20Medal%20_Usohachi_%20_Colored_.png?updatedAt=1770076442291" TargetMode="External"/><Relationship Id="rId811" Type="http://schemas.openxmlformats.org/officeDocument/2006/relationships/hyperlink" Target="https://ik.imagekit.io/alaaalaa6171/206%20Land%20of%20Wano%20-%20Franosuke%20-%20Medal%20_Franosuke_%20-%20Piece.png?updatedAt=1770076442252" TargetMode="External"/><Relationship Id="rId810" Type="http://schemas.openxmlformats.org/officeDocument/2006/relationships/hyperlink" Target="https://ik.imagekit.io/alaaalaa6171/206%20Land%20of%20Wano%20-%20Franosuke%20-%20Medal%20_Franosuke_%20_Colored_.png?updatedAt=1770076442359" TargetMode="External"/><Relationship Id="rId815" Type="http://schemas.openxmlformats.org/officeDocument/2006/relationships/hyperlink" Target="https://ik.imagekit.io/alaaalaa6171/205%20Land%20of%20Wano%20-%20Usohachi%20-%20Medal%20_Usohachi_.png?updatedAt=1770076442234" TargetMode="External"/><Relationship Id="rId814" Type="http://schemas.openxmlformats.org/officeDocument/2006/relationships/hyperlink" Target="https://i.postimg.cc/s2rMvhx4/img-icon-medal-310110206.png" TargetMode="External"/><Relationship Id="rId813" Type="http://schemas.openxmlformats.org/officeDocument/2006/relationships/hyperlink" Target="https://i.postimg.cc/kXgS1H0T/171.png" TargetMode="External"/><Relationship Id="rId812" Type="http://schemas.openxmlformats.org/officeDocument/2006/relationships/hyperlink" Target="https://ik.imagekit.io/alaaalaa6171/206%20Land%20of%20Wano%20-%20Franosuke%20-%20Medal%20_Franosuke_%20-%20Piece%20_Colored_.png?updatedAt=1770076442244" TargetMode="External"/><Relationship Id="rId1640" Type="http://schemas.openxmlformats.org/officeDocument/2006/relationships/hyperlink" Target="https://ik.imagekit.io/alaaalaa6171/068%20Navy%20HQ_Admiral%20Kizaru%20-%20_Borsalino_%20-%20Medal%20_Kizaru_%20-%20Piece%20_Colored_.png?updatedAt=1770076415661" TargetMode="External"/><Relationship Id="rId1641" Type="http://schemas.openxmlformats.org/officeDocument/2006/relationships/hyperlink" Target="https://i.postimg.cc/N0sLF2Qp/033.png" TargetMode="External"/><Relationship Id="rId1675" Type="http://schemas.openxmlformats.org/officeDocument/2006/relationships/hyperlink" Target="https://ik.imagekit.io/alaaalaa6171/062%202%20Years%20Later_Combatant%20-%20Roronoa%20Zoro%20-%20Medal%20_Dragon%20Quake_%20-%20Piece.png?updatedAt=1770076410951" TargetMode="External"/><Relationship Id="rId1676" Type="http://schemas.openxmlformats.org/officeDocument/2006/relationships/hyperlink" Target="https://ik.imagekit.io/alaaalaa6171/062%202%20Years%20Later_Combatant%20-%20Roronoa%20Zoro%20-%20Medal%20_Dragon%20Quake_%20-%20Piece%20_Colored_.png?updatedAt=1770076410936" TargetMode="External"/><Relationship Id="rId1677" Type="http://schemas.openxmlformats.org/officeDocument/2006/relationships/hyperlink" Target="https://i.postimg.cc/gcQsf8p9/027.png" TargetMode="External"/><Relationship Id="rId1678" Type="http://schemas.openxmlformats.org/officeDocument/2006/relationships/hyperlink" Target="https://i.postimg.cc/3NR43QNM/img-icon-medal-310110061.png" TargetMode="External"/><Relationship Id="rId1679" Type="http://schemas.openxmlformats.org/officeDocument/2006/relationships/hyperlink" Target="https://ik.imagekit.io/alaaalaa6171/061%20Alabasta_Princess%20-%20Nefeltari%20Vivi%20-%20Medal%20_Vivi_.png?updatedAt=1770076410913" TargetMode="External"/><Relationship Id="rId849" Type="http://schemas.openxmlformats.org/officeDocument/2006/relationships/hyperlink" Target="https://i.postimg.cc/BbQjz8Vj/165.png" TargetMode="External"/><Relationship Id="rId844" Type="http://schemas.openxmlformats.org/officeDocument/2006/relationships/hyperlink" Target="https://i.postimg.cc/GpC4Hytk/img-icon-medal-310110202.png" TargetMode="External"/><Relationship Id="rId843" Type="http://schemas.openxmlformats.org/officeDocument/2006/relationships/hyperlink" Target="https://i.postimg.cc/ydKgFphX/166.png" TargetMode="External"/><Relationship Id="rId842" Type="http://schemas.openxmlformats.org/officeDocument/2006/relationships/hyperlink" Target="https://ik.imagekit.io/alaaalaa6171/201%20Blackbeard%20Pirates_Helsman%20'Champ'%20-%20Jesus%20Burgess%20-%20Medal%20_Burgess_%20-%20Piece%20_Colored_.png?updatedAt=1770076441865" TargetMode="External"/><Relationship Id="rId841" Type="http://schemas.openxmlformats.org/officeDocument/2006/relationships/hyperlink" Target="https://ik.imagekit.io/alaaalaa6171/201%20Blackbeard%20Pirates_Helsman%20'Champ'%20-%20Jesus%20Burgess%20-%20Medal%20_Burgess_%20-%20Piece.png?updatedAt=1770076441862" TargetMode="External"/><Relationship Id="rId848" Type="http://schemas.openxmlformats.org/officeDocument/2006/relationships/hyperlink" Target="https://ik.imagekit.io/alaaalaa6171/200%20Stealth%20Black%20-%20Soba%20Mask%20-%20Medal%20_Soba%20Mask_%20-%20Piece%20_Colored_.png?updatedAt=1770076441000" TargetMode="External"/><Relationship Id="rId847" Type="http://schemas.openxmlformats.org/officeDocument/2006/relationships/hyperlink" Target="https://ik.imagekit.io/alaaalaa6171/200%20Stealth%20Black%20-%20Soba%20Mask%20-%20Medal%20_Soba%20Mask_%20-%20Piece.png?updatedAt=1770076441863" TargetMode="External"/><Relationship Id="rId846" Type="http://schemas.openxmlformats.org/officeDocument/2006/relationships/hyperlink" Target="https://ik.imagekit.io/alaaalaa6171/200%20Stealth%20Black%20-%20Soba%20Mask%20-%20Medal%20_Soba%20Mask_%20_Colored_.png?updatedAt=1770076441860" TargetMode="External"/><Relationship Id="rId845" Type="http://schemas.openxmlformats.org/officeDocument/2006/relationships/hyperlink" Target="https://ik.imagekit.io/alaaalaa6171/200%20Stealth%20Black%20-%20Soba%20Mask%20-%20Medal%20_Soba%20Mask_.png?updatedAt=1770076441848" TargetMode="External"/><Relationship Id="rId1670" Type="http://schemas.openxmlformats.org/officeDocument/2006/relationships/hyperlink" Target="https://ik.imagekit.io/alaaalaa6171/063%202%20Years%20Later_Navigator%20-%20Nami%20-%20Medal%20_Thunder_%20-%20Piece%20_Colored_.png?updatedAt=1770076411546" TargetMode="External"/><Relationship Id="rId840" Type="http://schemas.openxmlformats.org/officeDocument/2006/relationships/hyperlink" Target="https://ik.imagekit.io/alaaalaa6171/201%20Blackbeard%20Pirates_Helsman%20'Champ'%20-%20Jesus%20Burgess%20-%20Medal%20_Burgess_%20_Colored_.png?updatedAt=1770076442217" TargetMode="External"/><Relationship Id="rId1671" Type="http://schemas.openxmlformats.org/officeDocument/2006/relationships/hyperlink" Target="https://i.postimg.cc/fTdCZyWV/028.png" TargetMode="External"/><Relationship Id="rId1672" Type="http://schemas.openxmlformats.org/officeDocument/2006/relationships/hyperlink" Target="https://i.postimg.cc/PJxpdnJs/img-icon-medal-310110063.png" TargetMode="External"/><Relationship Id="rId1673" Type="http://schemas.openxmlformats.org/officeDocument/2006/relationships/hyperlink" Target="https://ik.imagekit.io/alaaalaa6171/062%202%20Years%20Later_Combatant%20-%20Roronoa%20Zoro%20-%20Medal%20_Dragon%20Quake_.png?updatedAt=1770076410934" TargetMode="External"/><Relationship Id="rId1674" Type="http://schemas.openxmlformats.org/officeDocument/2006/relationships/hyperlink" Target="https://ik.imagekit.io/alaaalaa6171/062%202%20Years%20Later_Combatant%20-%20Roronoa%20Zoro%20-%20Medal%20_Dragon%20Quake_%20_Colored_.png?updatedAt=1770076410922" TargetMode="External"/><Relationship Id="rId1664" Type="http://schemas.openxmlformats.org/officeDocument/2006/relationships/hyperlink" Target="https://ik.imagekit.io/alaaalaa6171/064%20Revolutoonary%20Army_Chief%20of%20Staff%20-%20Sabo%20-%20Medal%20_Sabo_%20-%20Piece%20_Colored_.png?updatedAt=1770076412668" TargetMode="External"/><Relationship Id="rId1665" Type="http://schemas.openxmlformats.org/officeDocument/2006/relationships/hyperlink" Target="https://i.postimg.cc/nVCTRT6Y/029.png" TargetMode="External"/><Relationship Id="rId1666" Type="http://schemas.openxmlformats.org/officeDocument/2006/relationships/hyperlink" Target="https://i.postimg.cc/XqJGn6JR/img-icon-medal-310110062.png" TargetMode="External"/><Relationship Id="rId1667" Type="http://schemas.openxmlformats.org/officeDocument/2006/relationships/hyperlink" Target="https://ik.imagekit.io/alaaalaa6171/063%202%20Years%20Later_Navigator%20-%20Nami%20-%20Medal%20_Thunder_.png?updatedAt=1770076412416" TargetMode="External"/><Relationship Id="rId1668" Type="http://schemas.openxmlformats.org/officeDocument/2006/relationships/hyperlink" Target="https://ik.imagekit.io/alaaalaa6171/063%202%20Years%20Later_Navigator%20-%20Nami%20-%20Medal%20_Thunder_%20_Colored_.png?updatedAt=1770076412243" TargetMode="External"/><Relationship Id="rId1669" Type="http://schemas.openxmlformats.org/officeDocument/2006/relationships/hyperlink" Target="https://ik.imagekit.io/alaaalaa6171/063%202%20Years%20Later_Navigator%20-%20Nami%20-%20Medal%20_Thunder_%20-%20Piece.png?updatedAt=1770076412092" TargetMode="External"/><Relationship Id="rId839" Type="http://schemas.openxmlformats.org/officeDocument/2006/relationships/hyperlink" Target="https://ik.imagekit.io/alaaalaa6171/201%20Blackbeard%20Pirates_Helsman%20'Champ'%20-%20Jesus%20Burgess%20-%20Medal%20_Burgess_.png?updatedAt=1770076442206" TargetMode="External"/><Relationship Id="rId838" Type="http://schemas.openxmlformats.org/officeDocument/2006/relationships/hyperlink" Target="https://i.postimg.cc/FK4Y7Lz3/img-icon-medal-310110201.png" TargetMode="External"/><Relationship Id="rId833" Type="http://schemas.openxmlformats.org/officeDocument/2006/relationships/hyperlink" Target="https://ik.imagekit.io/alaaalaa6171/202%20Whitebeard%20Pirates_5th%20Division%20Commander%20-%20Vista%20-%20Medal%20_Vista_.png?updatedAt=1770076442214" TargetMode="External"/><Relationship Id="rId832" Type="http://schemas.openxmlformats.org/officeDocument/2006/relationships/hyperlink" Target="https://i.postimg.cc/7Lk5f2hS/img-icon-medal-310110203.png" TargetMode="External"/><Relationship Id="rId831" Type="http://schemas.openxmlformats.org/officeDocument/2006/relationships/hyperlink" Target="https://i.postimg.cc/YCJmSChP/168.png" TargetMode="External"/><Relationship Id="rId830" Type="http://schemas.openxmlformats.org/officeDocument/2006/relationships/hyperlink" Target="https://ik.imagekit.io/alaaalaa6171/203%20Whitebeard%20Pirates_3rd%20Division%20Commander%20-%20Jozu%20-%20Medal%20_Jozu_%20-%20Piece%20_Colored_.png?updatedAt=1770076442203" TargetMode="External"/><Relationship Id="rId837" Type="http://schemas.openxmlformats.org/officeDocument/2006/relationships/hyperlink" Target="https://i.postimg.cc/zfKHHYhG/167.png" TargetMode="External"/><Relationship Id="rId836" Type="http://schemas.openxmlformats.org/officeDocument/2006/relationships/hyperlink" Target="https://ik.imagekit.io/alaaalaa6171/202%20Whitebeard%20Pirates_5th%20Division%20Commander%20-%20Vista%20-%20Medal%20_Vista_%20-%20Piece%20_Colored_.png?updatedAt=1770076442194" TargetMode="External"/><Relationship Id="rId835" Type="http://schemas.openxmlformats.org/officeDocument/2006/relationships/hyperlink" Target="https://ik.imagekit.io/alaaalaa6171/202%20Whitebeard%20Pirates_5th%20Division%20Commander%20-%20Vista%20-%20Medal%20_Vista_%20-%20Piece.png?updatedAt=1770076442181" TargetMode="External"/><Relationship Id="rId834" Type="http://schemas.openxmlformats.org/officeDocument/2006/relationships/hyperlink" Target="https://ik.imagekit.io/alaaalaa6171/202%20Whitebeard%20Pirates_5th%20Division%20Commander%20-%20Vista%20-%20Medal%20_Vista_%20_Colored_.png?updatedAt=1770076442223" TargetMode="External"/><Relationship Id="rId1660" Type="http://schemas.openxmlformats.org/officeDocument/2006/relationships/hyperlink" Target="https://i.postimg.cc/Kjzkmhjh/img-icon-medal-310110064.png" TargetMode="External"/><Relationship Id="rId1661" Type="http://schemas.openxmlformats.org/officeDocument/2006/relationships/hyperlink" Target="https://ik.imagekit.io/alaaalaa6171/064%20Revolutoonary%20Army_Chief%20of%20Staff%20-%20Sabo%20-%20Medal%20_Sabo_.png?updatedAt=1770076413478" TargetMode="External"/><Relationship Id="rId1662" Type="http://schemas.openxmlformats.org/officeDocument/2006/relationships/hyperlink" Target="https://ik.imagekit.io/alaaalaa6171/064%20Revolutoonary%20Army_Chief%20of%20Staff%20-%20Sabo%20-%20Medal%20_Sabo_%20_Colored_.png?updatedAt=1770076413422" TargetMode="External"/><Relationship Id="rId1663" Type="http://schemas.openxmlformats.org/officeDocument/2006/relationships/hyperlink" Target="https://ik.imagekit.io/alaaalaa6171/064%20Revolutoonary%20Army_Chief%20of%20Staff%20-%20Sabo%20-%20Medal%20_Sabo_%20-%20Piece.png?updatedAt=1770076412917" TargetMode="External"/><Relationship Id="rId469" Type="http://schemas.openxmlformats.org/officeDocument/2006/relationships/hyperlink" Target="https://ik.imagekit.io/alaaalaa6171/263%20Lunarian%20-%20Alber%20-%20Medal%20_Imperial%20Flame_%20-%20Piece.png?updatedAt=1770076453066" TargetMode="External"/><Relationship Id="rId468" Type="http://schemas.openxmlformats.org/officeDocument/2006/relationships/hyperlink" Target="https://ik.imagekit.io/alaaalaa6171/263%20Lunarian%20-%20Alber%20-%20Medal%20_Imperial%20Flame_%20_Colored_.png?updatedAt=1770076453137" TargetMode="External"/><Relationship Id="rId467" Type="http://schemas.openxmlformats.org/officeDocument/2006/relationships/hyperlink" Target="https://ik.imagekit.io/alaaalaa6171/263%20Lunarian%20-%20Alber%20-%20Medal%20_Imperial%20Flame_.png?updatedAt=1770076453065" TargetMode="External"/><Relationship Id="rId1290" Type="http://schemas.openxmlformats.org/officeDocument/2006/relationships/hyperlink" Target="https://ik.imagekit.io/alaaalaa6171/126%20Land%20of%20Wano%20-%20X.Drake%20-%20Medal%20_Drake_%20_Colored_.png?updatedAt=1770076426091" TargetMode="External"/><Relationship Id="rId1291" Type="http://schemas.openxmlformats.org/officeDocument/2006/relationships/hyperlink" Target="https://ik.imagekit.io/alaaalaa6171/126%20Land%20of%20Wano%20-%20X.Drake%20-%20Medal%20_Drake_%20-%20Piece.png?updatedAt=1770076426135" TargetMode="External"/><Relationship Id="rId1292" Type="http://schemas.openxmlformats.org/officeDocument/2006/relationships/hyperlink" Target="https://ik.imagekit.io/alaaalaa6171/126%20Land%20of%20Wano%20-%20X.Drake%20-%20Medal%20_Drake_%20-%20Piece%20_Colored_.png?updatedAt=1770076426064" TargetMode="External"/><Relationship Id="rId462" Type="http://schemas.openxmlformats.org/officeDocument/2006/relationships/hyperlink" Target="https://ik.imagekit.io/alaaalaa6171/264%20Cyborg%20-%20Queen%20-%20Medal%20_Flying%20Pan_%20_Colored_.png?updatedAt=1770076453054" TargetMode="External"/><Relationship Id="rId1293" Type="http://schemas.openxmlformats.org/officeDocument/2006/relationships/hyperlink" Target="https://i.postimg.cc/2ymtNYQb/091.png" TargetMode="External"/><Relationship Id="rId461" Type="http://schemas.openxmlformats.org/officeDocument/2006/relationships/hyperlink" Target="https://ik.imagekit.io/alaaalaa6171/264%20Cyborg%20-%20Queen%20-%20Medal%20_Flying%20Pan_.png?updatedAt=1770076453125" TargetMode="External"/><Relationship Id="rId1294" Type="http://schemas.openxmlformats.org/officeDocument/2006/relationships/hyperlink" Target="https://i.postimg.cc/3Jk46hzg/img-icon-medal-310110128.png" TargetMode="External"/><Relationship Id="rId460" Type="http://schemas.openxmlformats.org/officeDocument/2006/relationships/hyperlink" Target="https://i.postimg.cc/1tWXC7Hg/img-icon-medal-310110265.png" TargetMode="External"/><Relationship Id="rId1295" Type="http://schemas.openxmlformats.org/officeDocument/2006/relationships/hyperlink" Target="https://ik.imagekit.io/alaaalaa6171/125%20New%20World%20-%20Eustass%20Kid%20-%20Medal%20_Repel_.png?updatedAt=1770076425955" TargetMode="External"/><Relationship Id="rId1296" Type="http://schemas.openxmlformats.org/officeDocument/2006/relationships/hyperlink" Target="https://ik.imagekit.io/alaaalaa6171/125%20New%20World%20-%20Eustass%20Kid%20-%20Medal%20_Repel_%20_Colored_.png?updatedAt=1770076425939" TargetMode="External"/><Relationship Id="rId466" Type="http://schemas.openxmlformats.org/officeDocument/2006/relationships/hyperlink" Target="https://i.postimg.cc/Kz9jqpNR/img-icon-medal-310110264.png" TargetMode="External"/><Relationship Id="rId1297" Type="http://schemas.openxmlformats.org/officeDocument/2006/relationships/hyperlink" Target="https://ik.imagekit.io/alaaalaa6171/125%20New%20World%20-%20Eustass%20Kid%20-%20Medal%20_Repel_%20-%20Piece.png?updatedAt=1770076426053" TargetMode="External"/><Relationship Id="rId465" Type="http://schemas.openxmlformats.org/officeDocument/2006/relationships/hyperlink" Target="https://i.postimg.cc/TYDSgS7r/229.png" TargetMode="External"/><Relationship Id="rId1298" Type="http://schemas.openxmlformats.org/officeDocument/2006/relationships/hyperlink" Target="https://ik.imagekit.io/alaaalaa6171/125%20New%20World%20-%20Eustass%20Kid%20-%20Medal%20_Repel_%20-%20Piece%20_Colored_.png?updatedAt=1770076426053" TargetMode="External"/><Relationship Id="rId464" Type="http://schemas.openxmlformats.org/officeDocument/2006/relationships/hyperlink" Target="https://ik.imagekit.io/alaaalaa6171/264%20Cyborg%20-%20Queen%20-%20Medal%20_Flying%20Pan_%20-%20Piece%20_Colored_.png?updatedAt=1770076453019" TargetMode="External"/><Relationship Id="rId1299" Type="http://schemas.openxmlformats.org/officeDocument/2006/relationships/hyperlink" Target="https://i.postimg.cc/ZqB2rVYR/090.png" TargetMode="External"/><Relationship Id="rId463" Type="http://schemas.openxmlformats.org/officeDocument/2006/relationships/hyperlink" Target="https://ik.imagekit.io/alaaalaa6171/264%20Cyborg%20-%20Queen%20-%20Medal%20_Flying%20Pan_%20-%20Piece.png?updatedAt=1770076453184" TargetMode="External"/><Relationship Id="rId459" Type="http://schemas.openxmlformats.org/officeDocument/2006/relationships/hyperlink" Target="https://i.postimg.cc/1zVbzw9C/230.png" TargetMode="External"/><Relationship Id="rId458" Type="http://schemas.openxmlformats.org/officeDocument/2006/relationships/hyperlink" Target="https://ik.imagekit.io/alaaalaa6171/265%20Revolutionary%20Army_Solider%20-%20Hack%20-%20Medal%20_Hack_%20-%20Piece%20_Colored_.png?updatedAt=1770076453071" TargetMode="External"/><Relationship Id="rId457" Type="http://schemas.openxmlformats.org/officeDocument/2006/relationships/hyperlink" Target="https://ik.imagekit.io/alaaalaa6171/265%20Revolutionary%20Army_Solider%20-%20Hack%20-%20Medal%20_Hack_%20-%20Piece.png?updatedAt=1770076453077" TargetMode="External"/><Relationship Id="rId456" Type="http://schemas.openxmlformats.org/officeDocument/2006/relationships/hyperlink" Target="https://ik.imagekit.io/alaaalaa6171/265%20Revolutionary%20Army_Solider%20-%20Hack%20-%20Medal%20_Hack_%20_Colored_.png?updatedAt=1770076453039" TargetMode="External"/><Relationship Id="rId1280" Type="http://schemas.openxmlformats.org/officeDocument/2006/relationships/hyperlink" Target="https://ik.imagekit.io/alaaalaa6171/128%20Land%20of%20Wano%20-%20Luffytaro%20-%20Medal%20_Sumo%20Slap_%20-%20Piece%20_Colored_.png?updatedAt=1770076426114" TargetMode="External"/><Relationship Id="rId1281" Type="http://schemas.openxmlformats.org/officeDocument/2006/relationships/hyperlink" Target="https://i.postimg.cc/KztWWjMh/093.png" TargetMode="External"/><Relationship Id="rId451" Type="http://schemas.openxmlformats.org/officeDocument/2006/relationships/hyperlink" Target="https://ik.imagekit.io/alaaalaa6171/266%20Revolutionary%20Army_Officer%20-%20Inazuma%20-%20Medal%20_Inazuma_%20-%20Piece.png?updatedAt=1770076453139" TargetMode="External"/><Relationship Id="rId1282" Type="http://schemas.openxmlformats.org/officeDocument/2006/relationships/hyperlink" Target="https://i.postimg.cc/158nTSb6/img-icon-medal-310110127.png" TargetMode="External"/><Relationship Id="rId450" Type="http://schemas.openxmlformats.org/officeDocument/2006/relationships/hyperlink" Target="https://ik.imagekit.io/alaaalaa6171/266%20Revolutionary%20Army_Officer%20-%20Inazuma%20-%20Medal%20_Inazuma_%20_Colored_.png?updatedAt=1770076453148" TargetMode="External"/><Relationship Id="rId1283" Type="http://schemas.openxmlformats.org/officeDocument/2006/relationships/hyperlink" Target="https://ik.imagekit.io/alaaalaa6171/127%20Land%20of%20Wano%20-%20Onami%20-%20Medal%20_Ninpo%20Iightning%20Blast_.png?updatedAt=1770076426088" TargetMode="External"/><Relationship Id="rId1284" Type="http://schemas.openxmlformats.org/officeDocument/2006/relationships/hyperlink" Target="https://ik.imagekit.io/alaaalaa6171/127%20Land%20of%20Wano%20-%20Onami%20-%20Medal%20_Ninpo%20Iightning%20Blast_%20_Colored_.png?updatedAt=1770076426094" TargetMode="External"/><Relationship Id="rId1285" Type="http://schemas.openxmlformats.org/officeDocument/2006/relationships/hyperlink" Target="https://ik.imagekit.io/alaaalaa6171/127%20Land%20of%20Wano%20-%20Onami%20-%20Medal%20_Ninpo%20Iightning%20Blast_%20-%20Piece.png?updatedAt=1770076426105" TargetMode="External"/><Relationship Id="rId455" Type="http://schemas.openxmlformats.org/officeDocument/2006/relationships/hyperlink" Target="https://ik.imagekit.io/alaaalaa6171/265%20Revolutionary%20Army_Solider%20-%20Hack%20-%20Medal%20_Hack_.png?updatedAt=1770076453104" TargetMode="External"/><Relationship Id="rId1286" Type="http://schemas.openxmlformats.org/officeDocument/2006/relationships/hyperlink" Target="https://ik.imagekit.io/alaaalaa6171/127%20Land%20of%20Wano%20-%20Onami%20-%20Medal%20_Ninpo%20Iightning%20Blast_%20-%20Piece%20_Colored_.png?updatedAt=1770076426084" TargetMode="External"/><Relationship Id="rId454" Type="http://schemas.openxmlformats.org/officeDocument/2006/relationships/hyperlink" Target="https://i.postimg.cc/JnT06YqD/img-icon-medal-310110266.png" TargetMode="External"/><Relationship Id="rId1287" Type="http://schemas.openxmlformats.org/officeDocument/2006/relationships/hyperlink" Target="https://i.postimg.cc/GpWNzG9j/092.png" TargetMode="External"/><Relationship Id="rId453" Type="http://schemas.openxmlformats.org/officeDocument/2006/relationships/hyperlink" Target="https://i.postimg.cc/YC9JJTTw/231.png" TargetMode="External"/><Relationship Id="rId1288" Type="http://schemas.openxmlformats.org/officeDocument/2006/relationships/hyperlink" Target="https://i.postimg.cc/RVW68m2K/img-icon-medal-310110126.png" TargetMode="External"/><Relationship Id="rId452" Type="http://schemas.openxmlformats.org/officeDocument/2006/relationships/hyperlink" Target="https://ik.imagekit.io/alaaalaa6171/266%20Revolutionary%20Army_Officer%20-%20Inazuma%20-%20Medal%20_Inazuma_%20-%20Piece%20_Colored_.png?updatedAt=1770076453161" TargetMode="External"/><Relationship Id="rId1289" Type="http://schemas.openxmlformats.org/officeDocument/2006/relationships/hyperlink" Target="https://ik.imagekit.io/alaaalaa6171/126%20Land%20of%20Wano%20-%20X.Drake%20-%20Medal%20_Drake_.png?updatedAt=1770076426144" TargetMode="External"/><Relationship Id="rId491" Type="http://schemas.openxmlformats.org/officeDocument/2006/relationships/hyperlink" Target="https://ik.imagekit.io/alaaalaa6171/259%20Singer%20of%20the%20New%20Genesis%20-%20Uta%20-%20Medal%20_Shanks%60%60%20Daughter_.png?updatedAt=1770076452993" TargetMode="External"/><Relationship Id="rId490" Type="http://schemas.openxmlformats.org/officeDocument/2006/relationships/hyperlink" Target="https://i.postimg.cc/fLHy2qKR/img-icon-medal-310110259.png" TargetMode="External"/><Relationship Id="rId489" Type="http://schemas.openxmlformats.org/officeDocument/2006/relationships/hyperlink" Target="https://i.postimg.cc/x8G21HPD/225.png" TargetMode="External"/><Relationship Id="rId484" Type="http://schemas.openxmlformats.org/officeDocument/2006/relationships/hyperlink" Target="https://i.postimg.cc/DZC0jpgz/img-icon-medal-310110261.png" TargetMode="External"/><Relationship Id="rId483" Type="http://schemas.openxmlformats.org/officeDocument/2006/relationships/hyperlink" Target="https://i.postimg.cc/KctFfShq/226.png" TargetMode="External"/><Relationship Id="rId482" Type="http://schemas.openxmlformats.org/officeDocument/2006/relationships/hyperlink" Target="https://ik.imagekit.io/alaaalaa6171/261%20Raid%20on%20Onigashima%20-%20Sanji%20-%20Medal%20_Raid%20Sanji_%20-%20Piece%20_Colored_.png?updatedAt=1770076453097" TargetMode="External"/><Relationship Id="rId481" Type="http://schemas.openxmlformats.org/officeDocument/2006/relationships/hyperlink" Target="https://ik.imagekit.io/alaaalaa6171/261%20Raid%20on%20Onigashima%20-%20Sanji%20-%20Medal%20_Raid%20Sanji_%20-%20Piece.png?updatedAt=1770076453000" TargetMode="External"/><Relationship Id="rId488" Type="http://schemas.openxmlformats.org/officeDocument/2006/relationships/hyperlink" Target="https://ik.imagekit.io/alaaalaa6171/260%20Gear%20Five%20-%20Monkey%20D.%20Luffy%20-%20Medal%20_Gear%20Five_%20-%20Piece%20_Colored_.png?updatedAt=1770076453042" TargetMode="External"/><Relationship Id="rId487" Type="http://schemas.openxmlformats.org/officeDocument/2006/relationships/hyperlink" Target="https://ik.imagekit.io/alaaalaa6171/260%20Gear%20Five%20-%20Monkey%20D.%20Luffy%20-%20Medal%20_Gear%20Five_%20-%20Piece.png?updatedAt=1770076452990" TargetMode="External"/><Relationship Id="rId486" Type="http://schemas.openxmlformats.org/officeDocument/2006/relationships/hyperlink" Target="https://ik.imagekit.io/alaaalaa6171/260%20Gear%20Five%20-%20Monkey%20D.%20Luffy%20-%20Medal%20_Gear%20Five_%20_Colored_.png?updatedAt=1770076452990" TargetMode="External"/><Relationship Id="rId485" Type="http://schemas.openxmlformats.org/officeDocument/2006/relationships/hyperlink" Target="https://ik.imagekit.io/alaaalaa6171/260%20Gear%20Five%20-%20Monkey%20D.%20Luffy%20-%20Medal%20_Gear%20Five_.png?updatedAt=1770076453180" TargetMode="External"/><Relationship Id="rId480" Type="http://schemas.openxmlformats.org/officeDocument/2006/relationships/hyperlink" Target="https://ik.imagekit.io/alaaalaa6171/261%20Raid%20on%20Onigashima%20-%20Sanji%20-%20Medal%20_Raid%20Sanji_%20_Colored_.png?updatedAt=1770076453080" TargetMode="External"/><Relationship Id="rId479" Type="http://schemas.openxmlformats.org/officeDocument/2006/relationships/hyperlink" Target="https://ik.imagekit.io/alaaalaa6171/261%20Raid%20on%20Onigashima%20-%20Sanji%20-%20Medal%20_Raid%20Sanji_.png?updatedAt=1770076453076" TargetMode="External"/><Relationship Id="rId478" Type="http://schemas.openxmlformats.org/officeDocument/2006/relationships/hyperlink" Target="https://i.postimg.cc/0QtjWXfr/img-icon-medal-310110262.png" TargetMode="External"/><Relationship Id="rId473" Type="http://schemas.openxmlformats.org/officeDocument/2006/relationships/hyperlink" Target="https://ik.imagekit.io/alaaalaa6171/262%20Animal%20Kingdom%20Pirates_Tobi%20Roppo%20-%20Sasaki%20-%20Medal%20_Heliceratops_.png?updatedAt=1770076453135" TargetMode="External"/><Relationship Id="rId472" Type="http://schemas.openxmlformats.org/officeDocument/2006/relationships/hyperlink" Target="https://i.postimg.cc/26Hyc9w1/img-icon-medal-310110263.png" TargetMode="External"/><Relationship Id="rId471" Type="http://schemas.openxmlformats.org/officeDocument/2006/relationships/hyperlink" Target="https://i.postimg.cc/rFcTYn88/228.png" TargetMode="External"/><Relationship Id="rId470" Type="http://schemas.openxmlformats.org/officeDocument/2006/relationships/hyperlink" Target="https://ik.imagekit.io/alaaalaa6171/263%20Lunarian%20-%20Alber%20-%20Medal%20_Imperial%20Flame_%20-%20Piece%20_Colored_.png?updatedAt=1770076453143" TargetMode="External"/><Relationship Id="rId477" Type="http://schemas.openxmlformats.org/officeDocument/2006/relationships/hyperlink" Target="https://i.postimg.cc/NFvttbmk/227.png" TargetMode="External"/><Relationship Id="rId476" Type="http://schemas.openxmlformats.org/officeDocument/2006/relationships/hyperlink" Target="https://ik.imagekit.io/alaaalaa6171/262%20Animal%20Kingdom%20Pirates_Tobi%20Roppo%20-%20Sasaki%20-%20Medal%20_Heliceratops_%20-%20Piece%20_Colored_.png?updatedAt=1770076453065" TargetMode="External"/><Relationship Id="rId475" Type="http://schemas.openxmlformats.org/officeDocument/2006/relationships/hyperlink" Target="https://ik.imagekit.io/alaaalaa6171/262%20Animal%20Kingdom%20Pirates_Tobi%20Roppo%20-%20Sasaki%20-%20Medal%20_Heliceratops_%20-%20Piece.png?updatedAt=1770076453048" TargetMode="External"/><Relationship Id="rId474" Type="http://schemas.openxmlformats.org/officeDocument/2006/relationships/hyperlink" Target="https://ik.imagekit.io/alaaalaa6171/262%20Animal%20Kingdom%20Pirates_Tobi%20Roppo%20-%20Sasaki%20-%20Medal%20_Heliceratops_%20_Colored_.png?updatedAt=1770076453024" TargetMode="External"/><Relationship Id="rId1257" Type="http://schemas.openxmlformats.org/officeDocument/2006/relationships/hyperlink" Target="https://i.postimg.cc/GhdWZFK7/097.png" TargetMode="External"/><Relationship Id="rId1258" Type="http://schemas.openxmlformats.org/officeDocument/2006/relationships/hyperlink" Target="https://i.postimg.cc/rF702bLD/img-icon-medal-310110132.png" TargetMode="External"/><Relationship Id="rId1259" Type="http://schemas.openxmlformats.org/officeDocument/2006/relationships/hyperlink" Target="https://ik.imagekit.io/alaaalaa6171/131%20Surgeon%20of%20Death%20-%20Trafalger%20Law%20-%20Medal%20_Scalpel_.png?updatedAt=1770076426172" TargetMode="External"/><Relationship Id="rId426" Type="http://schemas.openxmlformats.org/officeDocument/2006/relationships/hyperlink" Target="https://ik.imagekit.io/alaaalaa6171/270%20Raid%20on%20Onigashima%20-%20Tony%20Tony%20Chopper%20-%20Medal%20_Raid%20Chopper_%20_Colored_.png?updatedAt=1770076453165" TargetMode="External"/><Relationship Id="rId425" Type="http://schemas.openxmlformats.org/officeDocument/2006/relationships/hyperlink" Target="https://ik.imagekit.io/alaaalaa6171/270%20Raid%20on%20Onigashima%20-%20Tony%20Tony%20Chopper%20-%20Medal%20_Raid%20Chopper_.png?updatedAt=1770076453227" TargetMode="External"/><Relationship Id="rId424" Type="http://schemas.openxmlformats.org/officeDocument/2006/relationships/hyperlink" Target="https://i.postimg.cc/vBPTq2zt/img-icon-medal-310110271.png" TargetMode="External"/><Relationship Id="rId423" Type="http://schemas.openxmlformats.org/officeDocument/2006/relationships/hyperlink" Target="https://i.postimg.cc/NMxGsFTj/236.png" TargetMode="External"/><Relationship Id="rId429" Type="http://schemas.openxmlformats.org/officeDocument/2006/relationships/hyperlink" Target="https://i.postimg.cc/sXzDC7ML/235.png" TargetMode="External"/><Relationship Id="rId428" Type="http://schemas.openxmlformats.org/officeDocument/2006/relationships/hyperlink" Target="https://ik.imagekit.io/alaaalaa6171/270%20Raid%20on%20Onigashima%20-%20Tony%20Tony%20Chopper%20-%20Medal%20_Raid%20Chopper_%20-%20Piece%20_Colored_.png?updatedAt=1770076453205" TargetMode="External"/><Relationship Id="rId427" Type="http://schemas.openxmlformats.org/officeDocument/2006/relationships/hyperlink" Target="https://ik.imagekit.io/alaaalaa6171/270%20Raid%20on%20Onigashima%20-%20Tony%20Tony%20Chopper%20-%20Medal%20_Raid%20Chopper_%20-%20Piece.png?updatedAt=1770076453239" TargetMode="External"/><Relationship Id="rId1250" Type="http://schemas.openxmlformats.org/officeDocument/2006/relationships/hyperlink" Target="https://ik.imagekit.io/alaaalaa6171/133%20Don%20Quixote%20Family_Officer%20-%20Corazon%20-%20Medal%20_Corazon_%20-%20Piece%20_Colored_.png?updatedAt=1770076426231" TargetMode="External"/><Relationship Id="rId1251" Type="http://schemas.openxmlformats.org/officeDocument/2006/relationships/hyperlink" Target="https://i.postimg.cc/Y0fJv0rz/098.png" TargetMode="External"/><Relationship Id="rId1252" Type="http://schemas.openxmlformats.org/officeDocument/2006/relationships/hyperlink" Target="https://i.postimg.cc/HsFc1KC7/img-icon-medal-310110133.png" TargetMode="External"/><Relationship Id="rId422" Type="http://schemas.openxmlformats.org/officeDocument/2006/relationships/hyperlink" Target="https://ik.imagekit.io/alaaalaa6171/271%20Raid%20on%20Onigashima%20-%20Franky%20-%20Medal%20_Raid%20Franky_%20-%20Piece%20_Colored_.png?updatedAt=1770076453279" TargetMode="External"/><Relationship Id="rId1253" Type="http://schemas.openxmlformats.org/officeDocument/2006/relationships/hyperlink" Target="https://ik.imagekit.io/alaaalaa6171/132%20The%20Undefeated%20Woman%20-%20Rebecca%20-%20Medal%20_Rebecca_.png?updatedAt=1770076426224" TargetMode="External"/><Relationship Id="rId421" Type="http://schemas.openxmlformats.org/officeDocument/2006/relationships/hyperlink" Target="https://ik.imagekit.io/alaaalaa6171/271%20Raid%20on%20Onigashima%20-%20Franky%20-%20Medal%20_Raid%20Franky_%20-%20Piece.png?updatedAt=1770076453137" TargetMode="External"/><Relationship Id="rId1254" Type="http://schemas.openxmlformats.org/officeDocument/2006/relationships/hyperlink" Target="https://ik.imagekit.io/alaaalaa6171/132%20The%20Undefeated%20Woman%20-%20Rebecca%20-%20Medal%20_Rebecca_%20_Colored_.png?updatedAt=1770076426188" TargetMode="External"/><Relationship Id="rId420" Type="http://schemas.openxmlformats.org/officeDocument/2006/relationships/hyperlink" Target="https://ik.imagekit.io/alaaalaa6171/271%20Raid%20on%20Onigashima%20-%20Franky%20-%20Medal%20_Raid%20Franky_%20_Colored_.png?updatedAt=1770076453203" TargetMode="External"/><Relationship Id="rId1255" Type="http://schemas.openxmlformats.org/officeDocument/2006/relationships/hyperlink" Target="https://ik.imagekit.io/alaaalaa6171/132%20The%20Undefeated%20Woman%20-%20Rebecca%20-%20Medal%20_Rebecca_%20-%20Piece.png?updatedAt=1770076426178" TargetMode="External"/><Relationship Id="rId1256" Type="http://schemas.openxmlformats.org/officeDocument/2006/relationships/hyperlink" Target="https://ik.imagekit.io/alaaalaa6171/132%20The%20Undefeated%20Woman%20-%20Rebecca%20-%20Medal%20_Rebecca_%20-%20Piece%20_Colored_.png?updatedAt=1770076426180" TargetMode="External"/><Relationship Id="rId1246" Type="http://schemas.openxmlformats.org/officeDocument/2006/relationships/hyperlink" Target="https://i.postimg.cc/BQRLfyGP/img-icon-medal-310110134.png" TargetMode="External"/><Relationship Id="rId1247" Type="http://schemas.openxmlformats.org/officeDocument/2006/relationships/hyperlink" Target="https://ik.imagekit.io/alaaalaa6171/133%20Don%20Quixote%20Family_Officer%20-%20Corazon%20-%20Medal%20_Corazon_.png?updatedAt=1770076426213" TargetMode="External"/><Relationship Id="rId1248" Type="http://schemas.openxmlformats.org/officeDocument/2006/relationships/hyperlink" Target="https://ik.imagekit.io/alaaalaa6171/133%20Don%20Quixote%20Family_Officer%20-%20Corazon%20-%20Medal%20_Corazon_%20_Colored_.png?updatedAt=1770076426324" TargetMode="External"/><Relationship Id="rId1249" Type="http://schemas.openxmlformats.org/officeDocument/2006/relationships/hyperlink" Target="https://ik.imagekit.io/alaaalaa6171/133%20Don%20Quixote%20Family_Officer%20-%20Corazon%20-%20Medal%20_Corazon_%20-%20Piece.png?updatedAt=1770076426201" TargetMode="External"/><Relationship Id="rId415" Type="http://schemas.openxmlformats.org/officeDocument/2006/relationships/hyperlink" Target="https://ik.imagekit.io/alaaalaa6171/272%20Land%20of%20Wano%20-%20Otama%20&amp;%20Komachiyo%20-%20Medal%20_Otama%20&amp;%20Komachiyo_%20-%20Piece.png?updatedAt=1770076453169" TargetMode="External"/><Relationship Id="rId899" Type="http://schemas.openxmlformats.org/officeDocument/2006/relationships/hyperlink" Target="https://ik.imagekit.io/alaaalaa6171/191%20Roger%20Pirates_First%20Mate%20-%20Silvers%20Rayleigh%20-%20Medal%20_The%20Dark%20King_.png?updatedAt=1770076437132" TargetMode="External"/><Relationship Id="rId414" Type="http://schemas.openxmlformats.org/officeDocument/2006/relationships/hyperlink" Target="https://ik.imagekit.io/alaaalaa6171/272%20Land%20of%20Wano%20-%20Otama%20&amp;%20Komachiyo%20-%20Medal%20_Otama%20&amp;%20Komachiyo_%20_Colored_.png?updatedAt=1770076453205" TargetMode="External"/><Relationship Id="rId898" Type="http://schemas.openxmlformats.org/officeDocument/2006/relationships/hyperlink" Target="https://i.postimg.cc/g0WxnZjJ/img-icon-medal-310110192.png" TargetMode="External"/><Relationship Id="rId413" Type="http://schemas.openxmlformats.org/officeDocument/2006/relationships/hyperlink" Target="https://ik.imagekit.io/alaaalaa6171/272%20Land%20of%20Wano%20-%20Otama%20&amp;%20Komachiyo%20-%20Medal%20_Otama%20&amp;%20Komachiyo_.png?updatedAt=1770076453268" TargetMode="External"/><Relationship Id="rId897" Type="http://schemas.openxmlformats.org/officeDocument/2006/relationships/hyperlink" Target="https://i.postimg.cc/26T6nkSr/157.png" TargetMode="External"/><Relationship Id="rId412" Type="http://schemas.openxmlformats.org/officeDocument/2006/relationships/hyperlink" Target="https://i.postimg.cc/Kz9jqpNr/img-icon-medal-310110273.png" TargetMode="External"/><Relationship Id="rId896" Type="http://schemas.openxmlformats.org/officeDocument/2006/relationships/hyperlink" Target="https://ik.imagekit.io/alaaalaa6171/192%20Kurozumi%20Spy%20-%20Kurozumi%20Kanjuro%20-%20Medal%20_Kanjuro_%20-%20Piece%20_Colored_.png?updatedAt=1770076437174" TargetMode="External"/><Relationship Id="rId419" Type="http://schemas.openxmlformats.org/officeDocument/2006/relationships/hyperlink" Target="https://ik.imagekit.io/alaaalaa6171/271%20Raid%20on%20Onigashima%20-%20Franky%20-%20Medal%20_Raid%20Franky_.png?updatedAt=1770076453222" TargetMode="External"/><Relationship Id="rId418" Type="http://schemas.openxmlformats.org/officeDocument/2006/relationships/hyperlink" Target="https://i.postimg.cc/qRmqbDLs/img-icon-medal-310110272.png" TargetMode="External"/><Relationship Id="rId417" Type="http://schemas.openxmlformats.org/officeDocument/2006/relationships/hyperlink" Target="https://i.postimg.cc/bNrYPzvq/237.png" TargetMode="External"/><Relationship Id="rId416" Type="http://schemas.openxmlformats.org/officeDocument/2006/relationships/hyperlink" Target="https://ik.imagekit.io/alaaalaa6171/272%20Land%20of%20Wano%20-%20Otama%20&amp;%20Komachiyo%20-%20Medal%20_Otama%20&amp;%20Komachiyo_%20-%20Piece%20_Colored_.png?updatedAt=1770076453256" TargetMode="External"/><Relationship Id="rId891" Type="http://schemas.openxmlformats.org/officeDocument/2006/relationships/hyperlink" Target="https://i.postimg.cc/mDTkczRm/158.png" TargetMode="External"/><Relationship Id="rId890" Type="http://schemas.openxmlformats.org/officeDocument/2006/relationships/hyperlink" Target="https://ik.imagekit.io/alaaalaa6171/193%20Former%20Whitebeard%20Pirates_16th%20Division%20Commander%20-%20Izo%20-%20Medal%20_Izo_%20-%20Piece%20_Colored_.png?updatedAt=1770076437191" TargetMode="External"/><Relationship Id="rId1240" Type="http://schemas.openxmlformats.org/officeDocument/2006/relationships/hyperlink" Target="https://i.postimg.cc/xTBJV7Sz/img-icon-medal-310110135.png" TargetMode="External"/><Relationship Id="rId1241" Type="http://schemas.openxmlformats.org/officeDocument/2006/relationships/hyperlink" Target="https://ik.imagekit.io/alaaalaa6171/134%20Hunger%20Pangs%20-%20Charlotte%20Linlin%20-%20Medal%20_Ikoku%20Sovereignty_.png?updatedAt=1770076426238" TargetMode="External"/><Relationship Id="rId411" Type="http://schemas.openxmlformats.org/officeDocument/2006/relationships/hyperlink" Target="https://i.postimg.cc/wTrqTStL/238.png" TargetMode="External"/><Relationship Id="rId895" Type="http://schemas.openxmlformats.org/officeDocument/2006/relationships/hyperlink" Target="https://ik.imagekit.io/alaaalaa6171/192%20Kurozumi%20Spy%20-%20Kurozumi%20Kanjuro%20-%20Medal%20_Kanjuro_%20-%20Piece.png?updatedAt=1770076437196" TargetMode="External"/><Relationship Id="rId1242" Type="http://schemas.openxmlformats.org/officeDocument/2006/relationships/hyperlink" Target="https://ik.imagekit.io/alaaalaa6171/134%20Hunger%20Pangs%20-%20Charlotte%20Linlin%20-%20Medal%20_Ikoku%20Sovereignty_%20_Colored_.png?updatedAt=1770076426240" TargetMode="External"/><Relationship Id="rId410" Type="http://schemas.openxmlformats.org/officeDocument/2006/relationships/hyperlink" Target="https://ik.imagekit.io/alaaalaa6171/273%20Navy%20HQ_Admiral%20Ryokugyu%20-%20_Aramaki_%20-%20Medal%20_Ryokugyu_%20-%20Piece%20_Colored_.png?updatedAt=1770076453241" TargetMode="External"/><Relationship Id="rId894" Type="http://schemas.openxmlformats.org/officeDocument/2006/relationships/hyperlink" Target="https://ik.imagekit.io/alaaalaa6171/192%20Kurozumi%20Spy%20-%20Kurozumi%20Kanjuro%20-%20Medal%20_Kanjuro_%20_Colored_.png?updatedAt=1770076437195" TargetMode="External"/><Relationship Id="rId1243" Type="http://schemas.openxmlformats.org/officeDocument/2006/relationships/hyperlink" Target="https://ik.imagekit.io/alaaalaa6171/134%20Hunger%20Pangs%20-%20Charlotte%20Linlin%20-%20Medal%20_Ikoku%20Sovereignty_%20-%20Piece.png?updatedAt=1770076426228" TargetMode="External"/><Relationship Id="rId893" Type="http://schemas.openxmlformats.org/officeDocument/2006/relationships/hyperlink" Target="https://ik.imagekit.io/alaaalaa6171/192%20Kurozumi%20Spy%20-%20Kurozumi%20Kanjuro%20-%20Medal%20_Kanjuro_.png?updatedAt=1770076437222" TargetMode="External"/><Relationship Id="rId1244" Type="http://schemas.openxmlformats.org/officeDocument/2006/relationships/hyperlink" Target="https://ik.imagekit.io/alaaalaa6171/134%20Hunger%20Pangs%20-%20Charlotte%20Linlin%20-%20Medal%20_Ikoku%20Sovereignty_%20-%20Piece%20_Colored_.png?updatedAt=1770076426220" TargetMode="External"/><Relationship Id="rId892" Type="http://schemas.openxmlformats.org/officeDocument/2006/relationships/hyperlink" Target="https://i.postimg.cc/QM3FHTCV/img-icon-medal-310110193.png" TargetMode="External"/><Relationship Id="rId1245" Type="http://schemas.openxmlformats.org/officeDocument/2006/relationships/hyperlink" Target="https://i.postimg.cc/WzPBpgv4/099.png" TargetMode="External"/><Relationship Id="rId1279" Type="http://schemas.openxmlformats.org/officeDocument/2006/relationships/hyperlink" Target="https://ik.imagekit.io/alaaalaa6171/128%20Land%20of%20Wano%20-%20Luffytaro%20-%20Medal%20_Sumo%20Slap_%20-%20Piece.png?updatedAt=1770076426129" TargetMode="External"/><Relationship Id="rId448" Type="http://schemas.openxmlformats.org/officeDocument/2006/relationships/hyperlink" Target="https://i.postimg.cc/26Hyc9wL/img-icon-medal-310110267.png" TargetMode="External"/><Relationship Id="rId447" Type="http://schemas.openxmlformats.org/officeDocument/2006/relationships/hyperlink" Target="https://i.postimg.cc/kgpk9fdR/232.png" TargetMode="External"/><Relationship Id="rId446" Type="http://schemas.openxmlformats.org/officeDocument/2006/relationships/hyperlink" Target="https://ik.imagekit.io/alaaalaa6171/267%20Revolutionary%20Army_Captain%20of%20the%20Northern%20Forces%20-%20Karasu%20-%20Medal%20_Karasu_%20-%20Piece%20_Colored_.png?updatedAt=1770076453098" TargetMode="External"/><Relationship Id="rId445" Type="http://schemas.openxmlformats.org/officeDocument/2006/relationships/hyperlink" Target="https://ik.imagekit.io/alaaalaa6171/267%20Revolutionary%20Army_Captain%20of%20the%20Northern%20Forces%20-%20Karasu%20-%20Medal%20_Karasu_%20-%20Piece.png?updatedAt=1770076453121" TargetMode="External"/><Relationship Id="rId449" Type="http://schemas.openxmlformats.org/officeDocument/2006/relationships/hyperlink" Target="https://ik.imagekit.io/alaaalaa6171/266%20Revolutionary%20Army_Officer%20-%20Inazuma%20-%20Medal%20_Inazuma_.png?updatedAt=1770076453132" TargetMode="External"/><Relationship Id="rId1270" Type="http://schemas.openxmlformats.org/officeDocument/2006/relationships/hyperlink" Target="https://i.postimg.cc/WbdFKVx6/img-icon-medal-310110130.png" TargetMode="External"/><Relationship Id="rId440" Type="http://schemas.openxmlformats.org/officeDocument/2006/relationships/hyperlink" Target="https://ik.imagekit.io/alaaalaa6171/268%20Revolutionary%20Army_Captain%20of%20the%20Eastern%20Forces%20-%20Belo%20Betty%20-%20Medal%20_Belo%20Betty_%20-%20Piece%20_Colored_.png?updatedAt=1770076453167" TargetMode="External"/><Relationship Id="rId1271" Type="http://schemas.openxmlformats.org/officeDocument/2006/relationships/hyperlink" Target="https://ik.imagekit.io/alaaalaa6171/129%20CP0%20-%20Rob%20Lucci%20-%20Medal%20_Six%20King%20Pistol_.png?updatedAt=1770076426129" TargetMode="External"/><Relationship Id="rId1272" Type="http://schemas.openxmlformats.org/officeDocument/2006/relationships/hyperlink" Target="https://ik.imagekit.io/alaaalaa6171/129%20CP0%20-%20Rob%20Lucci%20-%20Medal%20_Six%20King%20Pistol_%20_Colored_.png?updatedAt=1770076426175" TargetMode="External"/><Relationship Id="rId1273" Type="http://schemas.openxmlformats.org/officeDocument/2006/relationships/hyperlink" Target="https://ik.imagekit.io/alaaalaa6171/129%20CP0%20-%20Rob%20Lucci%20-%20Medal%20_Six%20King%20Pistol_%20-%20Piece.png?updatedAt=1770076426106" TargetMode="External"/><Relationship Id="rId1274" Type="http://schemas.openxmlformats.org/officeDocument/2006/relationships/hyperlink" Target="https://ik.imagekit.io/alaaalaa6171/129%20CP0%20-%20Rob%20Lucci%20-%20Medal%20_Six%20King%20Pistol_%20-%20Piece%20_Colored_.png?updatedAt=1770076426112" TargetMode="External"/><Relationship Id="rId444" Type="http://schemas.openxmlformats.org/officeDocument/2006/relationships/hyperlink" Target="https://ik.imagekit.io/alaaalaa6171/267%20Revolutionary%20Army_Captain%20of%20the%20Northern%20Forces%20-%20Karasu%20-%20Medal%20_Karasu_%20_Colored_.png?updatedAt=1770076453096" TargetMode="External"/><Relationship Id="rId1275" Type="http://schemas.openxmlformats.org/officeDocument/2006/relationships/hyperlink" Target="https://i.postimg.cc/3xbz4PTV/094.png" TargetMode="External"/><Relationship Id="rId443" Type="http://schemas.openxmlformats.org/officeDocument/2006/relationships/hyperlink" Target="https://ik.imagekit.io/alaaalaa6171/267%20Revolutionary%20Army_Captain%20of%20the%20Northern%20Forces%20-%20Karasu%20-%20Medal%20_Karasu_.png?updatedAt=1770076453189" TargetMode="External"/><Relationship Id="rId1276" Type="http://schemas.openxmlformats.org/officeDocument/2006/relationships/hyperlink" Target="https://i.postimg.cc/MKnM4wg1/img-icon-medal-310110129.png" TargetMode="External"/><Relationship Id="rId442" Type="http://schemas.openxmlformats.org/officeDocument/2006/relationships/hyperlink" Target="https://i.postimg.cc/rmhsnZJt/img-icon-medal-310110268.png" TargetMode="External"/><Relationship Id="rId1277" Type="http://schemas.openxmlformats.org/officeDocument/2006/relationships/hyperlink" Target="https://ik.imagekit.io/alaaalaa6171/128%20Land%20of%20Wano%20-%20Luffytaro%20-%20Medal%20_Sumo%20Slap_.png?updatedAt=1770076426131" TargetMode="External"/><Relationship Id="rId441" Type="http://schemas.openxmlformats.org/officeDocument/2006/relationships/hyperlink" Target="https://i.postimg.cc/c4Tpkd9m/233.png" TargetMode="External"/><Relationship Id="rId1278" Type="http://schemas.openxmlformats.org/officeDocument/2006/relationships/hyperlink" Target="https://ik.imagekit.io/alaaalaa6171/128%20Land%20of%20Wano%20-%20Luffytaro%20-%20Medal%20_Sumo%20Slap_%20_Colored_.png?updatedAt=1770076426091" TargetMode="External"/><Relationship Id="rId1268" Type="http://schemas.openxmlformats.org/officeDocument/2006/relationships/hyperlink" Target="https://ik.imagekit.io/alaaalaa6171/130%20Amaru%20-%20Eneru%20-%20Medal%20_Mamaragan_%20-%20Piece%20_Colored_.png?updatedAt=1770076426140" TargetMode="External"/><Relationship Id="rId1269" Type="http://schemas.openxmlformats.org/officeDocument/2006/relationships/hyperlink" Target="https://i.postimg.cc/HkLfLTfb/095.png" TargetMode="External"/><Relationship Id="rId437" Type="http://schemas.openxmlformats.org/officeDocument/2006/relationships/hyperlink" Target="https://ik.imagekit.io/alaaalaa6171/268%20Revolutionary%20Army_Captain%20of%20the%20Eastern%20Forces%20-%20Belo%20Betty%20-%20Medal%20_Belo%20Betty_.png?updatedAt=1770076453149" TargetMode="External"/><Relationship Id="rId436" Type="http://schemas.openxmlformats.org/officeDocument/2006/relationships/hyperlink" Target="https://i.postimg.cc/4d8yL259/img-icon-medal-310110269.png" TargetMode="External"/><Relationship Id="rId435" Type="http://schemas.openxmlformats.org/officeDocument/2006/relationships/hyperlink" Target="https://i.postimg.cc/5NxcmX3y/234.png" TargetMode="External"/><Relationship Id="rId434" Type="http://schemas.openxmlformats.org/officeDocument/2006/relationships/hyperlink" Target="https://ik.imagekit.io/alaaalaa6171/269%20Animal%20Kingdom%20Pirates_Tobi%20Roppo%20-%20Black%20Maria%20-%20Medal%20_Spider_Spider_%20-%20Piece%20_Colored_.png?updatedAt=1770076453131" TargetMode="External"/><Relationship Id="rId439" Type="http://schemas.openxmlformats.org/officeDocument/2006/relationships/hyperlink" Target="https://ik.imagekit.io/alaaalaa6171/268%20Revolutionary%20Army_Captain%20of%20the%20Eastern%20Forces%20-%20Belo%20Betty%20-%20Medal%20_Belo%20Betty_%20-%20Piece.png?updatedAt=1770076453176" TargetMode="External"/><Relationship Id="rId438" Type="http://schemas.openxmlformats.org/officeDocument/2006/relationships/hyperlink" Target="https://ik.imagekit.io/alaaalaa6171/268%20Revolutionary%20Army_Captain%20of%20the%20Eastern%20Forces%20-%20Belo%20Betty%20-%20Medal%20_Belo%20Betty_%20_Colored_.png?updatedAt=1770076453235" TargetMode="External"/><Relationship Id="rId1260" Type="http://schemas.openxmlformats.org/officeDocument/2006/relationships/hyperlink" Target="https://ik.imagekit.io/alaaalaa6171/131%20Surgeon%20of%20Death%20-%20Trafalger%20Law%20-%20Medal%20_Scalpel_%20_Colored_.png?updatedAt=1770076426141" TargetMode="External"/><Relationship Id="rId1261" Type="http://schemas.openxmlformats.org/officeDocument/2006/relationships/hyperlink" Target="https://ik.imagekit.io/alaaalaa6171/131%20Surgeon%20of%20Death%20-%20Trafalger%20Law%20-%20Medal%20_Scalpel_%20-%20Piece.png?updatedAt=1770076426184" TargetMode="External"/><Relationship Id="rId1262" Type="http://schemas.openxmlformats.org/officeDocument/2006/relationships/hyperlink" Target="https://ik.imagekit.io/alaaalaa6171/131%20Surgeon%20of%20Death%20-%20Trafalger%20Law%20-%20Medal%20_Scalpel_%20-%20Piece%20_Colored_.png?updatedAt=1770076426155" TargetMode="External"/><Relationship Id="rId1263" Type="http://schemas.openxmlformats.org/officeDocument/2006/relationships/hyperlink" Target="https://i.postimg.cc/9Fb6VDNW/096.png" TargetMode="External"/><Relationship Id="rId433" Type="http://schemas.openxmlformats.org/officeDocument/2006/relationships/hyperlink" Target="https://ik.imagekit.io/alaaalaa6171/269%20Animal%20Kingdom%20Pirates_Tobi%20Roppo%20-%20Black%20Maria%20-%20Medal%20_Spider_Spider_%20-%20Piece.png?updatedAt=1770076453165" TargetMode="External"/><Relationship Id="rId1264" Type="http://schemas.openxmlformats.org/officeDocument/2006/relationships/hyperlink" Target="https://i.postimg.cc/wT1yPznX/img-icon-medal-310110131.png" TargetMode="External"/><Relationship Id="rId432" Type="http://schemas.openxmlformats.org/officeDocument/2006/relationships/hyperlink" Target="https://ik.imagekit.io/alaaalaa6171/269%20Animal%20Kingdom%20Pirates_Tobi%20Roppo%20-%20Black%20Maria%20-%20Medal%20_Spider_Spider_%20_Colored_.png?updatedAt=1770076453212" TargetMode="External"/><Relationship Id="rId1265" Type="http://schemas.openxmlformats.org/officeDocument/2006/relationships/hyperlink" Target="https://ik.imagekit.io/alaaalaa6171/130%20Amaru%20-%20Eneru%20-%20Medal%20_Mamaragan_.png?updatedAt=1770076426147" TargetMode="External"/><Relationship Id="rId431" Type="http://schemas.openxmlformats.org/officeDocument/2006/relationships/hyperlink" Target="https://ik.imagekit.io/alaaalaa6171/269%20Animal%20Kingdom%20Pirates_Tobi%20Roppo%20-%20Black%20Maria%20-%20Medal%20_Spider_Spider_.png?updatedAt=1770076453191" TargetMode="External"/><Relationship Id="rId1266" Type="http://schemas.openxmlformats.org/officeDocument/2006/relationships/hyperlink" Target="https://ik.imagekit.io/alaaalaa6171/130%20Amaru%20-%20Eneru%20-%20Medal%20_Mamaragan_%20_Colored_.png?updatedAt=1770076426171" TargetMode="External"/><Relationship Id="rId430" Type="http://schemas.openxmlformats.org/officeDocument/2006/relationships/hyperlink" Target="https://i.postimg.cc/Twk17N9n/img-icon-medal-310110270.png" TargetMode="External"/><Relationship Id="rId1267" Type="http://schemas.openxmlformats.org/officeDocument/2006/relationships/hyperlink" Target="https://ik.imagekit.io/alaaalaa6171/130%20Amaru%20-%20Eneru%20-%20Medal%20_Mamaragan_%20-%20Piece.png?updatedAt=177007642613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i.postimg.cc/RFnmZvJg/111.png" TargetMode="External"/><Relationship Id="rId391" Type="http://schemas.openxmlformats.org/officeDocument/2006/relationships/hyperlink" Target="https://i.postimg.cc/GmhtX1G2/145.png" TargetMode="External"/><Relationship Id="rId390" Type="http://schemas.openxmlformats.org/officeDocument/2006/relationships/hyperlink" Target="https://i.postimg.cc/fbyZ1czn/112.png" TargetMode="External"/><Relationship Id="rId1" Type="http://schemas.openxmlformats.org/officeDocument/2006/relationships/hyperlink" Target="https://i.postimg.cc/8zX9f14t/340.png" TargetMode="External"/><Relationship Id="rId2" Type="http://schemas.openxmlformats.org/officeDocument/2006/relationships/hyperlink" Target="https://i.postimg.cc/dQHvmRSz/306.png" TargetMode="External"/><Relationship Id="rId3" Type="http://schemas.openxmlformats.org/officeDocument/2006/relationships/hyperlink" Target="https://i.postimg.cc/4xZLWVgM/339.png" TargetMode="External"/><Relationship Id="rId4" Type="http://schemas.openxmlformats.org/officeDocument/2006/relationships/hyperlink" Target="https://i.postimg.cc/Lsq7zr0X/305.png" TargetMode="External"/><Relationship Id="rId9" Type="http://schemas.openxmlformats.org/officeDocument/2006/relationships/hyperlink" Target="https://i.postimg.cc/Pr1Nmydg/336.png" TargetMode="External"/><Relationship Id="rId385" Type="http://schemas.openxmlformats.org/officeDocument/2006/relationships/hyperlink" Target="https://i.postimg.cc/cCRCbxFK/148.png" TargetMode="External"/><Relationship Id="rId384" Type="http://schemas.openxmlformats.org/officeDocument/2006/relationships/hyperlink" Target="https://i.postimg.cc/wxmx6Qh9/115.png" TargetMode="External"/><Relationship Id="rId383" Type="http://schemas.openxmlformats.org/officeDocument/2006/relationships/hyperlink" Target="https://i.postimg.cc/cH8rfMYB/149.png" TargetMode="External"/><Relationship Id="rId382" Type="http://schemas.openxmlformats.org/officeDocument/2006/relationships/hyperlink" Target="https://i.postimg.cc/T1gTCTRK/116.png" TargetMode="External"/><Relationship Id="rId5" Type="http://schemas.openxmlformats.org/officeDocument/2006/relationships/hyperlink" Target="https://i.postimg.cc/4xb8hWRc/338.png" TargetMode="External"/><Relationship Id="rId389" Type="http://schemas.openxmlformats.org/officeDocument/2006/relationships/hyperlink" Target="https://i.postimg.cc/4NGmhc3p/146.png" TargetMode="External"/><Relationship Id="rId6" Type="http://schemas.openxmlformats.org/officeDocument/2006/relationships/hyperlink" Target="https://i.postimg.cc/HLJKQfPj/304.png" TargetMode="External"/><Relationship Id="rId388" Type="http://schemas.openxmlformats.org/officeDocument/2006/relationships/hyperlink" Target="https://i.postimg.cc/dtRqCQHX/113.png" TargetMode="External"/><Relationship Id="rId7" Type="http://schemas.openxmlformats.org/officeDocument/2006/relationships/hyperlink" Target="https://i.postimg.cc/HsbjQzTf/337.png" TargetMode="External"/><Relationship Id="rId387" Type="http://schemas.openxmlformats.org/officeDocument/2006/relationships/hyperlink" Target="https://i.postimg.cc/nVBXz2nH/147.png" TargetMode="External"/><Relationship Id="rId8" Type="http://schemas.openxmlformats.org/officeDocument/2006/relationships/hyperlink" Target="https://i.postimg.cc/KzdQBgfR/303.png" TargetMode="External"/><Relationship Id="rId386" Type="http://schemas.openxmlformats.org/officeDocument/2006/relationships/hyperlink" Target="https://i.postimg.cc/pXMWy5Zz/114.png" TargetMode="External"/><Relationship Id="rId381" Type="http://schemas.openxmlformats.org/officeDocument/2006/relationships/hyperlink" Target="https://i.postimg.cc/pdSm919d/150.png" TargetMode="External"/><Relationship Id="rId380" Type="http://schemas.openxmlformats.org/officeDocument/2006/relationships/hyperlink" Target="https://i.postimg.cc/Dw27PVRz/117.png" TargetMode="External"/><Relationship Id="rId379" Type="http://schemas.openxmlformats.org/officeDocument/2006/relationships/hyperlink" Target="https://i.postimg.cc/XvqZY0Yh/151.png" TargetMode="External"/><Relationship Id="rId374" Type="http://schemas.openxmlformats.org/officeDocument/2006/relationships/hyperlink" Target="https://i.postimg.cc/YSD2SXnC/120.png" TargetMode="External"/><Relationship Id="rId373" Type="http://schemas.openxmlformats.org/officeDocument/2006/relationships/hyperlink" Target="https://i.postimg.cc/WbcJ6K5F/154.png" TargetMode="External"/><Relationship Id="rId372" Type="http://schemas.openxmlformats.org/officeDocument/2006/relationships/hyperlink" Target="https://i.postimg.cc/rpwFM69H/121.png" TargetMode="External"/><Relationship Id="rId371" Type="http://schemas.openxmlformats.org/officeDocument/2006/relationships/hyperlink" Target="https://i.postimg.cc/tRxx6yNG/155.png" TargetMode="External"/><Relationship Id="rId378" Type="http://schemas.openxmlformats.org/officeDocument/2006/relationships/hyperlink" Target="https://i.postimg.cc/FHDNPWQV/118.png" TargetMode="External"/><Relationship Id="rId377" Type="http://schemas.openxmlformats.org/officeDocument/2006/relationships/hyperlink" Target="https://i.postimg.cc/qvjhr74y/152.png" TargetMode="External"/><Relationship Id="rId376" Type="http://schemas.openxmlformats.org/officeDocument/2006/relationships/hyperlink" Target="https://i.postimg.cc/TwZRVKX8/119.png" TargetMode="External"/><Relationship Id="rId375" Type="http://schemas.openxmlformats.org/officeDocument/2006/relationships/hyperlink" Target="https://i.postimg.cc/fT7SHKPH/153.png" TargetMode="External"/><Relationship Id="rId396" Type="http://schemas.openxmlformats.org/officeDocument/2006/relationships/hyperlink" Target="https://i.postimg.cc/yxmz0nP9/109.png" TargetMode="External"/><Relationship Id="rId395" Type="http://schemas.openxmlformats.org/officeDocument/2006/relationships/hyperlink" Target="https://i.postimg.cc/t4STfmNz/143.png" TargetMode="External"/><Relationship Id="rId394" Type="http://schemas.openxmlformats.org/officeDocument/2006/relationships/hyperlink" Target="https://i.postimg.cc/L5KpqGz2/110.png" TargetMode="External"/><Relationship Id="rId393" Type="http://schemas.openxmlformats.org/officeDocument/2006/relationships/hyperlink" Target="https://i.postimg.cc/Fsx1bKf8/144.png" TargetMode="External"/><Relationship Id="rId399" Type="http://schemas.openxmlformats.org/officeDocument/2006/relationships/hyperlink" Target="https://i.postimg.cc/N0Z0G9V9/141.png" TargetMode="External"/><Relationship Id="rId398" Type="http://schemas.openxmlformats.org/officeDocument/2006/relationships/hyperlink" Target="https://i.postimg.cc/qBy0fMTR/108.png" TargetMode="External"/><Relationship Id="rId397" Type="http://schemas.openxmlformats.org/officeDocument/2006/relationships/hyperlink" Target="https://i.postimg.cc/YSv9wfXB/142.png" TargetMode="External"/><Relationship Id="rId40" Type="http://schemas.openxmlformats.org/officeDocument/2006/relationships/hyperlink" Target="https://i.postimg.cc/pdjqGDm2/287.png" TargetMode="External"/><Relationship Id="rId42" Type="http://schemas.openxmlformats.org/officeDocument/2006/relationships/hyperlink" Target="https://i.postimg.cc/6pgMfH5j/286.png" TargetMode="External"/><Relationship Id="rId41" Type="http://schemas.openxmlformats.org/officeDocument/2006/relationships/hyperlink" Target="https://i.postimg.cc/bvvbC6KC/320.png" TargetMode="External"/><Relationship Id="rId44" Type="http://schemas.openxmlformats.org/officeDocument/2006/relationships/hyperlink" Target="https://i.postimg.cc/VkKL2thH/285.png" TargetMode="External"/><Relationship Id="rId43" Type="http://schemas.openxmlformats.org/officeDocument/2006/relationships/hyperlink" Target="https://i.postimg.cc/GpSDZFRc/319.png" TargetMode="External"/><Relationship Id="rId46" Type="http://schemas.openxmlformats.org/officeDocument/2006/relationships/hyperlink" Target="https://i.postimg.cc/0Nr2vQR5/284.png" TargetMode="External"/><Relationship Id="rId45" Type="http://schemas.openxmlformats.org/officeDocument/2006/relationships/hyperlink" Target="https://i.postimg.cc/ZnTdZG45/316.png" TargetMode="External"/><Relationship Id="rId48" Type="http://schemas.openxmlformats.org/officeDocument/2006/relationships/hyperlink" Target="https://i.postimg.cc/DzQ1dSsG/283.png" TargetMode="External"/><Relationship Id="rId47" Type="http://schemas.openxmlformats.org/officeDocument/2006/relationships/hyperlink" Target="https://i.postimg.cc/XqQyvsYc/317.png" TargetMode="External"/><Relationship Id="rId49" Type="http://schemas.openxmlformats.org/officeDocument/2006/relationships/hyperlink" Target="https://i.postimg.cc/Y23F8CzG/318.png" TargetMode="External"/><Relationship Id="rId31" Type="http://schemas.openxmlformats.org/officeDocument/2006/relationships/hyperlink" Target="https://i.postimg.cc/W4PMtnrL/325.png" TargetMode="External"/><Relationship Id="rId30" Type="http://schemas.openxmlformats.org/officeDocument/2006/relationships/hyperlink" Target="https://i.postimg.cc/8C0nz46Q/292.png" TargetMode="External"/><Relationship Id="rId33" Type="http://schemas.openxmlformats.org/officeDocument/2006/relationships/hyperlink" Target="https://i.postimg.cc/ZKFqF2xm/324.png" TargetMode="External"/><Relationship Id="rId32" Type="http://schemas.openxmlformats.org/officeDocument/2006/relationships/hyperlink" Target="https://i.postimg.cc/rmWWK21q/291.png" TargetMode="External"/><Relationship Id="rId35" Type="http://schemas.openxmlformats.org/officeDocument/2006/relationships/hyperlink" Target="https://i.postimg.cc/VkCqvGkD/323.png" TargetMode="External"/><Relationship Id="rId34" Type="http://schemas.openxmlformats.org/officeDocument/2006/relationships/hyperlink" Target="https://i.postimg.cc/6QFnWpGH/290.png" TargetMode="External"/><Relationship Id="rId37" Type="http://schemas.openxmlformats.org/officeDocument/2006/relationships/hyperlink" Target="https://i.postimg.cc/28zbH4FF/322.png" TargetMode="External"/><Relationship Id="rId36" Type="http://schemas.openxmlformats.org/officeDocument/2006/relationships/hyperlink" Target="https://i.postimg.cc/GhQ3p26M/289.png" TargetMode="External"/><Relationship Id="rId39" Type="http://schemas.openxmlformats.org/officeDocument/2006/relationships/hyperlink" Target="https://i.postimg.cc/Wpmq69r1/321.png" TargetMode="External"/><Relationship Id="rId38" Type="http://schemas.openxmlformats.org/officeDocument/2006/relationships/hyperlink" Target="https://i.postimg.cc/m2R2RMpz/288.png" TargetMode="External"/><Relationship Id="rId20" Type="http://schemas.openxmlformats.org/officeDocument/2006/relationships/hyperlink" Target="https://i.postimg.cc/3Nz9LvcJ/297.png" TargetMode="External"/><Relationship Id="rId22" Type="http://schemas.openxmlformats.org/officeDocument/2006/relationships/hyperlink" Target="https://i.postimg.cc/0jhZtwB8/296.png" TargetMode="External"/><Relationship Id="rId21" Type="http://schemas.openxmlformats.org/officeDocument/2006/relationships/hyperlink" Target="https://i.postimg.cc/8PSXcjj5/330.png" TargetMode="External"/><Relationship Id="rId24" Type="http://schemas.openxmlformats.org/officeDocument/2006/relationships/hyperlink" Target="https://i.postimg.cc/BbBRLty7/295.png" TargetMode="External"/><Relationship Id="rId23" Type="http://schemas.openxmlformats.org/officeDocument/2006/relationships/hyperlink" Target="https://i.postimg.cc/B6xLJc36/329.png" TargetMode="External"/><Relationship Id="rId26" Type="http://schemas.openxmlformats.org/officeDocument/2006/relationships/hyperlink" Target="https://i.postimg.cc/nrGNjM5w/294.png" TargetMode="External"/><Relationship Id="rId25" Type="http://schemas.openxmlformats.org/officeDocument/2006/relationships/hyperlink" Target="https://i.postimg.cc/Yqf0m8Lz/328.png" TargetMode="External"/><Relationship Id="rId28" Type="http://schemas.openxmlformats.org/officeDocument/2006/relationships/hyperlink" Target="https://i.postimg.cc/wBvGzZ3Q/293.png" TargetMode="External"/><Relationship Id="rId27" Type="http://schemas.openxmlformats.org/officeDocument/2006/relationships/hyperlink" Target="https://i.postimg.cc/DwvZQsqk/327.png" TargetMode="External"/><Relationship Id="rId29" Type="http://schemas.openxmlformats.org/officeDocument/2006/relationships/hyperlink" Target="https://i.postimg.cc/6QLCZvL7/326.png" TargetMode="External"/><Relationship Id="rId11" Type="http://schemas.openxmlformats.org/officeDocument/2006/relationships/hyperlink" Target="https://i.postimg.cc/DZBsvxhd/335.png" TargetMode="External"/><Relationship Id="rId10" Type="http://schemas.openxmlformats.org/officeDocument/2006/relationships/hyperlink" Target="https://i.postimg.cc/rmvgxtjs/302.png" TargetMode="External"/><Relationship Id="rId13" Type="http://schemas.openxmlformats.org/officeDocument/2006/relationships/hyperlink" Target="https://i.postimg.cc/RFXfSgmL/334.png" TargetMode="External"/><Relationship Id="rId12" Type="http://schemas.openxmlformats.org/officeDocument/2006/relationships/hyperlink" Target="https://i.postimg.cc/1X5VWNMt/301.png" TargetMode="External"/><Relationship Id="rId15" Type="http://schemas.openxmlformats.org/officeDocument/2006/relationships/hyperlink" Target="https://i.postimg.cc/7Lq9QDmL/333.png" TargetMode="External"/><Relationship Id="rId14" Type="http://schemas.openxmlformats.org/officeDocument/2006/relationships/hyperlink" Target="https://i.postimg.cc/J04HTBKh/300.png" TargetMode="External"/><Relationship Id="rId17" Type="http://schemas.openxmlformats.org/officeDocument/2006/relationships/hyperlink" Target="https://i.postimg.cc/6ppxZLBq/332.png" TargetMode="External"/><Relationship Id="rId16" Type="http://schemas.openxmlformats.org/officeDocument/2006/relationships/hyperlink" Target="https://i.postimg.cc/kMybBzDn/299.png" TargetMode="External"/><Relationship Id="rId19" Type="http://schemas.openxmlformats.org/officeDocument/2006/relationships/hyperlink" Target="https://i.postimg.cc/XYY65cnJ/331.png" TargetMode="External"/><Relationship Id="rId18" Type="http://schemas.openxmlformats.org/officeDocument/2006/relationships/hyperlink" Target="https://i.postimg.cc/wxkm7Z3q/298.png" TargetMode="External"/><Relationship Id="rId84" Type="http://schemas.openxmlformats.org/officeDocument/2006/relationships/hyperlink" Target="https://i.postimg.cc/3RCt9QyX/265.png" TargetMode="External"/><Relationship Id="rId83" Type="http://schemas.openxmlformats.org/officeDocument/2006/relationships/hyperlink" Target="https://i.postimg.cc/dtZFLZNY/299.png" TargetMode="External"/><Relationship Id="rId86" Type="http://schemas.openxmlformats.org/officeDocument/2006/relationships/hyperlink" Target="https://i.postimg.cc/sD4sNFNc/264.png" TargetMode="External"/><Relationship Id="rId85" Type="http://schemas.openxmlformats.org/officeDocument/2006/relationships/hyperlink" Target="https://i.postimg.cc/RZrBfC2n/298.png" TargetMode="External"/><Relationship Id="rId88" Type="http://schemas.openxmlformats.org/officeDocument/2006/relationships/hyperlink" Target="https://i.postimg.cc/FHFNtWtQ/263.png" TargetMode="External"/><Relationship Id="rId87" Type="http://schemas.openxmlformats.org/officeDocument/2006/relationships/hyperlink" Target="https://i.postimg.cc/tgj90R5H/297.png" TargetMode="External"/><Relationship Id="rId89" Type="http://schemas.openxmlformats.org/officeDocument/2006/relationships/hyperlink" Target="https://i.postimg.cc/MT2nSCWV/296.png" TargetMode="External"/><Relationship Id="rId80" Type="http://schemas.openxmlformats.org/officeDocument/2006/relationships/hyperlink" Target="https://i.postimg.cc/Gh2X4zdN/267.png" TargetMode="External"/><Relationship Id="rId82" Type="http://schemas.openxmlformats.org/officeDocument/2006/relationships/hyperlink" Target="https://i.postimg.cc/d3s4xNdz/266.png" TargetMode="External"/><Relationship Id="rId81" Type="http://schemas.openxmlformats.org/officeDocument/2006/relationships/hyperlink" Target="https://i.postimg.cc/VsV1fWRg/300.png" TargetMode="External"/><Relationship Id="rId73" Type="http://schemas.openxmlformats.org/officeDocument/2006/relationships/hyperlink" Target="https://i.postimg.cc/9Mgc1ygj/304.png" TargetMode="External"/><Relationship Id="rId72" Type="http://schemas.openxmlformats.org/officeDocument/2006/relationships/hyperlink" Target="https://i.postimg.cc/C5kGhx0q/271.png" TargetMode="External"/><Relationship Id="rId75" Type="http://schemas.openxmlformats.org/officeDocument/2006/relationships/hyperlink" Target="https://i.postimg.cc/G2VjmpmX/303.png" TargetMode="External"/><Relationship Id="rId74" Type="http://schemas.openxmlformats.org/officeDocument/2006/relationships/hyperlink" Target="https://i.postimg.cc/x1rV38m5/270.png" TargetMode="External"/><Relationship Id="rId77" Type="http://schemas.openxmlformats.org/officeDocument/2006/relationships/hyperlink" Target="https://i.postimg.cc/MTZxTsNP/302.png" TargetMode="External"/><Relationship Id="rId76" Type="http://schemas.openxmlformats.org/officeDocument/2006/relationships/hyperlink" Target="https://i.postimg.cc/13phCScQ/269.png" TargetMode="External"/><Relationship Id="rId79" Type="http://schemas.openxmlformats.org/officeDocument/2006/relationships/hyperlink" Target="https://i.postimg.cc/BnDJwP2g/301.png" TargetMode="External"/><Relationship Id="rId78" Type="http://schemas.openxmlformats.org/officeDocument/2006/relationships/hyperlink" Target="https://i.postimg.cc/m258CMrr/268.png" TargetMode="External"/><Relationship Id="rId71" Type="http://schemas.openxmlformats.org/officeDocument/2006/relationships/hyperlink" Target="https://i.postimg.cc/NFyBnLZ2/305.png" TargetMode="External"/><Relationship Id="rId70" Type="http://schemas.openxmlformats.org/officeDocument/2006/relationships/hyperlink" Target="https://i.postimg.cc/Kzd7hg6b/272.png" TargetMode="External"/><Relationship Id="rId62" Type="http://schemas.openxmlformats.org/officeDocument/2006/relationships/hyperlink" Target="https://i.postimg.cc/P5L8tzsY/276.png" TargetMode="External"/><Relationship Id="rId61" Type="http://schemas.openxmlformats.org/officeDocument/2006/relationships/hyperlink" Target="https://i.postimg.cc/x81w7xKv/310.png" TargetMode="External"/><Relationship Id="rId64" Type="http://schemas.openxmlformats.org/officeDocument/2006/relationships/hyperlink" Target="https://i.postimg.cc/4Nx90RW8/275.png" TargetMode="External"/><Relationship Id="rId63" Type="http://schemas.openxmlformats.org/officeDocument/2006/relationships/hyperlink" Target="https://i.postimg.cc/RVJztKWq/309.png" TargetMode="External"/><Relationship Id="rId66" Type="http://schemas.openxmlformats.org/officeDocument/2006/relationships/hyperlink" Target="https://i.postimg.cc/155SkMHq/274.png" TargetMode="External"/><Relationship Id="rId65" Type="http://schemas.openxmlformats.org/officeDocument/2006/relationships/hyperlink" Target="https://i.postimg.cc/L4kctyd8/308.png" TargetMode="External"/><Relationship Id="rId68" Type="http://schemas.openxmlformats.org/officeDocument/2006/relationships/hyperlink" Target="https://i.postimg.cc/tCSbpPSm/273.png" TargetMode="External"/><Relationship Id="rId67" Type="http://schemas.openxmlformats.org/officeDocument/2006/relationships/hyperlink" Target="https://i.postimg.cc/Dy7gvNSD/307.png" TargetMode="External"/><Relationship Id="rId60" Type="http://schemas.openxmlformats.org/officeDocument/2006/relationships/hyperlink" Target="https://i.postimg.cc/KvpMSpVm/277.png" TargetMode="External"/><Relationship Id="rId69" Type="http://schemas.openxmlformats.org/officeDocument/2006/relationships/hyperlink" Target="https://i.postimg.cc/N0MvPMFy/308.png" TargetMode="External"/><Relationship Id="rId51" Type="http://schemas.openxmlformats.org/officeDocument/2006/relationships/hyperlink" Target="https://i.postimg.cc/tC77HXRy/314.png" TargetMode="External"/><Relationship Id="rId50" Type="http://schemas.openxmlformats.org/officeDocument/2006/relationships/hyperlink" Target="https://i.postimg.cc/FKXjLyfm/282.png" TargetMode="External"/><Relationship Id="rId53" Type="http://schemas.openxmlformats.org/officeDocument/2006/relationships/hyperlink" Target="https://i.postimg.cc/bYmdMGh3/315.png" TargetMode="External"/><Relationship Id="rId52" Type="http://schemas.openxmlformats.org/officeDocument/2006/relationships/hyperlink" Target="https://i.postimg.cc/TYCyBpt8/281.png" TargetMode="External"/><Relationship Id="rId55" Type="http://schemas.openxmlformats.org/officeDocument/2006/relationships/hyperlink" Target="https://i.postimg.cc/BQybSdtF/313.png" TargetMode="External"/><Relationship Id="rId54" Type="http://schemas.openxmlformats.org/officeDocument/2006/relationships/hyperlink" Target="https://i.postimg.cc/6pq7KtP8/280.png" TargetMode="External"/><Relationship Id="rId57" Type="http://schemas.openxmlformats.org/officeDocument/2006/relationships/hyperlink" Target="https://i.postimg.cc/Hx0XhSN7/312.png" TargetMode="External"/><Relationship Id="rId56" Type="http://schemas.openxmlformats.org/officeDocument/2006/relationships/hyperlink" Target="https://i.postimg.cc/wTL4kvpf/279.png" TargetMode="External"/><Relationship Id="rId59" Type="http://schemas.openxmlformats.org/officeDocument/2006/relationships/hyperlink" Target="https://i.postimg.cc/W3Dmy7fS/311.png" TargetMode="External"/><Relationship Id="rId58" Type="http://schemas.openxmlformats.org/officeDocument/2006/relationships/hyperlink" Target="https://i.postimg.cc/Vs3HMt30/278.png" TargetMode="External"/><Relationship Id="rId349" Type="http://schemas.openxmlformats.org/officeDocument/2006/relationships/hyperlink" Target="https://i.postimg.cc/0Q37syGc/166.png" TargetMode="External"/><Relationship Id="rId348" Type="http://schemas.openxmlformats.org/officeDocument/2006/relationships/hyperlink" Target="https://i.postimg.cc/L8Mp6dmT/133.png" TargetMode="External"/><Relationship Id="rId347" Type="http://schemas.openxmlformats.org/officeDocument/2006/relationships/hyperlink" Target="https://i.postimg.cc/mDh7JH9P/167.png" TargetMode="External"/><Relationship Id="rId346" Type="http://schemas.openxmlformats.org/officeDocument/2006/relationships/hyperlink" Target="https://i.postimg.cc/9F92hXH0/134.png" TargetMode="External"/><Relationship Id="rId341" Type="http://schemas.openxmlformats.org/officeDocument/2006/relationships/hyperlink" Target="https://i.postimg.cc/vZdLTTJK/170.png" TargetMode="External"/><Relationship Id="rId340" Type="http://schemas.openxmlformats.org/officeDocument/2006/relationships/hyperlink" Target="https://i.postimg.cc/3N4TWYyL/137.png" TargetMode="External"/><Relationship Id="rId345" Type="http://schemas.openxmlformats.org/officeDocument/2006/relationships/hyperlink" Target="https://i.postimg.cc/q7JscYMX/168.png" TargetMode="External"/><Relationship Id="rId344" Type="http://schemas.openxmlformats.org/officeDocument/2006/relationships/hyperlink" Target="https://i.postimg.cc/L4wSwY7G/135.png" TargetMode="External"/><Relationship Id="rId343" Type="http://schemas.openxmlformats.org/officeDocument/2006/relationships/hyperlink" Target="https://i.postimg.cc/Mpb0Qxxp/169.png" TargetMode="External"/><Relationship Id="rId342" Type="http://schemas.openxmlformats.org/officeDocument/2006/relationships/hyperlink" Target="https://i.postimg.cc/BbrGKkHJ/136.png" TargetMode="External"/><Relationship Id="rId338" Type="http://schemas.openxmlformats.org/officeDocument/2006/relationships/hyperlink" Target="https://i.postimg.cc/pT1v2pdh/138.png" TargetMode="External"/><Relationship Id="rId337" Type="http://schemas.openxmlformats.org/officeDocument/2006/relationships/hyperlink" Target="https://i.postimg.cc/3JGF3mcp/172.png" TargetMode="External"/><Relationship Id="rId336" Type="http://schemas.openxmlformats.org/officeDocument/2006/relationships/hyperlink" Target="https://i.postimg.cc/sX2ydp3C/139.png" TargetMode="External"/><Relationship Id="rId335" Type="http://schemas.openxmlformats.org/officeDocument/2006/relationships/hyperlink" Target="https://i.postimg.cc/zDVkP9wx/173.png" TargetMode="External"/><Relationship Id="rId339" Type="http://schemas.openxmlformats.org/officeDocument/2006/relationships/hyperlink" Target="https://i.postimg.cc/y6tTqvvs/171.png" TargetMode="External"/><Relationship Id="rId330" Type="http://schemas.openxmlformats.org/officeDocument/2006/relationships/hyperlink" Target="https://i.postimg.cc/FHjhjrT8/142.png" TargetMode="External"/><Relationship Id="rId334" Type="http://schemas.openxmlformats.org/officeDocument/2006/relationships/hyperlink" Target="https://i.postimg.cc/Jhxm2TVQ/140.png" TargetMode="External"/><Relationship Id="rId333" Type="http://schemas.openxmlformats.org/officeDocument/2006/relationships/hyperlink" Target="https://i.postimg.cc/7br2mcXP/174.png" TargetMode="External"/><Relationship Id="rId332" Type="http://schemas.openxmlformats.org/officeDocument/2006/relationships/hyperlink" Target="https://i.postimg.cc/cJ00hpjH/141.png" TargetMode="External"/><Relationship Id="rId331" Type="http://schemas.openxmlformats.org/officeDocument/2006/relationships/hyperlink" Target="https://i.postimg.cc/1XqF0PGY/175.png" TargetMode="External"/><Relationship Id="rId370" Type="http://schemas.openxmlformats.org/officeDocument/2006/relationships/hyperlink" Target="https://i.postimg.cc/nhkcyVq7/122.png" TargetMode="External"/><Relationship Id="rId369" Type="http://schemas.openxmlformats.org/officeDocument/2006/relationships/hyperlink" Target="https://i.postimg.cc/nrB9fYhh/156.png" TargetMode="External"/><Relationship Id="rId368" Type="http://schemas.openxmlformats.org/officeDocument/2006/relationships/hyperlink" Target="https://i.postimg.cc/htgtZQQc/123.png" TargetMode="External"/><Relationship Id="rId363" Type="http://schemas.openxmlformats.org/officeDocument/2006/relationships/hyperlink" Target="https://i.postimg.cc/GpmDTyqX/159.png" TargetMode="External"/><Relationship Id="rId362" Type="http://schemas.openxmlformats.org/officeDocument/2006/relationships/hyperlink" Target="https://i.postimg.cc/pVhrmHtb/126.png" TargetMode="External"/><Relationship Id="rId361" Type="http://schemas.openxmlformats.org/officeDocument/2006/relationships/hyperlink" Target="https://i.postimg.cc/hPVTkgX1/160.png" TargetMode="External"/><Relationship Id="rId360" Type="http://schemas.openxmlformats.org/officeDocument/2006/relationships/hyperlink" Target="https://i.postimg.cc/QVGRt5Zt/127.png" TargetMode="External"/><Relationship Id="rId367" Type="http://schemas.openxmlformats.org/officeDocument/2006/relationships/hyperlink" Target="https://i.postimg.cc/TwZ5sHGs/157.png" TargetMode="External"/><Relationship Id="rId366" Type="http://schemas.openxmlformats.org/officeDocument/2006/relationships/hyperlink" Target="https://i.postimg.cc/4Np31QdW/124.png" TargetMode="External"/><Relationship Id="rId365" Type="http://schemas.openxmlformats.org/officeDocument/2006/relationships/hyperlink" Target="https://i.postimg.cc/tgvx34cp/158.png" TargetMode="External"/><Relationship Id="rId364" Type="http://schemas.openxmlformats.org/officeDocument/2006/relationships/hyperlink" Target="https://i.postimg.cc/9X6MTnW4/125.png" TargetMode="External"/><Relationship Id="rId95" Type="http://schemas.openxmlformats.org/officeDocument/2006/relationships/hyperlink" Target="https://i.postimg.cc/nLyx1dxB/293.png" TargetMode="External"/><Relationship Id="rId94" Type="http://schemas.openxmlformats.org/officeDocument/2006/relationships/hyperlink" Target="https://i.postimg.cc/FHjVFGjJ/260.png" TargetMode="External"/><Relationship Id="rId97" Type="http://schemas.openxmlformats.org/officeDocument/2006/relationships/hyperlink" Target="https://i.postimg.cc/vHpqjgWf/292.png" TargetMode="External"/><Relationship Id="rId96" Type="http://schemas.openxmlformats.org/officeDocument/2006/relationships/hyperlink" Target="https://i.postimg.cc/d3pj3xHG/259.png" TargetMode="External"/><Relationship Id="rId99" Type="http://schemas.openxmlformats.org/officeDocument/2006/relationships/hyperlink" Target="https://i.postimg.cc/sg76Rjc8/291.png" TargetMode="External"/><Relationship Id="rId98" Type="http://schemas.openxmlformats.org/officeDocument/2006/relationships/hyperlink" Target="https://i.postimg.cc/J72qpsrt/258.png" TargetMode="External"/><Relationship Id="rId91" Type="http://schemas.openxmlformats.org/officeDocument/2006/relationships/hyperlink" Target="https://i.postimg.cc/HWvYDq86/295.png" TargetMode="External"/><Relationship Id="rId90" Type="http://schemas.openxmlformats.org/officeDocument/2006/relationships/hyperlink" Target="https://i.postimg.cc/s2s9MScH/262.png" TargetMode="External"/><Relationship Id="rId93" Type="http://schemas.openxmlformats.org/officeDocument/2006/relationships/hyperlink" Target="https://i.postimg.cc/xdJYHww9/294.png" TargetMode="External"/><Relationship Id="rId92" Type="http://schemas.openxmlformats.org/officeDocument/2006/relationships/hyperlink" Target="https://i.postimg.cc/MpkY8gjS/261.png" TargetMode="External"/><Relationship Id="rId359" Type="http://schemas.openxmlformats.org/officeDocument/2006/relationships/hyperlink" Target="https://i.postimg.cc/qBh8G20Y/161.png" TargetMode="External"/><Relationship Id="rId358" Type="http://schemas.openxmlformats.org/officeDocument/2006/relationships/hyperlink" Target="https://i.postimg.cc/nzWyygdq/128.png" TargetMode="External"/><Relationship Id="rId357" Type="http://schemas.openxmlformats.org/officeDocument/2006/relationships/hyperlink" Target="https://i.postimg.cc/CxYkYtDT/162.png" TargetMode="External"/><Relationship Id="rId352" Type="http://schemas.openxmlformats.org/officeDocument/2006/relationships/hyperlink" Target="https://i.postimg.cc/N0svm192/131.png" TargetMode="External"/><Relationship Id="rId351" Type="http://schemas.openxmlformats.org/officeDocument/2006/relationships/hyperlink" Target="https://i.postimg.cc/XqCd76Q3/165.png" TargetMode="External"/><Relationship Id="rId350" Type="http://schemas.openxmlformats.org/officeDocument/2006/relationships/hyperlink" Target="https://i.postimg.cc/wjcd1Wvd/132.png" TargetMode="External"/><Relationship Id="rId356" Type="http://schemas.openxmlformats.org/officeDocument/2006/relationships/hyperlink" Target="https://i.postimg.cc/3RWMbYZK/129.png" TargetMode="External"/><Relationship Id="rId355" Type="http://schemas.openxmlformats.org/officeDocument/2006/relationships/hyperlink" Target="https://i.postimg.cc/x1RHdRyk/163.png" TargetMode="External"/><Relationship Id="rId354" Type="http://schemas.openxmlformats.org/officeDocument/2006/relationships/hyperlink" Target="https://i.postimg.cc/6QMJ0ynj/130.png" TargetMode="External"/><Relationship Id="rId353" Type="http://schemas.openxmlformats.org/officeDocument/2006/relationships/hyperlink" Target="https://i.postimg.cc/44Dp2nx3/164.png" TargetMode="External"/><Relationship Id="rId305" Type="http://schemas.openxmlformats.org/officeDocument/2006/relationships/hyperlink" Target="https://i.postimg.cc/nhvkbKQw/188.png" TargetMode="External"/><Relationship Id="rId304" Type="http://schemas.openxmlformats.org/officeDocument/2006/relationships/hyperlink" Target="https://i.postimg.cc/Gt5mSXDf/155.png" TargetMode="External"/><Relationship Id="rId303" Type="http://schemas.openxmlformats.org/officeDocument/2006/relationships/hyperlink" Target="https://i.postimg.cc/2SpwK93Z/189.png" TargetMode="External"/><Relationship Id="rId302" Type="http://schemas.openxmlformats.org/officeDocument/2006/relationships/hyperlink" Target="https://i.postimg.cc/Gt2pQW4Y/156.png" TargetMode="External"/><Relationship Id="rId309" Type="http://schemas.openxmlformats.org/officeDocument/2006/relationships/hyperlink" Target="https://i.postimg.cc/W48wt28G/186.png" TargetMode="External"/><Relationship Id="rId308" Type="http://schemas.openxmlformats.org/officeDocument/2006/relationships/hyperlink" Target="https://i.postimg.cc/BQj61G9f/153.png" TargetMode="External"/><Relationship Id="rId307" Type="http://schemas.openxmlformats.org/officeDocument/2006/relationships/hyperlink" Target="https://i.postimg.cc/rmpCrvZv/187.png" TargetMode="External"/><Relationship Id="rId306" Type="http://schemas.openxmlformats.org/officeDocument/2006/relationships/hyperlink" Target="https://i.postimg.cc/RCshFZYT/154.png" TargetMode="External"/><Relationship Id="rId301" Type="http://schemas.openxmlformats.org/officeDocument/2006/relationships/hyperlink" Target="https://i.postimg.cc/BbkgsMgR/190.png" TargetMode="External"/><Relationship Id="rId300" Type="http://schemas.openxmlformats.org/officeDocument/2006/relationships/hyperlink" Target="https://i.postimg.cc/26T6nkSr/157.png" TargetMode="External"/><Relationship Id="rId327" Type="http://schemas.openxmlformats.org/officeDocument/2006/relationships/hyperlink" Target="https://i.postimg.cc/RFqKFwNm/177.png" TargetMode="External"/><Relationship Id="rId326" Type="http://schemas.openxmlformats.org/officeDocument/2006/relationships/hyperlink" Target="https://i.postimg.cc/CMQM06ZP/144.png" TargetMode="External"/><Relationship Id="rId325" Type="http://schemas.openxmlformats.org/officeDocument/2006/relationships/hyperlink" Target="https://i.postimg.cc/VNKXmKs4/178.png" TargetMode="External"/><Relationship Id="rId324" Type="http://schemas.openxmlformats.org/officeDocument/2006/relationships/hyperlink" Target="https://i.postimg.cc/vTkGvcFF/145.png" TargetMode="External"/><Relationship Id="rId329" Type="http://schemas.openxmlformats.org/officeDocument/2006/relationships/hyperlink" Target="https://i.postimg.cc/W3KrJtkk/176.png" TargetMode="External"/><Relationship Id="rId328" Type="http://schemas.openxmlformats.org/officeDocument/2006/relationships/hyperlink" Target="https://i.postimg.cc/L8dHYY3j/143.png" TargetMode="External"/><Relationship Id="rId323" Type="http://schemas.openxmlformats.org/officeDocument/2006/relationships/hyperlink" Target="https://i.postimg.cc/YCw634yN/179.png" TargetMode="External"/><Relationship Id="rId322" Type="http://schemas.openxmlformats.org/officeDocument/2006/relationships/hyperlink" Target="https://i.postimg.cc/rsK8W5HN/146.png" TargetMode="External"/><Relationship Id="rId321" Type="http://schemas.openxmlformats.org/officeDocument/2006/relationships/hyperlink" Target="https://i.postimg.cc/VkBjHY3x/180.png" TargetMode="External"/><Relationship Id="rId320" Type="http://schemas.openxmlformats.org/officeDocument/2006/relationships/hyperlink" Target="https://i.postimg.cc/cHDxrFFJ/147.png" TargetMode="External"/><Relationship Id="rId316" Type="http://schemas.openxmlformats.org/officeDocument/2006/relationships/hyperlink" Target="https://i.postimg.cc/Xvk70jFd/149.png" TargetMode="External"/><Relationship Id="rId315" Type="http://schemas.openxmlformats.org/officeDocument/2006/relationships/hyperlink" Target="https://i.postimg.cc/PJgm0Nfj/183.png" TargetMode="External"/><Relationship Id="rId314" Type="http://schemas.openxmlformats.org/officeDocument/2006/relationships/hyperlink" Target="https://i.postimg.cc/5tVNGYHf/150.png" TargetMode="External"/><Relationship Id="rId313" Type="http://schemas.openxmlformats.org/officeDocument/2006/relationships/hyperlink" Target="https://i.postimg.cc/4y768pgP/184.png" TargetMode="External"/><Relationship Id="rId319" Type="http://schemas.openxmlformats.org/officeDocument/2006/relationships/hyperlink" Target="https://i.postimg.cc/SKScBB4J/181.png" TargetMode="External"/><Relationship Id="rId318" Type="http://schemas.openxmlformats.org/officeDocument/2006/relationships/hyperlink" Target="https://i.postimg.cc/bJYYy7HM/148.png" TargetMode="External"/><Relationship Id="rId317" Type="http://schemas.openxmlformats.org/officeDocument/2006/relationships/hyperlink" Target="https://i.postimg.cc/WpC6dYGH/182.png" TargetMode="External"/><Relationship Id="rId312" Type="http://schemas.openxmlformats.org/officeDocument/2006/relationships/hyperlink" Target="https://i.postimg.cc/kg8gfFgj/151.png" TargetMode="External"/><Relationship Id="rId311" Type="http://schemas.openxmlformats.org/officeDocument/2006/relationships/hyperlink" Target="https://i.postimg.cc/LX0kBNrh/185.png" TargetMode="External"/><Relationship Id="rId310" Type="http://schemas.openxmlformats.org/officeDocument/2006/relationships/hyperlink" Target="https://i.postimg.cc/fT1bcgDt/152.png" TargetMode="External"/><Relationship Id="rId297" Type="http://schemas.openxmlformats.org/officeDocument/2006/relationships/hyperlink" Target="https://i.postimg.cc/sXnmHVZj/192.png" TargetMode="External"/><Relationship Id="rId296" Type="http://schemas.openxmlformats.org/officeDocument/2006/relationships/hyperlink" Target="https://i.postimg.cc/25Q38Fpq/159.png" TargetMode="External"/><Relationship Id="rId295" Type="http://schemas.openxmlformats.org/officeDocument/2006/relationships/hyperlink" Target="https://i.postimg.cc/V6s4FSvZ/193.png" TargetMode="External"/><Relationship Id="rId294" Type="http://schemas.openxmlformats.org/officeDocument/2006/relationships/hyperlink" Target="https://i.postimg.cc/25RVD9tR/160.png" TargetMode="External"/><Relationship Id="rId299" Type="http://schemas.openxmlformats.org/officeDocument/2006/relationships/hyperlink" Target="https://i.postimg.cc/BbXgddxx/191.png" TargetMode="External"/><Relationship Id="rId298" Type="http://schemas.openxmlformats.org/officeDocument/2006/relationships/hyperlink" Target="https://i.postimg.cc/mDTkczRm/158.png" TargetMode="External"/><Relationship Id="rId271" Type="http://schemas.openxmlformats.org/officeDocument/2006/relationships/hyperlink" Target="https://i.postimg.cc/pdb6KXK3/205.png" TargetMode="External"/><Relationship Id="rId270" Type="http://schemas.openxmlformats.org/officeDocument/2006/relationships/hyperlink" Target="https://i.postimg.cc/L4TfVSbq/172.png" TargetMode="External"/><Relationship Id="rId269" Type="http://schemas.openxmlformats.org/officeDocument/2006/relationships/hyperlink" Target="https://i.postimg.cc/HsnRgNpv/206.png" TargetMode="External"/><Relationship Id="rId264" Type="http://schemas.openxmlformats.org/officeDocument/2006/relationships/hyperlink" Target="https://i.postimg.cc/B65FkfZV/175.png" TargetMode="External"/><Relationship Id="rId263" Type="http://schemas.openxmlformats.org/officeDocument/2006/relationships/hyperlink" Target="https://i.postimg.cc/0jW4SYCC/209.png" TargetMode="External"/><Relationship Id="rId262" Type="http://schemas.openxmlformats.org/officeDocument/2006/relationships/hyperlink" Target="https://i.postimg.cc/YSWYNm5k/176.png" TargetMode="External"/><Relationship Id="rId261" Type="http://schemas.openxmlformats.org/officeDocument/2006/relationships/hyperlink" Target="https://i.postimg.cc/Y0qVjnQ9/210.png" TargetMode="External"/><Relationship Id="rId268" Type="http://schemas.openxmlformats.org/officeDocument/2006/relationships/hyperlink" Target="https://i.postimg.cc/mk8HZ3H3/173.png" TargetMode="External"/><Relationship Id="rId267" Type="http://schemas.openxmlformats.org/officeDocument/2006/relationships/hyperlink" Target="https://i.postimg.cc/QxzPxqC8/207.png" TargetMode="External"/><Relationship Id="rId266" Type="http://schemas.openxmlformats.org/officeDocument/2006/relationships/hyperlink" Target="https://i.postimg.cc/HnpMCvVs/174.png" TargetMode="External"/><Relationship Id="rId265" Type="http://schemas.openxmlformats.org/officeDocument/2006/relationships/hyperlink" Target="https://i.postimg.cc/jqZmBTrJ/208.png" TargetMode="External"/><Relationship Id="rId260" Type="http://schemas.openxmlformats.org/officeDocument/2006/relationships/hyperlink" Target="https://i.postimg.cc/tTGPB4b6/177.png" TargetMode="External"/><Relationship Id="rId259" Type="http://schemas.openxmlformats.org/officeDocument/2006/relationships/hyperlink" Target="https://i.postimg.cc/RFTyS56y/211.png" TargetMode="External"/><Relationship Id="rId258" Type="http://schemas.openxmlformats.org/officeDocument/2006/relationships/hyperlink" Target="https://i.postimg.cc/0y37JCHc/178.png" TargetMode="External"/><Relationship Id="rId253" Type="http://schemas.openxmlformats.org/officeDocument/2006/relationships/hyperlink" Target="https://i.postimg.cc/K8ddQ5hq/214.png" TargetMode="External"/><Relationship Id="rId252" Type="http://schemas.openxmlformats.org/officeDocument/2006/relationships/hyperlink" Target="https://i.postimg.cc/KvG7XjMr/181.png" TargetMode="External"/><Relationship Id="rId251" Type="http://schemas.openxmlformats.org/officeDocument/2006/relationships/hyperlink" Target="https://i.postimg.cc/8PCQC5bH/215.png" TargetMode="External"/><Relationship Id="rId250" Type="http://schemas.openxmlformats.org/officeDocument/2006/relationships/hyperlink" Target="https://i.postimg.cc/pVYQ1zpL/182.png" TargetMode="External"/><Relationship Id="rId257" Type="http://schemas.openxmlformats.org/officeDocument/2006/relationships/hyperlink" Target="https://i.postimg.cc/1tSb15tD/212.png" TargetMode="External"/><Relationship Id="rId256" Type="http://schemas.openxmlformats.org/officeDocument/2006/relationships/hyperlink" Target="https://i.postimg.cc/JztbnFKs/179.png" TargetMode="External"/><Relationship Id="rId255" Type="http://schemas.openxmlformats.org/officeDocument/2006/relationships/hyperlink" Target="https://i.postimg.cc/DzLRNb22/213.png" TargetMode="External"/><Relationship Id="rId254" Type="http://schemas.openxmlformats.org/officeDocument/2006/relationships/hyperlink" Target="https://i.postimg.cc/3JtX3hjM/180.png" TargetMode="External"/><Relationship Id="rId293" Type="http://schemas.openxmlformats.org/officeDocument/2006/relationships/hyperlink" Target="https://i.postimg.cc/7Lnm71HT/194.png" TargetMode="External"/><Relationship Id="rId292" Type="http://schemas.openxmlformats.org/officeDocument/2006/relationships/hyperlink" Target="https://i.postimg.cc/ht7fNRp1/161.png" TargetMode="External"/><Relationship Id="rId291" Type="http://schemas.openxmlformats.org/officeDocument/2006/relationships/hyperlink" Target="https://i.postimg.cc/PqjSPVjj/195.png" TargetMode="External"/><Relationship Id="rId290" Type="http://schemas.openxmlformats.org/officeDocument/2006/relationships/hyperlink" Target="https://i.postimg.cc/vHK4PZLm/162.png" TargetMode="External"/><Relationship Id="rId286" Type="http://schemas.openxmlformats.org/officeDocument/2006/relationships/hyperlink" Target="https://i.postimg.cc/T17KvRzC/164.png" TargetMode="External"/><Relationship Id="rId285" Type="http://schemas.openxmlformats.org/officeDocument/2006/relationships/hyperlink" Target="https://i.postimg.cc/L6JC7ZTr/198.png" TargetMode="External"/><Relationship Id="rId284" Type="http://schemas.openxmlformats.org/officeDocument/2006/relationships/hyperlink" Target="https://i.postimg.cc/BbQjz8Vj/165.png" TargetMode="External"/><Relationship Id="rId283" Type="http://schemas.openxmlformats.org/officeDocument/2006/relationships/hyperlink" Target="https://i.postimg.cc/SQT1DGW6/199.png" TargetMode="External"/><Relationship Id="rId289" Type="http://schemas.openxmlformats.org/officeDocument/2006/relationships/hyperlink" Target="https://i.postimg.cc/7Z7BP8j9/196.png" TargetMode="External"/><Relationship Id="rId288" Type="http://schemas.openxmlformats.org/officeDocument/2006/relationships/hyperlink" Target="https://i.postimg.cc/CL5ZHq8t/163.png" TargetMode="External"/><Relationship Id="rId287" Type="http://schemas.openxmlformats.org/officeDocument/2006/relationships/hyperlink" Target="https://i.postimg.cc/RV2szVpq/197.png" TargetMode="External"/><Relationship Id="rId282" Type="http://schemas.openxmlformats.org/officeDocument/2006/relationships/hyperlink" Target="https://i.postimg.cc/ydKgFphX/166.png" TargetMode="External"/><Relationship Id="rId281" Type="http://schemas.openxmlformats.org/officeDocument/2006/relationships/hyperlink" Target="https://i.postimg.cc/qq5mqkkb/200.png" TargetMode="External"/><Relationship Id="rId280" Type="http://schemas.openxmlformats.org/officeDocument/2006/relationships/hyperlink" Target="https://i.postimg.cc/zfKHHYhG/167.png" TargetMode="External"/><Relationship Id="rId275" Type="http://schemas.openxmlformats.org/officeDocument/2006/relationships/hyperlink" Target="https://i.postimg.cc/PxdVF334/203.png" TargetMode="External"/><Relationship Id="rId274" Type="http://schemas.openxmlformats.org/officeDocument/2006/relationships/hyperlink" Target="https://i.postimg.cc/X71CT834/170.png" TargetMode="External"/><Relationship Id="rId273" Type="http://schemas.openxmlformats.org/officeDocument/2006/relationships/hyperlink" Target="https://i.postimg.cc/d02S6PB3/204.png" TargetMode="External"/><Relationship Id="rId272" Type="http://schemas.openxmlformats.org/officeDocument/2006/relationships/hyperlink" Target="https://i.postimg.cc/kXgS1H0T/171.png" TargetMode="External"/><Relationship Id="rId279" Type="http://schemas.openxmlformats.org/officeDocument/2006/relationships/hyperlink" Target="https://i.postimg.cc/T1w7TyX5/201.png" TargetMode="External"/><Relationship Id="rId278" Type="http://schemas.openxmlformats.org/officeDocument/2006/relationships/hyperlink" Target="https://i.postimg.cc/YCJmSChP/168.png" TargetMode="External"/><Relationship Id="rId277" Type="http://schemas.openxmlformats.org/officeDocument/2006/relationships/hyperlink" Target="https://i.postimg.cc/fL5q4c1h/202.png" TargetMode="External"/><Relationship Id="rId276" Type="http://schemas.openxmlformats.org/officeDocument/2006/relationships/hyperlink" Target="https://i.postimg.cc/2SqZmZ8v/169.png" TargetMode="External"/><Relationship Id="rId629" Type="http://schemas.openxmlformats.org/officeDocument/2006/relationships/hyperlink" Target="https://i.postimg.cc/7YcPnTHB/018.png" TargetMode="External"/><Relationship Id="rId624" Type="http://schemas.openxmlformats.org/officeDocument/2006/relationships/hyperlink" Target="https://i.postimg.cc/d1Bt2H3d/023.png" TargetMode="External"/><Relationship Id="rId623" Type="http://schemas.openxmlformats.org/officeDocument/2006/relationships/hyperlink" Target="https://i.postimg.cc/Xv9vJ70s/024.png" TargetMode="External"/><Relationship Id="rId622" Type="http://schemas.openxmlformats.org/officeDocument/2006/relationships/hyperlink" Target="https://i.postimg.cc/63wpGJWt/025.png" TargetMode="External"/><Relationship Id="rId621" Type="http://schemas.openxmlformats.org/officeDocument/2006/relationships/hyperlink" Target="https://i.postimg.cc/L605QbT3/027.png" TargetMode="External"/><Relationship Id="rId628" Type="http://schemas.openxmlformats.org/officeDocument/2006/relationships/hyperlink" Target="https://i.postimg.cc/wT3TNkpy/019.png" TargetMode="External"/><Relationship Id="rId627" Type="http://schemas.openxmlformats.org/officeDocument/2006/relationships/hyperlink" Target="https://i.postimg.cc/XNsYXzT6/020.png" TargetMode="External"/><Relationship Id="rId626" Type="http://schemas.openxmlformats.org/officeDocument/2006/relationships/hyperlink" Target="https://i.postimg.cc/d3NsXh8V/021.png" TargetMode="External"/><Relationship Id="rId625" Type="http://schemas.openxmlformats.org/officeDocument/2006/relationships/hyperlink" Target="https://i.postimg.cc/QCdN0QKz/022.png" TargetMode="External"/><Relationship Id="rId620" Type="http://schemas.openxmlformats.org/officeDocument/2006/relationships/hyperlink" Target="https://i.postimg.cc/vZJBbxC1/026.png" TargetMode="External"/><Relationship Id="rId619" Type="http://schemas.openxmlformats.org/officeDocument/2006/relationships/hyperlink" Target="https://i.postimg.cc/cLgHpBky/029.png" TargetMode="External"/><Relationship Id="rId618" Type="http://schemas.openxmlformats.org/officeDocument/2006/relationships/hyperlink" Target="https://i.postimg.cc/xj5cMCN7/030.png" TargetMode="External"/><Relationship Id="rId613" Type="http://schemas.openxmlformats.org/officeDocument/2006/relationships/hyperlink" Target="https://i.postimg.cc/sXRv9GcF/034.png" TargetMode="External"/><Relationship Id="rId612" Type="http://schemas.openxmlformats.org/officeDocument/2006/relationships/hyperlink" Target="https://i.postimg.cc/prb9B2wS/001.png" TargetMode="External"/><Relationship Id="rId611" Type="http://schemas.openxmlformats.org/officeDocument/2006/relationships/hyperlink" Target="https://i.postimg.cc/FH8fzBkH/035.png" TargetMode="External"/><Relationship Id="rId610" Type="http://schemas.openxmlformats.org/officeDocument/2006/relationships/hyperlink" Target="https://i.postimg.cc/tTVZP1MP/002.png" TargetMode="External"/><Relationship Id="rId617" Type="http://schemas.openxmlformats.org/officeDocument/2006/relationships/hyperlink" Target="https://i.postimg.cc/2853wD45/028.png" TargetMode="External"/><Relationship Id="rId616" Type="http://schemas.openxmlformats.org/officeDocument/2006/relationships/hyperlink" Target="https://i.postimg.cc/prsrHGtx/031.png" TargetMode="External"/><Relationship Id="rId615" Type="http://schemas.openxmlformats.org/officeDocument/2006/relationships/hyperlink" Target="https://i.postimg.cc/x8f8Brht/032.png" TargetMode="External"/><Relationship Id="rId614" Type="http://schemas.openxmlformats.org/officeDocument/2006/relationships/hyperlink" Target="https://i.postimg.cc/rmCzhynD/033.png" TargetMode="External"/><Relationship Id="rId646" Type="http://schemas.openxmlformats.org/officeDocument/2006/relationships/hyperlink" Target="https://i.postimg.cc/WzxRggGg/001.png" TargetMode="External"/><Relationship Id="rId645" Type="http://schemas.openxmlformats.org/officeDocument/2006/relationships/hyperlink" Target="https://i.postimg.cc/nrXbX0Dn/002.png" TargetMode="External"/><Relationship Id="rId644" Type="http://schemas.openxmlformats.org/officeDocument/2006/relationships/hyperlink" Target="https://i.postimg.cc/pTGMVgy0/003.png" TargetMode="External"/><Relationship Id="rId643" Type="http://schemas.openxmlformats.org/officeDocument/2006/relationships/hyperlink" Target="https://i.postimg.cc/MTK8SWZM/004.png" TargetMode="External"/><Relationship Id="rId647" Type="http://schemas.openxmlformats.org/officeDocument/2006/relationships/drawing" Target="../drawings/drawing7.xml"/><Relationship Id="rId642" Type="http://schemas.openxmlformats.org/officeDocument/2006/relationships/hyperlink" Target="https://i.postimg.cc/6QhNg7Kx/005.png" TargetMode="External"/><Relationship Id="rId641" Type="http://schemas.openxmlformats.org/officeDocument/2006/relationships/hyperlink" Target="https://i.postimg.cc/tgbjB3Lz/006.png" TargetMode="External"/><Relationship Id="rId640" Type="http://schemas.openxmlformats.org/officeDocument/2006/relationships/hyperlink" Target="https://i.postimg.cc/rwxTGnYm/007.png" TargetMode="External"/><Relationship Id="rId635" Type="http://schemas.openxmlformats.org/officeDocument/2006/relationships/hyperlink" Target="https://i.postimg.cc/MTWzp75G/012.png" TargetMode="External"/><Relationship Id="rId634" Type="http://schemas.openxmlformats.org/officeDocument/2006/relationships/hyperlink" Target="https://i.postimg.cc/Vvv1jz3Q/013.png" TargetMode="External"/><Relationship Id="rId633" Type="http://schemas.openxmlformats.org/officeDocument/2006/relationships/hyperlink" Target="https://i.postimg.cc/9MJCRDgY/014.png" TargetMode="External"/><Relationship Id="rId632" Type="http://schemas.openxmlformats.org/officeDocument/2006/relationships/hyperlink" Target="https://i.postimg.cc/s2PVz6p8/015.png" TargetMode="External"/><Relationship Id="rId639" Type="http://schemas.openxmlformats.org/officeDocument/2006/relationships/hyperlink" Target="https://i.postimg.cc/hPHgdWs6/008.png" TargetMode="External"/><Relationship Id="rId638" Type="http://schemas.openxmlformats.org/officeDocument/2006/relationships/hyperlink" Target="https://i.postimg.cc/442XXh9J/009.png" TargetMode="External"/><Relationship Id="rId637" Type="http://schemas.openxmlformats.org/officeDocument/2006/relationships/hyperlink" Target="https://i.postimg.cc/28qry8Qn/010.png" TargetMode="External"/><Relationship Id="rId636" Type="http://schemas.openxmlformats.org/officeDocument/2006/relationships/hyperlink" Target="https://i.postimg.cc/fyPsC6N3/011.png" TargetMode="External"/><Relationship Id="rId631" Type="http://schemas.openxmlformats.org/officeDocument/2006/relationships/hyperlink" Target="https://i.postimg.cc/ZqzT1typ/016.png" TargetMode="External"/><Relationship Id="rId630" Type="http://schemas.openxmlformats.org/officeDocument/2006/relationships/hyperlink" Target="https://i.postimg.cc/6pvWj5TB/017.png" TargetMode="External"/><Relationship Id="rId609" Type="http://schemas.openxmlformats.org/officeDocument/2006/relationships/hyperlink" Target="https://i.postimg.cc/28HLR6zv/036.png" TargetMode="External"/><Relationship Id="rId608" Type="http://schemas.openxmlformats.org/officeDocument/2006/relationships/hyperlink" Target="https://i.postimg.cc/Pq7vPb2T/003.png" TargetMode="External"/><Relationship Id="rId607" Type="http://schemas.openxmlformats.org/officeDocument/2006/relationships/hyperlink" Target="https://i.postimg.cc/k5S2bvWF/037.png" TargetMode="External"/><Relationship Id="rId602" Type="http://schemas.openxmlformats.org/officeDocument/2006/relationships/hyperlink" Target="https://i.postimg.cc/0y8w3yzR/006.png" TargetMode="External"/><Relationship Id="rId601" Type="http://schemas.openxmlformats.org/officeDocument/2006/relationships/hyperlink" Target="https://i.postimg.cc/dQjT66p5/040.png" TargetMode="External"/><Relationship Id="rId600" Type="http://schemas.openxmlformats.org/officeDocument/2006/relationships/hyperlink" Target="https://i.postimg.cc/bN0n3tN9/007.png" TargetMode="External"/><Relationship Id="rId606" Type="http://schemas.openxmlformats.org/officeDocument/2006/relationships/hyperlink" Target="https://i.postimg.cc/zfvRz2wx/004.png" TargetMode="External"/><Relationship Id="rId605" Type="http://schemas.openxmlformats.org/officeDocument/2006/relationships/hyperlink" Target="https://i.postimg.cc/bwsDzhJ5/038.png" TargetMode="External"/><Relationship Id="rId604" Type="http://schemas.openxmlformats.org/officeDocument/2006/relationships/hyperlink" Target="https://i.postimg.cc/SxDMpb9X/005.png" TargetMode="External"/><Relationship Id="rId603" Type="http://schemas.openxmlformats.org/officeDocument/2006/relationships/hyperlink" Target="https://i.postimg.cc/bNYSBbjp/039.png" TargetMode="External"/><Relationship Id="rId228" Type="http://schemas.openxmlformats.org/officeDocument/2006/relationships/hyperlink" Target="https://i.postimg.cc/mkGw1Sk0/193.png" TargetMode="External"/><Relationship Id="rId227" Type="http://schemas.openxmlformats.org/officeDocument/2006/relationships/hyperlink" Target="https://i.postimg.cc/wxQgvnY6/227.png" TargetMode="External"/><Relationship Id="rId226" Type="http://schemas.openxmlformats.org/officeDocument/2006/relationships/hyperlink" Target="https://i.postimg.cc/sXWm2LjY/194.png" TargetMode="External"/><Relationship Id="rId225" Type="http://schemas.openxmlformats.org/officeDocument/2006/relationships/hyperlink" Target="https://i.postimg.cc/qqwT56xt/228.png" TargetMode="External"/><Relationship Id="rId229" Type="http://schemas.openxmlformats.org/officeDocument/2006/relationships/hyperlink" Target="https://i.postimg.cc/c4DW7YJ2/226.png" TargetMode="External"/><Relationship Id="rId220" Type="http://schemas.openxmlformats.org/officeDocument/2006/relationships/hyperlink" Target="https://i.postimg.cc/MHkQLjgn/197.png" TargetMode="External"/><Relationship Id="rId224" Type="http://schemas.openxmlformats.org/officeDocument/2006/relationships/hyperlink" Target="https://i.postimg.cc/0NQDKvpy/195.png" TargetMode="External"/><Relationship Id="rId223" Type="http://schemas.openxmlformats.org/officeDocument/2006/relationships/hyperlink" Target="https://i.postimg.cc/5ybJgSLd/229.png" TargetMode="External"/><Relationship Id="rId222" Type="http://schemas.openxmlformats.org/officeDocument/2006/relationships/hyperlink" Target="https://i.postimg.cc/PfZZw28Y/196.png" TargetMode="External"/><Relationship Id="rId221" Type="http://schemas.openxmlformats.org/officeDocument/2006/relationships/hyperlink" Target="https://i.postimg.cc/zBn5TcLF/230.png" TargetMode="External"/><Relationship Id="rId217" Type="http://schemas.openxmlformats.org/officeDocument/2006/relationships/hyperlink" Target="https://i.postimg.cc/KY3m8zxV/232.png" TargetMode="External"/><Relationship Id="rId216" Type="http://schemas.openxmlformats.org/officeDocument/2006/relationships/hyperlink" Target="https://i.postimg.cc/mkQHWgG8/199.png" TargetMode="External"/><Relationship Id="rId215" Type="http://schemas.openxmlformats.org/officeDocument/2006/relationships/hyperlink" Target="https://i.postimg.cc/9QnW2T5Z/233.png" TargetMode="External"/><Relationship Id="rId214" Type="http://schemas.openxmlformats.org/officeDocument/2006/relationships/hyperlink" Target="https://i.postimg.cc/2STn5yLt/200.png" TargetMode="External"/><Relationship Id="rId219" Type="http://schemas.openxmlformats.org/officeDocument/2006/relationships/hyperlink" Target="https://i.postimg.cc/mDxBzsrr/231.png" TargetMode="External"/><Relationship Id="rId218" Type="http://schemas.openxmlformats.org/officeDocument/2006/relationships/hyperlink" Target="https://i.postimg.cc/PqRZm74z/198.png" TargetMode="External"/><Relationship Id="rId213" Type="http://schemas.openxmlformats.org/officeDocument/2006/relationships/hyperlink" Target="https://i.postimg.cc/MpTWg54z/234.png" TargetMode="External"/><Relationship Id="rId212" Type="http://schemas.openxmlformats.org/officeDocument/2006/relationships/hyperlink" Target="https://i.postimg.cc/V60t4FZy/201.png" TargetMode="External"/><Relationship Id="rId211" Type="http://schemas.openxmlformats.org/officeDocument/2006/relationships/hyperlink" Target="https://i.postimg.cc/4Nwf8qW8/235.png" TargetMode="External"/><Relationship Id="rId210" Type="http://schemas.openxmlformats.org/officeDocument/2006/relationships/hyperlink" Target="https://i.postimg.cc/gkWhq8v5/202.png" TargetMode="External"/><Relationship Id="rId249" Type="http://schemas.openxmlformats.org/officeDocument/2006/relationships/hyperlink" Target="https://i.postimg.cc/FHfMjB8k/216.png" TargetMode="External"/><Relationship Id="rId248" Type="http://schemas.openxmlformats.org/officeDocument/2006/relationships/hyperlink" Target="https://i.postimg.cc/ZnZ85KDm/183.png" TargetMode="External"/><Relationship Id="rId247" Type="http://schemas.openxmlformats.org/officeDocument/2006/relationships/hyperlink" Target="https://i.postimg.cc/MKrkfSP8/217.png" TargetMode="External"/><Relationship Id="rId242" Type="http://schemas.openxmlformats.org/officeDocument/2006/relationships/hyperlink" Target="https://i.postimg.cc/tgZtrcVK/186.png" TargetMode="External"/><Relationship Id="rId241" Type="http://schemas.openxmlformats.org/officeDocument/2006/relationships/hyperlink" Target="https://i.postimg.cc/90J6p5cZ/220.png" TargetMode="External"/><Relationship Id="rId240" Type="http://schemas.openxmlformats.org/officeDocument/2006/relationships/hyperlink" Target="https://i.postimg.cc/fRgffsk7/187.png" TargetMode="External"/><Relationship Id="rId246" Type="http://schemas.openxmlformats.org/officeDocument/2006/relationships/hyperlink" Target="https://i.postimg.cc/4dpvGhPw/184.png" TargetMode="External"/><Relationship Id="rId245" Type="http://schemas.openxmlformats.org/officeDocument/2006/relationships/hyperlink" Target="https://i.postimg.cc/05n1xm7j/218.png" TargetMode="External"/><Relationship Id="rId244" Type="http://schemas.openxmlformats.org/officeDocument/2006/relationships/hyperlink" Target="https://i.postimg.cc/R0k12T7N/185.png" TargetMode="External"/><Relationship Id="rId243" Type="http://schemas.openxmlformats.org/officeDocument/2006/relationships/hyperlink" Target="https://i.postimg.cc/6qWsn5xB/219.png" TargetMode="External"/><Relationship Id="rId239" Type="http://schemas.openxmlformats.org/officeDocument/2006/relationships/hyperlink" Target="https://i.postimg.cc/LXBKJg7y/221.png" TargetMode="External"/><Relationship Id="rId238" Type="http://schemas.openxmlformats.org/officeDocument/2006/relationships/hyperlink" Target="https://i.postimg.cc/sg2JWxfD/188.png" TargetMode="External"/><Relationship Id="rId237" Type="http://schemas.openxmlformats.org/officeDocument/2006/relationships/hyperlink" Target="https://i.postimg.cc/3wGHHcZQ/222.png" TargetMode="External"/><Relationship Id="rId236" Type="http://schemas.openxmlformats.org/officeDocument/2006/relationships/hyperlink" Target="https://i.postimg.cc/MHDyM2hQ/189.png" TargetMode="External"/><Relationship Id="rId231" Type="http://schemas.openxmlformats.org/officeDocument/2006/relationships/hyperlink" Target="https://i.postimg.cc/8PkDrwTL/225.png" TargetMode="External"/><Relationship Id="rId230" Type="http://schemas.openxmlformats.org/officeDocument/2006/relationships/hyperlink" Target="https://i.postimg.cc/BZxN9Rws/192.png" TargetMode="External"/><Relationship Id="rId235" Type="http://schemas.openxmlformats.org/officeDocument/2006/relationships/hyperlink" Target="https://i.postimg.cc/132Z2QwK/223.png" TargetMode="External"/><Relationship Id="rId234" Type="http://schemas.openxmlformats.org/officeDocument/2006/relationships/hyperlink" Target="https://i.postimg.cc/c4hm6wSb/190.png" TargetMode="External"/><Relationship Id="rId233" Type="http://schemas.openxmlformats.org/officeDocument/2006/relationships/hyperlink" Target="https://i.postimg.cc/K8R20zkz/224.png" TargetMode="External"/><Relationship Id="rId232" Type="http://schemas.openxmlformats.org/officeDocument/2006/relationships/hyperlink" Target="https://i.postimg.cc/TYf0RQZb/191.png" TargetMode="External"/><Relationship Id="rId206" Type="http://schemas.openxmlformats.org/officeDocument/2006/relationships/hyperlink" Target="https://i.postimg.cc/wB7RTVpt/204.png" TargetMode="External"/><Relationship Id="rId205" Type="http://schemas.openxmlformats.org/officeDocument/2006/relationships/hyperlink" Target="https://i.postimg.cc/sx4jCNsg/238.png" TargetMode="External"/><Relationship Id="rId204" Type="http://schemas.openxmlformats.org/officeDocument/2006/relationships/hyperlink" Target="https://i.postimg.cc/FHFJwvCV/205.png" TargetMode="External"/><Relationship Id="rId203" Type="http://schemas.openxmlformats.org/officeDocument/2006/relationships/hyperlink" Target="https://i.postimg.cc/zBWD0fQW/239.png" TargetMode="External"/><Relationship Id="rId209" Type="http://schemas.openxmlformats.org/officeDocument/2006/relationships/hyperlink" Target="https://i.postimg.cc/WbspwTwF/236.png" TargetMode="External"/><Relationship Id="rId208" Type="http://schemas.openxmlformats.org/officeDocument/2006/relationships/hyperlink" Target="https://i.postimg.cc/ncGDdr2L/203.png" TargetMode="External"/><Relationship Id="rId207" Type="http://schemas.openxmlformats.org/officeDocument/2006/relationships/hyperlink" Target="https://i.postimg.cc/fWcTdJmQ/237.png" TargetMode="External"/><Relationship Id="rId202" Type="http://schemas.openxmlformats.org/officeDocument/2006/relationships/hyperlink" Target="https://i.postimg.cc/zf6bLgzx/206.png" TargetMode="External"/><Relationship Id="rId201" Type="http://schemas.openxmlformats.org/officeDocument/2006/relationships/hyperlink" Target="https://i.postimg.cc/nLNc4m3p/240.png" TargetMode="External"/><Relationship Id="rId200" Type="http://schemas.openxmlformats.org/officeDocument/2006/relationships/hyperlink" Target="https://i.postimg.cc/7ZBTkRp8/207.png" TargetMode="External"/><Relationship Id="rId190" Type="http://schemas.openxmlformats.org/officeDocument/2006/relationships/hyperlink" Target="https://i.postimg.cc/sDsBZyzC/212.png" TargetMode="External"/><Relationship Id="rId194" Type="http://schemas.openxmlformats.org/officeDocument/2006/relationships/hyperlink" Target="https://i.postimg.cc/SR7Jt1WP/210.png" TargetMode="External"/><Relationship Id="rId193" Type="http://schemas.openxmlformats.org/officeDocument/2006/relationships/hyperlink" Target="https://i.postimg.cc/qvMR44tV/244.png" TargetMode="External"/><Relationship Id="rId192" Type="http://schemas.openxmlformats.org/officeDocument/2006/relationships/hyperlink" Target="https://i.postimg.cc/mZQzDk0S/211.png" TargetMode="External"/><Relationship Id="rId191" Type="http://schemas.openxmlformats.org/officeDocument/2006/relationships/hyperlink" Target="https://i.postimg.cc/WbVzYMT4/245.png" TargetMode="External"/><Relationship Id="rId187" Type="http://schemas.openxmlformats.org/officeDocument/2006/relationships/hyperlink" Target="https://i.postimg.cc/dQrD9WMX/247.png" TargetMode="External"/><Relationship Id="rId186" Type="http://schemas.openxmlformats.org/officeDocument/2006/relationships/hyperlink" Target="https://i.postimg.cc/zGP3Mggq/214.png" TargetMode="External"/><Relationship Id="rId185" Type="http://schemas.openxmlformats.org/officeDocument/2006/relationships/hyperlink" Target="https://i.postimg.cc/GtwtCDDq/248.png" TargetMode="External"/><Relationship Id="rId184" Type="http://schemas.openxmlformats.org/officeDocument/2006/relationships/hyperlink" Target="https://i.postimg.cc/VLgJqTsr/215.png" TargetMode="External"/><Relationship Id="rId189" Type="http://schemas.openxmlformats.org/officeDocument/2006/relationships/hyperlink" Target="https://i.postimg.cc/yxmdYNXB/246.png" TargetMode="External"/><Relationship Id="rId188" Type="http://schemas.openxmlformats.org/officeDocument/2006/relationships/hyperlink" Target="https://i.postimg.cc/kg5BfcDj/213.png" TargetMode="External"/><Relationship Id="rId183" Type="http://schemas.openxmlformats.org/officeDocument/2006/relationships/hyperlink" Target="https://i.postimg.cc/V6bvpgJJ/249.png" TargetMode="External"/><Relationship Id="rId182" Type="http://schemas.openxmlformats.org/officeDocument/2006/relationships/hyperlink" Target="https://i.postimg.cc/T1Jz6xRT/216.png" TargetMode="External"/><Relationship Id="rId181" Type="http://schemas.openxmlformats.org/officeDocument/2006/relationships/hyperlink" Target="https://i.postimg.cc/k5HDTzgr/250.png" TargetMode="External"/><Relationship Id="rId180" Type="http://schemas.openxmlformats.org/officeDocument/2006/relationships/hyperlink" Target="https://i.postimg.cc/v87F9r5C/217.png" TargetMode="External"/><Relationship Id="rId176" Type="http://schemas.openxmlformats.org/officeDocument/2006/relationships/hyperlink" Target="https://i.postimg.cc/63nsMRg2/219.png" TargetMode="External"/><Relationship Id="rId175" Type="http://schemas.openxmlformats.org/officeDocument/2006/relationships/hyperlink" Target="https://i.postimg.cc/jSsW2yF1/253.png" TargetMode="External"/><Relationship Id="rId174" Type="http://schemas.openxmlformats.org/officeDocument/2006/relationships/hyperlink" Target="https://i.postimg.cc/Jh9V3K6C/220.png" TargetMode="External"/><Relationship Id="rId173" Type="http://schemas.openxmlformats.org/officeDocument/2006/relationships/hyperlink" Target="https://i.postimg.cc/sDPQ3TwS/254.png" TargetMode="External"/><Relationship Id="rId179" Type="http://schemas.openxmlformats.org/officeDocument/2006/relationships/hyperlink" Target="https://i.postimg.cc/g0jnqmdq/251.png" TargetMode="External"/><Relationship Id="rId178" Type="http://schemas.openxmlformats.org/officeDocument/2006/relationships/hyperlink" Target="https://i.postimg.cc/D0T9H03C/218.png" TargetMode="External"/><Relationship Id="rId177" Type="http://schemas.openxmlformats.org/officeDocument/2006/relationships/hyperlink" Target="https://i.postimg.cc/HkBryVGk/252.png" TargetMode="External"/><Relationship Id="rId198" Type="http://schemas.openxmlformats.org/officeDocument/2006/relationships/hyperlink" Target="https://i.postimg.cc/9M94yQzC/208.png" TargetMode="External"/><Relationship Id="rId197" Type="http://schemas.openxmlformats.org/officeDocument/2006/relationships/hyperlink" Target="https://i.postimg.cc/Qd4MMw5B/242.png" TargetMode="External"/><Relationship Id="rId196" Type="http://schemas.openxmlformats.org/officeDocument/2006/relationships/hyperlink" Target="https://i.postimg.cc/brjZgf2b/209.png" TargetMode="External"/><Relationship Id="rId195" Type="http://schemas.openxmlformats.org/officeDocument/2006/relationships/hyperlink" Target="https://i.postimg.cc/Wb73Bh1w/243.png" TargetMode="External"/><Relationship Id="rId199" Type="http://schemas.openxmlformats.org/officeDocument/2006/relationships/hyperlink" Target="https://i.postimg.cc/xdX1N5y6/241.png" TargetMode="External"/><Relationship Id="rId150" Type="http://schemas.openxmlformats.org/officeDocument/2006/relationships/hyperlink" Target="https://i.postimg.cc/kgpk9fdR/232.png" TargetMode="External"/><Relationship Id="rId149" Type="http://schemas.openxmlformats.org/officeDocument/2006/relationships/hyperlink" Target="https://i.postimg.cc/jS93jM7m/266.png" TargetMode="External"/><Relationship Id="rId148" Type="http://schemas.openxmlformats.org/officeDocument/2006/relationships/hyperlink" Target="https://i.postimg.cc/c4Tpkd9m/233.png" TargetMode="External"/><Relationship Id="rId143" Type="http://schemas.openxmlformats.org/officeDocument/2006/relationships/hyperlink" Target="https://i.postimg.cc/VkB6c5sF/269.png" TargetMode="External"/><Relationship Id="rId142" Type="http://schemas.openxmlformats.org/officeDocument/2006/relationships/hyperlink" Target="https://i.postimg.cc/NMxGsFTj/236.png" TargetMode="External"/><Relationship Id="rId141" Type="http://schemas.openxmlformats.org/officeDocument/2006/relationships/hyperlink" Target="https://i.postimg.cc/7Zy6cS46/270.png" TargetMode="External"/><Relationship Id="rId140" Type="http://schemas.openxmlformats.org/officeDocument/2006/relationships/hyperlink" Target="https://i.postimg.cc/bNrYPzvq/237.png" TargetMode="External"/><Relationship Id="rId147" Type="http://schemas.openxmlformats.org/officeDocument/2006/relationships/hyperlink" Target="https://i.postimg.cc/jj7gny65/267.png" TargetMode="External"/><Relationship Id="rId146" Type="http://schemas.openxmlformats.org/officeDocument/2006/relationships/hyperlink" Target="https://i.postimg.cc/5NxcmX3y/234.png" TargetMode="External"/><Relationship Id="rId145" Type="http://schemas.openxmlformats.org/officeDocument/2006/relationships/hyperlink" Target="https://i.postimg.cc/Hx1Swj3t/268.png" TargetMode="External"/><Relationship Id="rId144" Type="http://schemas.openxmlformats.org/officeDocument/2006/relationships/hyperlink" Target="https://i.postimg.cc/sXzDC7ML/235.png" TargetMode="External"/><Relationship Id="rId139" Type="http://schemas.openxmlformats.org/officeDocument/2006/relationships/hyperlink" Target="https://i.postimg.cc/qMKqjj9S/271.png" TargetMode="External"/><Relationship Id="rId138" Type="http://schemas.openxmlformats.org/officeDocument/2006/relationships/hyperlink" Target="https://i.postimg.cc/wTrqTStL/238.png" TargetMode="External"/><Relationship Id="rId137" Type="http://schemas.openxmlformats.org/officeDocument/2006/relationships/hyperlink" Target="https://i.postimg.cc/Ls2YjpL1/272.png" TargetMode="External"/><Relationship Id="rId132" Type="http://schemas.openxmlformats.org/officeDocument/2006/relationships/hyperlink" Target="https://i.postimg.cc/TwTG4xSM/241.png" TargetMode="External"/><Relationship Id="rId131" Type="http://schemas.openxmlformats.org/officeDocument/2006/relationships/hyperlink" Target="https://i.postimg.cc/RhkFvHng/275.png" TargetMode="External"/><Relationship Id="rId130" Type="http://schemas.openxmlformats.org/officeDocument/2006/relationships/hyperlink" Target="https://i.postimg.cc/zDSHvX5W/242.png" TargetMode="External"/><Relationship Id="rId136" Type="http://schemas.openxmlformats.org/officeDocument/2006/relationships/hyperlink" Target="https://i.postimg.cc/QdWXB05P/239.png" TargetMode="External"/><Relationship Id="rId135" Type="http://schemas.openxmlformats.org/officeDocument/2006/relationships/hyperlink" Target="https://i.postimg.cc/bvmwsMtD/273.png" TargetMode="External"/><Relationship Id="rId134" Type="http://schemas.openxmlformats.org/officeDocument/2006/relationships/hyperlink" Target="https://i.postimg.cc/tgQ9FWNg/240.png" TargetMode="External"/><Relationship Id="rId133" Type="http://schemas.openxmlformats.org/officeDocument/2006/relationships/hyperlink" Target="https://i.postimg.cc/nVgM46wq/274.png" TargetMode="External"/><Relationship Id="rId172" Type="http://schemas.openxmlformats.org/officeDocument/2006/relationships/hyperlink" Target="https://i.postimg.cc/7LCrTjNN/221.png" TargetMode="External"/><Relationship Id="rId171" Type="http://schemas.openxmlformats.org/officeDocument/2006/relationships/hyperlink" Target="https://i.postimg.cc/sg2bxB0Q/255.png" TargetMode="External"/><Relationship Id="rId170" Type="http://schemas.openxmlformats.org/officeDocument/2006/relationships/hyperlink" Target="https://i.postimg.cc/XY10qn9J/222.png" TargetMode="External"/><Relationship Id="rId165" Type="http://schemas.openxmlformats.org/officeDocument/2006/relationships/hyperlink" Target="https://i.postimg.cc/MGM40Cwz/258.png" TargetMode="External"/><Relationship Id="rId164" Type="http://schemas.openxmlformats.org/officeDocument/2006/relationships/hyperlink" Target="https://i.postimg.cc/x8G21HPD/225.png" TargetMode="External"/><Relationship Id="rId163" Type="http://schemas.openxmlformats.org/officeDocument/2006/relationships/hyperlink" Target="https://i.postimg.cc/FzmB41LK/259.png" TargetMode="External"/><Relationship Id="rId162" Type="http://schemas.openxmlformats.org/officeDocument/2006/relationships/hyperlink" Target="https://i.postimg.cc/KctFfShq/226.png" TargetMode="External"/><Relationship Id="rId169" Type="http://schemas.openxmlformats.org/officeDocument/2006/relationships/hyperlink" Target="https://i.postimg.cc/7LFRKKP0/256.png" TargetMode="External"/><Relationship Id="rId168" Type="http://schemas.openxmlformats.org/officeDocument/2006/relationships/hyperlink" Target="https://i.postimg.cc/Qdd3jF9w/223.png" TargetMode="External"/><Relationship Id="rId167" Type="http://schemas.openxmlformats.org/officeDocument/2006/relationships/hyperlink" Target="https://i.postimg.cc/76SWdSbc/257.png" TargetMode="External"/><Relationship Id="rId166" Type="http://schemas.openxmlformats.org/officeDocument/2006/relationships/hyperlink" Target="https://i.postimg.cc/3JBhMXR2/224.png" TargetMode="External"/><Relationship Id="rId161" Type="http://schemas.openxmlformats.org/officeDocument/2006/relationships/hyperlink" Target="https://i.postimg.cc/7ZQd2xpB/260.png" TargetMode="External"/><Relationship Id="rId160" Type="http://schemas.openxmlformats.org/officeDocument/2006/relationships/hyperlink" Target="https://i.postimg.cc/NFvttbmk/227.png" TargetMode="External"/><Relationship Id="rId159" Type="http://schemas.openxmlformats.org/officeDocument/2006/relationships/hyperlink" Target="https://i.postimg.cc/D0gYyFrP/261.png" TargetMode="External"/><Relationship Id="rId154" Type="http://schemas.openxmlformats.org/officeDocument/2006/relationships/hyperlink" Target="https://i.postimg.cc/1zVbzw9C/230.png" TargetMode="External"/><Relationship Id="rId153" Type="http://schemas.openxmlformats.org/officeDocument/2006/relationships/hyperlink" Target="https://i.postimg.cc/DyxY9vy2/264.png" TargetMode="External"/><Relationship Id="rId152" Type="http://schemas.openxmlformats.org/officeDocument/2006/relationships/hyperlink" Target="https://i.postimg.cc/YC9JJTTw/231.png" TargetMode="External"/><Relationship Id="rId151" Type="http://schemas.openxmlformats.org/officeDocument/2006/relationships/hyperlink" Target="https://i.postimg.cc/wj3bHC7D/265.png" TargetMode="External"/><Relationship Id="rId158" Type="http://schemas.openxmlformats.org/officeDocument/2006/relationships/hyperlink" Target="https://i.postimg.cc/rFcTYn88/228.png" TargetMode="External"/><Relationship Id="rId157" Type="http://schemas.openxmlformats.org/officeDocument/2006/relationships/hyperlink" Target="https://i.postimg.cc/8kBYbd2f/262.png" TargetMode="External"/><Relationship Id="rId156" Type="http://schemas.openxmlformats.org/officeDocument/2006/relationships/hyperlink" Target="https://i.postimg.cc/TYDSgS7r/229.png" TargetMode="External"/><Relationship Id="rId155" Type="http://schemas.openxmlformats.org/officeDocument/2006/relationships/hyperlink" Target="https://i.postimg.cc/zXzc2bNt/263.png" TargetMode="External"/><Relationship Id="rId509" Type="http://schemas.openxmlformats.org/officeDocument/2006/relationships/hyperlink" Target="https://i.postimg.cc/prhYhFVw/086.png" TargetMode="External"/><Relationship Id="rId508" Type="http://schemas.openxmlformats.org/officeDocument/2006/relationships/hyperlink" Target="https://i.postimg.cc/cJBY5NL5/053.png" TargetMode="External"/><Relationship Id="rId503" Type="http://schemas.openxmlformats.org/officeDocument/2006/relationships/hyperlink" Target="https://i.postimg.cc/JhMq60KX/089.png" TargetMode="External"/><Relationship Id="rId502" Type="http://schemas.openxmlformats.org/officeDocument/2006/relationships/hyperlink" Target="https://i.postimg.cc/bN4QZT5L/056.png" TargetMode="External"/><Relationship Id="rId501" Type="http://schemas.openxmlformats.org/officeDocument/2006/relationships/hyperlink" Target="https://i.postimg.cc/sgpm47Py/090.png" TargetMode="External"/><Relationship Id="rId500" Type="http://schemas.openxmlformats.org/officeDocument/2006/relationships/hyperlink" Target="https://i.postimg.cc/TYKV2Stp/057.png" TargetMode="External"/><Relationship Id="rId507" Type="http://schemas.openxmlformats.org/officeDocument/2006/relationships/hyperlink" Target="https://i.postimg.cc/HxLtmNqs/087.png" TargetMode="External"/><Relationship Id="rId506" Type="http://schemas.openxmlformats.org/officeDocument/2006/relationships/hyperlink" Target="https://i.postimg.cc/7Lk0VLw2/054.png" TargetMode="External"/><Relationship Id="rId505" Type="http://schemas.openxmlformats.org/officeDocument/2006/relationships/hyperlink" Target="https://i.postimg.cc/8C4bqGn0/088.png" TargetMode="External"/><Relationship Id="rId504" Type="http://schemas.openxmlformats.org/officeDocument/2006/relationships/hyperlink" Target="https://i.postimg.cc/GmYvGDwR/055.png" TargetMode="External"/><Relationship Id="rId525" Type="http://schemas.openxmlformats.org/officeDocument/2006/relationships/hyperlink" Target="https://i.postimg.cc/vm0N55MT/078.png" TargetMode="External"/><Relationship Id="rId524" Type="http://schemas.openxmlformats.org/officeDocument/2006/relationships/hyperlink" Target="https://i.postimg.cc/x1KbcSMT/045.png" TargetMode="External"/><Relationship Id="rId523" Type="http://schemas.openxmlformats.org/officeDocument/2006/relationships/hyperlink" Target="https://i.postimg.cc/jjx1WZpB/079.png" TargetMode="External"/><Relationship Id="rId522" Type="http://schemas.openxmlformats.org/officeDocument/2006/relationships/hyperlink" Target="https://i.postimg.cc/mgxHLrc5/046.png" TargetMode="External"/><Relationship Id="rId529" Type="http://schemas.openxmlformats.org/officeDocument/2006/relationships/hyperlink" Target="https://i.postimg.cc/pT7c6xmt/076.png" TargetMode="External"/><Relationship Id="rId528" Type="http://schemas.openxmlformats.org/officeDocument/2006/relationships/hyperlink" Target="https://i.postimg.cc/SKd2f7gB/043.png" TargetMode="External"/><Relationship Id="rId527" Type="http://schemas.openxmlformats.org/officeDocument/2006/relationships/hyperlink" Target="https://i.postimg.cc/W3tf8tbn/077.png" TargetMode="External"/><Relationship Id="rId526" Type="http://schemas.openxmlformats.org/officeDocument/2006/relationships/hyperlink" Target="https://i.postimg.cc/jjtnfk46/044.png" TargetMode="External"/><Relationship Id="rId521" Type="http://schemas.openxmlformats.org/officeDocument/2006/relationships/hyperlink" Target="https://i.postimg.cc/9QtSFvnG/080.png" TargetMode="External"/><Relationship Id="rId520" Type="http://schemas.openxmlformats.org/officeDocument/2006/relationships/hyperlink" Target="https://i.postimg.cc/MKfBJBGB/047.png" TargetMode="External"/><Relationship Id="rId519" Type="http://schemas.openxmlformats.org/officeDocument/2006/relationships/hyperlink" Target="https://i.postimg.cc/wjdZz60q/081.png" TargetMode="External"/><Relationship Id="rId514" Type="http://schemas.openxmlformats.org/officeDocument/2006/relationships/hyperlink" Target="https://i.postimg.cc/yxkZdgXw/050.png" TargetMode="External"/><Relationship Id="rId513" Type="http://schemas.openxmlformats.org/officeDocument/2006/relationships/hyperlink" Target="https://i.postimg.cc/NG5W7CKc/084.png" TargetMode="External"/><Relationship Id="rId512" Type="http://schemas.openxmlformats.org/officeDocument/2006/relationships/hyperlink" Target="https://i.postimg.cc/gJMhmqRV/051.png" TargetMode="External"/><Relationship Id="rId511" Type="http://schemas.openxmlformats.org/officeDocument/2006/relationships/hyperlink" Target="https://i.postimg.cc/WzBmM1hh/085.png" TargetMode="External"/><Relationship Id="rId518" Type="http://schemas.openxmlformats.org/officeDocument/2006/relationships/hyperlink" Target="https://i.postimg.cc/PfRD7ydh/048.png" TargetMode="External"/><Relationship Id="rId517" Type="http://schemas.openxmlformats.org/officeDocument/2006/relationships/hyperlink" Target="https://i.postimg.cc/bNnW4G0V/082.png" TargetMode="External"/><Relationship Id="rId516" Type="http://schemas.openxmlformats.org/officeDocument/2006/relationships/hyperlink" Target="https://i.postimg.cc/fyp00z8k/049.png" TargetMode="External"/><Relationship Id="rId515" Type="http://schemas.openxmlformats.org/officeDocument/2006/relationships/hyperlink" Target="https://i.postimg.cc/3rVzLjGD/083.png" TargetMode="External"/><Relationship Id="rId510" Type="http://schemas.openxmlformats.org/officeDocument/2006/relationships/hyperlink" Target="https://i.postimg.cc/G23DWSB3/052.png" TargetMode="External"/><Relationship Id="rId590" Type="http://schemas.openxmlformats.org/officeDocument/2006/relationships/hyperlink" Target="https://i.postimg.cc/Y94g3Dhv/012.png" TargetMode="External"/><Relationship Id="rId107" Type="http://schemas.openxmlformats.org/officeDocument/2006/relationships/hyperlink" Target="https://i.postimg.cc/5th3gkQz/287.png" TargetMode="External"/><Relationship Id="rId106" Type="http://schemas.openxmlformats.org/officeDocument/2006/relationships/hyperlink" Target="https://i.postimg.cc/QM1xz0d5/254.png" TargetMode="External"/><Relationship Id="rId105" Type="http://schemas.openxmlformats.org/officeDocument/2006/relationships/hyperlink" Target="https://i.postimg.cc/MTkDgg21/288.png" TargetMode="External"/><Relationship Id="rId589" Type="http://schemas.openxmlformats.org/officeDocument/2006/relationships/hyperlink" Target="https://i.postimg.cc/L8XfnPyN/046.png" TargetMode="External"/><Relationship Id="rId104" Type="http://schemas.openxmlformats.org/officeDocument/2006/relationships/hyperlink" Target="https://i.postimg.cc/4NH1qXyP/255.png" TargetMode="External"/><Relationship Id="rId588" Type="http://schemas.openxmlformats.org/officeDocument/2006/relationships/hyperlink" Target="https://i.postimg.cc/7Lt0SrYv/013.png" TargetMode="External"/><Relationship Id="rId109" Type="http://schemas.openxmlformats.org/officeDocument/2006/relationships/hyperlink" Target="https://i.postimg.cc/yxVW3M5d/286.png" TargetMode="External"/><Relationship Id="rId108" Type="http://schemas.openxmlformats.org/officeDocument/2006/relationships/hyperlink" Target="https://i.postimg.cc/52Z2pZbb/253.png" TargetMode="External"/><Relationship Id="rId583" Type="http://schemas.openxmlformats.org/officeDocument/2006/relationships/hyperlink" Target="https://i.postimg.cc/Wbs0cC0R/049.png" TargetMode="External"/><Relationship Id="rId582" Type="http://schemas.openxmlformats.org/officeDocument/2006/relationships/hyperlink" Target="https://i.postimg.cc/wTDXZrFJ/016.png" TargetMode="External"/><Relationship Id="rId581" Type="http://schemas.openxmlformats.org/officeDocument/2006/relationships/hyperlink" Target="https://i.postimg.cc/66rCSt2L/050.png" TargetMode="External"/><Relationship Id="rId580" Type="http://schemas.openxmlformats.org/officeDocument/2006/relationships/hyperlink" Target="https://i.postimg.cc/8zHhPr2z/017.png" TargetMode="External"/><Relationship Id="rId103" Type="http://schemas.openxmlformats.org/officeDocument/2006/relationships/hyperlink" Target="https://i.postimg.cc/76r5wGnS/289.png" TargetMode="External"/><Relationship Id="rId587" Type="http://schemas.openxmlformats.org/officeDocument/2006/relationships/hyperlink" Target="https://i.postimg.cc/2SKWv5Mm/047.png" TargetMode="External"/><Relationship Id="rId102" Type="http://schemas.openxmlformats.org/officeDocument/2006/relationships/hyperlink" Target="https://i.postimg.cc/zBdjZBTt/256.png" TargetMode="External"/><Relationship Id="rId586" Type="http://schemas.openxmlformats.org/officeDocument/2006/relationships/hyperlink" Target="https://i.postimg.cc/Pq51L5Hz/014.png" TargetMode="External"/><Relationship Id="rId101" Type="http://schemas.openxmlformats.org/officeDocument/2006/relationships/hyperlink" Target="https://i.postimg.cc/G2PH2LXV/290.png" TargetMode="External"/><Relationship Id="rId585" Type="http://schemas.openxmlformats.org/officeDocument/2006/relationships/hyperlink" Target="https://i.postimg.cc/vHXfYhv4/048.png" TargetMode="External"/><Relationship Id="rId100" Type="http://schemas.openxmlformats.org/officeDocument/2006/relationships/hyperlink" Target="https://i.postimg.cc/VvdFY8RY/257.png" TargetMode="External"/><Relationship Id="rId584" Type="http://schemas.openxmlformats.org/officeDocument/2006/relationships/hyperlink" Target="https://i.postimg.cc/qv0sTGZF/015.png" TargetMode="External"/><Relationship Id="rId579" Type="http://schemas.openxmlformats.org/officeDocument/2006/relationships/hyperlink" Target="https://i.postimg.cc/L53fZ3K0/051.png" TargetMode="External"/><Relationship Id="rId578" Type="http://schemas.openxmlformats.org/officeDocument/2006/relationships/hyperlink" Target="https://i.postimg.cc/wxC5Wz5g/018.png" TargetMode="External"/><Relationship Id="rId577" Type="http://schemas.openxmlformats.org/officeDocument/2006/relationships/hyperlink" Target="https://i.postimg.cc/Wzvg3fKk/052.png" TargetMode="External"/><Relationship Id="rId572" Type="http://schemas.openxmlformats.org/officeDocument/2006/relationships/hyperlink" Target="https://i.postimg.cc/63SVxJDV/021.png" TargetMode="External"/><Relationship Id="rId571" Type="http://schemas.openxmlformats.org/officeDocument/2006/relationships/hyperlink" Target="https://i.postimg.cc/hGX93mTf/055.png" TargetMode="External"/><Relationship Id="rId570" Type="http://schemas.openxmlformats.org/officeDocument/2006/relationships/hyperlink" Target="https://i.postimg.cc/V659hLHL/022.png" TargetMode="External"/><Relationship Id="rId576" Type="http://schemas.openxmlformats.org/officeDocument/2006/relationships/hyperlink" Target="https://i.postimg.cc/NG977FHd/019.png" TargetMode="External"/><Relationship Id="rId575" Type="http://schemas.openxmlformats.org/officeDocument/2006/relationships/hyperlink" Target="https://i.postimg.cc/B6D2JGh3/053.png" TargetMode="External"/><Relationship Id="rId574" Type="http://schemas.openxmlformats.org/officeDocument/2006/relationships/hyperlink" Target="https://i.postimg.cc/j27Hs3bp/020.png" TargetMode="External"/><Relationship Id="rId573" Type="http://schemas.openxmlformats.org/officeDocument/2006/relationships/hyperlink" Target="https://i.postimg.cc/QMvpLMJS/054.png" TargetMode="External"/><Relationship Id="rId129" Type="http://schemas.openxmlformats.org/officeDocument/2006/relationships/hyperlink" Target="https://i.postimg.cc/DZmysgrC/276.png" TargetMode="External"/><Relationship Id="rId128" Type="http://schemas.openxmlformats.org/officeDocument/2006/relationships/hyperlink" Target="https://i.postimg.cc/RVS6H5VY/243.png" TargetMode="External"/><Relationship Id="rId127" Type="http://schemas.openxmlformats.org/officeDocument/2006/relationships/hyperlink" Target="https://i.postimg.cc/pdC9Z6J1/277.png" TargetMode="External"/><Relationship Id="rId126" Type="http://schemas.openxmlformats.org/officeDocument/2006/relationships/hyperlink" Target="https://i.postimg.cc/FsTfbWYH/244.png" TargetMode="External"/><Relationship Id="rId121" Type="http://schemas.openxmlformats.org/officeDocument/2006/relationships/hyperlink" Target="https://i.postimg.cc/MTL5GrGz/280.png" TargetMode="External"/><Relationship Id="rId120" Type="http://schemas.openxmlformats.org/officeDocument/2006/relationships/hyperlink" Target="https://i.postimg.cc/DZ3mfRMB/247.png" TargetMode="External"/><Relationship Id="rId125" Type="http://schemas.openxmlformats.org/officeDocument/2006/relationships/hyperlink" Target="https://i.postimg.cc/k5J5M9BP/278.png" TargetMode="External"/><Relationship Id="rId124" Type="http://schemas.openxmlformats.org/officeDocument/2006/relationships/hyperlink" Target="https://i.postimg.cc/4xnYW6cb/245.png" TargetMode="External"/><Relationship Id="rId123" Type="http://schemas.openxmlformats.org/officeDocument/2006/relationships/hyperlink" Target="https://i.postimg.cc/1tXMsZsW/279.png" TargetMode="External"/><Relationship Id="rId122" Type="http://schemas.openxmlformats.org/officeDocument/2006/relationships/hyperlink" Target="https://i.postimg.cc/XvCpbnQr/246.png" TargetMode="External"/><Relationship Id="rId118" Type="http://schemas.openxmlformats.org/officeDocument/2006/relationships/hyperlink" Target="https://i.postimg.cc/T1CP91Y4/248.png" TargetMode="External"/><Relationship Id="rId117" Type="http://schemas.openxmlformats.org/officeDocument/2006/relationships/hyperlink" Target="https://i.postimg.cc/T31J6RvB/282.png" TargetMode="External"/><Relationship Id="rId116" Type="http://schemas.openxmlformats.org/officeDocument/2006/relationships/hyperlink" Target="https://i.postimg.cc/J7qtm6c5/249.png" TargetMode="External"/><Relationship Id="rId115" Type="http://schemas.openxmlformats.org/officeDocument/2006/relationships/hyperlink" Target="https://i.postimg.cc/rFQN3D3S/283.png" TargetMode="External"/><Relationship Id="rId599" Type="http://schemas.openxmlformats.org/officeDocument/2006/relationships/hyperlink" Target="https://i.postimg.cc/Rhd60CKk/041.png" TargetMode="External"/><Relationship Id="rId119" Type="http://schemas.openxmlformats.org/officeDocument/2006/relationships/hyperlink" Target="https://i.postimg.cc/hPkTg4Rh/281.png" TargetMode="External"/><Relationship Id="rId110" Type="http://schemas.openxmlformats.org/officeDocument/2006/relationships/hyperlink" Target="https://i.postimg.cc/y8JNmVqL/252.png" TargetMode="External"/><Relationship Id="rId594" Type="http://schemas.openxmlformats.org/officeDocument/2006/relationships/hyperlink" Target="https://i.postimg.cc/qqyKftc0/010.png" TargetMode="External"/><Relationship Id="rId593" Type="http://schemas.openxmlformats.org/officeDocument/2006/relationships/hyperlink" Target="https://i.postimg.cc/RFrnsDvD/044.png" TargetMode="External"/><Relationship Id="rId592" Type="http://schemas.openxmlformats.org/officeDocument/2006/relationships/hyperlink" Target="https://i.postimg.cc/k4kShNbf/011.png" TargetMode="External"/><Relationship Id="rId591" Type="http://schemas.openxmlformats.org/officeDocument/2006/relationships/hyperlink" Target="https://i.postimg.cc/d0Zy9YcC/045.png" TargetMode="External"/><Relationship Id="rId114" Type="http://schemas.openxmlformats.org/officeDocument/2006/relationships/hyperlink" Target="https://i.postimg.cc/2896L1tq/250.png" TargetMode="External"/><Relationship Id="rId598" Type="http://schemas.openxmlformats.org/officeDocument/2006/relationships/hyperlink" Target="https://i.postimg.cc/dtcd2Bv0/008.png" TargetMode="External"/><Relationship Id="rId113" Type="http://schemas.openxmlformats.org/officeDocument/2006/relationships/hyperlink" Target="https://i.postimg.cc/jS1QqGs2/284.png" TargetMode="External"/><Relationship Id="rId597" Type="http://schemas.openxmlformats.org/officeDocument/2006/relationships/hyperlink" Target="https://i.postimg.cc/5ybQ1QY5/042.png" TargetMode="External"/><Relationship Id="rId112" Type="http://schemas.openxmlformats.org/officeDocument/2006/relationships/hyperlink" Target="https://i.postimg.cc/xT18dv6D/251.png" TargetMode="External"/><Relationship Id="rId596" Type="http://schemas.openxmlformats.org/officeDocument/2006/relationships/hyperlink" Target="https://i.postimg.cc/HWyX8NqK/009.png" TargetMode="External"/><Relationship Id="rId111" Type="http://schemas.openxmlformats.org/officeDocument/2006/relationships/hyperlink" Target="https://i.postimg.cc/cCXCRDyc/285.png" TargetMode="External"/><Relationship Id="rId595" Type="http://schemas.openxmlformats.org/officeDocument/2006/relationships/hyperlink" Target="https://i.postimg.cc/zBnH9FBX/043.png" TargetMode="External"/><Relationship Id="rId547" Type="http://schemas.openxmlformats.org/officeDocument/2006/relationships/hyperlink" Target="https://i.postimg.cc/cCwhk3qQ/067.png" TargetMode="External"/><Relationship Id="rId546" Type="http://schemas.openxmlformats.org/officeDocument/2006/relationships/hyperlink" Target="https://i.postimg.cc/xCqCyrJm/034.png" TargetMode="External"/><Relationship Id="rId545" Type="http://schemas.openxmlformats.org/officeDocument/2006/relationships/hyperlink" Target="https://i.postimg.cc/76pXNVRH/068.png" TargetMode="External"/><Relationship Id="rId544" Type="http://schemas.openxmlformats.org/officeDocument/2006/relationships/hyperlink" Target="https://i.postimg.cc/PqSJwfxh/035.png" TargetMode="External"/><Relationship Id="rId549" Type="http://schemas.openxmlformats.org/officeDocument/2006/relationships/hyperlink" Target="https://i.postimg.cc/FsbGj0Vv/066.png" TargetMode="External"/><Relationship Id="rId548" Type="http://schemas.openxmlformats.org/officeDocument/2006/relationships/hyperlink" Target="https://i.postimg.cc/N0sLF2Qp/033.png" TargetMode="External"/><Relationship Id="rId543" Type="http://schemas.openxmlformats.org/officeDocument/2006/relationships/hyperlink" Target="https://i.postimg.cc/QtB05P0Y/069.png" TargetMode="External"/><Relationship Id="rId542" Type="http://schemas.openxmlformats.org/officeDocument/2006/relationships/hyperlink" Target="https://i.postimg.cc/QdrFLnwL/036.png" TargetMode="External"/><Relationship Id="rId541" Type="http://schemas.openxmlformats.org/officeDocument/2006/relationships/hyperlink" Target="https://i.postimg.cc/VNZKJ1Bb/070.png" TargetMode="External"/><Relationship Id="rId540" Type="http://schemas.openxmlformats.org/officeDocument/2006/relationships/hyperlink" Target="https://i.postimg.cc/02SzBqtd/037.png" TargetMode="External"/><Relationship Id="rId536" Type="http://schemas.openxmlformats.org/officeDocument/2006/relationships/hyperlink" Target="https://i.postimg.cc/hvkftCGd/039.png" TargetMode="External"/><Relationship Id="rId535" Type="http://schemas.openxmlformats.org/officeDocument/2006/relationships/hyperlink" Target="https://i.postimg.cc/3J2fns7P/073.png" TargetMode="External"/><Relationship Id="rId534" Type="http://schemas.openxmlformats.org/officeDocument/2006/relationships/hyperlink" Target="https://i.postimg.cc/brDZ8XqP/040.png" TargetMode="External"/><Relationship Id="rId533" Type="http://schemas.openxmlformats.org/officeDocument/2006/relationships/hyperlink" Target="https://i.postimg.cc/RCkb1Sr7/074.png" TargetMode="External"/><Relationship Id="rId539" Type="http://schemas.openxmlformats.org/officeDocument/2006/relationships/hyperlink" Target="https://i.postimg.cc/k5gjMD8m/071.png" TargetMode="External"/><Relationship Id="rId538" Type="http://schemas.openxmlformats.org/officeDocument/2006/relationships/hyperlink" Target="https://i.postimg.cc/RCy3d0TZ/038.png" TargetMode="External"/><Relationship Id="rId537" Type="http://schemas.openxmlformats.org/officeDocument/2006/relationships/hyperlink" Target="https://i.postimg.cc/W1jWK51t/072.png" TargetMode="External"/><Relationship Id="rId532" Type="http://schemas.openxmlformats.org/officeDocument/2006/relationships/hyperlink" Target="https://i.postimg.cc/NMPKWGqb/041.png" TargetMode="External"/><Relationship Id="rId531" Type="http://schemas.openxmlformats.org/officeDocument/2006/relationships/hyperlink" Target="https://i.postimg.cc/907g3S9w/075.png" TargetMode="External"/><Relationship Id="rId530" Type="http://schemas.openxmlformats.org/officeDocument/2006/relationships/hyperlink" Target="https://i.postimg.cc/fLb32tFJ/042.png" TargetMode="External"/><Relationship Id="rId569" Type="http://schemas.openxmlformats.org/officeDocument/2006/relationships/hyperlink" Target="https://i.postimg.cc/0yWYfn6T/056.png" TargetMode="External"/><Relationship Id="rId568" Type="http://schemas.openxmlformats.org/officeDocument/2006/relationships/hyperlink" Target="https://i.postimg.cc/T3qcLsDG/023.png" TargetMode="External"/><Relationship Id="rId567" Type="http://schemas.openxmlformats.org/officeDocument/2006/relationships/hyperlink" Target="https://i.postimg.cc/28xFqrC8/057.png" TargetMode="External"/><Relationship Id="rId566" Type="http://schemas.openxmlformats.org/officeDocument/2006/relationships/hyperlink" Target="https://i.postimg.cc/mrLyQSY9/024.png" TargetMode="External"/><Relationship Id="rId561" Type="http://schemas.openxmlformats.org/officeDocument/2006/relationships/hyperlink" Target="https://i.postimg.cc/9XZBhyS9/060.png" TargetMode="External"/><Relationship Id="rId560" Type="http://schemas.openxmlformats.org/officeDocument/2006/relationships/hyperlink" Target="https://i.postimg.cc/gcQsf8p9/027.png" TargetMode="External"/><Relationship Id="rId565" Type="http://schemas.openxmlformats.org/officeDocument/2006/relationships/hyperlink" Target="https://i.postimg.cc/Hks0XRL0/058.png" TargetMode="External"/><Relationship Id="rId564" Type="http://schemas.openxmlformats.org/officeDocument/2006/relationships/hyperlink" Target="https://i.postimg.cc/vm0LX6hN/025.png" TargetMode="External"/><Relationship Id="rId563" Type="http://schemas.openxmlformats.org/officeDocument/2006/relationships/hyperlink" Target="https://i.postimg.cc/SN4fNJFv/059.png" TargetMode="External"/><Relationship Id="rId562" Type="http://schemas.openxmlformats.org/officeDocument/2006/relationships/hyperlink" Target="https://i.postimg.cc/g2PD0prN/026.png" TargetMode="External"/><Relationship Id="rId558" Type="http://schemas.openxmlformats.org/officeDocument/2006/relationships/hyperlink" Target="https://i.postimg.cc/fTdCZyWV/028.png" TargetMode="External"/><Relationship Id="rId557" Type="http://schemas.openxmlformats.org/officeDocument/2006/relationships/hyperlink" Target="https://i.postimg.cc/nrbYmLsM/062.png" TargetMode="External"/><Relationship Id="rId556" Type="http://schemas.openxmlformats.org/officeDocument/2006/relationships/hyperlink" Target="https://i.postimg.cc/nVCTRT6Y/029.png" TargetMode="External"/><Relationship Id="rId555" Type="http://schemas.openxmlformats.org/officeDocument/2006/relationships/hyperlink" Target="https://i.postimg.cc/50FSjz2Z/063.png" TargetMode="External"/><Relationship Id="rId559" Type="http://schemas.openxmlformats.org/officeDocument/2006/relationships/hyperlink" Target="https://i.postimg.cc/90dPYjTb/061.png" TargetMode="External"/><Relationship Id="rId550" Type="http://schemas.openxmlformats.org/officeDocument/2006/relationships/hyperlink" Target="https://i.postimg.cc/QdkHjJZF/032.png" TargetMode="External"/><Relationship Id="rId554" Type="http://schemas.openxmlformats.org/officeDocument/2006/relationships/hyperlink" Target="https://i.postimg.cc/QVZd3H6g/030.png" TargetMode="External"/><Relationship Id="rId553" Type="http://schemas.openxmlformats.org/officeDocument/2006/relationships/hyperlink" Target="https://i.postimg.cc/RZMdGqgH/064.png" TargetMode="External"/><Relationship Id="rId552" Type="http://schemas.openxmlformats.org/officeDocument/2006/relationships/hyperlink" Target="https://i.postimg.cc/LX7sxyLb/031.png" TargetMode="External"/><Relationship Id="rId551" Type="http://schemas.openxmlformats.org/officeDocument/2006/relationships/hyperlink" Target="https://i.postimg.cc/HkB2NHNP/065.png" TargetMode="External"/><Relationship Id="rId495" Type="http://schemas.openxmlformats.org/officeDocument/2006/relationships/hyperlink" Target="https://i.postimg.cc/x8h5tPFj/093.png" TargetMode="External"/><Relationship Id="rId494" Type="http://schemas.openxmlformats.org/officeDocument/2006/relationships/hyperlink" Target="https://i.postimg.cc/ZnRrdDZs/060.png" TargetMode="External"/><Relationship Id="rId493" Type="http://schemas.openxmlformats.org/officeDocument/2006/relationships/hyperlink" Target="https://i.postimg.cc/qB51JkMf/094.png" TargetMode="External"/><Relationship Id="rId492" Type="http://schemas.openxmlformats.org/officeDocument/2006/relationships/hyperlink" Target="https://i.postimg.cc/d1n2DKMT/061.png" TargetMode="External"/><Relationship Id="rId499" Type="http://schemas.openxmlformats.org/officeDocument/2006/relationships/hyperlink" Target="https://i.postimg.cc/8Pftsqj7/091.png" TargetMode="External"/><Relationship Id="rId498" Type="http://schemas.openxmlformats.org/officeDocument/2006/relationships/hyperlink" Target="https://i.postimg.cc/Kcq72Fr6/058.png" TargetMode="External"/><Relationship Id="rId497" Type="http://schemas.openxmlformats.org/officeDocument/2006/relationships/hyperlink" Target="https://i.postimg.cc/JzwKXPkP/092.png" TargetMode="External"/><Relationship Id="rId496" Type="http://schemas.openxmlformats.org/officeDocument/2006/relationships/hyperlink" Target="https://i.postimg.cc/FzB0ggHr/059.png" TargetMode="External"/><Relationship Id="rId409" Type="http://schemas.openxmlformats.org/officeDocument/2006/relationships/hyperlink" Target="https://i.postimg.cc/8PTzCVyH/136.png" TargetMode="External"/><Relationship Id="rId404" Type="http://schemas.openxmlformats.org/officeDocument/2006/relationships/hyperlink" Target="https://i.postimg.cc/XY70yfyG/105.png" TargetMode="External"/><Relationship Id="rId403" Type="http://schemas.openxmlformats.org/officeDocument/2006/relationships/hyperlink" Target="https://i.postimg.cc/prHXzNPP/139.png" TargetMode="External"/><Relationship Id="rId402" Type="http://schemas.openxmlformats.org/officeDocument/2006/relationships/hyperlink" Target="https://i.postimg.cc/65KKBJWh/106.png" TargetMode="External"/><Relationship Id="rId401" Type="http://schemas.openxmlformats.org/officeDocument/2006/relationships/hyperlink" Target="https://i.postimg.cc/C1DxRMTv/140.png" TargetMode="External"/><Relationship Id="rId408" Type="http://schemas.openxmlformats.org/officeDocument/2006/relationships/hyperlink" Target="https://i.postimg.cc/MGn29z5z/103.png" TargetMode="External"/><Relationship Id="rId407" Type="http://schemas.openxmlformats.org/officeDocument/2006/relationships/hyperlink" Target="https://i.postimg.cc/jqHjKjh2/137.png" TargetMode="External"/><Relationship Id="rId406" Type="http://schemas.openxmlformats.org/officeDocument/2006/relationships/hyperlink" Target="https://i.postimg.cc/x1xVGXKs/104.png" TargetMode="External"/><Relationship Id="rId405" Type="http://schemas.openxmlformats.org/officeDocument/2006/relationships/hyperlink" Target="https://i.postimg.cc/cCB1cDJw/138.png" TargetMode="External"/><Relationship Id="rId400" Type="http://schemas.openxmlformats.org/officeDocument/2006/relationships/hyperlink" Target="https://i.postimg.cc/4N1gdLnR/107.png" TargetMode="External"/><Relationship Id="rId469" Type="http://schemas.openxmlformats.org/officeDocument/2006/relationships/hyperlink" Target="https://i.postimg.cc/s2d8V3mf/106.png" TargetMode="External"/><Relationship Id="rId468" Type="http://schemas.openxmlformats.org/officeDocument/2006/relationships/hyperlink" Target="https://i.postimg.cc/9fZ1mSFG/073.png" TargetMode="External"/><Relationship Id="rId467" Type="http://schemas.openxmlformats.org/officeDocument/2006/relationships/hyperlink" Target="https://i.postimg.cc/sgZqdMp0/107.png" TargetMode="External"/><Relationship Id="rId462" Type="http://schemas.openxmlformats.org/officeDocument/2006/relationships/hyperlink" Target="https://i.postimg.cc/02XVcDBJ/076.png" TargetMode="External"/><Relationship Id="rId461" Type="http://schemas.openxmlformats.org/officeDocument/2006/relationships/hyperlink" Target="https://i.postimg.cc/9XJvG5m1/110.png" TargetMode="External"/><Relationship Id="rId460" Type="http://schemas.openxmlformats.org/officeDocument/2006/relationships/hyperlink" Target="https://i.postimg.cc/pXL0fqqH/077.png" TargetMode="External"/><Relationship Id="rId466" Type="http://schemas.openxmlformats.org/officeDocument/2006/relationships/hyperlink" Target="https://i.postimg.cc/DwtBKFFv/074.png" TargetMode="External"/><Relationship Id="rId465" Type="http://schemas.openxmlformats.org/officeDocument/2006/relationships/hyperlink" Target="https://i.postimg.cc/5NyDg7jJ/108.png" TargetMode="External"/><Relationship Id="rId464" Type="http://schemas.openxmlformats.org/officeDocument/2006/relationships/hyperlink" Target="https://i.postimg.cc/zGL0Mvs2/075.png" TargetMode="External"/><Relationship Id="rId463" Type="http://schemas.openxmlformats.org/officeDocument/2006/relationships/hyperlink" Target="https://i.postimg.cc/sDLqNYZh/109.png" TargetMode="External"/><Relationship Id="rId459" Type="http://schemas.openxmlformats.org/officeDocument/2006/relationships/hyperlink" Target="https://i.postimg.cc/1X52LMHp/111.png" TargetMode="External"/><Relationship Id="rId458" Type="http://schemas.openxmlformats.org/officeDocument/2006/relationships/hyperlink" Target="https://i.postimg.cc/5937QZ5g/078.png" TargetMode="External"/><Relationship Id="rId457" Type="http://schemas.openxmlformats.org/officeDocument/2006/relationships/hyperlink" Target="https://i.postimg.cc/G2RZjbTg/112.png" TargetMode="External"/><Relationship Id="rId456" Type="http://schemas.openxmlformats.org/officeDocument/2006/relationships/hyperlink" Target="https://i.postimg.cc/hvp2Fd46/079.png" TargetMode="External"/><Relationship Id="rId451" Type="http://schemas.openxmlformats.org/officeDocument/2006/relationships/hyperlink" Target="https://i.postimg.cc/Nj9qsJwD/115.png" TargetMode="External"/><Relationship Id="rId450" Type="http://schemas.openxmlformats.org/officeDocument/2006/relationships/hyperlink" Target="https://i.postimg.cc/k4P1WCh1/082.png" TargetMode="External"/><Relationship Id="rId455" Type="http://schemas.openxmlformats.org/officeDocument/2006/relationships/hyperlink" Target="https://i.postimg.cc/PqYgZCJ8/113.png" TargetMode="External"/><Relationship Id="rId454" Type="http://schemas.openxmlformats.org/officeDocument/2006/relationships/hyperlink" Target="https://i.postimg.cc/5yxsk3J8/080.png" TargetMode="External"/><Relationship Id="rId453" Type="http://schemas.openxmlformats.org/officeDocument/2006/relationships/hyperlink" Target="https://i.postimg.cc/Nj3h56sc/114.png" TargetMode="External"/><Relationship Id="rId452" Type="http://schemas.openxmlformats.org/officeDocument/2006/relationships/hyperlink" Target="https://i.postimg.cc/fL7HKPGw/081.png" TargetMode="External"/><Relationship Id="rId491" Type="http://schemas.openxmlformats.org/officeDocument/2006/relationships/hyperlink" Target="https://i.postimg.cc/DZCBbhrX/095.png" TargetMode="External"/><Relationship Id="rId490" Type="http://schemas.openxmlformats.org/officeDocument/2006/relationships/hyperlink" Target="https://i.postimg.cc/FRhb9H64/062.png" TargetMode="External"/><Relationship Id="rId489" Type="http://schemas.openxmlformats.org/officeDocument/2006/relationships/hyperlink" Target="https://i.postimg.cc/257Hrh3T/096.png" TargetMode="External"/><Relationship Id="rId484" Type="http://schemas.openxmlformats.org/officeDocument/2006/relationships/hyperlink" Target="https://i.postimg.cc/VkbWgTt3/065.png" TargetMode="External"/><Relationship Id="rId483" Type="http://schemas.openxmlformats.org/officeDocument/2006/relationships/hyperlink" Target="https://i.postimg.cc/vHC2zGp7/099.png" TargetMode="External"/><Relationship Id="rId482" Type="http://schemas.openxmlformats.org/officeDocument/2006/relationships/hyperlink" Target="https://i.postimg.cc/fTPvxZVc/066.png" TargetMode="External"/><Relationship Id="rId481" Type="http://schemas.openxmlformats.org/officeDocument/2006/relationships/hyperlink" Target="https://i.postimg.cc/HWZhrwzh/100.png" TargetMode="External"/><Relationship Id="rId488" Type="http://schemas.openxmlformats.org/officeDocument/2006/relationships/hyperlink" Target="https://i.postimg.cc/XvfcSCQL/063.png" TargetMode="External"/><Relationship Id="rId487" Type="http://schemas.openxmlformats.org/officeDocument/2006/relationships/hyperlink" Target="https://i.postimg.cc/6QXHkY6y/097.png" TargetMode="External"/><Relationship Id="rId486" Type="http://schemas.openxmlformats.org/officeDocument/2006/relationships/hyperlink" Target="https://i.postimg.cc/DzkdMgdm/064.png" TargetMode="External"/><Relationship Id="rId485" Type="http://schemas.openxmlformats.org/officeDocument/2006/relationships/hyperlink" Target="https://i.postimg.cc/3xpSfPTs/098.png" TargetMode="External"/><Relationship Id="rId480" Type="http://schemas.openxmlformats.org/officeDocument/2006/relationships/hyperlink" Target="https://i.postimg.cc/m2kwzhgZ/067.png" TargetMode="External"/><Relationship Id="rId479" Type="http://schemas.openxmlformats.org/officeDocument/2006/relationships/hyperlink" Target="https://i.postimg.cc/8P7nM7nP/101.png" TargetMode="External"/><Relationship Id="rId478" Type="http://schemas.openxmlformats.org/officeDocument/2006/relationships/hyperlink" Target="https://i.postimg.cc/1RJB3DPY/068.png" TargetMode="External"/><Relationship Id="rId473" Type="http://schemas.openxmlformats.org/officeDocument/2006/relationships/hyperlink" Target="https://i.postimg.cc/ydnrXcHW/104.png" TargetMode="External"/><Relationship Id="rId472" Type="http://schemas.openxmlformats.org/officeDocument/2006/relationships/hyperlink" Target="https://i.postimg.cc/ydTP9ZRx/071.png" TargetMode="External"/><Relationship Id="rId471" Type="http://schemas.openxmlformats.org/officeDocument/2006/relationships/hyperlink" Target="https://i.postimg.cc/ZRJMdjX1/105.png" TargetMode="External"/><Relationship Id="rId470" Type="http://schemas.openxmlformats.org/officeDocument/2006/relationships/hyperlink" Target="https://i.postimg.cc/63Kcy0yF/072.png" TargetMode="External"/><Relationship Id="rId477" Type="http://schemas.openxmlformats.org/officeDocument/2006/relationships/hyperlink" Target="https://i.postimg.cc/Gt576R9C/102.png" TargetMode="External"/><Relationship Id="rId476" Type="http://schemas.openxmlformats.org/officeDocument/2006/relationships/hyperlink" Target="https://i.postimg.cc/prXBBLQZ/069.png" TargetMode="External"/><Relationship Id="rId475" Type="http://schemas.openxmlformats.org/officeDocument/2006/relationships/hyperlink" Target="https://i.postimg.cc/kG4YjGJs/103.png" TargetMode="External"/><Relationship Id="rId474" Type="http://schemas.openxmlformats.org/officeDocument/2006/relationships/hyperlink" Target="https://i.postimg.cc/j2g43YZr/070.png" TargetMode="External"/><Relationship Id="rId426" Type="http://schemas.openxmlformats.org/officeDocument/2006/relationships/hyperlink" Target="https://i.postimg.cc/3xbz4PTV/094.png" TargetMode="External"/><Relationship Id="rId425" Type="http://schemas.openxmlformats.org/officeDocument/2006/relationships/hyperlink" Target="https://i.postimg.cc/6qcwZyHh/128.png" TargetMode="External"/><Relationship Id="rId424" Type="http://schemas.openxmlformats.org/officeDocument/2006/relationships/hyperlink" Target="https://i.postimg.cc/HkLfLTfb/095.png" TargetMode="External"/><Relationship Id="rId423" Type="http://schemas.openxmlformats.org/officeDocument/2006/relationships/hyperlink" Target="https://i.postimg.cc/DZq72CLH/129.png" TargetMode="External"/><Relationship Id="rId429" Type="http://schemas.openxmlformats.org/officeDocument/2006/relationships/hyperlink" Target="https://i.postimg.cc/jq4RmFsJ/126.png" TargetMode="External"/><Relationship Id="rId428" Type="http://schemas.openxmlformats.org/officeDocument/2006/relationships/hyperlink" Target="https://i.postimg.cc/KztWWjMh/093.png" TargetMode="External"/><Relationship Id="rId427" Type="http://schemas.openxmlformats.org/officeDocument/2006/relationships/hyperlink" Target="https://i.postimg.cc/9FXchYMg/127.png" TargetMode="External"/><Relationship Id="rId422" Type="http://schemas.openxmlformats.org/officeDocument/2006/relationships/hyperlink" Target="https://i.postimg.cc/9Fb6VDNW/096.png" TargetMode="External"/><Relationship Id="rId421" Type="http://schemas.openxmlformats.org/officeDocument/2006/relationships/hyperlink" Target="https://i.postimg.cc/J0MMtbQn/130.png" TargetMode="External"/><Relationship Id="rId420" Type="http://schemas.openxmlformats.org/officeDocument/2006/relationships/hyperlink" Target="https://i.postimg.cc/GhdWZFK7/097.png" TargetMode="External"/><Relationship Id="rId415" Type="http://schemas.openxmlformats.org/officeDocument/2006/relationships/hyperlink" Target="https://i.postimg.cc/MpF6tfzP/133.png" TargetMode="External"/><Relationship Id="rId414" Type="http://schemas.openxmlformats.org/officeDocument/2006/relationships/hyperlink" Target="https://i.postimg.cc/NMThwbZV/100.png" TargetMode="External"/><Relationship Id="rId413" Type="http://schemas.openxmlformats.org/officeDocument/2006/relationships/hyperlink" Target="https://i.postimg.cc/2S6j47NL/134.png" TargetMode="External"/><Relationship Id="rId412" Type="http://schemas.openxmlformats.org/officeDocument/2006/relationships/hyperlink" Target="https://i.postimg.cc/MZ7kPP7f/101.png" TargetMode="External"/><Relationship Id="rId419" Type="http://schemas.openxmlformats.org/officeDocument/2006/relationships/hyperlink" Target="https://i.postimg.cc/63s9xs2C/131.png" TargetMode="External"/><Relationship Id="rId418" Type="http://schemas.openxmlformats.org/officeDocument/2006/relationships/hyperlink" Target="https://i.postimg.cc/Y0fJv0rz/098.png" TargetMode="External"/><Relationship Id="rId417" Type="http://schemas.openxmlformats.org/officeDocument/2006/relationships/hyperlink" Target="https://i.postimg.cc/nL9HWVzH/132.png" TargetMode="External"/><Relationship Id="rId416" Type="http://schemas.openxmlformats.org/officeDocument/2006/relationships/hyperlink" Target="https://i.postimg.cc/WzPBpgv4/099.png" TargetMode="External"/><Relationship Id="rId411" Type="http://schemas.openxmlformats.org/officeDocument/2006/relationships/hyperlink" Target="https://i.postimg.cc/SNVN2t3p/135.png" TargetMode="External"/><Relationship Id="rId410" Type="http://schemas.openxmlformats.org/officeDocument/2006/relationships/hyperlink" Target="https://i.postimg.cc/43jCMj2V/102.png" TargetMode="External"/><Relationship Id="rId448" Type="http://schemas.openxmlformats.org/officeDocument/2006/relationships/hyperlink" Target="https://i.postimg.cc/R0Hp3hGJ/083.png" TargetMode="External"/><Relationship Id="rId447" Type="http://schemas.openxmlformats.org/officeDocument/2006/relationships/hyperlink" Target="https://i.postimg.cc/vB80BTVy/117.png" TargetMode="External"/><Relationship Id="rId446" Type="http://schemas.openxmlformats.org/officeDocument/2006/relationships/hyperlink" Target="https://i.postimg.cc/K8VsvB7y/084.png" TargetMode="External"/><Relationship Id="rId445" Type="http://schemas.openxmlformats.org/officeDocument/2006/relationships/hyperlink" Target="https://i.postimg.cc/Y2RwbL36/118.png" TargetMode="External"/><Relationship Id="rId449" Type="http://schemas.openxmlformats.org/officeDocument/2006/relationships/hyperlink" Target="https://i.postimg.cc/7YQryvjb/116.png" TargetMode="External"/><Relationship Id="rId440" Type="http://schemas.openxmlformats.org/officeDocument/2006/relationships/hyperlink" Target="https://i.postimg.cc/Fsr6P9Fw/087.png" TargetMode="External"/><Relationship Id="rId444" Type="http://schemas.openxmlformats.org/officeDocument/2006/relationships/hyperlink" Target="https://i.postimg.cc/HkjhgBy2/085.png" TargetMode="External"/><Relationship Id="rId443" Type="http://schemas.openxmlformats.org/officeDocument/2006/relationships/hyperlink" Target="https://i.postimg.cc/MH92TgTP/119.png" TargetMode="External"/><Relationship Id="rId442" Type="http://schemas.openxmlformats.org/officeDocument/2006/relationships/hyperlink" Target="https://i.postimg.cc/9FLnKvr0/086.png" TargetMode="External"/><Relationship Id="rId441" Type="http://schemas.openxmlformats.org/officeDocument/2006/relationships/hyperlink" Target="https://i.postimg.cc/mkLWTTb1/120.png" TargetMode="External"/><Relationship Id="rId437" Type="http://schemas.openxmlformats.org/officeDocument/2006/relationships/hyperlink" Target="https://i.postimg.cc/XJ00Dwm8/122.png" TargetMode="External"/><Relationship Id="rId436" Type="http://schemas.openxmlformats.org/officeDocument/2006/relationships/hyperlink" Target="https://i.postimg.cc/j2XFs1c8/089.png" TargetMode="External"/><Relationship Id="rId435" Type="http://schemas.openxmlformats.org/officeDocument/2006/relationships/hyperlink" Target="https://i.postimg.cc/hGmBrCyv/123.png" TargetMode="External"/><Relationship Id="rId434" Type="http://schemas.openxmlformats.org/officeDocument/2006/relationships/hyperlink" Target="https://i.postimg.cc/ZqB2rVYR/090.png" TargetMode="External"/><Relationship Id="rId439" Type="http://schemas.openxmlformats.org/officeDocument/2006/relationships/hyperlink" Target="https://i.postimg.cc/Y9fwcvww/121.png" TargetMode="External"/><Relationship Id="rId438" Type="http://schemas.openxmlformats.org/officeDocument/2006/relationships/hyperlink" Target="https://i.postimg.cc/nVY5Ysxv/088.png" TargetMode="External"/><Relationship Id="rId433" Type="http://schemas.openxmlformats.org/officeDocument/2006/relationships/hyperlink" Target="https://i.postimg.cc/pL4vKNB3/124.png" TargetMode="External"/><Relationship Id="rId432" Type="http://schemas.openxmlformats.org/officeDocument/2006/relationships/hyperlink" Target="https://i.postimg.cc/2ymtNYQb/091.png" TargetMode="External"/><Relationship Id="rId431" Type="http://schemas.openxmlformats.org/officeDocument/2006/relationships/hyperlink" Target="https://i.postimg.cc/0ybx657p/125.png" TargetMode="External"/><Relationship Id="rId430" Type="http://schemas.openxmlformats.org/officeDocument/2006/relationships/hyperlink" Target="https://i.postimg.cc/GpWNzG9j/09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/>
  <cols>
    <col customWidth="1" min="1" max="1" width="3.25"/>
    <col customWidth="1" min="2" max="2" width="7.63"/>
    <col customWidth="1" min="3" max="3" width="18.88"/>
    <col customWidth="1" min="5" max="5" width="47.0"/>
    <col collapsed="1" customWidth="1" min="6" max="6" width="25.13"/>
    <col customWidth="1" hidden="1" min="7" max="7" width="6.38" outlineLevel="1"/>
    <col customWidth="1" min="8" max="8" width="3.25"/>
    <col customWidth="1" min="9" max="9" width="7.63"/>
    <col customWidth="1" min="10" max="10" width="18.88"/>
    <col customWidth="1" min="12" max="12" width="47.0"/>
    <col collapsed="1" customWidth="1" min="13" max="13" width="25.13"/>
    <col customWidth="1" hidden="1" min="14" max="14" width="6.38" outlineLevel="1"/>
    <col customWidth="1" min="15" max="15" width="3.25"/>
  </cols>
  <sheetData>
    <row r="1" ht="22.5" customHeight="1">
      <c r="A1" s="1" t="s">
        <v>0</v>
      </c>
      <c r="L1" s="2"/>
      <c r="M1" s="3"/>
      <c r="N1" s="2"/>
      <c r="O1" s="2"/>
    </row>
    <row r="2" ht="22.5" customHeight="1">
      <c r="A2" s="4" t="s">
        <v>1</v>
      </c>
      <c r="K2" s="5"/>
      <c r="L2" s="2"/>
      <c r="M2" s="3"/>
      <c r="N2" s="2"/>
      <c r="O2" s="2"/>
    </row>
    <row r="3" ht="22.5" customHeight="1">
      <c r="A3" s="6" t="s">
        <v>2</v>
      </c>
      <c r="J3" s="7"/>
      <c r="K3" s="7"/>
      <c r="L3" s="2"/>
      <c r="M3" s="3"/>
      <c r="N3" s="2"/>
      <c r="O3" s="2"/>
    </row>
    <row r="4" ht="22.5" customHeight="1">
      <c r="A4" s="8" t="s">
        <v>3</v>
      </c>
      <c r="J4" s="7"/>
      <c r="K4" s="7"/>
      <c r="L4" s="2"/>
      <c r="M4" s="3"/>
      <c r="N4" s="2"/>
      <c r="O4" s="2"/>
    </row>
    <row r="5" ht="22.5" customHeight="1">
      <c r="A5" s="4" t="s">
        <v>4</v>
      </c>
      <c r="J5" s="5"/>
      <c r="K5" s="5"/>
      <c r="L5" s="2"/>
      <c r="M5" s="3"/>
      <c r="N5" s="2"/>
      <c r="O5" s="2"/>
    </row>
    <row r="6" ht="22.5" customHeight="1">
      <c r="A6" s="9"/>
      <c r="B6" s="10"/>
      <c r="C6" s="10"/>
      <c r="D6" s="10"/>
      <c r="E6" s="10"/>
      <c r="F6" s="10"/>
      <c r="G6" s="11"/>
      <c r="H6" s="9"/>
      <c r="I6" s="10"/>
      <c r="J6" s="10"/>
      <c r="K6" s="10"/>
      <c r="L6" s="10"/>
      <c r="M6" s="12"/>
      <c r="N6" s="13"/>
      <c r="O6" s="14"/>
    </row>
    <row r="7" ht="75.0" customHeight="1">
      <c r="A7" s="15"/>
      <c r="B7" s="16" t="s">
        <v>5</v>
      </c>
      <c r="C7" s="17"/>
      <c r="D7" s="17"/>
      <c r="E7" s="17"/>
      <c r="F7" s="18"/>
      <c r="G7" s="19"/>
      <c r="H7" s="15"/>
      <c r="I7" s="20" t="s">
        <v>6</v>
      </c>
      <c r="J7" s="17"/>
      <c r="K7" s="17"/>
      <c r="L7" s="17"/>
      <c r="M7" s="17"/>
      <c r="N7" s="13"/>
      <c r="O7" s="21"/>
    </row>
    <row r="8" ht="56.25" customHeight="1">
      <c r="A8" s="22"/>
      <c r="B8" s="23"/>
      <c r="C8" s="24" t="s">
        <v>7</v>
      </c>
      <c r="D8" s="24" t="s">
        <v>8</v>
      </c>
      <c r="E8" s="25" t="s">
        <v>9</v>
      </c>
      <c r="F8" s="26" t="s">
        <v>10</v>
      </c>
      <c r="G8" s="27"/>
      <c r="H8" s="22"/>
      <c r="I8" s="28"/>
      <c r="J8" s="29" t="s">
        <v>7</v>
      </c>
      <c r="K8" s="29" t="s">
        <v>8</v>
      </c>
      <c r="L8" s="30" t="s">
        <v>9</v>
      </c>
      <c r="M8" s="31" t="s">
        <v>10</v>
      </c>
      <c r="N8" s="13"/>
      <c r="O8" s="32"/>
    </row>
    <row r="9" ht="18.75" customHeight="1">
      <c r="A9" s="33"/>
      <c r="B9" s="34"/>
      <c r="C9" s="35"/>
      <c r="D9" s="36" t="str">
        <f t="array" ref="D9:D351">IF(G9:G351 &lt;&gt; "", IMAGE(G9:G351), "-")</f>
        <v>-</v>
      </c>
      <c r="E9" s="37"/>
      <c r="F9" s="38"/>
      <c r="G9" s="13"/>
      <c r="H9" s="33"/>
      <c r="I9" s="39"/>
      <c r="J9" s="40"/>
      <c r="K9" s="36" t="str">
        <f t="array" ref="K9:K351">IF(N9:N351 &lt;&gt; "", IMAGE(N9:N351), "-")</f>
        <v>-</v>
      </c>
      <c r="L9" s="37"/>
      <c r="M9" s="41"/>
      <c r="N9" s="42"/>
      <c r="O9" s="33"/>
    </row>
    <row r="10" ht="75.0" customHeight="1">
      <c r="A10" s="33"/>
      <c r="B10" s="43">
        <f t="shared" ref="B10:B349" si="1">B11+1</f>
        <v>341</v>
      </c>
      <c r="C10" s="44" t="s">
        <v>11</v>
      </c>
      <c r="D10" s="45"/>
      <c r="E10" s="46" t="s">
        <v>12</v>
      </c>
      <c r="F10" s="47" t="s">
        <v>13</v>
      </c>
      <c r="G10" s="48" t="s">
        <v>14</v>
      </c>
      <c r="H10" s="33"/>
      <c r="I10" s="49">
        <f t="shared" ref="I10:I315" si="2">I11+1</f>
        <v>307</v>
      </c>
      <c r="J10" s="50" t="s">
        <v>15</v>
      </c>
      <c r="K10" s="51"/>
      <c r="L10" s="52" t="s">
        <v>16</v>
      </c>
      <c r="M10" s="53" t="s">
        <v>17</v>
      </c>
      <c r="N10" s="54" t="s">
        <v>18</v>
      </c>
      <c r="O10" s="33"/>
    </row>
    <row r="11" ht="75.0" customHeight="1">
      <c r="A11" s="33"/>
      <c r="B11" s="43">
        <f t="shared" si="1"/>
        <v>340</v>
      </c>
      <c r="C11" s="44" t="s">
        <v>19</v>
      </c>
      <c r="D11" s="45"/>
      <c r="E11" s="46" t="s">
        <v>20</v>
      </c>
      <c r="F11" s="47" t="s">
        <v>21</v>
      </c>
      <c r="G11" s="48" t="s">
        <v>22</v>
      </c>
      <c r="H11" s="33"/>
      <c r="I11" s="49">
        <f t="shared" si="2"/>
        <v>306</v>
      </c>
      <c r="J11" s="50" t="s">
        <v>23</v>
      </c>
      <c r="K11" s="51"/>
      <c r="L11" s="52" t="s">
        <v>24</v>
      </c>
      <c r="M11" s="53" t="s">
        <v>13</v>
      </c>
      <c r="N11" s="54" t="s">
        <v>25</v>
      </c>
      <c r="O11" s="33"/>
    </row>
    <row r="12" ht="75.0" customHeight="1">
      <c r="A12" s="33"/>
      <c r="B12" s="43">
        <f t="shared" si="1"/>
        <v>339</v>
      </c>
      <c r="C12" s="44" t="s">
        <v>26</v>
      </c>
      <c r="D12" s="45"/>
      <c r="E12" s="46" t="s">
        <v>27</v>
      </c>
      <c r="F12" s="47" t="s">
        <v>28</v>
      </c>
      <c r="G12" s="48" t="s">
        <v>29</v>
      </c>
      <c r="H12" s="33"/>
      <c r="I12" s="49">
        <f t="shared" si="2"/>
        <v>305</v>
      </c>
      <c r="J12" s="50" t="s">
        <v>30</v>
      </c>
      <c r="K12" s="51"/>
      <c r="L12" s="52" t="s">
        <v>31</v>
      </c>
      <c r="M12" s="53" t="s">
        <v>21</v>
      </c>
      <c r="N12" s="54" t="s">
        <v>32</v>
      </c>
      <c r="O12" s="33"/>
    </row>
    <row r="13" ht="75.0" customHeight="1">
      <c r="A13" s="33"/>
      <c r="B13" s="43">
        <f t="shared" si="1"/>
        <v>338</v>
      </c>
      <c r="C13" s="44" t="s">
        <v>33</v>
      </c>
      <c r="D13" s="45"/>
      <c r="E13" s="46" t="s">
        <v>34</v>
      </c>
      <c r="F13" s="47" t="s">
        <v>35</v>
      </c>
      <c r="G13" s="48" t="s">
        <v>36</v>
      </c>
      <c r="H13" s="33"/>
      <c r="I13" s="49">
        <f t="shared" si="2"/>
        <v>304</v>
      </c>
      <c r="J13" s="50" t="s">
        <v>37</v>
      </c>
      <c r="K13" s="51"/>
      <c r="L13" s="55" t="s">
        <v>38</v>
      </c>
      <c r="M13" s="53" t="s">
        <v>39</v>
      </c>
      <c r="N13" s="54" t="s">
        <v>40</v>
      </c>
      <c r="O13" s="33"/>
    </row>
    <row r="14" ht="75.0" customHeight="1">
      <c r="A14" s="33"/>
      <c r="B14" s="43">
        <f t="shared" si="1"/>
        <v>337</v>
      </c>
      <c r="C14" s="44" t="s">
        <v>41</v>
      </c>
      <c r="D14" s="45"/>
      <c r="E14" s="46" t="s">
        <v>42</v>
      </c>
      <c r="F14" s="47" t="s">
        <v>43</v>
      </c>
      <c r="G14" s="48" t="s">
        <v>44</v>
      </c>
      <c r="H14" s="33"/>
      <c r="I14" s="49">
        <f t="shared" si="2"/>
        <v>303</v>
      </c>
      <c r="J14" s="50" t="s">
        <v>45</v>
      </c>
      <c r="K14" s="51"/>
      <c r="L14" s="52" t="s">
        <v>46</v>
      </c>
      <c r="M14" s="53" t="s">
        <v>35</v>
      </c>
      <c r="N14" s="54" t="s">
        <v>47</v>
      </c>
      <c r="O14" s="33"/>
    </row>
    <row r="15" ht="75.0" customHeight="1">
      <c r="A15" s="33"/>
      <c r="B15" s="43">
        <f t="shared" si="1"/>
        <v>336</v>
      </c>
      <c r="C15" s="44" t="s">
        <v>48</v>
      </c>
      <c r="D15" s="45"/>
      <c r="E15" s="46" t="s">
        <v>49</v>
      </c>
      <c r="F15" s="47" t="s">
        <v>50</v>
      </c>
      <c r="G15" s="48" t="s">
        <v>51</v>
      </c>
      <c r="H15" s="33"/>
      <c r="I15" s="49">
        <f t="shared" si="2"/>
        <v>302</v>
      </c>
      <c r="J15" s="50" t="s">
        <v>52</v>
      </c>
      <c r="K15" s="51"/>
      <c r="L15" s="55" t="s">
        <v>53</v>
      </c>
      <c r="M15" s="53" t="s">
        <v>28</v>
      </c>
      <c r="N15" s="54" t="s">
        <v>54</v>
      </c>
      <c r="O15" s="33"/>
    </row>
    <row r="16" ht="75.0" customHeight="1">
      <c r="A16" s="33"/>
      <c r="B16" s="43">
        <f t="shared" si="1"/>
        <v>335</v>
      </c>
      <c r="C16" s="44" t="s">
        <v>55</v>
      </c>
      <c r="D16" s="45"/>
      <c r="E16" s="46" t="s">
        <v>56</v>
      </c>
      <c r="F16" s="47" t="s">
        <v>57</v>
      </c>
      <c r="G16" s="48" t="s">
        <v>58</v>
      </c>
      <c r="H16" s="33"/>
      <c r="I16" s="49">
        <f t="shared" si="2"/>
        <v>301</v>
      </c>
      <c r="J16" s="50" t="s">
        <v>59</v>
      </c>
      <c r="K16" s="51"/>
      <c r="L16" s="55" t="s">
        <v>60</v>
      </c>
      <c r="M16" s="53" t="s">
        <v>61</v>
      </c>
      <c r="N16" s="54" t="s">
        <v>62</v>
      </c>
      <c r="O16" s="33"/>
    </row>
    <row r="17" ht="75.0" customHeight="1">
      <c r="A17" s="33"/>
      <c r="B17" s="43">
        <f t="shared" si="1"/>
        <v>334</v>
      </c>
      <c r="C17" s="44" t="s">
        <v>63</v>
      </c>
      <c r="D17" s="45"/>
      <c r="E17" s="46" t="s">
        <v>64</v>
      </c>
      <c r="F17" s="56" t="s">
        <v>65</v>
      </c>
      <c r="G17" s="48" t="s">
        <v>66</v>
      </c>
      <c r="H17" s="33"/>
      <c r="I17" s="49">
        <f t="shared" si="2"/>
        <v>300</v>
      </c>
      <c r="J17" s="50" t="s">
        <v>67</v>
      </c>
      <c r="K17" s="51"/>
      <c r="L17" s="52" t="s">
        <v>68</v>
      </c>
      <c r="M17" s="53" t="s">
        <v>61</v>
      </c>
      <c r="N17" s="54" t="s">
        <v>69</v>
      </c>
      <c r="O17" s="33"/>
    </row>
    <row r="18" ht="75.0" customHeight="1">
      <c r="A18" s="33"/>
      <c r="B18" s="43">
        <f t="shared" si="1"/>
        <v>333</v>
      </c>
      <c r="C18" s="44" t="s">
        <v>70</v>
      </c>
      <c r="D18" s="45"/>
      <c r="E18" s="46" t="s">
        <v>71</v>
      </c>
      <c r="F18" s="56" t="s">
        <v>72</v>
      </c>
      <c r="G18" s="48" t="s">
        <v>73</v>
      </c>
      <c r="H18" s="33"/>
      <c r="I18" s="49">
        <f t="shared" si="2"/>
        <v>299</v>
      </c>
      <c r="J18" s="50" t="s">
        <v>74</v>
      </c>
      <c r="K18" s="51"/>
      <c r="L18" s="52" t="s">
        <v>75</v>
      </c>
      <c r="M18" s="53" t="s">
        <v>76</v>
      </c>
      <c r="N18" s="54" t="s">
        <v>77</v>
      </c>
      <c r="O18" s="33"/>
    </row>
    <row r="19" ht="75.0" customHeight="1">
      <c r="A19" s="33"/>
      <c r="B19" s="43">
        <f t="shared" si="1"/>
        <v>332</v>
      </c>
      <c r="C19" s="44" t="s">
        <v>78</v>
      </c>
      <c r="D19" s="45"/>
      <c r="E19" s="46" t="s">
        <v>79</v>
      </c>
      <c r="F19" s="56" t="s">
        <v>80</v>
      </c>
      <c r="G19" s="48" t="s">
        <v>81</v>
      </c>
      <c r="H19" s="33"/>
      <c r="I19" s="49">
        <f t="shared" si="2"/>
        <v>298</v>
      </c>
      <c r="J19" s="50" t="s">
        <v>82</v>
      </c>
      <c r="K19" s="51"/>
      <c r="L19" s="52" t="s">
        <v>83</v>
      </c>
      <c r="M19" s="53" t="s">
        <v>84</v>
      </c>
      <c r="N19" s="54" t="s">
        <v>85</v>
      </c>
      <c r="O19" s="33"/>
    </row>
    <row r="20" ht="75.0" customHeight="1">
      <c r="A20" s="33"/>
      <c r="B20" s="43">
        <f t="shared" si="1"/>
        <v>331</v>
      </c>
      <c r="C20" s="44" t="s">
        <v>86</v>
      </c>
      <c r="D20" s="45"/>
      <c r="E20" s="46" t="s">
        <v>87</v>
      </c>
      <c r="F20" s="56" t="s">
        <v>88</v>
      </c>
      <c r="G20" s="48" t="s">
        <v>89</v>
      </c>
      <c r="H20" s="33"/>
      <c r="I20" s="49">
        <f t="shared" si="2"/>
        <v>297</v>
      </c>
      <c r="J20" s="50" t="s">
        <v>90</v>
      </c>
      <c r="K20" s="51"/>
      <c r="L20" s="52" t="s">
        <v>91</v>
      </c>
      <c r="M20" s="53" t="s">
        <v>72</v>
      </c>
      <c r="N20" s="54" t="s">
        <v>92</v>
      </c>
      <c r="O20" s="33"/>
    </row>
    <row r="21" ht="75.0" customHeight="1">
      <c r="A21" s="33"/>
      <c r="B21" s="43">
        <f t="shared" si="1"/>
        <v>330</v>
      </c>
      <c r="C21" s="44" t="s">
        <v>93</v>
      </c>
      <c r="D21" s="45"/>
      <c r="E21" s="46" t="s">
        <v>24</v>
      </c>
      <c r="F21" s="56" t="s">
        <v>94</v>
      </c>
      <c r="G21" s="48" t="s">
        <v>95</v>
      </c>
      <c r="H21" s="33"/>
      <c r="I21" s="49">
        <f t="shared" si="2"/>
        <v>296</v>
      </c>
      <c r="J21" s="50" t="s">
        <v>96</v>
      </c>
      <c r="K21" s="51"/>
      <c r="L21" s="52" t="s">
        <v>97</v>
      </c>
      <c r="M21" s="53" t="s">
        <v>72</v>
      </c>
      <c r="N21" s="54" t="s">
        <v>98</v>
      </c>
      <c r="O21" s="33"/>
    </row>
    <row r="22" ht="75.0" customHeight="1">
      <c r="A22" s="33"/>
      <c r="B22" s="43">
        <f t="shared" si="1"/>
        <v>329</v>
      </c>
      <c r="C22" s="44" t="s">
        <v>99</v>
      </c>
      <c r="D22" s="45"/>
      <c r="E22" s="46" t="s">
        <v>87</v>
      </c>
      <c r="F22" s="56" t="s">
        <v>100</v>
      </c>
      <c r="G22" s="48" t="s">
        <v>101</v>
      </c>
      <c r="H22" s="33"/>
      <c r="I22" s="49">
        <f t="shared" si="2"/>
        <v>295</v>
      </c>
      <c r="J22" s="50" t="s">
        <v>102</v>
      </c>
      <c r="K22" s="51"/>
      <c r="L22" s="55" t="s">
        <v>103</v>
      </c>
      <c r="M22" s="53" t="s">
        <v>57</v>
      </c>
      <c r="N22" s="54" t="s">
        <v>104</v>
      </c>
      <c r="O22" s="33"/>
    </row>
    <row r="23" ht="75.0" customHeight="1">
      <c r="A23" s="33"/>
      <c r="B23" s="43">
        <f t="shared" si="1"/>
        <v>328</v>
      </c>
      <c r="C23" s="44" t="s">
        <v>105</v>
      </c>
      <c r="D23" s="45"/>
      <c r="E23" s="46" t="s">
        <v>106</v>
      </c>
      <c r="F23" s="56" t="s">
        <v>107</v>
      </c>
      <c r="G23" s="48" t="s">
        <v>108</v>
      </c>
      <c r="H23" s="33"/>
      <c r="I23" s="49">
        <f t="shared" si="2"/>
        <v>294</v>
      </c>
      <c r="J23" s="50" t="s">
        <v>109</v>
      </c>
      <c r="K23" s="51"/>
      <c r="L23" s="52" t="s">
        <v>34</v>
      </c>
      <c r="M23" s="53" t="s">
        <v>110</v>
      </c>
      <c r="N23" s="54" t="s">
        <v>111</v>
      </c>
      <c r="O23" s="33"/>
    </row>
    <row r="24" ht="75.0" customHeight="1">
      <c r="A24" s="33"/>
      <c r="B24" s="43">
        <f t="shared" si="1"/>
        <v>327</v>
      </c>
      <c r="C24" s="44" t="s">
        <v>112</v>
      </c>
      <c r="D24" s="45"/>
      <c r="E24" s="46" t="s">
        <v>113</v>
      </c>
      <c r="F24" s="56" t="s">
        <v>114</v>
      </c>
      <c r="G24" s="48" t="s">
        <v>115</v>
      </c>
      <c r="H24" s="33"/>
      <c r="I24" s="49">
        <f t="shared" si="2"/>
        <v>293</v>
      </c>
      <c r="J24" s="50" t="s">
        <v>116</v>
      </c>
      <c r="K24" s="51"/>
      <c r="L24" s="55" t="s">
        <v>117</v>
      </c>
      <c r="M24" s="53" t="s">
        <v>65</v>
      </c>
      <c r="N24" s="54" t="s">
        <v>118</v>
      </c>
      <c r="O24" s="33"/>
    </row>
    <row r="25" ht="75.0" customHeight="1">
      <c r="A25" s="33"/>
      <c r="B25" s="43">
        <f t="shared" si="1"/>
        <v>326</v>
      </c>
      <c r="C25" s="44" t="s">
        <v>119</v>
      </c>
      <c r="D25" s="45"/>
      <c r="E25" s="46" t="s">
        <v>113</v>
      </c>
      <c r="F25" s="56" t="s">
        <v>120</v>
      </c>
      <c r="G25" s="48" t="s">
        <v>121</v>
      </c>
      <c r="H25" s="33"/>
      <c r="I25" s="49">
        <f t="shared" si="2"/>
        <v>292</v>
      </c>
      <c r="J25" s="50" t="s">
        <v>122</v>
      </c>
      <c r="K25" s="51"/>
      <c r="L25" s="52" t="s">
        <v>123</v>
      </c>
      <c r="M25" s="53" t="s">
        <v>107</v>
      </c>
      <c r="N25" s="54" t="s">
        <v>124</v>
      </c>
      <c r="O25" s="33"/>
    </row>
    <row r="26" ht="75.0" customHeight="1">
      <c r="A26" s="33"/>
      <c r="B26" s="43">
        <f t="shared" si="1"/>
        <v>325</v>
      </c>
      <c r="C26" s="44" t="s">
        <v>125</v>
      </c>
      <c r="D26" s="45"/>
      <c r="E26" s="46" t="s">
        <v>79</v>
      </c>
      <c r="F26" s="56" t="s">
        <v>126</v>
      </c>
      <c r="G26" s="48" t="s">
        <v>127</v>
      </c>
      <c r="H26" s="33"/>
      <c r="I26" s="49">
        <f t="shared" si="2"/>
        <v>291</v>
      </c>
      <c r="J26" s="50" t="s">
        <v>128</v>
      </c>
      <c r="K26" s="51"/>
      <c r="L26" s="55" t="s">
        <v>129</v>
      </c>
      <c r="M26" s="53" t="s">
        <v>130</v>
      </c>
      <c r="N26" s="54" t="s">
        <v>131</v>
      </c>
      <c r="O26" s="33"/>
    </row>
    <row r="27" ht="75.0" customHeight="1">
      <c r="A27" s="33"/>
      <c r="B27" s="43">
        <f t="shared" si="1"/>
        <v>324</v>
      </c>
      <c r="C27" s="44" t="s">
        <v>132</v>
      </c>
      <c r="D27" s="45"/>
      <c r="E27" s="57" t="s">
        <v>71</v>
      </c>
      <c r="F27" s="56" t="s">
        <v>133</v>
      </c>
      <c r="G27" s="48" t="s">
        <v>134</v>
      </c>
      <c r="H27" s="33"/>
      <c r="I27" s="49">
        <f t="shared" si="2"/>
        <v>290</v>
      </c>
      <c r="J27" s="50" t="s">
        <v>135</v>
      </c>
      <c r="K27" s="51"/>
      <c r="L27" s="52" t="s">
        <v>136</v>
      </c>
      <c r="M27" s="53" t="s">
        <v>100</v>
      </c>
      <c r="N27" s="54" t="s">
        <v>137</v>
      </c>
      <c r="O27" s="33"/>
    </row>
    <row r="28" ht="75.0" customHeight="1">
      <c r="A28" s="33"/>
      <c r="B28" s="43">
        <f t="shared" si="1"/>
        <v>323</v>
      </c>
      <c r="C28" s="44" t="s">
        <v>138</v>
      </c>
      <c r="D28" s="45"/>
      <c r="E28" s="46" t="s">
        <v>139</v>
      </c>
      <c r="F28" s="58" t="s">
        <v>140</v>
      </c>
      <c r="G28" s="48" t="s">
        <v>141</v>
      </c>
      <c r="H28" s="33"/>
      <c r="I28" s="49">
        <f t="shared" si="2"/>
        <v>289</v>
      </c>
      <c r="J28" s="50" t="s">
        <v>142</v>
      </c>
      <c r="K28" s="51"/>
      <c r="L28" s="52" t="s">
        <v>143</v>
      </c>
      <c r="M28" s="53" t="s">
        <v>144</v>
      </c>
      <c r="N28" s="54" t="s">
        <v>145</v>
      </c>
      <c r="O28" s="33"/>
    </row>
    <row r="29" ht="75.0" customHeight="1">
      <c r="A29" s="33"/>
      <c r="B29" s="43">
        <f t="shared" si="1"/>
        <v>322</v>
      </c>
      <c r="C29" s="44" t="s">
        <v>146</v>
      </c>
      <c r="D29" s="45"/>
      <c r="E29" s="46" t="s">
        <v>87</v>
      </c>
      <c r="F29" s="58" t="s">
        <v>147</v>
      </c>
      <c r="G29" s="48" t="s">
        <v>148</v>
      </c>
      <c r="H29" s="33"/>
      <c r="I29" s="49">
        <f t="shared" si="2"/>
        <v>288</v>
      </c>
      <c r="J29" s="50" t="s">
        <v>149</v>
      </c>
      <c r="K29" s="51"/>
      <c r="L29" s="52" t="s">
        <v>150</v>
      </c>
      <c r="M29" s="53" t="s">
        <v>144</v>
      </c>
      <c r="N29" s="54" t="s">
        <v>151</v>
      </c>
      <c r="O29" s="33"/>
    </row>
    <row r="30" ht="75.0" customHeight="1">
      <c r="A30" s="33"/>
      <c r="B30" s="43">
        <f t="shared" si="1"/>
        <v>321</v>
      </c>
      <c r="C30" s="44" t="s">
        <v>152</v>
      </c>
      <c r="D30" s="45"/>
      <c r="E30" s="46" t="s">
        <v>56</v>
      </c>
      <c r="F30" s="58" t="s">
        <v>153</v>
      </c>
      <c r="G30" s="48" t="s">
        <v>154</v>
      </c>
      <c r="H30" s="33"/>
      <c r="I30" s="49">
        <f t="shared" si="2"/>
        <v>287</v>
      </c>
      <c r="J30" s="50" t="s">
        <v>155</v>
      </c>
      <c r="K30" s="51"/>
      <c r="L30" s="52" t="s">
        <v>156</v>
      </c>
      <c r="M30" s="53" t="s">
        <v>157</v>
      </c>
      <c r="N30" s="54" t="s">
        <v>158</v>
      </c>
      <c r="O30" s="33"/>
    </row>
    <row r="31" ht="75.0" customHeight="1">
      <c r="A31" s="33"/>
      <c r="B31" s="43">
        <f t="shared" si="1"/>
        <v>320</v>
      </c>
      <c r="C31" s="44" t="s">
        <v>159</v>
      </c>
      <c r="D31" s="45"/>
      <c r="E31" s="57" t="s">
        <v>75</v>
      </c>
      <c r="F31" s="58" t="s">
        <v>160</v>
      </c>
      <c r="G31" s="48" t="s">
        <v>161</v>
      </c>
      <c r="H31" s="33"/>
      <c r="I31" s="49">
        <f t="shared" si="2"/>
        <v>286</v>
      </c>
      <c r="J31" s="50" t="s">
        <v>162</v>
      </c>
      <c r="K31" s="51"/>
      <c r="L31" s="52" t="s">
        <v>97</v>
      </c>
      <c r="M31" s="53" t="s">
        <v>163</v>
      </c>
      <c r="N31" s="54" t="s">
        <v>164</v>
      </c>
      <c r="O31" s="33"/>
    </row>
    <row r="32" ht="75.0" customHeight="1">
      <c r="A32" s="33"/>
      <c r="B32" s="43">
        <f t="shared" si="1"/>
        <v>319</v>
      </c>
      <c r="C32" s="44" t="s">
        <v>165</v>
      </c>
      <c r="D32" s="45"/>
      <c r="E32" s="46" t="s">
        <v>87</v>
      </c>
      <c r="F32" s="58" t="s">
        <v>166</v>
      </c>
      <c r="G32" s="48" t="s">
        <v>167</v>
      </c>
      <c r="H32" s="33"/>
      <c r="I32" s="49">
        <f t="shared" si="2"/>
        <v>285</v>
      </c>
      <c r="J32" s="50" t="s">
        <v>168</v>
      </c>
      <c r="K32" s="51"/>
      <c r="L32" s="52" t="s">
        <v>169</v>
      </c>
      <c r="M32" s="53" t="s">
        <v>170</v>
      </c>
      <c r="N32" s="54" t="s">
        <v>171</v>
      </c>
      <c r="O32" s="33"/>
    </row>
    <row r="33" ht="75.0" customHeight="1">
      <c r="A33" s="33"/>
      <c r="B33" s="43">
        <f t="shared" si="1"/>
        <v>318</v>
      </c>
      <c r="C33" s="44" t="s">
        <v>172</v>
      </c>
      <c r="D33" s="45"/>
      <c r="E33" s="46" t="s">
        <v>173</v>
      </c>
      <c r="F33" s="58" t="s">
        <v>174</v>
      </c>
      <c r="G33" s="48" t="s">
        <v>175</v>
      </c>
      <c r="H33" s="33"/>
      <c r="I33" s="49">
        <f t="shared" si="2"/>
        <v>284</v>
      </c>
      <c r="J33" s="50" t="s">
        <v>176</v>
      </c>
      <c r="K33" s="51"/>
      <c r="L33" s="52" t="s">
        <v>177</v>
      </c>
      <c r="M33" s="53" t="s">
        <v>178</v>
      </c>
      <c r="N33" s="54" t="s">
        <v>179</v>
      </c>
      <c r="O33" s="33"/>
    </row>
    <row r="34" ht="75.0" customHeight="1">
      <c r="A34" s="33"/>
      <c r="B34" s="43">
        <f t="shared" si="1"/>
        <v>317</v>
      </c>
      <c r="C34" s="44" t="s">
        <v>180</v>
      </c>
      <c r="D34" s="45"/>
      <c r="E34" s="46" t="s">
        <v>49</v>
      </c>
      <c r="F34" s="58" t="s">
        <v>181</v>
      </c>
      <c r="G34" s="48" t="s">
        <v>182</v>
      </c>
      <c r="H34" s="33"/>
      <c r="I34" s="49">
        <f t="shared" si="2"/>
        <v>283</v>
      </c>
      <c r="J34" s="50" t="s">
        <v>183</v>
      </c>
      <c r="K34" s="51"/>
      <c r="L34" s="52" t="s">
        <v>53</v>
      </c>
      <c r="M34" s="53" t="s">
        <v>184</v>
      </c>
      <c r="N34" s="54" t="s">
        <v>185</v>
      </c>
      <c r="O34" s="33"/>
    </row>
    <row r="35" ht="75.0" customHeight="1">
      <c r="A35" s="33"/>
      <c r="B35" s="43">
        <f t="shared" si="1"/>
        <v>316</v>
      </c>
      <c r="C35" s="44" t="s">
        <v>186</v>
      </c>
      <c r="D35" s="45"/>
      <c r="E35" s="46" t="s">
        <v>97</v>
      </c>
      <c r="F35" s="58" t="s">
        <v>187</v>
      </c>
      <c r="G35" s="48" t="s">
        <v>188</v>
      </c>
      <c r="H35" s="33"/>
      <c r="I35" s="49">
        <f t="shared" si="2"/>
        <v>282</v>
      </c>
      <c r="J35" s="50" t="s">
        <v>189</v>
      </c>
      <c r="K35" s="51"/>
      <c r="L35" s="52" t="s">
        <v>190</v>
      </c>
      <c r="M35" s="53" t="s">
        <v>191</v>
      </c>
      <c r="N35" s="54" t="s">
        <v>192</v>
      </c>
      <c r="O35" s="33"/>
    </row>
    <row r="36" ht="75.0" customHeight="1">
      <c r="A36" s="33"/>
      <c r="B36" s="43">
        <f t="shared" si="1"/>
        <v>315</v>
      </c>
      <c r="C36" s="44" t="s">
        <v>193</v>
      </c>
      <c r="D36" s="45"/>
      <c r="E36" s="46" t="s">
        <v>87</v>
      </c>
      <c r="F36" s="58" t="s">
        <v>194</v>
      </c>
      <c r="G36" s="48" t="s">
        <v>195</v>
      </c>
      <c r="H36" s="33"/>
      <c r="I36" s="49">
        <f t="shared" si="2"/>
        <v>281</v>
      </c>
      <c r="J36" s="50" t="s">
        <v>196</v>
      </c>
      <c r="K36" s="51"/>
      <c r="L36" s="55" t="s">
        <v>197</v>
      </c>
      <c r="M36" s="53" t="s">
        <v>198</v>
      </c>
      <c r="N36" s="54" t="s">
        <v>199</v>
      </c>
      <c r="O36" s="33"/>
    </row>
    <row r="37" ht="75.0" customHeight="1">
      <c r="A37" s="33"/>
      <c r="B37" s="43">
        <f t="shared" si="1"/>
        <v>314</v>
      </c>
      <c r="C37" s="44" t="s">
        <v>200</v>
      </c>
      <c r="D37" s="59"/>
      <c r="E37" s="46" t="s">
        <v>201</v>
      </c>
      <c r="F37" s="60" t="s">
        <v>194</v>
      </c>
      <c r="G37" s="48" t="s">
        <v>202</v>
      </c>
      <c r="H37" s="33"/>
      <c r="I37" s="49">
        <f t="shared" si="2"/>
        <v>280</v>
      </c>
      <c r="J37" s="50" t="s">
        <v>203</v>
      </c>
      <c r="K37" s="51"/>
      <c r="L37" s="52" t="s">
        <v>204</v>
      </c>
      <c r="M37" s="53" t="s">
        <v>198</v>
      </c>
      <c r="N37" s="54" t="s">
        <v>205</v>
      </c>
      <c r="O37" s="33"/>
    </row>
    <row r="38" ht="75.0" customHeight="1">
      <c r="A38" s="33"/>
      <c r="B38" s="43">
        <f t="shared" si="1"/>
        <v>313</v>
      </c>
      <c r="C38" s="44" t="s">
        <v>206</v>
      </c>
      <c r="D38" s="59"/>
      <c r="E38" s="46" t="s">
        <v>190</v>
      </c>
      <c r="F38" s="60" t="s">
        <v>194</v>
      </c>
      <c r="G38" s="48" t="s">
        <v>207</v>
      </c>
      <c r="H38" s="33"/>
      <c r="I38" s="49">
        <f t="shared" si="2"/>
        <v>279</v>
      </c>
      <c r="J38" s="50" t="s">
        <v>208</v>
      </c>
      <c r="K38" s="51"/>
      <c r="L38" s="55" t="s">
        <v>91</v>
      </c>
      <c r="M38" s="53" t="s">
        <v>209</v>
      </c>
      <c r="N38" s="54" t="s">
        <v>210</v>
      </c>
      <c r="O38" s="33"/>
    </row>
    <row r="39" ht="75.0" customHeight="1">
      <c r="A39" s="33"/>
      <c r="B39" s="43">
        <f t="shared" si="1"/>
        <v>312</v>
      </c>
      <c r="C39" s="44" t="s">
        <v>211</v>
      </c>
      <c r="D39" s="59"/>
      <c r="E39" s="61" t="s">
        <v>212</v>
      </c>
      <c r="F39" s="60" t="s">
        <v>213</v>
      </c>
      <c r="G39" s="48" t="s">
        <v>214</v>
      </c>
      <c r="H39" s="33"/>
      <c r="I39" s="49">
        <f t="shared" si="2"/>
        <v>278</v>
      </c>
      <c r="J39" s="50" t="s">
        <v>215</v>
      </c>
      <c r="K39" s="51"/>
      <c r="L39" s="55" t="s">
        <v>216</v>
      </c>
      <c r="M39" s="53" t="s">
        <v>217</v>
      </c>
      <c r="N39" s="54" t="s">
        <v>218</v>
      </c>
      <c r="O39" s="33"/>
    </row>
    <row r="40" ht="75.0" customHeight="1">
      <c r="A40" s="33"/>
      <c r="B40" s="43">
        <f t="shared" si="1"/>
        <v>311</v>
      </c>
      <c r="C40" s="44" t="s">
        <v>219</v>
      </c>
      <c r="D40" s="59"/>
      <c r="E40" s="62" t="s">
        <v>190</v>
      </c>
      <c r="F40" s="60" t="s">
        <v>220</v>
      </c>
      <c r="G40" s="48" t="s">
        <v>221</v>
      </c>
      <c r="H40" s="33"/>
      <c r="I40" s="49">
        <f t="shared" si="2"/>
        <v>277</v>
      </c>
      <c r="J40" s="50" t="s">
        <v>222</v>
      </c>
      <c r="K40" s="51"/>
      <c r="L40" s="55" t="s">
        <v>156</v>
      </c>
      <c r="M40" s="53" t="s">
        <v>223</v>
      </c>
      <c r="N40" s="42" t="s">
        <v>224</v>
      </c>
      <c r="O40" s="33"/>
    </row>
    <row r="41" ht="75.0" customHeight="1">
      <c r="A41" s="33"/>
      <c r="B41" s="43">
        <f t="shared" si="1"/>
        <v>310</v>
      </c>
      <c r="C41" s="44" t="s">
        <v>225</v>
      </c>
      <c r="D41" s="59"/>
      <c r="E41" s="63" t="s">
        <v>226</v>
      </c>
      <c r="F41" s="60" t="s">
        <v>227</v>
      </c>
      <c r="G41" s="64" t="s">
        <v>228</v>
      </c>
      <c r="H41" s="33"/>
      <c r="I41" s="49">
        <f t="shared" si="2"/>
        <v>276</v>
      </c>
      <c r="J41" s="50" t="s">
        <v>229</v>
      </c>
      <c r="K41" s="51"/>
      <c r="L41" s="52" t="s">
        <v>230</v>
      </c>
      <c r="M41" s="53" t="s">
        <v>100</v>
      </c>
      <c r="N41" s="42" t="s">
        <v>231</v>
      </c>
      <c r="O41" s="33"/>
    </row>
    <row r="42" ht="75.0" customHeight="1">
      <c r="A42" s="33"/>
      <c r="B42" s="43">
        <f t="shared" si="1"/>
        <v>309</v>
      </c>
      <c r="C42" s="44" t="s">
        <v>232</v>
      </c>
      <c r="D42" s="59"/>
      <c r="E42" s="62" t="s">
        <v>233</v>
      </c>
      <c r="F42" s="60" t="s">
        <v>234</v>
      </c>
      <c r="G42" s="64" t="s">
        <v>235</v>
      </c>
      <c r="H42" s="33"/>
      <c r="I42" s="49">
        <f t="shared" si="2"/>
        <v>275</v>
      </c>
      <c r="J42" s="50" t="s">
        <v>236</v>
      </c>
      <c r="K42" s="51"/>
      <c r="L42" s="55" t="s">
        <v>237</v>
      </c>
      <c r="M42" s="53" t="s">
        <v>174</v>
      </c>
      <c r="N42" s="42" t="s">
        <v>238</v>
      </c>
      <c r="O42" s="33"/>
    </row>
    <row r="43" ht="75.0" customHeight="1">
      <c r="A43" s="33"/>
      <c r="B43" s="43">
        <f t="shared" si="1"/>
        <v>308</v>
      </c>
      <c r="C43" s="44" t="s">
        <v>239</v>
      </c>
      <c r="D43" s="59"/>
      <c r="E43" s="62" t="s">
        <v>240</v>
      </c>
      <c r="F43" s="60" t="s">
        <v>178</v>
      </c>
      <c r="G43" s="64" t="s">
        <v>241</v>
      </c>
      <c r="H43" s="33"/>
      <c r="I43" s="49">
        <f t="shared" si="2"/>
        <v>274</v>
      </c>
      <c r="J43" s="50" t="s">
        <v>242</v>
      </c>
      <c r="K43" s="65"/>
      <c r="L43" s="52" t="s">
        <v>243</v>
      </c>
      <c r="M43" s="53" t="s">
        <v>244</v>
      </c>
      <c r="N43" s="54" t="s">
        <v>245</v>
      </c>
      <c r="O43" s="33"/>
    </row>
    <row r="44" ht="75.0" customHeight="1">
      <c r="A44" s="33"/>
      <c r="B44" s="43">
        <f t="shared" si="1"/>
        <v>307</v>
      </c>
      <c r="C44" s="44" t="s">
        <v>246</v>
      </c>
      <c r="D44" s="59"/>
      <c r="E44" s="62" t="s">
        <v>212</v>
      </c>
      <c r="F44" s="60" t="s">
        <v>247</v>
      </c>
      <c r="G44" s="64" t="s">
        <v>248</v>
      </c>
      <c r="H44" s="33"/>
      <c r="I44" s="49">
        <f t="shared" si="2"/>
        <v>273</v>
      </c>
      <c r="J44" s="66" t="s">
        <v>249</v>
      </c>
      <c r="K44" s="65"/>
      <c r="L44" s="55" t="s">
        <v>53</v>
      </c>
      <c r="M44" s="53" t="s">
        <v>250</v>
      </c>
      <c r="N44" s="64" t="s">
        <v>251</v>
      </c>
      <c r="O44" s="33"/>
    </row>
    <row r="45" ht="75.0" customHeight="1">
      <c r="A45" s="33"/>
      <c r="B45" s="43">
        <f t="shared" si="1"/>
        <v>306</v>
      </c>
      <c r="C45" s="44" t="s">
        <v>252</v>
      </c>
      <c r="D45" s="59"/>
      <c r="E45" s="46" t="s">
        <v>253</v>
      </c>
      <c r="F45" s="56" t="s">
        <v>254</v>
      </c>
      <c r="G45" s="64" t="s">
        <v>255</v>
      </c>
      <c r="H45" s="33"/>
      <c r="I45" s="49">
        <f t="shared" si="2"/>
        <v>272</v>
      </c>
      <c r="J45" s="50" t="s">
        <v>256</v>
      </c>
      <c r="K45" s="65"/>
      <c r="L45" s="55" t="s">
        <v>257</v>
      </c>
      <c r="M45" s="53" t="s">
        <v>258</v>
      </c>
      <c r="N45" s="64" t="s">
        <v>259</v>
      </c>
      <c r="O45" s="33"/>
    </row>
    <row r="46" ht="75.0" customHeight="1">
      <c r="A46" s="33"/>
      <c r="B46" s="43">
        <f t="shared" si="1"/>
        <v>305</v>
      </c>
      <c r="C46" s="44" t="s">
        <v>260</v>
      </c>
      <c r="D46" s="59"/>
      <c r="E46" s="62" t="s">
        <v>87</v>
      </c>
      <c r="F46" s="56" t="s">
        <v>261</v>
      </c>
      <c r="G46" s="64" t="s">
        <v>262</v>
      </c>
      <c r="H46" s="33"/>
      <c r="I46" s="49">
        <f t="shared" si="2"/>
        <v>271</v>
      </c>
      <c r="J46" s="50" t="s">
        <v>263</v>
      </c>
      <c r="K46" s="65"/>
      <c r="L46" s="55" t="s">
        <v>264</v>
      </c>
      <c r="M46" s="53" t="s">
        <v>265</v>
      </c>
      <c r="N46" s="64" t="s">
        <v>266</v>
      </c>
      <c r="O46" s="33"/>
    </row>
    <row r="47" ht="75.0" customHeight="1">
      <c r="A47" s="33"/>
      <c r="B47" s="43">
        <f t="shared" si="1"/>
        <v>304</v>
      </c>
      <c r="C47" s="44" t="s">
        <v>267</v>
      </c>
      <c r="D47" s="59"/>
      <c r="E47" s="46" t="s">
        <v>53</v>
      </c>
      <c r="F47" s="56" t="s">
        <v>268</v>
      </c>
      <c r="G47" s="64" t="s">
        <v>269</v>
      </c>
      <c r="H47" s="33"/>
      <c r="I47" s="49">
        <f t="shared" si="2"/>
        <v>270</v>
      </c>
      <c r="J47" s="50" t="s">
        <v>270</v>
      </c>
      <c r="K47" s="65"/>
      <c r="L47" s="55" t="s">
        <v>271</v>
      </c>
      <c r="M47" s="53" t="s">
        <v>247</v>
      </c>
      <c r="N47" s="64" t="s">
        <v>272</v>
      </c>
      <c r="O47" s="33"/>
    </row>
    <row r="48" ht="75.0" customHeight="1">
      <c r="A48" s="33"/>
      <c r="B48" s="43">
        <f t="shared" si="1"/>
        <v>303</v>
      </c>
      <c r="C48" s="44" t="s">
        <v>273</v>
      </c>
      <c r="D48" s="59"/>
      <c r="E48" s="46" t="s">
        <v>106</v>
      </c>
      <c r="F48" s="56" t="s">
        <v>144</v>
      </c>
      <c r="G48" s="64" t="s">
        <v>274</v>
      </c>
      <c r="H48" s="33"/>
      <c r="I48" s="49">
        <f t="shared" si="2"/>
        <v>269</v>
      </c>
      <c r="J48" s="50" t="s">
        <v>275</v>
      </c>
      <c r="K48" s="65"/>
      <c r="L48" s="55" t="s">
        <v>190</v>
      </c>
      <c r="M48" s="53" t="s">
        <v>178</v>
      </c>
      <c r="N48" s="64" t="s">
        <v>276</v>
      </c>
      <c r="O48" s="33"/>
    </row>
    <row r="49" ht="75.0" customHeight="1">
      <c r="A49" s="33"/>
      <c r="B49" s="43">
        <f t="shared" si="1"/>
        <v>302</v>
      </c>
      <c r="C49" s="44" t="s">
        <v>277</v>
      </c>
      <c r="D49" s="59"/>
      <c r="E49" s="46" t="s">
        <v>278</v>
      </c>
      <c r="F49" s="56" t="s">
        <v>144</v>
      </c>
      <c r="G49" s="64" t="s">
        <v>279</v>
      </c>
      <c r="H49" s="33"/>
      <c r="I49" s="49">
        <f t="shared" si="2"/>
        <v>268</v>
      </c>
      <c r="J49" s="50" t="s">
        <v>280</v>
      </c>
      <c r="K49" s="65"/>
      <c r="L49" s="52" t="s">
        <v>281</v>
      </c>
      <c r="M49" s="53" t="s">
        <v>247</v>
      </c>
      <c r="N49" s="64" t="s">
        <v>282</v>
      </c>
      <c r="O49" s="33"/>
    </row>
    <row r="50" ht="75.0" customHeight="1">
      <c r="A50" s="33"/>
      <c r="B50" s="43">
        <f t="shared" si="1"/>
        <v>301</v>
      </c>
      <c r="C50" s="44" t="s">
        <v>283</v>
      </c>
      <c r="D50" s="59"/>
      <c r="E50" s="46" t="s">
        <v>97</v>
      </c>
      <c r="F50" s="56" t="s">
        <v>284</v>
      </c>
      <c r="G50" s="64" t="s">
        <v>285</v>
      </c>
      <c r="H50" s="33"/>
      <c r="I50" s="49">
        <f t="shared" si="2"/>
        <v>267</v>
      </c>
      <c r="J50" s="50" t="s">
        <v>286</v>
      </c>
      <c r="K50" s="65"/>
      <c r="L50" s="52" t="s">
        <v>287</v>
      </c>
      <c r="M50" s="53" t="s">
        <v>247</v>
      </c>
      <c r="N50" s="64" t="s">
        <v>288</v>
      </c>
      <c r="O50" s="33"/>
    </row>
    <row r="51" ht="75.0" customHeight="1">
      <c r="A51" s="33"/>
      <c r="B51" s="43">
        <f t="shared" si="1"/>
        <v>300</v>
      </c>
      <c r="C51" s="44" t="s">
        <v>289</v>
      </c>
      <c r="D51" s="59"/>
      <c r="E51" s="46" t="s">
        <v>290</v>
      </c>
      <c r="F51" s="56" t="s">
        <v>144</v>
      </c>
      <c r="G51" s="64" t="s">
        <v>291</v>
      </c>
      <c r="H51" s="33"/>
      <c r="I51" s="49">
        <f t="shared" si="2"/>
        <v>266</v>
      </c>
      <c r="J51" s="50" t="s">
        <v>292</v>
      </c>
      <c r="K51" s="65"/>
      <c r="L51" s="52" t="s">
        <v>293</v>
      </c>
      <c r="M51" s="53" t="s">
        <v>294</v>
      </c>
      <c r="N51" s="64" t="s">
        <v>295</v>
      </c>
      <c r="O51" s="33"/>
    </row>
    <row r="52" ht="75.0" customHeight="1">
      <c r="A52" s="33"/>
      <c r="B52" s="43">
        <f t="shared" si="1"/>
        <v>299</v>
      </c>
      <c r="C52" s="44" t="s">
        <v>296</v>
      </c>
      <c r="D52" s="59"/>
      <c r="E52" s="46" t="s">
        <v>16</v>
      </c>
      <c r="F52" s="56" t="s">
        <v>297</v>
      </c>
      <c r="G52" s="64" t="s">
        <v>298</v>
      </c>
      <c r="H52" s="33"/>
      <c r="I52" s="49">
        <f t="shared" si="2"/>
        <v>265</v>
      </c>
      <c r="J52" s="50" t="s">
        <v>299</v>
      </c>
      <c r="K52" s="65"/>
      <c r="L52" s="52" t="s">
        <v>150</v>
      </c>
      <c r="M52" s="53" t="s">
        <v>247</v>
      </c>
      <c r="N52" s="64" t="s">
        <v>300</v>
      </c>
      <c r="O52" s="33"/>
    </row>
    <row r="53" ht="75.0" customHeight="1">
      <c r="A53" s="33"/>
      <c r="B53" s="43">
        <f t="shared" si="1"/>
        <v>298</v>
      </c>
      <c r="C53" s="44" t="s">
        <v>301</v>
      </c>
      <c r="D53" s="59"/>
      <c r="E53" s="46" t="s">
        <v>87</v>
      </c>
      <c r="F53" s="56" t="s">
        <v>302</v>
      </c>
      <c r="G53" s="64" t="s">
        <v>303</v>
      </c>
      <c r="H53" s="33"/>
      <c r="I53" s="49">
        <f t="shared" si="2"/>
        <v>264</v>
      </c>
      <c r="J53" s="50" t="s">
        <v>304</v>
      </c>
      <c r="K53" s="65"/>
      <c r="L53" s="52" t="s">
        <v>305</v>
      </c>
      <c r="M53" s="53" t="s">
        <v>114</v>
      </c>
      <c r="N53" s="64" t="s">
        <v>306</v>
      </c>
      <c r="O53" s="33"/>
    </row>
    <row r="54" ht="75.0" customHeight="1">
      <c r="A54" s="33"/>
      <c r="B54" s="43">
        <f t="shared" si="1"/>
        <v>297</v>
      </c>
      <c r="C54" s="44" t="s">
        <v>307</v>
      </c>
      <c r="D54" s="59"/>
      <c r="E54" s="46" t="s">
        <v>240</v>
      </c>
      <c r="F54" s="56" t="s">
        <v>302</v>
      </c>
      <c r="G54" s="64" t="s">
        <v>308</v>
      </c>
      <c r="H54" s="33"/>
      <c r="I54" s="49">
        <f t="shared" si="2"/>
        <v>263</v>
      </c>
      <c r="J54" s="50" t="s">
        <v>309</v>
      </c>
      <c r="K54" s="65"/>
      <c r="L54" s="55" t="s">
        <v>310</v>
      </c>
      <c r="M54" s="53" t="s">
        <v>80</v>
      </c>
      <c r="N54" s="64" t="s">
        <v>311</v>
      </c>
      <c r="O54" s="33"/>
    </row>
    <row r="55" ht="75.0" customHeight="1">
      <c r="A55" s="33"/>
      <c r="B55" s="43">
        <f t="shared" si="1"/>
        <v>296</v>
      </c>
      <c r="C55" s="44" t="s">
        <v>312</v>
      </c>
      <c r="D55" s="59"/>
      <c r="E55" s="46" t="s">
        <v>53</v>
      </c>
      <c r="F55" s="56" t="s">
        <v>17</v>
      </c>
      <c r="G55" s="64" t="s">
        <v>313</v>
      </c>
      <c r="H55" s="33"/>
      <c r="I55" s="49">
        <f t="shared" si="2"/>
        <v>262</v>
      </c>
      <c r="J55" s="50" t="s">
        <v>314</v>
      </c>
      <c r="K55" s="65"/>
      <c r="L55" s="55" t="s">
        <v>315</v>
      </c>
      <c r="M55" s="53" t="s">
        <v>88</v>
      </c>
      <c r="N55" s="64" t="s">
        <v>316</v>
      </c>
      <c r="O55" s="33"/>
    </row>
    <row r="56" ht="75.0" customHeight="1">
      <c r="A56" s="33"/>
      <c r="B56" s="43">
        <f t="shared" si="1"/>
        <v>295</v>
      </c>
      <c r="C56" s="44" t="s">
        <v>317</v>
      </c>
      <c r="D56" s="59"/>
      <c r="E56" s="46" t="s">
        <v>318</v>
      </c>
      <c r="F56" s="56" t="s">
        <v>319</v>
      </c>
      <c r="G56" s="64" t="s">
        <v>320</v>
      </c>
      <c r="H56" s="33"/>
      <c r="I56" s="49">
        <f t="shared" si="2"/>
        <v>261</v>
      </c>
      <c r="J56" s="50" t="s">
        <v>321</v>
      </c>
      <c r="K56" s="65"/>
      <c r="L56" s="52" t="s">
        <v>204</v>
      </c>
      <c r="M56" s="53" t="s">
        <v>94</v>
      </c>
      <c r="N56" s="64" t="s">
        <v>322</v>
      </c>
      <c r="O56" s="33"/>
    </row>
    <row r="57" ht="75.0" customHeight="1">
      <c r="A57" s="33"/>
      <c r="B57" s="43">
        <f t="shared" si="1"/>
        <v>294</v>
      </c>
      <c r="C57" s="44" t="s">
        <v>323</v>
      </c>
      <c r="D57" s="59"/>
      <c r="E57" s="46" t="s">
        <v>324</v>
      </c>
      <c r="F57" s="56" t="s">
        <v>325</v>
      </c>
      <c r="G57" s="64" t="s">
        <v>326</v>
      </c>
      <c r="H57" s="33"/>
      <c r="I57" s="49">
        <f t="shared" si="2"/>
        <v>260</v>
      </c>
      <c r="J57" s="50" t="s">
        <v>327</v>
      </c>
      <c r="K57" s="65"/>
      <c r="L57" s="55" t="s">
        <v>328</v>
      </c>
      <c r="M57" s="53" t="s">
        <v>329</v>
      </c>
      <c r="N57" s="64" t="s">
        <v>330</v>
      </c>
      <c r="O57" s="33"/>
    </row>
    <row r="58" ht="75.0" customHeight="1">
      <c r="A58" s="33"/>
      <c r="B58" s="43">
        <f t="shared" si="1"/>
        <v>293</v>
      </c>
      <c r="C58" s="44" t="s">
        <v>331</v>
      </c>
      <c r="D58" s="59"/>
      <c r="E58" s="46" t="s">
        <v>53</v>
      </c>
      <c r="F58" s="56" t="s">
        <v>325</v>
      </c>
      <c r="G58" s="64" t="s">
        <v>332</v>
      </c>
      <c r="H58" s="33"/>
      <c r="I58" s="49">
        <f t="shared" si="2"/>
        <v>259</v>
      </c>
      <c r="J58" s="50" t="s">
        <v>333</v>
      </c>
      <c r="K58" s="65"/>
      <c r="L58" s="55" t="s">
        <v>334</v>
      </c>
      <c r="M58" s="53" t="s">
        <v>335</v>
      </c>
      <c r="N58" s="64" t="s">
        <v>336</v>
      </c>
      <c r="O58" s="33"/>
    </row>
    <row r="59" ht="75.0" customHeight="1">
      <c r="A59" s="33"/>
      <c r="B59" s="43">
        <f t="shared" si="1"/>
        <v>292</v>
      </c>
      <c r="C59" s="44" t="s">
        <v>337</v>
      </c>
      <c r="D59" s="59"/>
      <c r="E59" s="46" t="s">
        <v>216</v>
      </c>
      <c r="F59" s="56" t="s">
        <v>338</v>
      </c>
      <c r="G59" s="64" t="s">
        <v>339</v>
      </c>
      <c r="H59" s="33"/>
      <c r="I59" s="49">
        <f t="shared" si="2"/>
        <v>258</v>
      </c>
      <c r="J59" s="50" t="s">
        <v>340</v>
      </c>
      <c r="K59" s="65"/>
      <c r="L59" s="55" t="s">
        <v>341</v>
      </c>
      <c r="M59" s="53" t="s">
        <v>342</v>
      </c>
      <c r="N59" s="64" t="s">
        <v>343</v>
      </c>
      <c r="O59" s="33"/>
    </row>
    <row r="60" ht="75.0" customHeight="1">
      <c r="A60" s="33"/>
      <c r="B60" s="43">
        <f t="shared" si="1"/>
        <v>291</v>
      </c>
      <c r="C60" s="44" t="s">
        <v>344</v>
      </c>
      <c r="D60" s="59"/>
      <c r="E60" s="46" t="s">
        <v>212</v>
      </c>
      <c r="F60" s="56" t="s">
        <v>345</v>
      </c>
      <c r="G60" s="64" t="s">
        <v>346</v>
      </c>
      <c r="H60" s="33"/>
      <c r="I60" s="49">
        <f t="shared" si="2"/>
        <v>257</v>
      </c>
      <c r="J60" s="50" t="s">
        <v>347</v>
      </c>
      <c r="K60" s="65"/>
      <c r="L60" s="55" t="s">
        <v>348</v>
      </c>
      <c r="M60" s="53" t="s">
        <v>342</v>
      </c>
      <c r="N60" s="64" t="s">
        <v>349</v>
      </c>
      <c r="O60" s="33"/>
    </row>
    <row r="61" ht="75.0" customHeight="1">
      <c r="A61" s="33"/>
      <c r="B61" s="43">
        <f t="shared" si="1"/>
        <v>290</v>
      </c>
      <c r="C61" s="44" t="s">
        <v>350</v>
      </c>
      <c r="D61" s="59"/>
      <c r="E61" s="46" t="s">
        <v>87</v>
      </c>
      <c r="F61" s="56" t="s">
        <v>284</v>
      </c>
      <c r="G61" s="64" t="s">
        <v>351</v>
      </c>
      <c r="H61" s="33"/>
      <c r="I61" s="49">
        <f t="shared" si="2"/>
        <v>256</v>
      </c>
      <c r="J61" s="50" t="s">
        <v>352</v>
      </c>
      <c r="K61" s="65"/>
      <c r="L61" s="55" t="s">
        <v>353</v>
      </c>
      <c r="M61" s="53" t="s">
        <v>354</v>
      </c>
      <c r="N61" s="64" t="s">
        <v>355</v>
      </c>
      <c r="O61" s="33"/>
    </row>
    <row r="62" ht="75.0" customHeight="1">
      <c r="A62" s="33"/>
      <c r="B62" s="43">
        <f t="shared" si="1"/>
        <v>289</v>
      </c>
      <c r="C62" s="44" t="s">
        <v>356</v>
      </c>
      <c r="D62" s="59"/>
      <c r="E62" s="46" t="s">
        <v>136</v>
      </c>
      <c r="F62" s="56" t="s">
        <v>357</v>
      </c>
      <c r="G62" s="64" t="s">
        <v>358</v>
      </c>
      <c r="H62" s="33"/>
      <c r="I62" s="49">
        <f t="shared" si="2"/>
        <v>255</v>
      </c>
      <c r="J62" s="50" t="s">
        <v>359</v>
      </c>
      <c r="K62" s="65"/>
      <c r="L62" s="55" t="s">
        <v>360</v>
      </c>
      <c r="M62" s="53" t="s">
        <v>354</v>
      </c>
      <c r="N62" s="64" t="s">
        <v>361</v>
      </c>
      <c r="O62" s="33"/>
    </row>
    <row r="63" ht="75.0" customHeight="1">
      <c r="A63" s="33"/>
      <c r="B63" s="43">
        <f t="shared" si="1"/>
        <v>288</v>
      </c>
      <c r="C63" s="44" t="s">
        <v>362</v>
      </c>
      <c r="D63" s="59"/>
      <c r="E63" s="46" t="s">
        <v>106</v>
      </c>
      <c r="F63" s="56" t="s">
        <v>284</v>
      </c>
      <c r="G63" s="64" t="s">
        <v>363</v>
      </c>
      <c r="H63" s="33"/>
      <c r="I63" s="49">
        <f t="shared" si="2"/>
        <v>254</v>
      </c>
      <c r="J63" s="50" t="s">
        <v>364</v>
      </c>
      <c r="K63" s="65"/>
      <c r="L63" s="55" t="s">
        <v>365</v>
      </c>
      <c r="M63" s="53" t="s">
        <v>366</v>
      </c>
      <c r="N63" s="64" t="s">
        <v>367</v>
      </c>
      <c r="O63" s="33"/>
    </row>
    <row r="64" ht="75.0" customHeight="1">
      <c r="A64" s="33"/>
      <c r="B64" s="43">
        <f t="shared" si="1"/>
        <v>287</v>
      </c>
      <c r="C64" s="44" t="s">
        <v>368</v>
      </c>
      <c r="D64" s="59"/>
      <c r="E64" s="46" t="s">
        <v>212</v>
      </c>
      <c r="F64" s="56" t="s">
        <v>100</v>
      </c>
      <c r="G64" s="64" t="s">
        <v>369</v>
      </c>
      <c r="H64" s="33"/>
      <c r="I64" s="49">
        <f t="shared" si="2"/>
        <v>253</v>
      </c>
      <c r="J64" s="50" t="s">
        <v>370</v>
      </c>
      <c r="K64" s="65"/>
      <c r="L64" s="55" t="s">
        <v>38</v>
      </c>
      <c r="M64" s="53" t="s">
        <v>371</v>
      </c>
      <c r="N64" s="64" t="s">
        <v>372</v>
      </c>
      <c r="O64" s="33"/>
    </row>
    <row r="65" ht="75.0" customHeight="1">
      <c r="A65" s="33"/>
      <c r="B65" s="43">
        <f t="shared" si="1"/>
        <v>286</v>
      </c>
      <c r="C65" s="44" t="s">
        <v>373</v>
      </c>
      <c r="D65" s="59"/>
      <c r="E65" s="46" t="s">
        <v>97</v>
      </c>
      <c r="F65" s="56" t="s">
        <v>374</v>
      </c>
      <c r="G65" s="64" t="s">
        <v>375</v>
      </c>
      <c r="H65" s="33"/>
      <c r="I65" s="49">
        <f t="shared" si="2"/>
        <v>252</v>
      </c>
      <c r="J65" s="50" t="s">
        <v>376</v>
      </c>
      <c r="K65" s="65"/>
      <c r="L65" s="55" t="s">
        <v>377</v>
      </c>
      <c r="M65" s="53" t="s">
        <v>378</v>
      </c>
      <c r="N65" s="64" t="s">
        <v>379</v>
      </c>
      <c r="O65" s="33"/>
    </row>
    <row r="66" ht="75.0" customHeight="1">
      <c r="A66" s="33"/>
      <c r="B66" s="43">
        <f t="shared" si="1"/>
        <v>285</v>
      </c>
      <c r="C66" s="44" t="s">
        <v>380</v>
      </c>
      <c r="D66" s="59"/>
      <c r="E66" s="46" t="s">
        <v>381</v>
      </c>
      <c r="F66" s="56" t="s">
        <v>374</v>
      </c>
      <c r="G66" s="64" t="s">
        <v>382</v>
      </c>
      <c r="H66" s="33"/>
      <c r="I66" s="49">
        <f t="shared" si="2"/>
        <v>251</v>
      </c>
      <c r="J66" s="50" t="s">
        <v>383</v>
      </c>
      <c r="K66" s="65"/>
      <c r="L66" s="55" t="s">
        <v>240</v>
      </c>
      <c r="M66" s="53" t="s">
        <v>384</v>
      </c>
      <c r="N66" s="64" t="s">
        <v>385</v>
      </c>
      <c r="O66" s="33"/>
    </row>
    <row r="67" ht="75.0" customHeight="1">
      <c r="A67" s="33"/>
      <c r="B67" s="43">
        <f t="shared" si="1"/>
        <v>284</v>
      </c>
      <c r="C67" s="44" t="s">
        <v>386</v>
      </c>
      <c r="D67" s="59"/>
      <c r="E67" s="46" t="s">
        <v>387</v>
      </c>
      <c r="F67" s="56" t="s">
        <v>388</v>
      </c>
      <c r="G67" s="64" t="s">
        <v>389</v>
      </c>
      <c r="H67" s="33"/>
      <c r="I67" s="49">
        <f t="shared" si="2"/>
        <v>250</v>
      </c>
      <c r="J67" s="50" t="s">
        <v>390</v>
      </c>
      <c r="K67" s="65"/>
      <c r="L67" s="55" t="s">
        <v>391</v>
      </c>
      <c r="M67" s="53" t="s">
        <v>342</v>
      </c>
      <c r="N67" s="64" t="s">
        <v>392</v>
      </c>
      <c r="O67" s="33"/>
    </row>
    <row r="68" ht="75.0" customHeight="1">
      <c r="A68" s="33"/>
      <c r="B68" s="43">
        <f t="shared" si="1"/>
        <v>283</v>
      </c>
      <c r="C68" s="44" t="s">
        <v>393</v>
      </c>
      <c r="D68" s="59"/>
      <c r="E68" s="46" t="s">
        <v>394</v>
      </c>
      <c r="F68" s="56" t="s">
        <v>395</v>
      </c>
      <c r="G68" s="64" t="s">
        <v>396</v>
      </c>
      <c r="H68" s="33"/>
      <c r="I68" s="49">
        <f t="shared" si="2"/>
        <v>249</v>
      </c>
      <c r="J68" s="50" t="s">
        <v>397</v>
      </c>
      <c r="K68" s="65"/>
      <c r="L68" s="55" t="s">
        <v>398</v>
      </c>
      <c r="M68" s="53" t="s">
        <v>342</v>
      </c>
      <c r="N68" s="64" t="s">
        <v>399</v>
      </c>
      <c r="O68" s="33"/>
    </row>
    <row r="69" ht="75.0" customHeight="1">
      <c r="A69" s="33"/>
      <c r="B69" s="43">
        <f t="shared" si="1"/>
        <v>282</v>
      </c>
      <c r="C69" s="44" t="s">
        <v>400</v>
      </c>
      <c r="D69" s="59"/>
      <c r="E69" s="46" t="s">
        <v>401</v>
      </c>
      <c r="F69" s="56" t="s">
        <v>395</v>
      </c>
      <c r="G69" s="64" t="s">
        <v>402</v>
      </c>
      <c r="H69" s="33"/>
      <c r="I69" s="49">
        <f t="shared" si="2"/>
        <v>248</v>
      </c>
      <c r="J69" s="50" t="s">
        <v>403</v>
      </c>
      <c r="K69" s="65"/>
      <c r="L69" s="55" t="s">
        <v>404</v>
      </c>
      <c r="M69" s="53" t="s">
        <v>405</v>
      </c>
      <c r="N69" s="64" t="s">
        <v>406</v>
      </c>
      <c r="O69" s="33"/>
    </row>
    <row r="70" ht="75.0" customHeight="1">
      <c r="A70" s="33"/>
      <c r="B70" s="43">
        <f t="shared" si="1"/>
        <v>281</v>
      </c>
      <c r="C70" s="44" t="s">
        <v>407</v>
      </c>
      <c r="D70" s="59"/>
      <c r="E70" s="46" t="s">
        <v>106</v>
      </c>
      <c r="F70" s="56" t="s">
        <v>395</v>
      </c>
      <c r="G70" s="64" t="s">
        <v>408</v>
      </c>
      <c r="H70" s="33"/>
      <c r="I70" s="49">
        <f t="shared" si="2"/>
        <v>247</v>
      </c>
      <c r="J70" s="50" t="s">
        <v>409</v>
      </c>
      <c r="K70" s="65"/>
      <c r="L70" s="55" t="s">
        <v>293</v>
      </c>
      <c r="M70" s="53" t="s">
        <v>410</v>
      </c>
      <c r="N70" s="64" t="s">
        <v>411</v>
      </c>
      <c r="O70" s="33"/>
    </row>
    <row r="71" ht="75.0" customHeight="1">
      <c r="A71" s="33"/>
      <c r="B71" s="43">
        <f t="shared" si="1"/>
        <v>280</v>
      </c>
      <c r="C71" s="44" t="s">
        <v>412</v>
      </c>
      <c r="D71" s="59"/>
      <c r="E71" s="46" t="s">
        <v>106</v>
      </c>
      <c r="F71" s="56" t="s">
        <v>413</v>
      </c>
      <c r="G71" s="64" t="s">
        <v>414</v>
      </c>
      <c r="H71" s="33"/>
      <c r="I71" s="49">
        <f t="shared" si="2"/>
        <v>246</v>
      </c>
      <c r="J71" s="50" t="s">
        <v>415</v>
      </c>
      <c r="K71" s="65"/>
      <c r="L71" s="55" t="s">
        <v>416</v>
      </c>
      <c r="M71" s="53" t="s">
        <v>357</v>
      </c>
      <c r="N71" s="64" t="s">
        <v>417</v>
      </c>
      <c r="O71" s="33"/>
    </row>
    <row r="72" ht="75.0" customHeight="1">
      <c r="A72" s="33"/>
      <c r="B72" s="43">
        <f t="shared" si="1"/>
        <v>279</v>
      </c>
      <c r="C72" s="44" t="s">
        <v>418</v>
      </c>
      <c r="D72" s="59"/>
      <c r="E72" s="46" t="s">
        <v>113</v>
      </c>
      <c r="F72" s="56" t="s">
        <v>384</v>
      </c>
      <c r="G72" s="64" t="s">
        <v>419</v>
      </c>
      <c r="H72" s="33"/>
      <c r="I72" s="49">
        <f t="shared" si="2"/>
        <v>245</v>
      </c>
      <c r="J72" s="50" t="s">
        <v>420</v>
      </c>
      <c r="K72" s="65"/>
      <c r="L72" s="55" t="s">
        <v>243</v>
      </c>
      <c r="M72" s="53" t="s">
        <v>100</v>
      </c>
      <c r="N72" s="64" t="s">
        <v>421</v>
      </c>
      <c r="O72" s="33"/>
    </row>
    <row r="73" ht="75.0" customHeight="1">
      <c r="A73" s="33"/>
      <c r="B73" s="43">
        <f t="shared" si="1"/>
        <v>278</v>
      </c>
      <c r="C73" s="44" t="s">
        <v>422</v>
      </c>
      <c r="D73" s="59"/>
      <c r="E73" s="46" t="s">
        <v>216</v>
      </c>
      <c r="F73" s="56" t="s">
        <v>423</v>
      </c>
      <c r="G73" s="64" t="s">
        <v>424</v>
      </c>
      <c r="H73" s="33"/>
      <c r="I73" s="49">
        <f t="shared" si="2"/>
        <v>244</v>
      </c>
      <c r="J73" s="50" t="s">
        <v>425</v>
      </c>
      <c r="K73" s="65"/>
      <c r="L73" s="55" t="s">
        <v>426</v>
      </c>
      <c r="M73" s="53" t="s">
        <v>427</v>
      </c>
      <c r="N73" s="64" t="s">
        <v>428</v>
      </c>
      <c r="O73" s="33"/>
    </row>
    <row r="74" ht="75.0" customHeight="1">
      <c r="A74" s="33"/>
      <c r="B74" s="43">
        <f t="shared" si="1"/>
        <v>277</v>
      </c>
      <c r="C74" s="44" t="s">
        <v>429</v>
      </c>
      <c r="D74" s="59"/>
      <c r="E74" s="46" t="s">
        <v>430</v>
      </c>
      <c r="F74" s="56" t="s">
        <v>431</v>
      </c>
      <c r="G74" s="48" t="s">
        <v>432</v>
      </c>
      <c r="H74" s="33"/>
      <c r="I74" s="49">
        <f t="shared" si="2"/>
        <v>243</v>
      </c>
      <c r="J74" s="50" t="s">
        <v>433</v>
      </c>
      <c r="K74" s="65"/>
      <c r="L74" s="55" t="s">
        <v>434</v>
      </c>
      <c r="M74" s="53" t="s">
        <v>435</v>
      </c>
      <c r="N74" s="64" t="s">
        <v>436</v>
      </c>
      <c r="O74" s="33"/>
    </row>
    <row r="75" ht="75.0" customHeight="1">
      <c r="A75" s="33"/>
      <c r="B75" s="43">
        <f t="shared" si="1"/>
        <v>276</v>
      </c>
      <c r="C75" s="44" t="s">
        <v>437</v>
      </c>
      <c r="D75" s="59"/>
      <c r="E75" s="46" t="s">
        <v>398</v>
      </c>
      <c r="F75" s="56" t="s">
        <v>438</v>
      </c>
      <c r="G75" s="64" t="s">
        <v>439</v>
      </c>
      <c r="H75" s="33"/>
      <c r="I75" s="49">
        <f t="shared" si="2"/>
        <v>242</v>
      </c>
      <c r="J75" s="50" t="s">
        <v>440</v>
      </c>
      <c r="K75" s="65"/>
      <c r="L75" s="55" t="s">
        <v>441</v>
      </c>
      <c r="M75" s="53" t="s">
        <v>442</v>
      </c>
      <c r="N75" s="64" t="s">
        <v>443</v>
      </c>
      <c r="O75" s="33"/>
    </row>
    <row r="76" ht="75.0" customHeight="1">
      <c r="A76" s="33"/>
      <c r="B76" s="43">
        <f t="shared" si="1"/>
        <v>275</v>
      </c>
      <c r="C76" s="44" t="s">
        <v>444</v>
      </c>
      <c r="D76" s="59"/>
      <c r="E76" s="46" t="s">
        <v>87</v>
      </c>
      <c r="F76" s="56" t="s">
        <v>445</v>
      </c>
      <c r="G76" s="64" t="s">
        <v>446</v>
      </c>
      <c r="H76" s="33"/>
      <c r="I76" s="49">
        <f t="shared" si="2"/>
        <v>241</v>
      </c>
      <c r="J76" s="50" t="s">
        <v>447</v>
      </c>
      <c r="K76" s="65"/>
      <c r="L76" s="55" t="s">
        <v>448</v>
      </c>
      <c r="M76" s="53" t="s">
        <v>449</v>
      </c>
      <c r="N76" s="64" t="s">
        <v>450</v>
      </c>
      <c r="O76" s="33"/>
    </row>
    <row r="77" ht="75.0" customHeight="1">
      <c r="A77" s="33"/>
      <c r="B77" s="43">
        <f t="shared" si="1"/>
        <v>274</v>
      </c>
      <c r="C77" s="44" t="s">
        <v>451</v>
      </c>
      <c r="D77" s="59"/>
      <c r="E77" s="46" t="s">
        <v>106</v>
      </c>
      <c r="F77" s="56" t="s">
        <v>452</v>
      </c>
      <c r="G77" s="64" t="s">
        <v>453</v>
      </c>
      <c r="H77" s="33"/>
      <c r="I77" s="49">
        <f t="shared" si="2"/>
        <v>240</v>
      </c>
      <c r="J77" s="50" t="s">
        <v>454</v>
      </c>
      <c r="K77" s="65"/>
      <c r="L77" s="55" t="s">
        <v>16</v>
      </c>
      <c r="M77" s="53" t="s">
        <v>455</v>
      </c>
      <c r="N77" s="64" t="s">
        <v>456</v>
      </c>
      <c r="O77" s="33"/>
    </row>
    <row r="78" ht="75.0" customHeight="1">
      <c r="A78" s="33"/>
      <c r="B78" s="43">
        <f t="shared" si="1"/>
        <v>273</v>
      </c>
      <c r="C78" s="44" t="s">
        <v>457</v>
      </c>
      <c r="D78" s="59"/>
      <c r="E78" s="46" t="s">
        <v>458</v>
      </c>
      <c r="F78" s="56" t="s">
        <v>126</v>
      </c>
      <c r="G78" s="64" t="s">
        <v>459</v>
      </c>
      <c r="H78" s="33"/>
      <c r="I78" s="49">
        <f t="shared" si="2"/>
        <v>239</v>
      </c>
      <c r="J78" s="50" t="s">
        <v>460</v>
      </c>
      <c r="K78" s="65"/>
      <c r="L78" s="55" t="s">
        <v>461</v>
      </c>
      <c r="M78" s="53" t="s">
        <v>462</v>
      </c>
      <c r="N78" s="64" t="s">
        <v>463</v>
      </c>
      <c r="O78" s="33"/>
    </row>
    <row r="79" ht="75.0" customHeight="1">
      <c r="A79" s="33"/>
      <c r="B79" s="43">
        <f t="shared" si="1"/>
        <v>272</v>
      </c>
      <c r="C79" s="44" t="s">
        <v>464</v>
      </c>
      <c r="D79" s="59"/>
      <c r="E79" s="46" t="s">
        <v>465</v>
      </c>
      <c r="F79" s="56" t="s">
        <v>466</v>
      </c>
      <c r="G79" s="48" t="s">
        <v>467</v>
      </c>
      <c r="H79" s="33"/>
      <c r="I79" s="49">
        <f t="shared" si="2"/>
        <v>238</v>
      </c>
      <c r="J79" s="50" t="s">
        <v>468</v>
      </c>
      <c r="K79" s="65"/>
      <c r="L79" s="55" t="s">
        <v>469</v>
      </c>
      <c r="M79" s="53" t="s">
        <v>342</v>
      </c>
      <c r="N79" s="64" t="s">
        <v>470</v>
      </c>
      <c r="O79" s="33"/>
    </row>
    <row r="80" ht="75.0" customHeight="1">
      <c r="A80" s="33"/>
      <c r="B80" s="43">
        <f t="shared" si="1"/>
        <v>271</v>
      </c>
      <c r="C80" s="44" t="s">
        <v>471</v>
      </c>
      <c r="D80" s="59"/>
      <c r="E80" s="46" t="s">
        <v>136</v>
      </c>
      <c r="F80" s="56" t="s">
        <v>472</v>
      </c>
      <c r="G80" s="64" t="s">
        <v>473</v>
      </c>
      <c r="H80" s="33"/>
      <c r="I80" s="49">
        <f t="shared" si="2"/>
        <v>237</v>
      </c>
      <c r="J80" s="50" t="s">
        <v>474</v>
      </c>
      <c r="K80" s="65"/>
      <c r="L80" s="55" t="s">
        <v>475</v>
      </c>
      <c r="M80" s="53" t="s">
        <v>223</v>
      </c>
      <c r="N80" s="64" t="s">
        <v>476</v>
      </c>
      <c r="O80" s="33"/>
    </row>
    <row r="81" ht="75.0" customHeight="1">
      <c r="A81" s="33"/>
      <c r="B81" s="43">
        <f t="shared" si="1"/>
        <v>270</v>
      </c>
      <c r="C81" s="44" t="s">
        <v>477</v>
      </c>
      <c r="D81" s="59"/>
      <c r="E81" s="46" t="s">
        <v>478</v>
      </c>
      <c r="F81" s="56" t="s">
        <v>479</v>
      </c>
      <c r="G81" s="64" t="s">
        <v>480</v>
      </c>
      <c r="H81" s="33"/>
      <c r="I81" s="49">
        <f t="shared" si="2"/>
        <v>236</v>
      </c>
      <c r="J81" s="50" t="s">
        <v>481</v>
      </c>
      <c r="K81" s="65"/>
      <c r="L81" s="55" t="s">
        <v>482</v>
      </c>
      <c r="M81" s="53" t="s">
        <v>378</v>
      </c>
      <c r="N81" s="64" t="s">
        <v>483</v>
      </c>
      <c r="O81" s="33"/>
    </row>
    <row r="82" ht="75.0" customHeight="1">
      <c r="A82" s="33"/>
      <c r="B82" s="43">
        <f t="shared" si="1"/>
        <v>269</v>
      </c>
      <c r="C82" s="44" t="s">
        <v>484</v>
      </c>
      <c r="D82" s="59"/>
      <c r="E82" s="46" t="s">
        <v>79</v>
      </c>
      <c r="F82" s="56" t="s">
        <v>485</v>
      </c>
      <c r="G82" s="64" t="s">
        <v>486</v>
      </c>
      <c r="H82" s="33"/>
      <c r="I82" s="49">
        <f t="shared" si="2"/>
        <v>235</v>
      </c>
      <c r="J82" s="50" t="s">
        <v>487</v>
      </c>
      <c r="K82" s="65"/>
      <c r="L82" s="55" t="s">
        <v>53</v>
      </c>
      <c r="M82" s="53" t="s">
        <v>488</v>
      </c>
      <c r="N82" s="64" t="s">
        <v>489</v>
      </c>
      <c r="O82" s="33"/>
    </row>
    <row r="83" ht="75.0" customHeight="1">
      <c r="A83" s="33"/>
      <c r="B83" s="43">
        <f t="shared" si="1"/>
        <v>268</v>
      </c>
      <c r="C83" s="44" t="s">
        <v>490</v>
      </c>
      <c r="D83" s="59"/>
      <c r="E83" s="46" t="s">
        <v>87</v>
      </c>
      <c r="F83" s="56" t="s">
        <v>491</v>
      </c>
      <c r="G83" s="64" t="s">
        <v>492</v>
      </c>
      <c r="H83" s="33"/>
      <c r="I83" s="49">
        <f t="shared" si="2"/>
        <v>234</v>
      </c>
      <c r="J83" s="50" t="s">
        <v>493</v>
      </c>
      <c r="K83" s="65"/>
      <c r="L83" s="55" t="s">
        <v>494</v>
      </c>
      <c r="M83" s="53" t="s">
        <v>495</v>
      </c>
      <c r="N83" s="64" t="s">
        <v>496</v>
      </c>
      <c r="O83" s="33"/>
    </row>
    <row r="84" ht="75.0" customHeight="1">
      <c r="A84" s="33"/>
      <c r="B84" s="43">
        <f t="shared" si="1"/>
        <v>267</v>
      </c>
      <c r="C84" s="44" t="s">
        <v>497</v>
      </c>
      <c r="D84" s="59"/>
      <c r="E84" s="46" t="s">
        <v>458</v>
      </c>
      <c r="F84" s="56" t="s">
        <v>498</v>
      </c>
      <c r="G84" s="64" t="s">
        <v>499</v>
      </c>
      <c r="H84" s="33"/>
      <c r="I84" s="49">
        <f t="shared" si="2"/>
        <v>233</v>
      </c>
      <c r="J84" s="50" t="s">
        <v>500</v>
      </c>
      <c r="K84" s="65"/>
      <c r="L84" s="55" t="s">
        <v>169</v>
      </c>
      <c r="M84" s="53" t="s">
        <v>395</v>
      </c>
      <c r="N84" s="64" t="s">
        <v>501</v>
      </c>
      <c r="O84" s="33"/>
    </row>
    <row r="85" ht="75.0" customHeight="1">
      <c r="A85" s="33"/>
      <c r="B85" s="43">
        <f t="shared" si="1"/>
        <v>266</v>
      </c>
      <c r="C85" s="44" t="s">
        <v>502</v>
      </c>
      <c r="D85" s="59"/>
      <c r="E85" s="46" t="s">
        <v>503</v>
      </c>
      <c r="F85" s="56" t="s">
        <v>504</v>
      </c>
      <c r="G85" s="64" t="s">
        <v>505</v>
      </c>
      <c r="H85" s="33"/>
      <c r="I85" s="49">
        <f t="shared" si="2"/>
        <v>232</v>
      </c>
      <c r="J85" s="50" t="s">
        <v>506</v>
      </c>
      <c r="K85" s="65"/>
      <c r="L85" s="55" t="s">
        <v>507</v>
      </c>
      <c r="M85" s="53" t="s">
        <v>395</v>
      </c>
      <c r="N85" s="64" t="s">
        <v>508</v>
      </c>
      <c r="O85" s="33"/>
    </row>
    <row r="86" ht="75.0" customHeight="1">
      <c r="A86" s="33"/>
      <c r="B86" s="43">
        <f t="shared" si="1"/>
        <v>265</v>
      </c>
      <c r="C86" s="44" t="s">
        <v>509</v>
      </c>
      <c r="D86" s="59"/>
      <c r="E86" s="46" t="s">
        <v>510</v>
      </c>
      <c r="F86" s="56" t="s">
        <v>511</v>
      </c>
      <c r="G86" s="64" t="s">
        <v>512</v>
      </c>
      <c r="H86" s="33"/>
      <c r="I86" s="49">
        <f t="shared" si="2"/>
        <v>231</v>
      </c>
      <c r="J86" s="50" t="s">
        <v>513</v>
      </c>
      <c r="K86" s="65"/>
      <c r="L86" s="55" t="s">
        <v>514</v>
      </c>
      <c r="M86" s="53" t="s">
        <v>515</v>
      </c>
      <c r="N86" s="64" t="s">
        <v>516</v>
      </c>
      <c r="O86" s="33"/>
    </row>
    <row r="87" ht="75.0" customHeight="1">
      <c r="A87" s="33"/>
      <c r="B87" s="43">
        <f t="shared" si="1"/>
        <v>264</v>
      </c>
      <c r="C87" s="44" t="s">
        <v>517</v>
      </c>
      <c r="D87" s="59"/>
      <c r="E87" s="46" t="s">
        <v>518</v>
      </c>
      <c r="F87" s="56" t="s">
        <v>76</v>
      </c>
      <c r="G87" s="64" t="s">
        <v>519</v>
      </c>
      <c r="H87" s="33"/>
      <c r="I87" s="49">
        <f t="shared" si="2"/>
        <v>230</v>
      </c>
      <c r="J87" s="50" t="s">
        <v>520</v>
      </c>
      <c r="K87" s="65"/>
      <c r="L87" s="55" t="s">
        <v>97</v>
      </c>
      <c r="M87" s="53" t="s">
        <v>521</v>
      </c>
      <c r="N87" s="64" t="s">
        <v>522</v>
      </c>
      <c r="O87" s="33"/>
    </row>
    <row r="88" ht="75.0" customHeight="1">
      <c r="A88" s="33"/>
      <c r="B88" s="43">
        <f t="shared" si="1"/>
        <v>263</v>
      </c>
      <c r="C88" s="44" t="s">
        <v>523</v>
      </c>
      <c r="D88" s="59"/>
      <c r="E88" s="46" t="s">
        <v>524</v>
      </c>
      <c r="F88" s="56" t="s">
        <v>76</v>
      </c>
      <c r="G88" s="64" t="s">
        <v>525</v>
      </c>
      <c r="H88" s="33"/>
      <c r="I88" s="49">
        <f t="shared" si="2"/>
        <v>229</v>
      </c>
      <c r="J88" s="50" t="s">
        <v>526</v>
      </c>
      <c r="K88" s="65"/>
      <c r="L88" s="55" t="s">
        <v>527</v>
      </c>
      <c r="M88" s="53" t="s">
        <v>528</v>
      </c>
      <c r="N88" s="64" t="s">
        <v>529</v>
      </c>
      <c r="O88" s="33"/>
    </row>
    <row r="89" ht="75.0" customHeight="1">
      <c r="A89" s="33"/>
      <c r="B89" s="43">
        <f t="shared" si="1"/>
        <v>262</v>
      </c>
      <c r="C89" s="44" t="s">
        <v>530</v>
      </c>
      <c r="D89" s="59"/>
      <c r="E89" s="46" t="s">
        <v>458</v>
      </c>
      <c r="F89" s="56" t="s">
        <v>531</v>
      </c>
      <c r="G89" s="64" t="s">
        <v>532</v>
      </c>
      <c r="H89" s="33"/>
      <c r="I89" s="49">
        <f t="shared" si="2"/>
        <v>228</v>
      </c>
      <c r="J89" s="50" t="s">
        <v>533</v>
      </c>
      <c r="K89" s="65"/>
      <c r="L89" s="55" t="s">
        <v>56</v>
      </c>
      <c r="M89" s="53" t="s">
        <v>431</v>
      </c>
      <c r="N89" s="64" t="s">
        <v>534</v>
      </c>
      <c r="O89" s="33"/>
    </row>
    <row r="90" ht="75.0" customHeight="1">
      <c r="A90" s="33"/>
      <c r="B90" s="43">
        <f t="shared" si="1"/>
        <v>261</v>
      </c>
      <c r="C90" s="44" t="s">
        <v>535</v>
      </c>
      <c r="D90" s="59"/>
      <c r="E90" s="46" t="s">
        <v>24</v>
      </c>
      <c r="F90" s="56" t="s">
        <v>536</v>
      </c>
      <c r="G90" s="64" t="s">
        <v>537</v>
      </c>
      <c r="H90" s="33"/>
      <c r="I90" s="49">
        <f t="shared" si="2"/>
        <v>227</v>
      </c>
      <c r="J90" s="50" t="s">
        <v>538</v>
      </c>
      <c r="K90" s="65"/>
      <c r="L90" s="55" t="s">
        <v>514</v>
      </c>
      <c r="M90" s="53" t="s">
        <v>539</v>
      </c>
      <c r="N90" s="64" t="s">
        <v>540</v>
      </c>
      <c r="O90" s="33"/>
    </row>
    <row r="91" ht="75.0" customHeight="1">
      <c r="A91" s="33"/>
      <c r="B91" s="43">
        <f t="shared" si="1"/>
        <v>260</v>
      </c>
      <c r="C91" s="44" t="s">
        <v>541</v>
      </c>
      <c r="D91" s="59"/>
      <c r="E91" s="46" t="s">
        <v>97</v>
      </c>
      <c r="F91" s="56" t="s">
        <v>542</v>
      </c>
      <c r="G91" s="64" t="s">
        <v>543</v>
      </c>
      <c r="H91" s="33"/>
      <c r="I91" s="49">
        <f t="shared" si="2"/>
        <v>226</v>
      </c>
      <c r="J91" s="50" t="s">
        <v>544</v>
      </c>
      <c r="K91" s="65"/>
      <c r="L91" s="55" t="s">
        <v>545</v>
      </c>
      <c r="M91" s="53" t="s">
        <v>539</v>
      </c>
      <c r="N91" s="64" t="s">
        <v>546</v>
      </c>
      <c r="O91" s="33"/>
    </row>
    <row r="92" ht="75.0" customHeight="1">
      <c r="A92" s="33"/>
      <c r="B92" s="43">
        <f t="shared" si="1"/>
        <v>259</v>
      </c>
      <c r="C92" s="44" t="s">
        <v>547</v>
      </c>
      <c r="D92" s="59"/>
      <c r="E92" s="46" t="s">
        <v>548</v>
      </c>
      <c r="F92" s="56" t="s">
        <v>297</v>
      </c>
      <c r="G92" s="64" t="s">
        <v>549</v>
      </c>
      <c r="H92" s="33"/>
      <c r="I92" s="49">
        <f t="shared" si="2"/>
        <v>225</v>
      </c>
      <c r="J92" s="50" t="s">
        <v>550</v>
      </c>
      <c r="K92" s="65"/>
      <c r="L92" s="55" t="s">
        <v>551</v>
      </c>
      <c r="M92" s="53" t="s">
        <v>552</v>
      </c>
      <c r="N92" s="64" t="s">
        <v>553</v>
      </c>
      <c r="O92" s="33"/>
    </row>
    <row r="93" ht="75.0" customHeight="1">
      <c r="A93" s="33"/>
      <c r="B93" s="43">
        <f t="shared" si="1"/>
        <v>258</v>
      </c>
      <c r="C93" s="44" t="s">
        <v>554</v>
      </c>
      <c r="D93" s="59"/>
      <c r="E93" s="46" t="s">
        <v>555</v>
      </c>
      <c r="F93" s="56" t="s">
        <v>556</v>
      </c>
      <c r="G93" s="64" t="s">
        <v>557</v>
      </c>
      <c r="H93" s="33"/>
      <c r="I93" s="49">
        <f t="shared" si="2"/>
        <v>224</v>
      </c>
      <c r="J93" s="50" t="s">
        <v>558</v>
      </c>
      <c r="K93" s="65"/>
      <c r="L93" s="55" t="s">
        <v>204</v>
      </c>
      <c r="M93" s="53" t="s">
        <v>559</v>
      </c>
      <c r="N93" s="64" t="s">
        <v>560</v>
      </c>
      <c r="O93" s="33"/>
    </row>
    <row r="94" ht="75.0" customHeight="1">
      <c r="A94" s="33"/>
      <c r="B94" s="43">
        <f t="shared" si="1"/>
        <v>257</v>
      </c>
      <c r="C94" s="44" t="s">
        <v>561</v>
      </c>
      <c r="D94" s="59"/>
      <c r="E94" s="46" t="s">
        <v>458</v>
      </c>
      <c r="F94" s="56" t="s">
        <v>562</v>
      </c>
      <c r="G94" s="64" t="s">
        <v>563</v>
      </c>
      <c r="H94" s="33"/>
      <c r="I94" s="49">
        <f t="shared" si="2"/>
        <v>223</v>
      </c>
      <c r="J94" s="50" t="s">
        <v>564</v>
      </c>
      <c r="K94" s="65"/>
      <c r="L94" s="55" t="s">
        <v>271</v>
      </c>
      <c r="M94" s="53" t="s">
        <v>466</v>
      </c>
      <c r="N94" s="64" t="s">
        <v>565</v>
      </c>
      <c r="O94" s="33"/>
    </row>
    <row r="95" ht="75.0" customHeight="1">
      <c r="A95" s="33"/>
      <c r="B95" s="43">
        <f t="shared" si="1"/>
        <v>256</v>
      </c>
      <c r="C95" s="44" t="s">
        <v>566</v>
      </c>
      <c r="D95" s="59"/>
      <c r="E95" s="46" t="s">
        <v>27</v>
      </c>
      <c r="F95" s="56" t="s">
        <v>567</v>
      </c>
      <c r="G95" s="64" t="s">
        <v>568</v>
      </c>
      <c r="H95" s="33"/>
      <c r="I95" s="49">
        <f t="shared" si="2"/>
        <v>222</v>
      </c>
      <c r="J95" s="50" t="s">
        <v>569</v>
      </c>
      <c r="K95" s="65"/>
      <c r="L95" s="55" t="s">
        <v>570</v>
      </c>
      <c r="M95" s="53" t="s">
        <v>542</v>
      </c>
      <c r="N95" s="64" t="s">
        <v>571</v>
      </c>
      <c r="O95" s="33"/>
    </row>
    <row r="96" ht="75.0" customHeight="1">
      <c r="A96" s="33"/>
      <c r="B96" s="43">
        <f t="shared" si="1"/>
        <v>255</v>
      </c>
      <c r="C96" s="44" t="s">
        <v>572</v>
      </c>
      <c r="D96" s="59"/>
      <c r="E96" s="46" t="s">
        <v>398</v>
      </c>
      <c r="F96" s="56" t="s">
        <v>573</v>
      </c>
      <c r="G96" s="64" t="s">
        <v>574</v>
      </c>
      <c r="H96" s="33"/>
      <c r="I96" s="49">
        <f t="shared" si="2"/>
        <v>221</v>
      </c>
      <c r="J96" s="50" t="s">
        <v>575</v>
      </c>
      <c r="K96" s="65"/>
      <c r="L96" s="55" t="s">
        <v>576</v>
      </c>
      <c r="M96" s="53" t="s">
        <v>577</v>
      </c>
      <c r="N96" s="64" t="s">
        <v>578</v>
      </c>
      <c r="O96" s="33"/>
    </row>
    <row r="97" ht="75.0" customHeight="1">
      <c r="A97" s="33"/>
      <c r="B97" s="43">
        <f t="shared" si="1"/>
        <v>254</v>
      </c>
      <c r="C97" s="44" t="s">
        <v>579</v>
      </c>
      <c r="D97" s="59"/>
      <c r="E97" s="46" t="s">
        <v>465</v>
      </c>
      <c r="F97" s="56" t="s">
        <v>580</v>
      </c>
      <c r="G97" s="64" t="s">
        <v>581</v>
      </c>
      <c r="H97" s="33"/>
      <c r="I97" s="49">
        <f t="shared" si="2"/>
        <v>220</v>
      </c>
      <c r="J97" s="50" t="s">
        <v>582</v>
      </c>
      <c r="K97" s="65"/>
      <c r="L97" s="55" t="s">
        <v>583</v>
      </c>
      <c r="M97" s="53" t="s">
        <v>584</v>
      </c>
      <c r="N97" s="64" t="s">
        <v>585</v>
      </c>
      <c r="O97" s="33"/>
    </row>
    <row r="98" ht="75.0" customHeight="1">
      <c r="A98" s="33"/>
      <c r="B98" s="43">
        <f t="shared" si="1"/>
        <v>253</v>
      </c>
      <c r="C98" s="44" t="s">
        <v>586</v>
      </c>
      <c r="D98" s="59"/>
      <c r="E98" s="46" t="s">
        <v>360</v>
      </c>
      <c r="F98" s="56" t="s">
        <v>587</v>
      </c>
      <c r="G98" s="64" t="s">
        <v>588</v>
      </c>
      <c r="H98" s="33"/>
      <c r="I98" s="49">
        <f t="shared" si="2"/>
        <v>219</v>
      </c>
      <c r="J98" s="50" t="s">
        <v>589</v>
      </c>
      <c r="K98" s="65"/>
      <c r="L98" s="55" t="s">
        <v>590</v>
      </c>
      <c r="M98" s="53" t="s">
        <v>591</v>
      </c>
      <c r="N98" s="64" t="s">
        <v>592</v>
      </c>
      <c r="O98" s="33"/>
    </row>
    <row r="99" ht="75.0" customHeight="1">
      <c r="A99" s="33"/>
      <c r="B99" s="43">
        <f t="shared" si="1"/>
        <v>252</v>
      </c>
      <c r="C99" s="44" t="s">
        <v>593</v>
      </c>
      <c r="D99" s="59"/>
      <c r="E99" s="46" t="s">
        <v>594</v>
      </c>
      <c r="F99" s="56" t="s">
        <v>595</v>
      </c>
      <c r="G99" s="64" t="s">
        <v>596</v>
      </c>
      <c r="H99" s="33"/>
      <c r="I99" s="49">
        <f t="shared" si="2"/>
        <v>218</v>
      </c>
      <c r="J99" s="50" t="s">
        <v>597</v>
      </c>
      <c r="K99" s="65"/>
      <c r="L99" s="55" t="s">
        <v>598</v>
      </c>
      <c r="M99" s="53" t="s">
        <v>591</v>
      </c>
      <c r="N99" s="64" t="s">
        <v>599</v>
      </c>
      <c r="O99" s="33"/>
    </row>
    <row r="100" ht="75.0" customHeight="1">
      <c r="A100" s="33"/>
      <c r="B100" s="43">
        <f t="shared" si="1"/>
        <v>251</v>
      </c>
      <c r="C100" s="44" t="s">
        <v>600</v>
      </c>
      <c r="D100" s="59"/>
      <c r="E100" s="46" t="s">
        <v>87</v>
      </c>
      <c r="F100" s="56" t="s">
        <v>601</v>
      </c>
      <c r="G100" s="64" t="s">
        <v>602</v>
      </c>
      <c r="H100" s="33"/>
      <c r="I100" s="49">
        <f t="shared" si="2"/>
        <v>217</v>
      </c>
      <c r="J100" s="50" t="s">
        <v>603</v>
      </c>
      <c r="K100" s="65"/>
      <c r="L100" s="55" t="s">
        <v>514</v>
      </c>
      <c r="M100" s="53" t="s">
        <v>604</v>
      </c>
      <c r="N100" s="64" t="s">
        <v>605</v>
      </c>
      <c r="O100" s="33"/>
    </row>
    <row r="101" ht="75.0" customHeight="1">
      <c r="A101" s="33"/>
      <c r="B101" s="43">
        <f t="shared" si="1"/>
        <v>250</v>
      </c>
      <c r="C101" s="44" t="s">
        <v>606</v>
      </c>
      <c r="D101" s="59"/>
      <c r="E101" s="46" t="s">
        <v>243</v>
      </c>
      <c r="F101" s="56" t="s">
        <v>584</v>
      </c>
      <c r="G101" s="64" t="s">
        <v>607</v>
      </c>
      <c r="H101" s="33"/>
      <c r="I101" s="49">
        <f t="shared" si="2"/>
        <v>216</v>
      </c>
      <c r="J101" s="50" t="s">
        <v>608</v>
      </c>
      <c r="K101" s="65"/>
      <c r="L101" s="55" t="s">
        <v>240</v>
      </c>
      <c r="M101" s="53" t="s">
        <v>609</v>
      </c>
      <c r="N101" s="64" t="s">
        <v>610</v>
      </c>
      <c r="O101" s="33"/>
    </row>
    <row r="102" ht="75.0" customHeight="1">
      <c r="A102" s="33"/>
      <c r="B102" s="43">
        <f t="shared" si="1"/>
        <v>249</v>
      </c>
      <c r="C102" s="44" t="s">
        <v>611</v>
      </c>
      <c r="D102" s="59"/>
      <c r="E102" s="46" t="s">
        <v>612</v>
      </c>
      <c r="F102" s="56" t="s">
        <v>613</v>
      </c>
      <c r="G102" s="64" t="s">
        <v>614</v>
      </c>
      <c r="H102" s="33"/>
      <c r="I102" s="49">
        <f t="shared" si="2"/>
        <v>215</v>
      </c>
      <c r="J102" s="50" t="s">
        <v>615</v>
      </c>
      <c r="K102" s="65"/>
      <c r="L102" s="55" t="s">
        <v>34</v>
      </c>
      <c r="M102" s="67" t="s">
        <v>485</v>
      </c>
      <c r="N102" s="64" t="s">
        <v>616</v>
      </c>
      <c r="O102" s="33"/>
    </row>
    <row r="103" ht="75.0" customHeight="1">
      <c r="A103" s="33"/>
      <c r="B103" s="43">
        <f t="shared" si="1"/>
        <v>248</v>
      </c>
      <c r="C103" s="44" t="s">
        <v>617</v>
      </c>
      <c r="D103" s="59"/>
      <c r="E103" s="46" t="s">
        <v>34</v>
      </c>
      <c r="F103" s="56" t="s">
        <v>604</v>
      </c>
      <c r="G103" s="64" t="s">
        <v>618</v>
      </c>
      <c r="H103" s="33"/>
      <c r="I103" s="49">
        <f t="shared" si="2"/>
        <v>214</v>
      </c>
      <c r="J103" s="50" t="s">
        <v>619</v>
      </c>
      <c r="K103" s="65"/>
      <c r="L103" s="55" t="s">
        <v>620</v>
      </c>
      <c r="M103" s="67" t="s">
        <v>485</v>
      </c>
      <c r="N103" s="64" t="s">
        <v>621</v>
      </c>
      <c r="O103" s="33"/>
    </row>
    <row r="104" ht="75.0" customHeight="1">
      <c r="A104" s="33"/>
      <c r="B104" s="43">
        <f t="shared" si="1"/>
        <v>247</v>
      </c>
      <c r="C104" s="44" t="s">
        <v>622</v>
      </c>
      <c r="D104" s="59"/>
      <c r="E104" s="46" t="s">
        <v>97</v>
      </c>
      <c r="F104" s="56" t="s">
        <v>623</v>
      </c>
      <c r="G104" s="64" t="s">
        <v>624</v>
      </c>
      <c r="H104" s="33"/>
      <c r="I104" s="49">
        <f t="shared" si="2"/>
        <v>213</v>
      </c>
      <c r="J104" s="50" t="s">
        <v>625</v>
      </c>
      <c r="K104" s="65"/>
      <c r="L104" s="55" t="s">
        <v>626</v>
      </c>
      <c r="M104" s="53" t="s">
        <v>627</v>
      </c>
      <c r="N104" s="64" t="s">
        <v>628</v>
      </c>
      <c r="O104" s="33"/>
    </row>
    <row r="105" ht="75.0" customHeight="1">
      <c r="A105" s="33"/>
      <c r="B105" s="43">
        <f t="shared" si="1"/>
        <v>246</v>
      </c>
      <c r="C105" s="44" t="s">
        <v>629</v>
      </c>
      <c r="D105" s="59"/>
      <c r="E105" s="46" t="s">
        <v>360</v>
      </c>
      <c r="F105" s="56" t="s">
        <v>630</v>
      </c>
      <c r="G105" s="64" t="s">
        <v>631</v>
      </c>
      <c r="H105" s="33"/>
      <c r="I105" s="49">
        <f t="shared" si="2"/>
        <v>212</v>
      </c>
      <c r="J105" s="50" t="s">
        <v>632</v>
      </c>
      <c r="K105" s="65"/>
      <c r="L105" s="55" t="s">
        <v>123</v>
      </c>
      <c r="M105" s="53" t="s">
        <v>633</v>
      </c>
      <c r="N105" s="64" t="s">
        <v>634</v>
      </c>
      <c r="O105" s="33"/>
    </row>
    <row r="106" ht="75.0" customHeight="1">
      <c r="A106" s="33"/>
      <c r="B106" s="43">
        <f t="shared" si="1"/>
        <v>245</v>
      </c>
      <c r="C106" s="44" t="s">
        <v>635</v>
      </c>
      <c r="D106" s="59"/>
      <c r="E106" s="46" t="s">
        <v>636</v>
      </c>
      <c r="F106" s="56" t="s">
        <v>637</v>
      </c>
      <c r="G106" s="64" t="s">
        <v>638</v>
      </c>
      <c r="H106" s="33"/>
      <c r="I106" s="49">
        <f t="shared" si="2"/>
        <v>211</v>
      </c>
      <c r="J106" s="50" t="s">
        <v>639</v>
      </c>
      <c r="K106" s="65"/>
      <c r="L106" s="55" t="s">
        <v>365</v>
      </c>
      <c r="M106" s="53" t="s">
        <v>640</v>
      </c>
      <c r="N106" s="64" t="s">
        <v>641</v>
      </c>
      <c r="O106" s="33"/>
    </row>
    <row r="107" ht="75.0" customHeight="1">
      <c r="A107" s="33"/>
      <c r="B107" s="43">
        <f t="shared" si="1"/>
        <v>244</v>
      </c>
      <c r="C107" s="44" t="s">
        <v>642</v>
      </c>
      <c r="D107" s="59"/>
      <c r="E107" s="46" t="s">
        <v>27</v>
      </c>
      <c r="F107" s="56" t="s">
        <v>643</v>
      </c>
      <c r="G107" s="64" t="s">
        <v>644</v>
      </c>
      <c r="H107" s="33"/>
      <c r="I107" s="49">
        <f t="shared" si="2"/>
        <v>210</v>
      </c>
      <c r="J107" s="50" t="s">
        <v>645</v>
      </c>
      <c r="K107" s="65"/>
      <c r="L107" s="55" t="s">
        <v>150</v>
      </c>
      <c r="M107" s="53" t="s">
        <v>646</v>
      </c>
      <c r="N107" s="64" t="s">
        <v>647</v>
      </c>
      <c r="O107" s="33"/>
    </row>
    <row r="108" ht="75.0" customHeight="1">
      <c r="A108" s="33"/>
      <c r="B108" s="43">
        <f t="shared" si="1"/>
        <v>243</v>
      </c>
      <c r="C108" s="44" t="s">
        <v>648</v>
      </c>
      <c r="D108" s="59"/>
      <c r="E108" s="46" t="s">
        <v>478</v>
      </c>
      <c r="F108" s="56" t="s">
        <v>623</v>
      </c>
      <c r="G108" s="64" t="s">
        <v>649</v>
      </c>
      <c r="H108" s="33"/>
      <c r="I108" s="49">
        <f t="shared" si="2"/>
        <v>209</v>
      </c>
      <c r="J108" s="50" t="s">
        <v>650</v>
      </c>
      <c r="K108" s="65"/>
      <c r="L108" s="55" t="s">
        <v>651</v>
      </c>
      <c r="M108" s="53" t="s">
        <v>652</v>
      </c>
      <c r="N108" s="64" t="s">
        <v>653</v>
      </c>
      <c r="O108" s="33"/>
    </row>
    <row r="109" ht="75.0" customHeight="1">
      <c r="A109" s="33"/>
      <c r="B109" s="43">
        <f t="shared" si="1"/>
        <v>242</v>
      </c>
      <c r="C109" s="44" t="s">
        <v>654</v>
      </c>
      <c r="D109" s="59"/>
      <c r="E109" s="46" t="s">
        <v>655</v>
      </c>
      <c r="F109" s="56" t="s">
        <v>656</v>
      </c>
      <c r="G109" s="64" t="s">
        <v>657</v>
      </c>
      <c r="H109" s="33"/>
      <c r="I109" s="49">
        <f t="shared" si="2"/>
        <v>208</v>
      </c>
      <c r="J109" s="50" t="s">
        <v>658</v>
      </c>
      <c r="K109" s="65"/>
      <c r="L109" s="55" t="s">
        <v>287</v>
      </c>
      <c r="M109" s="53" t="s">
        <v>659</v>
      </c>
      <c r="N109" s="64" t="s">
        <v>660</v>
      </c>
      <c r="O109" s="33"/>
    </row>
    <row r="110" ht="75.0" customHeight="1">
      <c r="A110" s="33"/>
      <c r="B110" s="43">
        <f t="shared" si="1"/>
        <v>241</v>
      </c>
      <c r="C110" s="44" t="s">
        <v>661</v>
      </c>
      <c r="D110" s="59"/>
      <c r="E110" s="46" t="s">
        <v>662</v>
      </c>
      <c r="F110" s="56" t="s">
        <v>539</v>
      </c>
      <c r="G110" s="64" t="s">
        <v>663</v>
      </c>
      <c r="H110" s="33"/>
      <c r="I110" s="49">
        <f t="shared" si="2"/>
        <v>207</v>
      </c>
      <c r="J110" s="50" t="s">
        <v>664</v>
      </c>
      <c r="K110" s="65"/>
      <c r="L110" s="55" t="s">
        <v>290</v>
      </c>
      <c r="M110" s="53" t="s">
        <v>665</v>
      </c>
      <c r="N110" s="64" t="s">
        <v>666</v>
      </c>
      <c r="O110" s="33"/>
    </row>
    <row r="111" ht="75.0" customHeight="1">
      <c r="A111" s="33"/>
      <c r="B111" s="43">
        <f t="shared" si="1"/>
        <v>240</v>
      </c>
      <c r="C111" s="44" t="s">
        <v>667</v>
      </c>
      <c r="D111" s="59"/>
      <c r="E111" s="46" t="s">
        <v>106</v>
      </c>
      <c r="F111" s="56" t="s">
        <v>656</v>
      </c>
      <c r="G111" s="64" t="s">
        <v>668</v>
      </c>
      <c r="H111" s="33"/>
      <c r="I111" s="49">
        <f t="shared" si="2"/>
        <v>206</v>
      </c>
      <c r="J111" s="50" t="s">
        <v>669</v>
      </c>
      <c r="K111" s="65"/>
      <c r="L111" s="55" t="s">
        <v>494</v>
      </c>
      <c r="M111" s="53" t="s">
        <v>665</v>
      </c>
      <c r="N111" s="64" t="s">
        <v>670</v>
      </c>
      <c r="O111" s="33"/>
    </row>
    <row r="112" ht="75.0" customHeight="1">
      <c r="A112" s="33"/>
      <c r="B112" s="43">
        <f t="shared" si="1"/>
        <v>239</v>
      </c>
      <c r="C112" s="44" t="s">
        <v>671</v>
      </c>
      <c r="D112" s="59"/>
      <c r="E112" s="46" t="s">
        <v>64</v>
      </c>
      <c r="F112" s="56" t="s">
        <v>672</v>
      </c>
      <c r="G112" s="64" t="s">
        <v>673</v>
      </c>
      <c r="H112" s="33"/>
      <c r="I112" s="49">
        <f t="shared" si="2"/>
        <v>205</v>
      </c>
      <c r="J112" s="50" t="s">
        <v>674</v>
      </c>
      <c r="K112" s="65"/>
      <c r="L112" s="55" t="s">
        <v>136</v>
      </c>
      <c r="M112" s="53" t="s">
        <v>675</v>
      </c>
      <c r="N112" s="64" t="s">
        <v>676</v>
      </c>
      <c r="O112" s="33"/>
    </row>
    <row r="113" ht="75.0" customHeight="1">
      <c r="A113" s="33"/>
      <c r="B113" s="43">
        <f t="shared" si="1"/>
        <v>238</v>
      </c>
      <c r="C113" s="44" t="s">
        <v>677</v>
      </c>
      <c r="D113" s="59"/>
      <c r="E113" s="46" t="s">
        <v>503</v>
      </c>
      <c r="F113" s="56" t="s">
        <v>678</v>
      </c>
      <c r="G113" s="64" t="s">
        <v>679</v>
      </c>
      <c r="H113" s="33"/>
      <c r="I113" s="49">
        <f t="shared" si="2"/>
        <v>204</v>
      </c>
      <c r="J113" s="50" t="s">
        <v>680</v>
      </c>
      <c r="K113" s="65"/>
      <c r="L113" s="68" t="s">
        <v>681</v>
      </c>
      <c r="M113" s="53" t="s">
        <v>682</v>
      </c>
      <c r="N113" s="64" t="s">
        <v>683</v>
      </c>
      <c r="O113" s="33"/>
    </row>
    <row r="114" ht="75.0" customHeight="1">
      <c r="A114" s="33"/>
      <c r="B114" s="43">
        <f t="shared" si="1"/>
        <v>237</v>
      </c>
      <c r="C114" s="44" t="s">
        <v>684</v>
      </c>
      <c r="D114" s="59"/>
      <c r="E114" s="46" t="s">
        <v>240</v>
      </c>
      <c r="F114" s="56" t="s">
        <v>685</v>
      </c>
      <c r="G114" s="64" t="s">
        <v>686</v>
      </c>
      <c r="H114" s="33"/>
      <c r="I114" s="49">
        <f t="shared" si="2"/>
        <v>203</v>
      </c>
      <c r="J114" s="50" t="s">
        <v>687</v>
      </c>
      <c r="K114" s="65"/>
      <c r="L114" s="69" t="s">
        <v>71</v>
      </c>
      <c r="M114" s="53" t="s">
        <v>688</v>
      </c>
      <c r="N114" s="64" t="s">
        <v>689</v>
      </c>
      <c r="O114" s="33"/>
    </row>
    <row r="115" ht="75.0" customHeight="1">
      <c r="A115" s="33"/>
      <c r="B115" s="43">
        <f t="shared" si="1"/>
        <v>236</v>
      </c>
      <c r="C115" s="44" t="s">
        <v>690</v>
      </c>
      <c r="D115" s="59"/>
      <c r="E115" s="46" t="s">
        <v>87</v>
      </c>
      <c r="F115" s="56" t="s">
        <v>691</v>
      </c>
      <c r="G115" s="64" t="s">
        <v>692</v>
      </c>
      <c r="H115" s="33"/>
      <c r="I115" s="49">
        <f t="shared" si="2"/>
        <v>202</v>
      </c>
      <c r="J115" s="50" t="s">
        <v>693</v>
      </c>
      <c r="K115" s="65"/>
      <c r="L115" s="55" t="s">
        <v>514</v>
      </c>
      <c r="M115" s="53" t="s">
        <v>694</v>
      </c>
      <c r="N115" s="64" t="s">
        <v>695</v>
      </c>
      <c r="O115" s="33"/>
    </row>
    <row r="116" ht="75.0" customHeight="1">
      <c r="A116" s="33"/>
      <c r="B116" s="43">
        <f t="shared" si="1"/>
        <v>235</v>
      </c>
      <c r="C116" s="44" t="s">
        <v>696</v>
      </c>
      <c r="D116" s="59"/>
      <c r="E116" s="46" t="s">
        <v>510</v>
      </c>
      <c r="F116" s="56" t="s">
        <v>84</v>
      </c>
      <c r="G116" s="64" t="s">
        <v>697</v>
      </c>
      <c r="H116" s="33"/>
      <c r="I116" s="49">
        <f t="shared" si="2"/>
        <v>201</v>
      </c>
      <c r="J116" s="50" t="s">
        <v>698</v>
      </c>
      <c r="K116" s="65"/>
      <c r="L116" s="55" t="s">
        <v>177</v>
      </c>
      <c r="M116" s="53" t="s">
        <v>699</v>
      </c>
      <c r="N116" s="64" t="s">
        <v>700</v>
      </c>
      <c r="O116" s="33"/>
    </row>
    <row r="117" ht="75.0" customHeight="1">
      <c r="A117" s="33"/>
      <c r="B117" s="43">
        <f t="shared" si="1"/>
        <v>234</v>
      </c>
      <c r="C117" s="44" t="s">
        <v>701</v>
      </c>
      <c r="D117" s="59"/>
      <c r="E117" s="46" t="s">
        <v>136</v>
      </c>
      <c r="F117" s="56" t="s">
        <v>659</v>
      </c>
      <c r="G117" s="64" t="s">
        <v>702</v>
      </c>
      <c r="H117" s="33"/>
      <c r="I117" s="49">
        <f t="shared" si="2"/>
        <v>200</v>
      </c>
      <c r="J117" s="50" t="s">
        <v>703</v>
      </c>
      <c r="K117" s="65"/>
      <c r="L117" s="55" t="s">
        <v>46</v>
      </c>
      <c r="M117" s="53" t="s">
        <v>84</v>
      </c>
      <c r="N117" s="64" t="s">
        <v>704</v>
      </c>
      <c r="O117" s="33"/>
    </row>
    <row r="118" ht="75.0" customHeight="1">
      <c r="A118" s="33"/>
      <c r="B118" s="43">
        <f t="shared" si="1"/>
        <v>233</v>
      </c>
      <c r="C118" s="44" t="s">
        <v>705</v>
      </c>
      <c r="D118" s="59"/>
      <c r="E118" s="46" t="s">
        <v>655</v>
      </c>
      <c r="F118" s="56" t="s">
        <v>706</v>
      </c>
      <c r="G118" s="64" t="s">
        <v>707</v>
      </c>
      <c r="H118" s="33"/>
      <c r="I118" s="49">
        <f t="shared" si="2"/>
        <v>199</v>
      </c>
      <c r="J118" s="50" t="s">
        <v>708</v>
      </c>
      <c r="K118" s="65"/>
      <c r="L118" s="55" t="s">
        <v>113</v>
      </c>
      <c r="M118" s="53" t="s">
        <v>688</v>
      </c>
      <c r="N118" s="64" t="s">
        <v>709</v>
      </c>
      <c r="O118" s="33"/>
    </row>
    <row r="119" ht="75.0" customHeight="1">
      <c r="A119" s="33"/>
      <c r="B119" s="43">
        <f t="shared" si="1"/>
        <v>232</v>
      </c>
      <c r="C119" s="44" t="s">
        <v>710</v>
      </c>
      <c r="D119" s="59"/>
      <c r="E119" s="46" t="s">
        <v>711</v>
      </c>
      <c r="F119" s="56" t="s">
        <v>712</v>
      </c>
      <c r="G119" s="64" t="s">
        <v>713</v>
      </c>
      <c r="H119" s="33"/>
      <c r="I119" s="49">
        <f t="shared" si="2"/>
        <v>198</v>
      </c>
      <c r="J119" s="50" t="s">
        <v>714</v>
      </c>
      <c r="K119" s="65"/>
      <c r="L119" s="55" t="s">
        <v>715</v>
      </c>
      <c r="M119" s="53" t="s">
        <v>716</v>
      </c>
      <c r="N119" s="64" t="s">
        <v>717</v>
      </c>
      <c r="O119" s="33"/>
    </row>
    <row r="120" ht="75.0" customHeight="1">
      <c r="A120" s="33"/>
      <c r="B120" s="43">
        <f t="shared" si="1"/>
        <v>231</v>
      </c>
      <c r="C120" s="44" t="s">
        <v>718</v>
      </c>
      <c r="D120" s="59"/>
      <c r="E120" s="46" t="s">
        <v>461</v>
      </c>
      <c r="F120" s="56" t="s">
        <v>76</v>
      </c>
      <c r="G120" s="64" t="s">
        <v>719</v>
      </c>
      <c r="H120" s="33"/>
      <c r="I120" s="49">
        <f t="shared" si="2"/>
        <v>197</v>
      </c>
      <c r="J120" s="50" t="s">
        <v>720</v>
      </c>
      <c r="K120" s="65"/>
      <c r="L120" s="55" t="s">
        <v>721</v>
      </c>
      <c r="M120" s="53" t="s">
        <v>716</v>
      </c>
      <c r="N120" s="64" t="s">
        <v>722</v>
      </c>
      <c r="O120" s="33"/>
    </row>
    <row r="121" ht="75.0" customHeight="1">
      <c r="A121" s="33"/>
      <c r="B121" s="43">
        <f t="shared" si="1"/>
        <v>230</v>
      </c>
      <c r="C121" s="44" t="s">
        <v>723</v>
      </c>
      <c r="D121" s="59"/>
      <c r="E121" s="46" t="s">
        <v>190</v>
      </c>
      <c r="F121" s="56" t="s">
        <v>724</v>
      </c>
      <c r="G121" s="64" t="s">
        <v>725</v>
      </c>
      <c r="H121" s="33"/>
      <c r="I121" s="49">
        <f t="shared" si="2"/>
        <v>196</v>
      </c>
      <c r="J121" s="50" t="s">
        <v>726</v>
      </c>
      <c r="K121" s="65"/>
      <c r="L121" s="55" t="s">
        <v>83</v>
      </c>
      <c r="M121" s="53" t="s">
        <v>727</v>
      </c>
      <c r="N121" s="64" t="s">
        <v>728</v>
      </c>
      <c r="O121" s="33"/>
    </row>
    <row r="122" ht="75.0" customHeight="1">
      <c r="A122" s="33"/>
      <c r="B122" s="43">
        <f t="shared" si="1"/>
        <v>229</v>
      </c>
      <c r="C122" s="44" t="s">
        <v>729</v>
      </c>
      <c r="D122" s="59"/>
      <c r="E122" s="46" t="s">
        <v>730</v>
      </c>
      <c r="F122" s="56" t="s">
        <v>731</v>
      </c>
      <c r="G122" s="64" t="s">
        <v>732</v>
      </c>
      <c r="H122" s="33"/>
      <c r="I122" s="49">
        <f t="shared" si="2"/>
        <v>195</v>
      </c>
      <c r="J122" s="50" t="s">
        <v>733</v>
      </c>
      <c r="K122" s="65"/>
      <c r="L122" s="55" t="s">
        <v>734</v>
      </c>
      <c r="M122" s="53" t="s">
        <v>735</v>
      </c>
      <c r="N122" s="64" t="s">
        <v>736</v>
      </c>
      <c r="O122" s="33"/>
    </row>
    <row r="123" ht="75.0" customHeight="1">
      <c r="A123" s="33"/>
      <c r="B123" s="43">
        <f t="shared" si="1"/>
        <v>228</v>
      </c>
      <c r="C123" s="44" t="s">
        <v>737</v>
      </c>
      <c r="D123" s="59"/>
      <c r="E123" s="46" t="s">
        <v>738</v>
      </c>
      <c r="F123" s="56" t="s">
        <v>739</v>
      </c>
      <c r="G123" s="64" t="s">
        <v>740</v>
      </c>
      <c r="H123" s="33"/>
      <c r="I123" s="49">
        <f t="shared" si="2"/>
        <v>194</v>
      </c>
      <c r="J123" s="50" t="s">
        <v>741</v>
      </c>
      <c r="K123" s="65"/>
      <c r="L123" s="55" t="s">
        <v>341</v>
      </c>
      <c r="M123" s="53" t="s">
        <v>742</v>
      </c>
      <c r="N123" s="64" t="s">
        <v>743</v>
      </c>
      <c r="O123" s="33"/>
    </row>
    <row r="124" ht="75.0" customHeight="1">
      <c r="A124" s="33"/>
      <c r="B124" s="43">
        <f t="shared" si="1"/>
        <v>227</v>
      </c>
      <c r="C124" s="44" t="s">
        <v>744</v>
      </c>
      <c r="D124" s="59"/>
      <c r="E124" s="46" t="s">
        <v>745</v>
      </c>
      <c r="F124" s="56" t="s">
        <v>739</v>
      </c>
      <c r="G124" s="64" t="s">
        <v>746</v>
      </c>
      <c r="H124" s="33"/>
      <c r="I124" s="49">
        <f t="shared" si="2"/>
        <v>193</v>
      </c>
      <c r="J124" s="50" t="s">
        <v>747</v>
      </c>
      <c r="K124" s="65"/>
      <c r="L124" s="55" t="s">
        <v>748</v>
      </c>
      <c r="M124" s="53" t="s">
        <v>749</v>
      </c>
      <c r="N124" s="64" t="s">
        <v>750</v>
      </c>
      <c r="O124" s="33"/>
    </row>
    <row r="125" ht="75.0" customHeight="1">
      <c r="A125" s="33"/>
      <c r="B125" s="43">
        <f t="shared" si="1"/>
        <v>226</v>
      </c>
      <c r="C125" s="44" t="s">
        <v>751</v>
      </c>
      <c r="D125" s="59"/>
      <c r="E125" s="46" t="s">
        <v>233</v>
      </c>
      <c r="F125" s="56" t="s">
        <v>752</v>
      </c>
      <c r="G125" s="64" t="s">
        <v>753</v>
      </c>
      <c r="H125" s="33"/>
      <c r="I125" s="49">
        <f t="shared" si="2"/>
        <v>192</v>
      </c>
      <c r="J125" s="50" t="s">
        <v>754</v>
      </c>
      <c r="K125" s="65"/>
      <c r="L125" s="55" t="s">
        <v>755</v>
      </c>
      <c r="M125" s="67" t="s">
        <v>731</v>
      </c>
      <c r="N125" s="64" t="s">
        <v>756</v>
      </c>
      <c r="O125" s="33"/>
    </row>
    <row r="126" ht="75.0" customHeight="1">
      <c r="A126" s="33"/>
      <c r="B126" s="43">
        <f t="shared" si="1"/>
        <v>225</v>
      </c>
      <c r="C126" s="44" t="s">
        <v>757</v>
      </c>
      <c r="D126" s="59"/>
      <c r="E126" s="46" t="s">
        <v>518</v>
      </c>
      <c r="F126" s="56" t="s">
        <v>758</v>
      </c>
      <c r="G126" s="64" t="s">
        <v>759</v>
      </c>
      <c r="H126" s="33"/>
      <c r="I126" s="49">
        <f t="shared" si="2"/>
        <v>191</v>
      </c>
      <c r="J126" s="50" t="s">
        <v>760</v>
      </c>
      <c r="K126" s="65"/>
      <c r="L126" s="55" t="s">
        <v>545</v>
      </c>
      <c r="M126" s="67" t="s">
        <v>761</v>
      </c>
      <c r="N126" s="64" t="s">
        <v>762</v>
      </c>
      <c r="O126" s="33"/>
    </row>
    <row r="127" ht="75.0" customHeight="1">
      <c r="A127" s="33"/>
      <c r="B127" s="43">
        <f t="shared" si="1"/>
        <v>224</v>
      </c>
      <c r="C127" s="44" t="s">
        <v>763</v>
      </c>
      <c r="D127" s="59"/>
      <c r="E127" s="46" t="s">
        <v>764</v>
      </c>
      <c r="F127" s="56" t="s">
        <v>765</v>
      </c>
      <c r="G127" s="64" t="s">
        <v>766</v>
      </c>
      <c r="H127" s="33"/>
      <c r="I127" s="49">
        <f t="shared" si="2"/>
        <v>190</v>
      </c>
      <c r="J127" s="50" t="s">
        <v>767</v>
      </c>
      <c r="K127" s="65"/>
      <c r="L127" s="55" t="s">
        <v>768</v>
      </c>
      <c r="M127" s="67" t="s">
        <v>769</v>
      </c>
      <c r="N127" s="64" t="s">
        <v>770</v>
      </c>
      <c r="O127" s="33"/>
    </row>
    <row r="128" ht="75.0" customHeight="1">
      <c r="A128" s="33"/>
      <c r="B128" s="43">
        <f t="shared" si="1"/>
        <v>223</v>
      </c>
      <c r="C128" s="44" t="s">
        <v>771</v>
      </c>
      <c r="D128" s="59"/>
      <c r="E128" s="46" t="s">
        <v>264</v>
      </c>
      <c r="F128" s="56" t="s">
        <v>772</v>
      </c>
      <c r="G128" s="64" t="s">
        <v>773</v>
      </c>
      <c r="H128" s="33"/>
      <c r="I128" s="49">
        <f t="shared" si="2"/>
        <v>189</v>
      </c>
      <c r="J128" s="50" t="s">
        <v>774</v>
      </c>
      <c r="K128" s="65"/>
      <c r="L128" s="55" t="s">
        <v>293</v>
      </c>
      <c r="M128" s="67" t="s">
        <v>775</v>
      </c>
      <c r="N128" s="64" t="s">
        <v>776</v>
      </c>
      <c r="O128" s="33"/>
    </row>
    <row r="129" ht="75.0" customHeight="1">
      <c r="A129" s="33"/>
      <c r="B129" s="43">
        <f t="shared" si="1"/>
        <v>222</v>
      </c>
      <c r="C129" s="44" t="s">
        <v>777</v>
      </c>
      <c r="D129" s="59"/>
      <c r="E129" s="46" t="s">
        <v>475</v>
      </c>
      <c r="F129" s="56" t="s">
        <v>778</v>
      </c>
      <c r="G129" s="64" t="s">
        <v>779</v>
      </c>
      <c r="H129" s="33"/>
      <c r="I129" s="49">
        <f t="shared" si="2"/>
        <v>188</v>
      </c>
      <c r="J129" s="50" t="s">
        <v>780</v>
      </c>
      <c r="K129" s="65"/>
      <c r="L129" s="55" t="s">
        <v>781</v>
      </c>
      <c r="M129" s="53" t="s">
        <v>479</v>
      </c>
      <c r="N129" s="64" t="s">
        <v>782</v>
      </c>
      <c r="O129" s="33"/>
    </row>
    <row r="130" ht="75.0" customHeight="1">
      <c r="A130" s="33"/>
      <c r="B130" s="43">
        <f t="shared" si="1"/>
        <v>221</v>
      </c>
      <c r="C130" s="44" t="s">
        <v>783</v>
      </c>
      <c r="D130" s="59"/>
      <c r="E130" s="46" t="s">
        <v>784</v>
      </c>
      <c r="F130" s="56" t="s">
        <v>785</v>
      </c>
      <c r="G130" s="64" t="s">
        <v>786</v>
      </c>
      <c r="H130" s="33"/>
      <c r="I130" s="49">
        <f t="shared" si="2"/>
        <v>187</v>
      </c>
      <c r="J130" s="50" t="s">
        <v>787</v>
      </c>
      <c r="K130" s="65"/>
      <c r="L130" s="55" t="s">
        <v>226</v>
      </c>
      <c r="M130" s="53" t="s">
        <v>84</v>
      </c>
      <c r="N130" s="64" t="s">
        <v>788</v>
      </c>
      <c r="O130" s="33"/>
    </row>
    <row r="131" ht="75.0" customHeight="1">
      <c r="A131" s="33"/>
      <c r="B131" s="43">
        <f t="shared" si="1"/>
        <v>220</v>
      </c>
      <c r="C131" s="44" t="s">
        <v>789</v>
      </c>
      <c r="D131" s="59"/>
      <c r="E131" s="46" t="s">
        <v>293</v>
      </c>
      <c r="F131" s="56" t="s">
        <v>790</v>
      </c>
      <c r="G131" s="64" t="s">
        <v>791</v>
      </c>
      <c r="H131" s="33"/>
      <c r="I131" s="49">
        <f t="shared" si="2"/>
        <v>186</v>
      </c>
      <c r="J131" s="50" t="s">
        <v>792</v>
      </c>
      <c r="K131" s="65"/>
      <c r="L131" s="55" t="s">
        <v>793</v>
      </c>
      <c r="M131" s="67" t="s">
        <v>794</v>
      </c>
      <c r="N131" s="64" t="s">
        <v>795</v>
      </c>
      <c r="O131" s="33"/>
    </row>
    <row r="132" ht="75.0" customHeight="1">
      <c r="A132" s="33"/>
      <c r="B132" s="43">
        <f t="shared" si="1"/>
        <v>219</v>
      </c>
      <c r="C132" s="44" t="s">
        <v>796</v>
      </c>
      <c r="D132" s="59"/>
      <c r="E132" s="46" t="s">
        <v>97</v>
      </c>
      <c r="F132" s="56" t="s">
        <v>797</v>
      </c>
      <c r="G132" s="64" t="s">
        <v>798</v>
      </c>
      <c r="H132" s="33"/>
      <c r="I132" s="49">
        <f t="shared" si="2"/>
        <v>185</v>
      </c>
      <c r="J132" s="50" t="s">
        <v>799</v>
      </c>
      <c r="K132" s="65"/>
      <c r="L132" s="55" t="s">
        <v>800</v>
      </c>
      <c r="M132" s="53" t="s">
        <v>801</v>
      </c>
      <c r="N132" s="64" t="s">
        <v>802</v>
      </c>
      <c r="O132" s="33"/>
    </row>
    <row r="133" ht="75.0" customHeight="1">
      <c r="A133" s="33"/>
      <c r="B133" s="43">
        <f t="shared" si="1"/>
        <v>218</v>
      </c>
      <c r="C133" s="44" t="s">
        <v>803</v>
      </c>
      <c r="D133" s="59"/>
      <c r="E133" s="46" t="s">
        <v>204</v>
      </c>
      <c r="F133" s="56" t="s">
        <v>699</v>
      </c>
      <c r="G133" s="64" t="s">
        <v>804</v>
      </c>
      <c r="H133" s="33"/>
      <c r="I133" s="49">
        <f t="shared" si="2"/>
        <v>184</v>
      </c>
      <c r="J133" s="50" t="s">
        <v>805</v>
      </c>
      <c r="K133" s="65"/>
      <c r="L133" s="55" t="s">
        <v>38</v>
      </c>
      <c r="M133" s="67" t="s">
        <v>209</v>
      </c>
      <c r="N133" s="64" t="s">
        <v>806</v>
      </c>
      <c r="O133" s="33"/>
    </row>
    <row r="134" ht="75.0" customHeight="1">
      <c r="A134" s="33"/>
      <c r="B134" s="43">
        <f t="shared" si="1"/>
        <v>217</v>
      </c>
      <c r="C134" s="44" t="s">
        <v>807</v>
      </c>
      <c r="D134" s="59"/>
      <c r="E134" s="46" t="s">
        <v>808</v>
      </c>
      <c r="F134" s="56" t="s">
        <v>809</v>
      </c>
      <c r="G134" s="64" t="s">
        <v>810</v>
      </c>
      <c r="H134" s="33"/>
      <c r="I134" s="49">
        <f t="shared" si="2"/>
        <v>183</v>
      </c>
      <c r="J134" s="50" t="s">
        <v>811</v>
      </c>
      <c r="K134" s="65"/>
      <c r="L134" s="55" t="s">
        <v>812</v>
      </c>
      <c r="M134" s="67" t="s">
        <v>813</v>
      </c>
      <c r="N134" s="64" t="s">
        <v>814</v>
      </c>
      <c r="O134" s="33"/>
    </row>
    <row r="135" ht="75.0" customHeight="1">
      <c r="A135" s="33"/>
      <c r="B135" s="43">
        <f t="shared" si="1"/>
        <v>216</v>
      </c>
      <c r="C135" s="44" t="s">
        <v>815</v>
      </c>
      <c r="D135" s="59"/>
      <c r="E135" s="46" t="s">
        <v>216</v>
      </c>
      <c r="F135" s="56" t="s">
        <v>297</v>
      </c>
      <c r="G135" s="64" t="s">
        <v>816</v>
      </c>
      <c r="H135" s="33"/>
      <c r="I135" s="49">
        <f t="shared" si="2"/>
        <v>182</v>
      </c>
      <c r="J135" s="50" t="s">
        <v>817</v>
      </c>
      <c r="K135" s="65"/>
      <c r="L135" s="55" t="s">
        <v>818</v>
      </c>
      <c r="M135" s="53" t="s">
        <v>423</v>
      </c>
      <c r="N135" s="64" t="s">
        <v>819</v>
      </c>
      <c r="O135" s="33"/>
    </row>
    <row r="136" ht="75.0" customHeight="1">
      <c r="A136" s="33"/>
      <c r="B136" s="43">
        <f t="shared" si="1"/>
        <v>215</v>
      </c>
      <c r="C136" s="44" t="s">
        <v>820</v>
      </c>
      <c r="D136" s="59"/>
      <c r="E136" s="46" t="s">
        <v>79</v>
      </c>
      <c r="F136" s="56" t="s">
        <v>821</v>
      </c>
      <c r="G136" s="64" t="s">
        <v>822</v>
      </c>
      <c r="H136" s="33"/>
      <c r="I136" s="49">
        <f t="shared" si="2"/>
        <v>181</v>
      </c>
      <c r="J136" s="50" t="s">
        <v>823</v>
      </c>
      <c r="K136" s="65"/>
      <c r="L136" s="55" t="s">
        <v>824</v>
      </c>
      <c r="M136" s="53" t="s">
        <v>825</v>
      </c>
      <c r="N136" s="64" t="s">
        <v>826</v>
      </c>
      <c r="O136" s="33"/>
    </row>
    <row r="137" ht="75.0" customHeight="1">
      <c r="A137" s="33"/>
      <c r="B137" s="43">
        <f t="shared" si="1"/>
        <v>214</v>
      </c>
      <c r="C137" s="44" t="s">
        <v>827</v>
      </c>
      <c r="D137" s="59"/>
      <c r="E137" s="46" t="s">
        <v>324</v>
      </c>
      <c r="F137" s="56" t="s">
        <v>828</v>
      </c>
      <c r="G137" s="64" t="s">
        <v>829</v>
      </c>
      <c r="H137" s="33"/>
      <c r="I137" s="49">
        <f t="shared" si="2"/>
        <v>180</v>
      </c>
      <c r="J137" s="50" t="s">
        <v>830</v>
      </c>
      <c r="K137" s="65"/>
      <c r="L137" s="55" t="s">
        <v>16</v>
      </c>
      <c r="M137" s="53" t="s">
        <v>831</v>
      </c>
      <c r="N137" s="64" t="s">
        <v>832</v>
      </c>
      <c r="O137" s="33"/>
    </row>
    <row r="138" ht="75.0" customHeight="1">
      <c r="A138" s="33"/>
      <c r="B138" s="43">
        <f t="shared" si="1"/>
        <v>213</v>
      </c>
      <c r="C138" s="44" t="s">
        <v>833</v>
      </c>
      <c r="D138" s="59"/>
      <c r="E138" s="46" t="s">
        <v>458</v>
      </c>
      <c r="F138" s="56" t="s">
        <v>834</v>
      </c>
      <c r="G138" s="64" t="s">
        <v>835</v>
      </c>
      <c r="H138" s="33"/>
      <c r="I138" s="49">
        <f t="shared" si="2"/>
        <v>179</v>
      </c>
      <c r="J138" s="50" t="s">
        <v>836</v>
      </c>
      <c r="K138" s="65"/>
      <c r="L138" s="55" t="s">
        <v>837</v>
      </c>
      <c r="M138" s="67" t="s">
        <v>838</v>
      </c>
      <c r="N138" s="64" t="s">
        <v>839</v>
      </c>
      <c r="O138" s="33"/>
    </row>
    <row r="139" ht="75.0" customHeight="1">
      <c r="A139" s="33"/>
      <c r="B139" s="43">
        <f t="shared" si="1"/>
        <v>212</v>
      </c>
      <c r="C139" s="44" t="s">
        <v>840</v>
      </c>
      <c r="D139" s="59"/>
      <c r="E139" s="46" t="s">
        <v>841</v>
      </c>
      <c r="F139" s="56" t="s">
        <v>842</v>
      </c>
      <c r="G139" s="64" t="s">
        <v>843</v>
      </c>
      <c r="H139" s="33"/>
      <c r="I139" s="49">
        <f t="shared" si="2"/>
        <v>178</v>
      </c>
      <c r="J139" s="50" t="s">
        <v>844</v>
      </c>
      <c r="K139" s="65"/>
      <c r="L139" s="55" t="s">
        <v>784</v>
      </c>
      <c r="M139" s="67" t="s">
        <v>845</v>
      </c>
      <c r="N139" s="64" t="s">
        <v>846</v>
      </c>
      <c r="O139" s="33"/>
    </row>
    <row r="140" ht="75.0" customHeight="1">
      <c r="A140" s="33"/>
      <c r="B140" s="43">
        <f t="shared" si="1"/>
        <v>211</v>
      </c>
      <c r="C140" s="44" t="s">
        <v>847</v>
      </c>
      <c r="D140" s="59"/>
      <c r="E140" s="46" t="s">
        <v>27</v>
      </c>
      <c r="F140" s="56" t="s">
        <v>848</v>
      </c>
      <c r="G140" s="64" t="s">
        <v>849</v>
      </c>
      <c r="H140" s="33"/>
      <c r="I140" s="49">
        <f t="shared" si="2"/>
        <v>177</v>
      </c>
      <c r="J140" s="50" t="s">
        <v>850</v>
      </c>
      <c r="K140" s="65"/>
      <c r="L140" s="68" t="s">
        <v>851</v>
      </c>
      <c r="M140" s="67" t="s">
        <v>852</v>
      </c>
      <c r="N140" s="64" t="s">
        <v>853</v>
      </c>
      <c r="O140" s="33"/>
    </row>
    <row r="141" ht="75.0" customHeight="1">
      <c r="A141" s="33"/>
      <c r="B141" s="43">
        <f t="shared" si="1"/>
        <v>210</v>
      </c>
      <c r="C141" s="44" t="s">
        <v>854</v>
      </c>
      <c r="D141" s="59"/>
      <c r="E141" s="46" t="s">
        <v>190</v>
      </c>
      <c r="F141" s="56" t="s">
        <v>855</v>
      </c>
      <c r="G141" s="64" t="s">
        <v>856</v>
      </c>
      <c r="H141" s="33"/>
      <c r="I141" s="49">
        <f t="shared" si="2"/>
        <v>176</v>
      </c>
      <c r="J141" s="50" t="s">
        <v>857</v>
      </c>
      <c r="K141" s="65"/>
      <c r="L141" s="55" t="s">
        <v>24</v>
      </c>
      <c r="M141" s="53" t="s">
        <v>688</v>
      </c>
      <c r="N141" s="64" t="s">
        <v>858</v>
      </c>
      <c r="O141" s="33"/>
    </row>
    <row r="142" ht="75.0" customHeight="1">
      <c r="A142" s="33"/>
      <c r="B142" s="43">
        <f t="shared" si="1"/>
        <v>209</v>
      </c>
      <c r="C142" s="44" t="s">
        <v>859</v>
      </c>
      <c r="D142" s="59"/>
      <c r="E142" s="46" t="s">
        <v>87</v>
      </c>
      <c r="F142" s="56" t="s">
        <v>485</v>
      </c>
      <c r="G142" s="64" t="s">
        <v>860</v>
      </c>
      <c r="H142" s="33"/>
      <c r="I142" s="49">
        <f t="shared" si="2"/>
        <v>175</v>
      </c>
      <c r="J142" s="50" t="s">
        <v>861</v>
      </c>
      <c r="K142" s="65"/>
      <c r="L142" s="55" t="s">
        <v>862</v>
      </c>
      <c r="M142" s="53" t="s">
        <v>863</v>
      </c>
      <c r="N142" s="64" t="s">
        <v>864</v>
      </c>
      <c r="O142" s="33"/>
    </row>
    <row r="143" ht="75.0" customHeight="1">
      <c r="A143" s="33"/>
      <c r="B143" s="43">
        <f t="shared" si="1"/>
        <v>208</v>
      </c>
      <c r="C143" s="44" t="s">
        <v>865</v>
      </c>
      <c r="D143" s="59"/>
      <c r="E143" s="46" t="s">
        <v>139</v>
      </c>
      <c r="F143" s="56" t="s">
        <v>485</v>
      </c>
      <c r="G143" s="64" t="s">
        <v>866</v>
      </c>
      <c r="H143" s="33"/>
      <c r="I143" s="49">
        <f t="shared" si="2"/>
        <v>174</v>
      </c>
      <c r="J143" s="50" t="s">
        <v>867</v>
      </c>
      <c r="K143" s="65"/>
      <c r="L143" s="55" t="s">
        <v>868</v>
      </c>
      <c r="M143" s="53" t="s">
        <v>869</v>
      </c>
      <c r="N143" s="64" t="s">
        <v>870</v>
      </c>
      <c r="O143" s="33"/>
    </row>
    <row r="144" ht="75.0" customHeight="1">
      <c r="A144" s="33"/>
      <c r="B144" s="43">
        <f t="shared" si="1"/>
        <v>207</v>
      </c>
      <c r="C144" s="44" t="s">
        <v>871</v>
      </c>
      <c r="D144" s="59"/>
      <c r="E144" s="46" t="s">
        <v>872</v>
      </c>
      <c r="F144" s="56" t="s">
        <v>395</v>
      </c>
      <c r="G144" s="64" t="s">
        <v>873</v>
      </c>
      <c r="H144" s="33"/>
      <c r="I144" s="49">
        <f t="shared" si="2"/>
        <v>173</v>
      </c>
      <c r="J144" s="50" t="s">
        <v>874</v>
      </c>
      <c r="K144" s="65"/>
      <c r="L144" s="55" t="s">
        <v>875</v>
      </c>
      <c r="M144" s="53" t="s">
        <v>485</v>
      </c>
      <c r="N144" s="64" t="s">
        <v>876</v>
      </c>
      <c r="O144" s="33"/>
    </row>
    <row r="145" ht="75.0" customHeight="1">
      <c r="A145" s="33"/>
      <c r="B145" s="43">
        <f t="shared" si="1"/>
        <v>206</v>
      </c>
      <c r="C145" s="44" t="s">
        <v>877</v>
      </c>
      <c r="D145" s="59"/>
      <c r="E145" s="46" t="s">
        <v>190</v>
      </c>
      <c r="F145" s="56" t="s">
        <v>472</v>
      </c>
      <c r="G145" s="64" t="s">
        <v>878</v>
      </c>
      <c r="H145" s="33"/>
      <c r="I145" s="49">
        <f t="shared" si="2"/>
        <v>172</v>
      </c>
      <c r="J145" s="50" t="s">
        <v>879</v>
      </c>
      <c r="K145" s="65"/>
      <c r="L145" s="55" t="s">
        <v>113</v>
      </c>
      <c r="M145" s="53" t="s">
        <v>880</v>
      </c>
      <c r="N145" s="64" t="s">
        <v>881</v>
      </c>
      <c r="O145" s="33"/>
    </row>
    <row r="146" ht="75.0" customHeight="1">
      <c r="A146" s="33"/>
      <c r="B146" s="43">
        <f t="shared" si="1"/>
        <v>205</v>
      </c>
      <c r="C146" s="44" t="s">
        <v>882</v>
      </c>
      <c r="D146" s="59"/>
      <c r="E146" s="46" t="s">
        <v>97</v>
      </c>
      <c r="F146" s="56" t="s">
        <v>595</v>
      </c>
      <c r="G146" s="64" t="s">
        <v>883</v>
      </c>
      <c r="H146" s="33"/>
      <c r="I146" s="49">
        <f t="shared" si="2"/>
        <v>171</v>
      </c>
      <c r="J146" s="50" t="s">
        <v>884</v>
      </c>
      <c r="K146" s="65"/>
      <c r="L146" s="55" t="s">
        <v>885</v>
      </c>
      <c r="M146" s="67" t="s">
        <v>712</v>
      </c>
      <c r="N146" s="64" t="s">
        <v>886</v>
      </c>
      <c r="O146" s="33"/>
    </row>
    <row r="147" ht="75.0" customHeight="1">
      <c r="A147" s="33"/>
      <c r="B147" s="43">
        <f t="shared" si="1"/>
        <v>204</v>
      </c>
      <c r="C147" s="44" t="s">
        <v>887</v>
      </c>
      <c r="D147" s="59"/>
      <c r="E147" s="46" t="s">
        <v>287</v>
      </c>
      <c r="F147" s="56" t="s">
        <v>888</v>
      </c>
      <c r="G147" s="64" t="s">
        <v>889</v>
      </c>
      <c r="H147" s="33"/>
      <c r="I147" s="49">
        <f t="shared" si="2"/>
        <v>170</v>
      </c>
      <c r="J147" s="50" t="s">
        <v>890</v>
      </c>
      <c r="K147" s="65"/>
      <c r="L147" s="55" t="s">
        <v>494</v>
      </c>
      <c r="M147" s="67" t="s">
        <v>712</v>
      </c>
      <c r="N147" s="64" t="s">
        <v>891</v>
      </c>
      <c r="O147" s="33"/>
    </row>
    <row r="148" ht="75.0" customHeight="1">
      <c r="A148" s="33"/>
      <c r="B148" s="43">
        <f t="shared" si="1"/>
        <v>203</v>
      </c>
      <c r="C148" s="44" t="s">
        <v>892</v>
      </c>
      <c r="D148" s="59"/>
      <c r="E148" s="46" t="s">
        <v>87</v>
      </c>
      <c r="F148" s="56" t="s">
        <v>893</v>
      </c>
      <c r="G148" s="64" t="s">
        <v>894</v>
      </c>
      <c r="H148" s="33"/>
      <c r="I148" s="49">
        <f t="shared" si="2"/>
        <v>169</v>
      </c>
      <c r="J148" s="50" t="s">
        <v>895</v>
      </c>
      <c r="K148" s="65"/>
      <c r="L148" s="55" t="s">
        <v>896</v>
      </c>
      <c r="M148" s="53" t="s">
        <v>897</v>
      </c>
      <c r="N148" s="64" t="s">
        <v>898</v>
      </c>
      <c r="O148" s="33"/>
    </row>
    <row r="149" ht="75.0" customHeight="1">
      <c r="A149" s="33"/>
      <c r="B149" s="43">
        <f t="shared" si="1"/>
        <v>202</v>
      </c>
      <c r="C149" s="44" t="s">
        <v>899</v>
      </c>
      <c r="D149" s="59"/>
      <c r="E149" s="46" t="s">
        <v>458</v>
      </c>
      <c r="F149" s="56" t="s">
        <v>900</v>
      </c>
      <c r="G149" s="64" t="s">
        <v>901</v>
      </c>
      <c r="H149" s="33"/>
      <c r="I149" s="49">
        <f t="shared" si="2"/>
        <v>168</v>
      </c>
      <c r="J149" s="50" t="s">
        <v>902</v>
      </c>
      <c r="K149" s="65"/>
      <c r="L149" s="55" t="s">
        <v>68</v>
      </c>
      <c r="M149" s="53" t="s">
        <v>903</v>
      </c>
      <c r="N149" s="64" t="s">
        <v>904</v>
      </c>
      <c r="O149" s="33"/>
    </row>
    <row r="150" ht="75.0" customHeight="1">
      <c r="A150" s="33"/>
      <c r="B150" s="43">
        <f t="shared" si="1"/>
        <v>201</v>
      </c>
      <c r="C150" s="44" t="s">
        <v>905</v>
      </c>
      <c r="D150" s="59"/>
      <c r="E150" s="46" t="s">
        <v>56</v>
      </c>
      <c r="F150" s="56" t="s">
        <v>906</v>
      </c>
      <c r="G150" s="64" t="s">
        <v>907</v>
      </c>
      <c r="H150" s="33"/>
      <c r="I150" s="49">
        <f t="shared" si="2"/>
        <v>167</v>
      </c>
      <c r="J150" s="50" t="s">
        <v>908</v>
      </c>
      <c r="K150" s="65"/>
      <c r="L150" s="55" t="s">
        <v>909</v>
      </c>
      <c r="M150" s="53" t="s">
        <v>577</v>
      </c>
      <c r="N150" s="64" t="s">
        <v>910</v>
      </c>
      <c r="O150" s="33"/>
    </row>
    <row r="151" ht="75.0" customHeight="1">
      <c r="A151" s="33"/>
      <c r="B151" s="43">
        <f t="shared" si="1"/>
        <v>200</v>
      </c>
      <c r="C151" s="44" t="s">
        <v>911</v>
      </c>
      <c r="D151" s="59"/>
      <c r="E151" s="46" t="s">
        <v>136</v>
      </c>
      <c r="F151" s="56" t="s">
        <v>912</v>
      </c>
      <c r="G151" s="64" t="s">
        <v>913</v>
      </c>
      <c r="H151" s="33"/>
      <c r="I151" s="49">
        <f t="shared" si="2"/>
        <v>166</v>
      </c>
      <c r="J151" s="50" t="s">
        <v>914</v>
      </c>
      <c r="K151" s="65"/>
      <c r="L151" s="55" t="s">
        <v>60</v>
      </c>
      <c r="M151" s="53" t="s">
        <v>577</v>
      </c>
      <c r="N151" s="64" t="s">
        <v>915</v>
      </c>
      <c r="O151" s="33"/>
    </row>
    <row r="152" ht="75.0" customHeight="1">
      <c r="A152" s="33"/>
      <c r="B152" s="43">
        <f t="shared" si="1"/>
        <v>199</v>
      </c>
      <c r="C152" s="44" t="s">
        <v>916</v>
      </c>
      <c r="D152" s="59"/>
      <c r="E152" s="46" t="s">
        <v>106</v>
      </c>
      <c r="F152" s="56" t="s">
        <v>194</v>
      </c>
      <c r="G152" s="64" t="s">
        <v>917</v>
      </c>
      <c r="H152" s="33"/>
      <c r="I152" s="49">
        <f t="shared" si="2"/>
        <v>165</v>
      </c>
      <c r="J152" s="50" t="s">
        <v>918</v>
      </c>
      <c r="K152" s="65"/>
      <c r="L152" s="55" t="s">
        <v>31</v>
      </c>
      <c r="M152" s="53" t="s">
        <v>758</v>
      </c>
      <c r="N152" s="64" t="s">
        <v>919</v>
      </c>
      <c r="O152" s="33"/>
    </row>
    <row r="153" ht="75.0" customHeight="1">
      <c r="A153" s="33"/>
      <c r="B153" s="43">
        <f t="shared" si="1"/>
        <v>198</v>
      </c>
      <c r="C153" s="44" t="s">
        <v>920</v>
      </c>
      <c r="D153" s="59"/>
      <c r="E153" s="46" t="s">
        <v>49</v>
      </c>
      <c r="F153" s="56" t="s">
        <v>921</v>
      </c>
      <c r="G153" s="64" t="s">
        <v>922</v>
      </c>
      <c r="H153" s="33"/>
      <c r="I153" s="49">
        <f t="shared" si="2"/>
        <v>164</v>
      </c>
      <c r="J153" s="50" t="s">
        <v>923</v>
      </c>
      <c r="K153" s="65"/>
      <c r="L153" s="55" t="s">
        <v>734</v>
      </c>
      <c r="M153" s="53" t="s">
        <v>752</v>
      </c>
      <c r="N153" s="64" t="s">
        <v>924</v>
      </c>
      <c r="O153" s="33"/>
    </row>
    <row r="154" ht="75.0" customHeight="1">
      <c r="A154" s="33"/>
      <c r="B154" s="43">
        <f t="shared" si="1"/>
        <v>197</v>
      </c>
      <c r="C154" s="44" t="s">
        <v>925</v>
      </c>
      <c r="D154" s="59"/>
      <c r="E154" s="46" t="s">
        <v>324</v>
      </c>
      <c r="F154" s="56" t="s">
        <v>659</v>
      </c>
      <c r="G154" s="64" t="s">
        <v>926</v>
      </c>
      <c r="H154" s="33"/>
      <c r="I154" s="49">
        <f t="shared" si="2"/>
        <v>163</v>
      </c>
      <c r="J154" s="50" t="s">
        <v>927</v>
      </c>
      <c r="K154" s="65"/>
      <c r="L154" s="55" t="s">
        <v>928</v>
      </c>
      <c r="M154" s="67" t="s">
        <v>752</v>
      </c>
      <c r="N154" s="64" t="s">
        <v>929</v>
      </c>
      <c r="O154" s="33"/>
    </row>
    <row r="155" ht="75.0" customHeight="1">
      <c r="A155" s="33"/>
      <c r="B155" s="43">
        <f t="shared" si="1"/>
        <v>196</v>
      </c>
      <c r="C155" s="44" t="s">
        <v>930</v>
      </c>
      <c r="D155" s="59"/>
      <c r="E155" s="46" t="s">
        <v>475</v>
      </c>
      <c r="F155" s="56" t="s">
        <v>76</v>
      </c>
      <c r="G155" s="64" t="s">
        <v>931</v>
      </c>
      <c r="H155" s="33"/>
      <c r="I155" s="49">
        <f t="shared" si="2"/>
        <v>162</v>
      </c>
      <c r="J155" s="50" t="s">
        <v>932</v>
      </c>
      <c r="K155" s="65"/>
      <c r="L155" s="55" t="s">
        <v>598</v>
      </c>
      <c r="M155" s="53" t="s">
        <v>933</v>
      </c>
      <c r="N155" s="64" t="s">
        <v>934</v>
      </c>
      <c r="O155" s="33"/>
    </row>
    <row r="156" ht="75.0" customHeight="1">
      <c r="A156" s="33"/>
      <c r="B156" s="43">
        <f t="shared" si="1"/>
        <v>195</v>
      </c>
      <c r="C156" s="44" t="s">
        <v>935</v>
      </c>
      <c r="D156" s="59"/>
      <c r="E156" s="46" t="s">
        <v>56</v>
      </c>
      <c r="F156" s="56" t="s">
        <v>652</v>
      </c>
      <c r="G156" s="64" t="s">
        <v>936</v>
      </c>
      <c r="H156" s="33"/>
      <c r="I156" s="49">
        <f t="shared" si="2"/>
        <v>161</v>
      </c>
      <c r="J156" s="50" t="s">
        <v>937</v>
      </c>
      <c r="K156" s="65"/>
      <c r="L156" s="55" t="s">
        <v>755</v>
      </c>
      <c r="M156" s="53" t="s">
        <v>797</v>
      </c>
      <c r="N156" s="64" t="s">
        <v>938</v>
      </c>
      <c r="O156" s="33"/>
    </row>
    <row r="157" ht="75.0" customHeight="1">
      <c r="A157" s="33"/>
      <c r="B157" s="43">
        <f t="shared" si="1"/>
        <v>194</v>
      </c>
      <c r="C157" s="44" t="s">
        <v>939</v>
      </c>
      <c r="D157" s="59"/>
      <c r="E157" s="46" t="s">
        <v>465</v>
      </c>
      <c r="F157" s="56" t="s">
        <v>584</v>
      </c>
      <c r="G157" s="64" t="s">
        <v>940</v>
      </c>
      <c r="H157" s="33"/>
      <c r="I157" s="49">
        <f t="shared" si="2"/>
        <v>160</v>
      </c>
      <c r="J157" s="50" t="s">
        <v>941</v>
      </c>
      <c r="K157" s="65"/>
      <c r="L157" s="55" t="s">
        <v>942</v>
      </c>
      <c r="M157" s="67" t="s">
        <v>694</v>
      </c>
      <c r="N157" s="64" t="s">
        <v>943</v>
      </c>
      <c r="O157" s="33"/>
    </row>
    <row r="158" ht="75.0" customHeight="1">
      <c r="A158" s="33"/>
      <c r="B158" s="43">
        <f t="shared" si="1"/>
        <v>193</v>
      </c>
      <c r="C158" s="44" t="s">
        <v>944</v>
      </c>
      <c r="D158" s="59"/>
      <c r="E158" s="46" t="s">
        <v>216</v>
      </c>
      <c r="F158" s="56" t="s">
        <v>945</v>
      </c>
      <c r="G158" s="64" t="s">
        <v>946</v>
      </c>
      <c r="H158" s="33"/>
      <c r="I158" s="49">
        <f t="shared" si="2"/>
        <v>159</v>
      </c>
      <c r="J158" s="50" t="s">
        <v>947</v>
      </c>
      <c r="K158" s="65"/>
      <c r="L158" s="55" t="s">
        <v>948</v>
      </c>
      <c r="M158" s="67" t="s">
        <v>949</v>
      </c>
      <c r="N158" s="64" t="s">
        <v>950</v>
      </c>
      <c r="O158" s="33"/>
    </row>
    <row r="159" ht="75.0" customHeight="1">
      <c r="A159" s="33"/>
      <c r="B159" s="43">
        <f t="shared" si="1"/>
        <v>192</v>
      </c>
      <c r="C159" s="44" t="s">
        <v>951</v>
      </c>
      <c r="D159" s="59"/>
      <c r="E159" s="46" t="s">
        <v>113</v>
      </c>
      <c r="F159" s="56" t="s">
        <v>466</v>
      </c>
      <c r="G159" s="64" t="s">
        <v>952</v>
      </c>
      <c r="H159" s="33"/>
      <c r="I159" s="49">
        <f t="shared" si="2"/>
        <v>158</v>
      </c>
      <c r="J159" s="50" t="s">
        <v>953</v>
      </c>
      <c r="K159" s="65"/>
      <c r="L159" s="69" t="s">
        <v>954</v>
      </c>
      <c r="M159" s="53" t="s">
        <v>955</v>
      </c>
      <c r="N159" s="64" t="s">
        <v>956</v>
      </c>
      <c r="O159" s="33"/>
    </row>
    <row r="160" ht="75.0" customHeight="1">
      <c r="A160" s="33"/>
      <c r="B160" s="43">
        <f t="shared" si="1"/>
        <v>191</v>
      </c>
      <c r="C160" s="44" t="s">
        <v>957</v>
      </c>
      <c r="D160" s="59"/>
      <c r="E160" s="46" t="s">
        <v>97</v>
      </c>
      <c r="F160" s="56" t="s">
        <v>378</v>
      </c>
      <c r="G160" s="64" t="s">
        <v>958</v>
      </c>
      <c r="H160" s="33"/>
      <c r="I160" s="49">
        <f t="shared" si="2"/>
        <v>157</v>
      </c>
      <c r="J160" s="50" t="s">
        <v>959</v>
      </c>
      <c r="K160" s="65"/>
      <c r="L160" s="55" t="s">
        <v>800</v>
      </c>
      <c r="M160" s="53" t="s">
        <v>797</v>
      </c>
      <c r="N160" s="64" t="s">
        <v>960</v>
      </c>
      <c r="O160" s="33"/>
    </row>
    <row r="161" ht="75.0" customHeight="1">
      <c r="A161" s="33"/>
      <c r="B161" s="43">
        <f t="shared" si="1"/>
        <v>190</v>
      </c>
      <c r="C161" s="44" t="s">
        <v>961</v>
      </c>
      <c r="D161" s="59"/>
      <c r="E161" s="46" t="s">
        <v>16</v>
      </c>
      <c r="F161" s="56" t="s">
        <v>962</v>
      </c>
      <c r="G161" s="64" t="s">
        <v>963</v>
      </c>
      <c r="H161" s="33"/>
      <c r="I161" s="49">
        <f t="shared" si="2"/>
        <v>156</v>
      </c>
      <c r="J161" s="50" t="s">
        <v>964</v>
      </c>
      <c r="K161" s="65"/>
      <c r="L161" s="55" t="s">
        <v>49</v>
      </c>
      <c r="M161" s="53" t="s">
        <v>797</v>
      </c>
      <c r="N161" s="64" t="s">
        <v>965</v>
      </c>
      <c r="O161" s="33"/>
    </row>
    <row r="162" ht="75.0" customHeight="1">
      <c r="A162" s="33"/>
      <c r="B162" s="43">
        <f t="shared" si="1"/>
        <v>189</v>
      </c>
      <c r="C162" s="44" t="s">
        <v>966</v>
      </c>
      <c r="D162" s="59"/>
      <c r="E162" s="46" t="s">
        <v>139</v>
      </c>
      <c r="F162" s="56" t="s">
        <v>656</v>
      </c>
      <c r="G162" s="64" t="s">
        <v>967</v>
      </c>
      <c r="H162" s="33"/>
      <c r="I162" s="49">
        <f t="shared" si="2"/>
        <v>155</v>
      </c>
      <c r="J162" s="50" t="s">
        <v>968</v>
      </c>
      <c r="K162" s="65"/>
      <c r="L162" s="55" t="s">
        <v>365</v>
      </c>
      <c r="M162" s="53" t="s">
        <v>969</v>
      </c>
      <c r="N162" s="64" t="s">
        <v>970</v>
      </c>
      <c r="O162" s="33"/>
    </row>
    <row r="163" ht="75.0" customHeight="1">
      <c r="A163" s="33"/>
      <c r="B163" s="43">
        <f t="shared" si="1"/>
        <v>188</v>
      </c>
      <c r="C163" s="44" t="s">
        <v>971</v>
      </c>
      <c r="D163" s="59"/>
      <c r="E163" s="46" t="s">
        <v>53</v>
      </c>
      <c r="F163" s="56" t="s">
        <v>972</v>
      </c>
      <c r="G163" s="64" t="s">
        <v>973</v>
      </c>
      <c r="H163" s="33"/>
      <c r="I163" s="49">
        <f t="shared" si="2"/>
        <v>154</v>
      </c>
      <c r="J163" s="50" t="s">
        <v>974</v>
      </c>
      <c r="K163" s="65"/>
      <c r="L163" s="69" t="s">
        <v>555</v>
      </c>
      <c r="M163" s="53" t="s">
        <v>975</v>
      </c>
      <c r="N163" s="64" t="s">
        <v>976</v>
      </c>
      <c r="O163" s="33"/>
    </row>
    <row r="164" ht="75.0" customHeight="1">
      <c r="A164" s="33"/>
      <c r="B164" s="43">
        <f t="shared" si="1"/>
        <v>187</v>
      </c>
      <c r="C164" s="44" t="s">
        <v>977</v>
      </c>
      <c r="D164" s="59"/>
      <c r="E164" s="46" t="s">
        <v>106</v>
      </c>
      <c r="F164" s="56" t="s">
        <v>978</v>
      </c>
      <c r="G164" s="64" t="s">
        <v>979</v>
      </c>
      <c r="H164" s="33"/>
      <c r="I164" s="49">
        <f t="shared" si="2"/>
        <v>153</v>
      </c>
      <c r="J164" s="50" t="s">
        <v>980</v>
      </c>
      <c r="K164" s="65"/>
      <c r="L164" s="55" t="s">
        <v>875</v>
      </c>
      <c r="M164" s="67" t="s">
        <v>981</v>
      </c>
      <c r="N164" s="64" t="s">
        <v>982</v>
      </c>
      <c r="O164" s="33"/>
    </row>
    <row r="165" ht="75.0" customHeight="1">
      <c r="A165" s="33"/>
      <c r="B165" s="43">
        <f t="shared" si="1"/>
        <v>186</v>
      </c>
      <c r="C165" s="44" t="s">
        <v>983</v>
      </c>
      <c r="D165" s="59"/>
      <c r="E165" s="46" t="s">
        <v>398</v>
      </c>
      <c r="F165" s="56" t="s">
        <v>984</v>
      </c>
      <c r="G165" s="64" t="s">
        <v>985</v>
      </c>
      <c r="H165" s="33"/>
      <c r="I165" s="49">
        <f t="shared" si="2"/>
        <v>152</v>
      </c>
      <c r="J165" s="50" t="s">
        <v>986</v>
      </c>
      <c r="K165" s="65"/>
      <c r="L165" s="55" t="s">
        <v>177</v>
      </c>
      <c r="M165" s="53" t="s">
        <v>987</v>
      </c>
      <c r="N165" s="64" t="s">
        <v>988</v>
      </c>
      <c r="O165" s="33"/>
    </row>
    <row r="166" ht="75.0" customHeight="1">
      <c r="A166" s="33"/>
      <c r="B166" s="43">
        <f t="shared" si="1"/>
        <v>185</v>
      </c>
      <c r="C166" s="44" t="s">
        <v>989</v>
      </c>
      <c r="D166" s="59"/>
      <c r="E166" s="46" t="s">
        <v>990</v>
      </c>
      <c r="F166" s="56" t="s">
        <v>991</v>
      </c>
      <c r="G166" s="64" t="s">
        <v>992</v>
      </c>
      <c r="H166" s="33"/>
      <c r="I166" s="49">
        <f t="shared" si="2"/>
        <v>151</v>
      </c>
      <c r="J166" s="50" t="s">
        <v>993</v>
      </c>
      <c r="K166" s="65"/>
      <c r="L166" s="55" t="s">
        <v>348</v>
      </c>
      <c r="M166" s="53" t="s">
        <v>994</v>
      </c>
      <c r="N166" s="64" t="s">
        <v>995</v>
      </c>
      <c r="O166" s="33"/>
    </row>
    <row r="167" ht="75.0" customHeight="1">
      <c r="A167" s="33"/>
      <c r="B167" s="43">
        <f t="shared" si="1"/>
        <v>184</v>
      </c>
      <c r="C167" s="44" t="s">
        <v>996</v>
      </c>
      <c r="D167" s="59"/>
      <c r="E167" s="46" t="s">
        <v>97</v>
      </c>
      <c r="F167" s="56" t="s">
        <v>752</v>
      </c>
      <c r="G167" s="64" t="s">
        <v>997</v>
      </c>
      <c r="H167" s="33"/>
      <c r="I167" s="49">
        <f t="shared" si="2"/>
        <v>150</v>
      </c>
      <c r="J167" s="50" t="s">
        <v>998</v>
      </c>
      <c r="K167" s="65"/>
      <c r="L167" s="55" t="s">
        <v>514</v>
      </c>
      <c r="M167" s="67" t="s">
        <v>999</v>
      </c>
      <c r="N167" s="64" t="s">
        <v>1000</v>
      </c>
      <c r="O167" s="33"/>
    </row>
    <row r="168" ht="75.0" customHeight="1">
      <c r="A168" s="33"/>
      <c r="B168" s="43">
        <f t="shared" si="1"/>
        <v>183</v>
      </c>
      <c r="C168" s="44" t="s">
        <v>1001</v>
      </c>
      <c r="D168" s="59"/>
      <c r="E168" s="46" t="s">
        <v>430</v>
      </c>
      <c r="F168" s="56" t="s">
        <v>1002</v>
      </c>
      <c r="G168" s="64" t="s">
        <v>1003</v>
      </c>
      <c r="H168" s="33"/>
      <c r="I168" s="49">
        <f t="shared" si="2"/>
        <v>149</v>
      </c>
      <c r="J168" s="50" t="s">
        <v>1004</v>
      </c>
      <c r="K168" s="65"/>
      <c r="L168" s="55" t="s">
        <v>469</v>
      </c>
      <c r="M168" s="67" t="s">
        <v>1005</v>
      </c>
      <c r="N168" s="64" t="s">
        <v>1006</v>
      </c>
      <c r="O168" s="33"/>
    </row>
    <row r="169" ht="75.0" customHeight="1">
      <c r="A169" s="33"/>
      <c r="B169" s="43">
        <f t="shared" si="1"/>
        <v>182</v>
      </c>
      <c r="C169" s="44" t="s">
        <v>1007</v>
      </c>
      <c r="D169" s="59"/>
      <c r="E169" s="46" t="s">
        <v>113</v>
      </c>
      <c r="F169" s="56" t="s">
        <v>758</v>
      </c>
      <c r="G169" s="64" t="s">
        <v>1008</v>
      </c>
      <c r="H169" s="33"/>
      <c r="I169" s="49">
        <f t="shared" si="2"/>
        <v>148</v>
      </c>
      <c r="J169" s="50" t="s">
        <v>1009</v>
      </c>
      <c r="K169" s="65"/>
      <c r="L169" s="55" t="s">
        <v>334</v>
      </c>
      <c r="M169" s="67" t="s">
        <v>1010</v>
      </c>
      <c r="N169" s="64" t="s">
        <v>1011</v>
      </c>
      <c r="O169" s="33"/>
    </row>
    <row r="170" ht="75.0" customHeight="1">
      <c r="A170" s="33"/>
      <c r="B170" s="43">
        <f t="shared" si="1"/>
        <v>181</v>
      </c>
      <c r="C170" s="44" t="s">
        <v>1012</v>
      </c>
      <c r="D170" s="59"/>
      <c r="E170" s="46" t="s">
        <v>79</v>
      </c>
      <c r="F170" s="56" t="s">
        <v>933</v>
      </c>
      <c r="G170" s="64" t="s">
        <v>1013</v>
      </c>
      <c r="H170" s="33"/>
      <c r="I170" s="49">
        <f t="shared" si="2"/>
        <v>147</v>
      </c>
      <c r="J170" s="50" t="s">
        <v>1014</v>
      </c>
      <c r="K170" s="65"/>
      <c r="L170" s="55" t="s">
        <v>365</v>
      </c>
      <c r="M170" s="67" t="s">
        <v>1015</v>
      </c>
      <c r="N170" s="64" t="s">
        <v>1016</v>
      </c>
      <c r="O170" s="33"/>
    </row>
    <row r="171" ht="75.0" customHeight="1">
      <c r="A171" s="33"/>
      <c r="B171" s="43">
        <f t="shared" si="1"/>
        <v>180</v>
      </c>
      <c r="C171" s="44" t="s">
        <v>1017</v>
      </c>
      <c r="D171" s="59"/>
      <c r="E171" s="46" t="s">
        <v>97</v>
      </c>
      <c r="F171" s="56" t="s">
        <v>1018</v>
      </c>
      <c r="G171" s="64" t="s">
        <v>1019</v>
      </c>
      <c r="H171" s="33"/>
      <c r="I171" s="49">
        <f t="shared" si="2"/>
        <v>146</v>
      </c>
      <c r="J171" s="50" t="s">
        <v>1020</v>
      </c>
      <c r="K171" s="65"/>
      <c r="L171" s="55" t="s">
        <v>1021</v>
      </c>
      <c r="M171" s="67" t="s">
        <v>863</v>
      </c>
      <c r="N171" s="64" t="s">
        <v>1022</v>
      </c>
      <c r="O171" s="33"/>
    </row>
    <row r="172" ht="75.0" customHeight="1">
      <c r="A172" s="33"/>
      <c r="B172" s="43">
        <f t="shared" si="1"/>
        <v>179</v>
      </c>
      <c r="C172" s="44" t="s">
        <v>1023</v>
      </c>
      <c r="D172" s="59"/>
      <c r="E172" s="46" t="s">
        <v>38</v>
      </c>
      <c r="F172" s="56" t="s">
        <v>1024</v>
      </c>
      <c r="G172" s="64" t="s">
        <v>1025</v>
      </c>
      <c r="H172" s="33"/>
      <c r="I172" s="49">
        <f t="shared" si="2"/>
        <v>145</v>
      </c>
      <c r="J172" s="50" t="s">
        <v>1026</v>
      </c>
      <c r="K172" s="65"/>
      <c r="L172" s="55" t="s">
        <v>527</v>
      </c>
      <c r="M172" s="67" t="s">
        <v>485</v>
      </c>
      <c r="N172" s="64" t="s">
        <v>1027</v>
      </c>
      <c r="O172" s="33"/>
    </row>
    <row r="173" ht="75.0" customHeight="1">
      <c r="A173" s="33"/>
      <c r="B173" s="43">
        <f t="shared" si="1"/>
        <v>178</v>
      </c>
      <c r="C173" s="44" t="s">
        <v>1028</v>
      </c>
      <c r="D173" s="59"/>
      <c r="E173" s="46" t="s">
        <v>243</v>
      </c>
      <c r="F173" s="56" t="s">
        <v>1029</v>
      </c>
      <c r="G173" s="64" t="s">
        <v>1030</v>
      </c>
      <c r="H173" s="33"/>
      <c r="I173" s="49">
        <f t="shared" si="2"/>
        <v>144</v>
      </c>
      <c r="J173" s="50" t="s">
        <v>1031</v>
      </c>
      <c r="K173" s="65"/>
      <c r="L173" s="55" t="s">
        <v>360</v>
      </c>
      <c r="M173" s="67" t="s">
        <v>485</v>
      </c>
      <c r="N173" s="64" t="s">
        <v>1032</v>
      </c>
      <c r="O173" s="33"/>
    </row>
    <row r="174" ht="75.0" customHeight="1">
      <c r="A174" s="33"/>
      <c r="B174" s="43">
        <f t="shared" si="1"/>
        <v>177</v>
      </c>
      <c r="C174" s="44" t="s">
        <v>1033</v>
      </c>
      <c r="D174" s="59"/>
      <c r="E174" s="46" t="s">
        <v>79</v>
      </c>
      <c r="F174" s="56" t="s">
        <v>613</v>
      </c>
      <c r="G174" s="64" t="s">
        <v>1034</v>
      </c>
      <c r="H174" s="33"/>
      <c r="I174" s="49">
        <f t="shared" si="2"/>
        <v>143</v>
      </c>
      <c r="J174" s="50" t="s">
        <v>1035</v>
      </c>
      <c r="K174" s="65"/>
      <c r="L174" s="55" t="s">
        <v>1036</v>
      </c>
      <c r="M174" s="53" t="s">
        <v>395</v>
      </c>
      <c r="N174" s="64" t="s">
        <v>1037</v>
      </c>
      <c r="O174" s="33"/>
    </row>
    <row r="175" ht="75.0" customHeight="1">
      <c r="A175" s="33"/>
      <c r="B175" s="43">
        <f t="shared" si="1"/>
        <v>176</v>
      </c>
      <c r="C175" s="44" t="s">
        <v>1038</v>
      </c>
      <c r="D175" s="59"/>
      <c r="E175" s="46" t="s">
        <v>1039</v>
      </c>
      <c r="F175" s="56" t="s">
        <v>604</v>
      </c>
      <c r="G175" s="64" t="s">
        <v>1040</v>
      </c>
      <c r="H175" s="33"/>
      <c r="I175" s="49">
        <f t="shared" si="2"/>
        <v>142</v>
      </c>
      <c r="J175" s="50" t="s">
        <v>1041</v>
      </c>
      <c r="K175" s="65"/>
      <c r="L175" s="55" t="s">
        <v>1042</v>
      </c>
      <c r="M175" s="53" t="s">
        <v>395</v>
      </c>
      <c r="N175" s="64" t="s">
        <v>1043</v>
      </c>
      <c r="O175" s="33"/>
    </row>
    <row r="176" ht="75.0" customHeight="1">
      <c r="A176" s="33"/>
      <c r="B176" s="43">
        <f t="shared" si="1"/>
        <v>175</v>
      </c>
      <c r="C176" s="44" t="s">
        <v>1044</v>
      </c>
      <c r="D176" s="59"/>
      <c r="E176" s="46" t="s">
        <v>113</v>
      </c>
      <c r="F176" s="56" t="s">
        <v>1045</v>
      </c>
      <c r="G176" s="64" t="s">
        <v>1046</v>
      </c>
      <c r="H176" s="33"/>
      <c r="I176" s="49">
        <f t="shared" si="2"/>
        <v>141</v>
      </c>
      <c r="J176" s="50" t="s">
        <v>1047</v>
      </c>
      <c r="K176" s="65"/>
      <c r="L176" s="55" t="s">
        <v>1048</v>
      </c>
      <c r="M176" s="53" t="s">
        <v>1049</v>
      </c>
      <c r="N176" s="64" t="s">
        <v>1050</v>
      </c>
      <c r="O176" s="33"/>
    </row>
    <row r="177" ht="75.0" customHeight="1">
      <c r="A177" s="33"/>
      <c r="B177" s="43">
        <f t="shared" si="1"/>
        <v>174</v>
      </c>
      <c r="C177" s="44" t="s">
        <v>1051</v>
      </c>
      <c r="D177" s="59"/>
      <c r="E177" s="46" t="s">
        <v>216</v>
      </c>
      <c r="F177" s="56" t="s">
        <v>1052</v>
      </c>
      <c r="G177" s="64" t="s">
        <v>1053</v>
      </c>
      <c r="H177" s="33"/>
      <c r="I177" s="49">
        <f t="shared" si="2"/>
        <v>140</v>
      </c>
      <c r="J177" s="50" t="s">
        <v>1054</v>
      </c>
      <c r="K177" s="65"/>
      <c r="L177" s="55" t="s">
        <v>1055</v>
      </c>
      <c r="M177" s="53" t="s">
        <v>1056</v>
      </c>
      <c r="N177" s="64" t="s">
        <v>1057</v>
      </c>
      <c r="O177" s="33"/>
    </row>
    <row r="178" ht="75.0" customHeight="1">
      <c r="A178" s="33"/>
      <c r="B178" s="43">
        <f t="shared" si="1"/>
        <v>173</v>
      </c>
      <c r="C178" s="44" t="s">
        <v>1058</v>
      </c>
      <c r="D178" s="59"/>
      <c r="E178" s="46" t="s">
        <v>458</v>
      </c>
      <c r="F178" s="56" t="s">
        <v>1059</v>
      </c>
      <c r="G178" s="64" t="s">
        <v>1060</v>
      </c>
      <c r="H178" s="33"/>
      <c r="I178" s="49">
        <f t="shared" si="2"/>
        <v>139</v>
      </c>
      <c r="J178" s="50" t="s">
        <v>1061</v>
      </c>
      <c r="K178" s="65"/>
      <c r="L178" s="55" t="s">
        <v>75</v>
      </c>
      <c r="M178" s="53" t="s">
        <v>900</v>
      </c>
      <c r="N178" s="64" t="s">
        <v>1062</v>
      </c>
      <c r="O178" s="33"/>
    </row>
    <row r="179" ht="75.0" customHeight="1">
      <c r="A179" s="33"/>
      <c r="B179" s="43">
        <f t="shared" si="1"/>
        <v>172</v>
      </c>
      <c r="C179" s="44" t="s">
        <v>1063</v>
      </c>
      <c r="D179" s="59"/>
      <c r="E179" s="46" t="s">
        <v>360</v>
      </c>
      <c r="F179" s="56" t="s">
        <v>1064</v>
      </c>
      <c r="G179" s="64" t="s">
        <v>1065</v>
      </c>
      <c r="H179" s="33"/>
      <c r="I179" s="49">
        <f t="shared" si="2"/>
        <v>138</v>
      </c>
      <c r="J179" s="50" t="s">
        <v>1066</v>
      </c>
      <c r="K179" s="65"/>
      <c r="L179" s="55" t="s">
        <v>278</v>
      </c>
      <c r="M179" s="67" t="s">
        <v>1067</v>
      </c>
      <c r="N179" s="64" t="s">
        <v>1068</v>
      </c>
      <c r="O179" s="33"/>
    </row>
    <row r="180" ht="75.0" customHeight="1">
      <c r="A180" s="33"/>
      <c r="B180" s="43">
        <f t="shared" si="1"/>
        <v>171</v>
      </c>
      <c r="C180" s="44" t="s">
        <v>1069</v>
      </c>
      <c r="D180" s="59"/>
      <c r="E180" s="46" t="s">
        <v>190</v>
      </c>
      <c r="F180" s="56" t="s">
        <v>1070</v>
      </c>
      <c r="G180" s="64" t="s">
        <v>1071</v>
      </c>
      <c r="H180" s="33"/>
      <c r="I180" s="49">
        <f t="shared" si="2"/>
        <v>137</v>
      </c>
      <c r="J180" s="50" t="s">
        <v>1072</v>
      </c>
      <c r="K180" s="65"/>
      <c r="L180" s="55" t="s">
        <v>1073</v>
      </c>
      <c r="M180" s="53" t="s">
        <v>1074</v>
      </c>
      <c r="N180" s="64" t="s">
        <v>1075</v>
      </c>
      <c r="O180" s="33"/>
    </row>
    <row r="181" ht="75.0" customHeight="1">
      <c r="A181" s="33"/>
      <c r="B181" s="43">
        <f t="shared" si="1"/>
        <v>170</v>
      </c>
      <c r="C181" s="44" t="s">
        <v>1076</v>
      </c>
      <c r="D181" s="59"/>
      <c r="E181" s="46" t="s">
        <v>518</v>
      </c>
      <c r="F181" s="56" t="s">
        <v>682</v>
      </c>
      <c r="G181" s="64" t="s">
        <v>1077</v>
      </c>
      <c r="H181" s="33"/>
      <c r="I181" s="49">
        <f t="shared" si="2"/>
        <v>136</v>
      </c>
      <c r="J181" s="50" t="s">
        <v>1078</v>
      </c>
      <c r="K181" s="65"/>
      <c r="L181" s="55" t="s">
        <v>1079</v>
      </c>
      <c r="M181" s="53" t="s">
        <v>1080</v>
      </c>
      <c r="N181" s="64" t="s">
        <v>1081</v>
      </c>
      <c r="O181" s="33"/>
    </row>
    <row r="182" ht="75.0" customHeight="1">
      <c r="A182" s="33"/>
      <c r="B182" s="43">
        <f t="shared" si="1"/>
        <v>169</v>
      </c>
      <c r="C182" s="44" t="s">
        <v>1082</v>
      </c>
      <c r="D182" s="59"/>
      <c r="E182" s="46" t="s">
        <v>458</v>
      </c>
      <c r="F182" s="56" t="s">
        <v>1083</v>
      </c>
      <c r="G182" s="64" t="s">
        <v>1084</v>
      </c>
      <c r="H182" s="33"/>
      <c r="I182" s="49">
        <f t="shared" si="2"/>
        <v>135</v>
      </c>
      <c r="J182" s="50" t="s">
        <v>1085</v>
      </c>
      <c r="K182" s="65"/>
      <c r="L182" s="55" t="s">
        <v>143</v>
      </c>
      <c r="M182" s="53" t="s">
        <v>1086</v>
      </c>
      <c r="N182" s="64" t="s">
        <v>1087</v>
      </c>
      <c r="O182" s="33"/>
    </row>
    <row r="183" ht="75.0" customHeight="1">
      <c r="A183" s="33"/>
      <c r="B183" s="43">
        <f t="shared" si="1"/>
        <v>168</v>
      </c>
      <c r="C183" s="44" t="s">
        <v>1088</v>
      </c>
      <c r="D183" s="59"/>
      <c r="E183" s="46" t="s">
        <v>106</v>
      </c>
      <c r="F183" s="56" t="s">
        <v>688</v>
      </c>
      <c r="G183" s="64" t="s">
        <v>1089</v>
      </c>
      <c r="H183" s="33"/>
      <c r="I183" s="49">
        <f t="shared" si="2"/>
        <v>134</v>
      </c>
      <c r="J183" s="50" t="s">
        <v>1090</v>
      </c>
      <c r="K183" s="65"/>
      <c r="L183" s="55" t="s">
        <v>1091</v>
      </c>
      <c r="M183" s="53" t="s">
        <v>1086</v>
      </c>
      <c r="N183" s="64" t="s">
        <v>1092</v>
      </c>
      <c r="O183" s="33"/>
    </row>
    <row r="184" ht="75.0" customHeight="1">
      <c r="A184" s="33"/>
      <c r="B184" s="43">
        <f t="shared" si="1"/>
        <v>167</v>
      </c>
      <c r="C184" s="44" t="s">
        <v>1093</v>
      </c>
      <c r="D184" s="59"/>
      <c r="E184" s="46" t="s">
        <v>398</v>
      </c>
      <c r="F184" s="56" t="s">
        <v>1094</v>
      </c>
      <c r="G184" s="64" t="s">
        <v>1095</v>
      </c>
      <c r="H184" s="33"/>
      <c r="I184" s="49">
        <f t="shared" si="2"/>
        <v>133</v>
      </c>
      <c r="J184" s="50" t="s">
        <v>1096</v>
      </c>
      <c r="K184" s="65"/>
      <c r="L184" s="55" t="s">
        <v>1097</v>
      </c>
      <c r="M184" s="67" t="s">
        <v>1098</v>
      </c>
      <c r="N184" s="64" t="s">
        <v>1099</v>
      </c>
      <c r="O184" s="33"/>
    </row>
    <row r="185" ht="75.0" customHeight="1">
      <c r="A185" s="33"/>
      <c r="B185" s="43">
        <f t="shared" si="1"/>
        <v>166</v>
      </c>
      <c r="C185" s="44" t="s">
        <v>1100</v>
      </c>
      <c r="D185" s="59"/>
      <c r="E185" s="46" t="s">
        <v>16</v>
      </c>
      <c r="F185" s="56" t="s">
        <v>1101</v>
      </c>
      <c r="G185" s="64" t="s">
        <v>1102</v>
      </c>
      <c r="H185" s="33"/>
      <c r="I185" s="49">
        <f t="shared" si="2"/>
        <v>132</v>
      </c>
      <c r="J185" s="50" t="s">
        <v>1103</v>
      </c>
      <c r="K185" s="65"/>
      <c r="L185" s="55" t="s">
        <v>598</v>
      </c>
      <c r="M185" s="53" t="s">
        <v>1104</v>
      </c>
      <c r="N185" s="64" t="s">
        <v>1105</v>
      </c>
      <c r="O185" s="33"/>
    </row>
    <row r="186" ht="75.0" customHeight="1">
      <c r="A186" s="33"/>
      <c r="B186" s="43">
        <f t="shared" si="1"/>
        <v>165</v>
      </c>
      <c r="C186" s="44" t="s">
        <v>1106</v>
      </c>
      <c r="D186" s="59"/>
      <c r="E186" s="46" t="s">
        <v>1107</v>
      </c>
      <c r="F186" s="56" t="s">
        <v>1108</v>
      </c>
      <c r="G186" s="64" t="s">
        <v>1109</v>
      </c>
      <c r="H186" s="33"/>
      <c r="I186" s="49">
        <f t="shared" si="2"/>
        <v>131</v>
      </c>
      <c r="J186" s="50" t="s">
        <v>1110</v>
      </c>
      <c r="K186" s="65"/>
      <c r="L186" s="55" t="s">
        <v>514</v>
      </c>
      <c r="M186" s="67" t="s">
        <v>485</v>
      </c>
      <c r="N186" s="64" t="s">
        <v>1111</v>
      </c>
      <c r="O186" s="33"/>
    </row>
    <row r="187" ht="75.0" customHeight="1">
      <c r="A187" s="33"/>
      <c r="B187" s="43">
        <f t="shared" si="1"/>
        <v>164</v>
      </c>
      <c r="C187" s="44" t="s">
        <v>1112</v>
      </c>
      <c r="D187" s="59"/>
      <c r="E187" s="46" t="s">
        <v>1113</v>
      </c>
      <c r="F187" s="56" t="s">
        <v>1108</v>
      </c>
      <c r="G187" s="64" t="s">
        <v>1114</v>
      </c>
      <c r="H187" s="33"/>
      <c r="I187" s="49">
        <f t="shared" si="2"/>
        <v>130</v>
      </c>
      <c r="J187" s="50" t="s">
        <v>1115</v>
      </c>
      <c r="K187" s="65"/>
      <c r="L187" s="55" t="s">
        <v>398</v>
      </c>
      <c r="M187" s="53" t="s">
        <v>76</v>
      </c>
      <c r="N187" s="64" t="s">
        <v>1116</v>
      </c>
      <c r="O187" s="33"/>
    </row>
    <row r="188" ht="75.0" customHeight="1">
      <c r="A188" s="33"/>
      <c r="B188" s="43">
        <f t="shared" si="1"/>
        <v>163</v>
      </c>
      <c r="C188" s="44" t="s">
        <v>1117</v>
      </c>
      <c r="D188" s="59"/>
      <c r="E188" s="46" t="s">
        <v>156</v>
      </c>
      <c r="F188" s="56" t="s">
        <v>665</v>
      </c>
      <c r="G188" s="64" t="s">
        <v>1118</v>
      </c>
      <c r="H188" s="33"/>
      <c r="I188" s="49">
        <f t="shared" si="2"/>
        <v>129</v>
      </c>
      <c r="J188" s="50" t="s">
        <v>1119</v>
      </c>
      <c r="K188" s="65"/>
      <c r="L188" s="55" t="s">
        <v>1120</v>
      </c>
      <c r="M188" s="67" t="s">
        <v>485</v>
      </c>
      <c r="N188" s="64" t="s">
        <v>1121</v>
      </c>
      <c r="O188" s="33"/>
    </row>
    <row r="189" ht="75.0" customHeight="1">
      <c r="A189" s="33"/>
      <c r="B189" s="43">
        <f t="shared" si="1"/>
        <v>162</v>
      </c>
      <c r="C189" s="44" t="s">
        <v>1122</v>
      </c>
      <c r="D189" s="59"/>
      <c r="E189" s="46" t="s">
        <v>730</v>
      </c>
      <c r="F189" s="56" t="s">
        <v>1123</v>
      </c>
      <c r="G189" s="64" t="s">
        <v>1124</v>
      </c>
      <c r="H189" s="33"/>
      <c r="I189" s="49">
        <f t="shared" si="2"/>
        <v>128</v>
      </c>
      <c r="J189" s="50" t="s">
        <v>1125</v>
      </c>
      <c r="K189" s="65"/>
      <c r="L189" s="55" t="s">
        <v>177</v>
      </c>
      <c r="M189" s="67" t="s">
        <v>485</v>
      </c>
      <c r="N189" s="64" t="s">
        <v>1126</v>
      </c>
      <c r="O189" s="33"/>
    </row>
    <row r="190" ht="75.0" customHeight="1">
      <c r="A190" s="33"/>
      <c r="B190" s="43">
        <f t="shared" si="1"/>
        <v>161</v>
      </c>
      <c r="C190" s="44" t="s">
        <v>1127</v>
      </c>
      <c r="D190" s="59"/>
      <c r="E190" s="46" t="s">
        <v>461</v>
      </c>
      <c r="F190" s="56" t="s">
        <v>1056</v>
      </c>
      <c r="G190" s="64" t="s">
        <v>1128</v>
      </c>
      <c r="H190" s="33"/>
      <c r="I190" s="49">
        <f t="shared" si="2"/>
        <v>127</v>
      </c>
      <c r="J190" s="50" t="s">
        <v>1129</v>
      </c>
      <c r="K190" s="65"/>
      <c r="L190" s="55" t="s">
        <v>1130</v>
      </c>
      <c r="M190" s="67" t="s">
        <v>466</v>
      </c>
      <c r="N190" s="64" t="s">
        <v>1131</v>
      </c>
      <c r="O190" s="33"/>
    </row>
    <row r="191" ht="75.0" customHeight="1">
      <c r="A191" s="33"/>
      <c r="B191" s="43">
        <f t="shared" si="1"/>
        <v>160</v>
      </c>
      <c r="C191" s="44" t="s">
        <v>1132</v>
      </c>
      <c r="D191" s="59"/>
      <c r="E191" s="46" t="s">
        <v>1133</v>
      </c>
      <c r="F191" s="56" t="s">
        <v>1134</v>
      </c>
      <c r="G191" s="64" t="s">
        <v>1135</v>
      </c>
      <c r="H191" s="33"/>
      <c r="I191" s="49">
        <f t="shared" si="2"/>
        <v>126</v>
      </c>
      <c r="J191" s="50" t="s">
        <v>1136</v>
      </c>
      <c r="K191" s="65"/>
      <c r="L191" s="55" t="s">
        <v>594</v>
      </c>
      <c r="M191" s="67" t="s">
        <v>775</v>
      </c>
      <c r="N191" s="64" t="s">
        <v>1137</v>
      </c>
      <c r="O191" s="33"/>
    </row>
    <row r="192" ht="75.0" customHeight="1">
      <c r="A192" s="33"/>
      <c r="B192" s="43">
        <f t="shared" si="1"/>
        <v>159</v>
      </c>
      <c r="C192" s="44" t="s">
        <v>1138</v>
      </c>
      <c r="D192" s="59"/>
      <c r="E192" s="46" t="s">
        <v>458</v>
      </c>
      <c r="F192" s="56" t="s">
        <v>423</v>
      </c>
      <c r="G192" s="64" t="s">
        <v>1139</v>
      </c>
      <c r="H192" s="33"/>
      <c r="I192" s="49">
        <f t="shared" si="2"/>
        <v>125</v>
      </c>
      <c r="J192" s="50" t="s">
        <v>1140</v>
      </c>
      <c r="K192" s="65"/>
      <c r="L192" s="55" t="s">
        <v>75</v>
      </c>
      <c r="M192" s="53" t="s">
        <v>1141</v>
      </c>
      <c r="N192" s="64" t="s">
        <v>1142</v>
      </c>
      <c r="O192" s="33"/>
    </row>
    <row r="193" ht="75.0" customHeight="1">
      <c r="A193" s="33"/>
      <c r="B193" s="43">
        <f t="shared" si="1"/>
        <v>158</v>
      </c>
      <c r="C193" s="44" t="s">
        <v>1143</v>
      </c>
      <c r="D193" s="59"/>
      <c r="E193" s="46" t="s">
        <v>216</v>
      </c>
      <c r="F193" s="56" t="s">
        <v>438</v>
      </c>
      <c r="G193" s="64" t="s">
        <v>1144</v>
      </c>
      <c r="H193" s="33"/>
      <c r="I193" s="49">
        <f t="shared" si="2"/>
        <v>124</v>
      </c>
      <c r="J193" s="50" t="s">
        <v>1145</v>
      </c>
      <c r="K193" s="65"/>
      <c r="L193" s="55" t="s">
        <v>555</v>
      </c>
      <c r="M193" s="67" t="s">
        <v>1141</v>
      </c>
      <c r="N193" s="64" t="s">
        <v>1146</v>
      </c>
      <c r="O193" s="33"/>
    </row>
    <row r="194" ht="75.0" customHeight="1">
      <c r="A194" s="33"/>
      <c r="B194" s="43">
        <f t="shared" si="1"/>
        <v>157</v>
      </c>
      <c r="C194" s="44" t="s">
        <v>1147</v>
      </c>
      <c r="D194" s="59"/>
      <c r="E194" s="46" t="s">
        <v>106</v>
      </c>
      <c r="F194" s="56" t="s">
        <v>374</v>
      </c>
      <c r="G194" s="64" t="s">
        <v>1148</v>
      </c>
      <c r="H194" s="33"/>
      <c r="I194" s="49">
        <f t="shared" si="2"/>
        <v>123</v>
      </c>
      <c r="J194" s="50" t="s">
        <v>1149</v>
      </c>
      <c r="K194" s="65"/>
      <c r="L194" s="55" t="s">
        <v>1150</v>
      </c>
      <c r="M194" s="53" t="s">
        <v>1151</v>
      </c>
      <c r="N194" s="64" t="s">
        <v>1152</v>
      </c>
      <c r="O194" s="33"/>
    </row>
    <row r="195" ht="75.0" customHeight="1">
      <c r="A195" s="33"/>
      <c r="B195" s="43">
        <f t="shared" si="1"/>
        <v>156</v>
      </c>
      <c r="C195" s="44" t="s">
        <v>1153</v>
      </c>
      <c r="D195" s="59"/>
      <c r="E195" s="46" t="s">
        <v>106</v>
      </c>
      <c r="F195" s="56" t="s">
        <v>577</v>
      </c>
      <c r="G195" s="64" t="s">
        <v>1154</v>
      </c>
      <c r="H195" s="33"/>
      <c r="I195" s="49">
        <f t="shared" si="2"/>
        <v>122</v>
      </c>
      <c r="J195" s="50" t="s">
        <v>1155</v>
      </c>
      <c r="K195" s="65"/>
      <c r="L195" s="55" t="s">
        <v>212</v>
      </c>
      <c r="M195" s="53" t="s">
        <v>1156</v>
      </c>
      <c r="N195" s="64" t="s">
        <v>1157</v>
      </c>
      <c r="O195" s="33"/>
    </row>
    <row r="196" ht="75.0" customHeight="1">
      <c r="A196" s="33"/>
      <c r="B196" s="43">
        <f t="shared" si="1"/>
        <v>155</v>
      </c>
      <c r="C196" s="44" t="s">
        <v>1158</v>
      </c>
      <c r="D196" s="59"/>
      <c r="E196" s="46" t="s">
        <v>458</v>
      </c>
      <c r="F196" s="56" t="s">
        <v>731</v>
      </c>
      <c r="G196" s="64" t="s">
        <v>1159</v>
      </c>
      <c r="H196" s="33"/>
      <c r="I196" s="49">
        <f t="shared" si="2"/>
        <v>121</v>
      </c>
      <c r="J196" s="50" t="s">
        <v>1160</v>
      </c>
      <c r="K196" s="65"/>
      <c r="L196" s="55" t="s">
        <v>83</v>
      </c>
      <c r="M196" s="53" t="s">
        <v>1161</v>
      </c>
      <c r="N196" s="64" t="s">
        <v>1162</v>
      </c>
      <c r="O196" s="33"/>
    </row>
    <row r="197" ht="75.0" customHeight="1">
      <c r="A197" s="33"/>
      <c r="B197" s="43">
        <f t="shared" si="1"/>
        <v>154</v>
      </c>
      <c r="C197" s="44" t="s">
        <v>1163</v>
      </c>
      <c r="D197" s="59"/>
      <c r="E197" s="46" t="s">
        <v>287</v>
      </c>
      <c r="F197" s="56" t="s">
        <v>384</v>
      </c>
      <c r="G197" s="64" t="s">
        <v>1164</v>
      </c>
      <c r="H197" s="33"/>
      <c r="I197" s="49">
        <f t="shared" si="2"/>
        <v>120</v>
      </c>
      <c r="J197" s="50" t="s">
        <v>1165</v>
      </c>
      <c r="K197" s="65"/>
      <c r="L197" s="55" t="s">
        <v>290</v>
      </c>
      <c r="M197" s="67" t="s">
        <v>1166</v>
      </c>
      <c r="N197" s="64" t="s">
        <v>1167</v>
      </c>
      <c r="O197" s="33"/>
    </row>
    <row r="198" ht="75.0" customHeight="1">
      <c r="A198" s="33"/>
      <c r="B198" s="43">
        <f t="shared" si="1"/>
        <v>153</v>
      </c>
      <c r="C198" s="70" t="s">
        <v>1168</v>
      </c>
      <c r="D198" s="59"/>
      <c r="E198" s="46" t="s">
        <v>1169</v>
      </c>
      <c r="F198" s="56" t="s">
        <v>1170</v>
      </c>
      <c r="G198" s="64" t="s">
        <v>1171</v>
      </c>
      <c r="H198" s="33"/>
      <c r="I198" s="49">
        <f t="shared" si="2"/>
        <v>119</v>
      </c>
      <c r="J198" s="50" t="s">
        <v>1172</v>
      </c>
      <c r="K198" s="65"/>
      <c r="L198" s="55" t="s">
        <v>1173</v>
      </c>
      <c r="M198" s="67" t="s">
        <v>539</v>
      </c>
      <c r="N198" s="64" t="s">
        <v>1174</v>
      </c>
      <c r="O198" s="33"/>
    </row>
    <row r="199" ht="75.0" customHeight="1">
      <c r="A199" s="33"/>
      <c r="B199" s="43">
        <f t="shared" si="1"/>
        <v>152</v>
      </c>
      <c r="C199" s="44" t="s">
        <v>1175</v>
      </c>
      <c r="D199" s="59"/>
      <c r="E199" s="46" t="s">
        <v>79</v>
      </c>
      <c r="F199" s="56" t="s">
        <v>1176</v>
      </c>
      <c r="G199" s="64" t="s">
        <v>1177</v>
      </c>
      <c r="H199" s="33"/>
      <c r="I199" s="49">
        <f t="shared" si="2"/>
        <v>118</v>
      </c>
      <c r="J199" s="50" t="s">
        <v>1178</v>
      </c>
      <c r="K199" s="65"/>
      <c r="L199" s="55" t="s">
        <v>461</v>
      </c>
      <c r="M199" s="67" t="s">
        <v>1179</v>
      </c>
      <c r="N199" s="64" t="s">
        <v>1180</v>
      </c>
      <c r="O199" s="33"/>
    </row>
    <row r="200" ht="75.0" customHeight="1">
      <c r="A200" s="33"/>
      <c r="B200" s="43">
        <f t="shared" si="1"/>
        <v>151</v>
      </c>
      <c r="C200" s="44" t="s">
        <v>1181</v>
      </c>
      <c r="D200" s="59"/>
      <c r="E200" s="46" t="s">
        <v>1079</v>
      </c>
      <c r="F200" s="56" t="s">
        <v>577</v>
      </c>
      <c r="G200" s="64" t="s">
        <v>1182</v>
      </c>
      <c r="H200" s="33"/>
      <c r="I200" s="49">
        <f t="shared" si="2"/>
        <v>117</v>
      </c>
      <c r="J200" s="50" t="s">
        <v>1183</v>
      </c>
      <c r="K200" s="65"/>
      <c r="L200" s="55" t="s">
        <v>928</v>
      </c>
      <c r="M200" s="67" t="s">
        <v>1184</v>
      </c>
      <c r="N200" s="64" t="s">
        <v>1185</v>
      </c>
      <c r="O200" s="33"/>
    </row>
    <row r="201" ht="75.0" customHeight="1">
      <c r="A201" s="33"/>
      <c r="B201" s="43">
        <f t="shared" si="1"/>
        <v>150</v>
      </c>
      <c r="C201" s="44" t="s">
        <v>1186</v>
      </c>
      <c r="D201" s="59"/>
      <c r="E201" s="46" t="s">
        <v>87</v>
      </c>
      <c r="F201" s="56" t="s">
        <v>431</v>
      </c>
      <c r="G201" s="64" t="s">
        <v>1187</v>
      </c>
      <c r="H201" s="33"/>
      <c r="I201" s="49">
        <f t="shared" si="2"/>
        <v>116</v>
      </c>
      <c r="J201" s="50" t="s">
        <v>1188</v>
      </c>
      <c r="K201" s="65"/>
      <c r="L201" s="55" t="s">
        <v>204</v>
      </c>
      <c r="M201" s="53" t="s">
        <v>1189</v>
      </c>
      <c r="N201" s="64" t="s">
        <v>1190</v>
      </c>
      <c r="O201" s="33"/>
    </row>
    <row r="202" ht="75.0" customHeight="1">
      <c r="A202" s="33"/>
      <c r="B202" s="43">
        <f t="shared" si="1"/>
        <v>149</v>
      </c>
      <c r="C202" s="44" t="s">
        <v>1191</v>
      </c>
      <c r="D202" s="59"/>
      <c r="E202" s="46" t="s">
        <v>106</v>
      </c>
      <c r="F202" s="56" t="s">
        <v>1192</v>
      </c>
      <c r="G202" s="64" t="s">
        <v>1193</v>
      </c>
      <c r="H202" s="33"/>
      <c r="I202" s="49">
        <f t="shared" si="2"/>
        <v>115</v>
      </c>
      <c r="J202" s="50" t="s">
        <v>1194</v>
      </c>
      <c r="K202" s="65"/>
      <c r="L202" s="55" t="s">
        <v>1195</v>
      </c>
      <c r="M202" s="53" t="s">
        <v>1196</v>
      </c>
      <c r="N202" s="64" t="s">
        <v>1197</v>
      </c>
      <c r="O202" s="33"/>
    </row>
    <row r="203" ht="75.0" customHeight="1">
      <c r="A203" s="33"/>
      <c r="B203" s="43">
        <f t="shared" si="1"/>
        <v>148</v>
      </c>
      <c r="C203" s="44" t="s">
        <v>1198</v>
      </c>
      <c r="D203" s="59"/>
      <c r="E203" s="46" t="s">
        <v>458</v>
      </c>
      <c r="F203" s="56" t="s">
        <v>1199</v>
      </c>
      <c r="G203" s="64" t="s">
        <v>1200</v>
      </c>
      <c r="H203" s="33"/>
      <c r="I203" s="49">
        <f t="shared" si="2"/>
        <v>114</v>
      </c>
      <c r="J203" s="50" t="s">
        <v>1201</v>
      </c>
      <c r="K203" s="65"/>
      <c r="L203" s="55" t="s">
        <v>1202</v>
      </c>
      <c r="M203" s="53" t="s">
        <v>758</v>
      </c>
      <c r="N203" s="64" t="s">
        <v>1203</v>
      </c>
      <c r="O203" s="33"/>
    </row>
    <row r="204" ht="75.0" customHeight="1">
      <c r="A204" s="33"/>
      <c r="B204" s="43">
        <f t="shared" si="1"/>
        <v>147</v>
      </c>
      <c r="C204" s="44" t="s">
        <v>1204</v>
      </c>
      <c r="D204" s="59"/>
      <c r="E204" s="46" t="s">
        <v>216</v>
      </c>
      <c r="F204" s="56" t="s">
        <v>1205</v>
      </c>
      <c r="G204" s="64" t="s">
        <v>1206</v>
      </c>
      <c r="H204" s="33"/>
      <c r="I204" s="49">
        <f t="shared" si="2"/>
        <v>113</v>
      </c>
      <c r="J204" s="50" t="s">
        <v>1207</v>
      </c>
      <c r="K204" s="65"/>
      <c r="L204" s="55" t="s">
        <v>800</v>
      </c>
      <c r="M204" s="53" t="s">
        <v>933</v>
      </c>
      <c r="N204" s="64" t="s">
        <v>1208</v>
      </c>
      <c r="O204" s="33"/>
    </row>
    <row r="205" ht="75.0" customHeight="1">
      <c r="A205" s="33"/>
      <c r="B205" s="43">
        <f t="shared" si="1"/>
        <v>146</v>
      </c>
      <c r="C205" s="44" t="s">
        <v>1209</v>
      </c>
      <c r="D205" s="59"/>
      <c r="E205" s="46" t="s">
        <v>216</v>
      </c>
      <c r="F205" s="56" t="s">
        <v>1210</v>
      </c>
      <c r="G205" s="64" t="s">
        <v>1211</v>
      </c>
      <c r="H205" s="33"/>
      <c r="I205" s="49">
        <f t="shared" si="2"/>
        <v>112</v>
      </c>
      <c r="J205" s="50" t="s">
        <v>1212</v>
      </c>
      <c r="K205" s="65"/>
      <c r="L205" s="55" t="s">
        <v>324</v>
      </c>
      <c r="M205" s="67" t="s">
        <v>933</v>
      </c>
      <c r="N205" s="64" t="s">
        <v>1213</v>
      </c>
      <c r="O205" s="33"/>
    </row>
    <row r="206" ht="75.0" customHeight="1">
      <c r="A206" s="33"/>
      <c r="B206" s="43">
        <f t="shared" si="1"/>
        <v>145</v>
      </c>
      <c r="C206" s="44" t="s">
        <v>1214</v>
      </c>
      <c r="D206" s="59"/>
      <c r="E206" s="46" t="s">
        <v>87</v>
      </c>
      <c r="F206" s="56" t="s">
        <v>452</v>
      </c>
      <c r="G206" s="64" t="s">
        <v>1215</v>
      </c>
      <c r="H206" s="33"/>
      <c r="I206" s="49">
        <f t="shared" si="2"/>
        <v>111</v>
      </c>
      <c r="J206" s="50" t="s">
        <v>1216</v>
      </c>
      <c r="K206" s="65"/>
      <c r="L206" s="55" t="s">
        <v>1217</v>
      </c>
      <c r="M206" s="67" t="s">
        <v>1218</v>
      </c>
      <c r="N206" s="64" t="s">
        <v>1219</v>
      </c>
      <c r="O206" s="33"/>
    </row>
    <row r="207" ht="75.0" customHeight="1">
      <c r="A207" s="33"/>
      <c r="B207" s="43">
        <f t="shared" si="1"/>
        <v>144</v>
      </c>
      <c r="C207" s="44" t="s">
        <v>1220</v>
      </c>
      <c r="D207" s="59"/>
      <c r="E207" s="46" t="s">
        <v>216</v>
      </c>
      <c r="F207" s="56" t="s">
        <v>1184</v>
      </c>
      <c r="G207" s="64" t="s">
        <v>1221</v>
      </c>
      <c r="H207" s="33"/>
      <c r="I207" s="49">
        <f t="shared" si="2"/>
        <v>110</v>
      </c>
      <c r="J207" s="50" t="s">
        <v>1222</v>
      </c>
      <c r="K207" s="65"/>
      <c r="L207" s="55" t="s">
        <v>1223</v>
      </c>
      <c r="M207" s="67" t="s">
        <v>1218</v>
      </c>
      <c r="N207" s="64" t="s">
        <v>1224</v>
      </c>
      <c r="O207" s="33"/>
    </row>
    <row r="208" ht="75.0" customHeight="1">
      <c r="A208" s="33"/>
      <c r="B208" s="43">
        <f t="shared" si="1"/>
        <v>143</v>
      </c>
      <c r="C208" s="44" t="s">
        <v>1225</v>
      </c>
      <c r="D208" s="59"/>
      <c r="E208" s="46" t="s">
        <v>190</v>
      </c>
      <c r="F208" s="56" t="s">
        <v>1226</v>
      </c>
      <c r="G208" s="64" t="s">
        <v>1227</v>
      </c>
      <c r="H208" s="33"/>
      <c r="I208" s="49">
        <f t="shared" si="2"/>
        <v>109</v>
      </c>
      <c r="J208" s="50" t="s">
        <v>1228</v>
      </c>
      <c r="K208" s="65"/>
      <c r="L208" s="55" t="s">
        <v>1229</v>
      </c>
      <c r="M208" s="53" t="s">
        <v>84</v>
      </c>
      <c r="N208" s="64" t="s">
        <v>1230</v>
      </c>
      <c r="O208" s="33"/>
    </row>
    <row r="209" ht="75.0" customHeight="1">
      <c r="A209" s="33"/>
      <c r="B209" s="43">
        <f t="shared" si="1"/>
        <v>142</v>
      </c>
      <c r="C209" s="44" t="s">
        <v>1231</v>
      </c>
      <c r="D209" s="59"/>
      <c r="E209" s="46" t="s">
        <v>190</v>
      </c>
      <c r="F209" s="56" t="s">
        <v>1232</v>
      </c>
      <c r="G209" s="64" t="s">
        <v>1233</v>
      </c>
      <c r="H209" s="33"/>
      <c r="I209" s="49">
        <f t="shared" si="2"/>
        <v>108</v>
      </c>
      <c r="J209" s="50" t="s">
        <v>1234</v>
      </c>
      <c r="K209" s="65"/>
      <c r="L209" s="68" t="s">
        <v>681</v>
      </c>
      <c r="M209" s="67" t="s">
        <v>852</v>
      </c>
      <c r="N209" s="64" t="s">
        <v>1235</v>
      </c>
      <c r="O209" s="33"/>
    </row>
    <row r="210" ht="75.0" customHeight="1">
      <c r="A210" s="33"/>
      <c r="B210" s="43">
        <f t="shared" si="1"/>
        <v>141</v>
      </c>
      <c r="C210" s="44" t="s">
        <v>1236</v>
      </c>
      <c r="D210" s="59"/>
      <c r="E210" s="46" t="s">
        <v>458</v>
      </c>
      <c r="F210" s="56" t="s">
        <v>1237</v>
      </c>
      <c r="G210" s="64" t="s">
        <v>1238</v>
      </c>
      <c r="H210" s="33"/>
      <c r="I210" s="49">
        <f t="shared" si="2"/>
        <v>107</v>
      </c>
      <c r="J210" s="50" t="s">
        <v>1239</v>
      </c>
      <c r="K210" s="65"/>
      <c r="L210" s="55" t="s">
        <v>1240</v>
      </c>
      <c r="M210" s="53" t="s">
        <v>1052</v>
      </c>
      <c r="N210" s="64" t="s">
        <v>1241</v>
      </c>
      <c r="O210" s="33"/>
    </row>
    <row r="211" ht="75.0" customHeight="1">
      <c r="A211" s="33"/>
      <c r="B211" s="43">
        <f t="shared" si="1"/>
        <v>140</v>
      </c>
      <c r="C211" s="44" t="s">
        <v>1242</v>
      </c>
      <c r="D211" s="59"/>
      <c r="E211" s="46" t="s">
        <v>475</v>
      </c>
      <c r="F211" s="56" t="s">
        <v>1243</v>
      </c>
      <c r="G211" s="64" t="s">
        <v>1244</v>
      </c>
      <c r="H211" s="33"/>
      <c r="I211" s="49">
        <f t="shared" si="2"/>
        <v>106</v>
      </c>
      <c r="J211" s="50" t="s">
        <v>1245</v>
      </c>
      <c r="K211" s="65"/>
      <c r="L211" s="55" t="s">
        <v>79</v>
      </c>
      <c r="M211" s="53" t="s">
        <v>1246</v>
      </c>
      <c r="N211" s="64" t="s">
        <v>1247</v>
      </c>
      <c r="O211" s="33"/>
    </row>
    <row r="212" ht="75.0" customHeight="1">
      <c r="A212" s="33"/>
      <c r="B212" s="43">
        <f t="shared" si="1"/>
        <v>139</v>
      </c>
      <c r="C212" s="44" t="s">
        <v>1248</v>
      </c>
      <c r="D212" s="59"/>
      <c r="E212" s="46" t="s">
        <v>216</v>
      </c>
      <c r="F212" s="56" t="s">
        <v>1249</v>
      </c>
      <c r="G212" s="64" t="s">
        <v>1250</v>
      </c>
      <c r="H212" s="33"/>
      <c r="I212" s="49">
        <f t="shared" si="2"/>
        <v>105</v>
      </c>
      <c r="J212" s="50" t="s">
        <v>1251</v>
      </c>
      <c r="K212" s="65"/>
      <c r="L212" s="55" t="s">
        <v>1097</v>
      </c>
      <c r="M212" s="53" t="s">
        <v>1252</v>
      </c>
      <c r="N212" s="64" t="s">
        <v>1253</v>
      </c>
      <c r="O212" s="33"/>
    </row>
    <row r="213" ht="75.0" customHeight="1">
      <c r="A213" s="33"/>
      <c r="B213" s="43">
        <f t="shared" si="1"/>
        <v>138</v>
      </c>
      <c r="C213" s="44" t="s">
        <v>1254</v>
      </c>
      <c r="D213" s="59"/>
      <c r="E213" s="46" t="s">
        <v>79</v>
      </c>
      <c r="F213" s="56" t="s">
        <v>1255</v>
      </c>
      <c r="G213" s="64" t="s">
        <v>1256</v>
      </c>
      <c r="H213" s="33"/>
      <c r="I213" s="49">
        <f t="shared" si="2"/>
        <v>104</v>
      </c>
      <c r="J213" s="50" t="s">
        <v>1257</v>
      </c>
      <c r="K213" s="65"/>
      <c r="L213" s="68" t="s">
        <v>1258</v>
      </c>
      <c r="M213" s="53" t="s">
        <v>1259</v>
      </c>
      <c r="N213" s="64" t="s">
        <v>1260</v>
      </c>
      <c r="O213" s="33"/>
    </row>
    <row r="214" ht="75.0" customHeight="1">
      <c r="A214" s="33"/>
      <c r="B214" s="43">
        <f t="shared" si="1"/>
        <v>137</v>
      </c>
      <c r="C214" s="44" t="s">
        <v>1261</v>
      </c>
      <c r="D214" s="59"/>
      <c r="E214" s="46" t="s">
        <v>106</v>
      </c>
      <c r="F214" s="56" t="s">
        <v>1184</v>
      </c>
      <c r="G214" s="64" t="s">
        <v>1262</v>
      </c>
      <c r="H214" s="33"/>
      <c r="I214" s="49">
        <f t="shared" si="2"/>
        <v>103</v>
      </c>
      <c r="J214" s="50" t="s">
        <v>1263</v>
      </c>
      <c r="K214" s="65"/>
      <c r="L214" s="55" t="s">
        <v>1264</v>
      </c>
      <c r="M214" s="53" t="s">
        <v>1064</v>
      </c>
      <c r="N214" s="64" t="s">
        <v>1265</v>
      </c>
      <c r="O214" s="33"/>
    </row>
    <row r="215" ht="75.0" customHeight="1">
      <c r="A215" s="33"/>
      <c r="B215" s="43">
        <f t="shared" si="1"/>
        <v>136</v>
      </c>
      <c r="C215" s="44" t="s">
        <v>1266</v>
      </c>
      <c r="D215" s="59"/>
      <c r="E215" s="46" t="s">
        <v>465</v>
      </c>
      <c r="F215" s="56" t="s">
        <v>1267</v>
      </c>
      <c r="G215" s="64" t="s">
        <v>1268</v>
      </c>
      <c r="H215" s="33"/>
      <c r="I215" s="49">
        <f t="shared" si="2"/>
        <v>102</v>
      </c>
      <c r="J215" s="50" t="s">
        <v>1269</v>
      </c>
      <c r="K215" s="65"/>
      <c r="L215" s="55" t="s">
        <v>465</v>
      </c>
      <c r="M215" s="53" t="s">
        <v>1064</v>
      </c>
      <c r="N215" s="64" t="s">
        <v>1270</v>
      </c>
      <c r="O215" s="33"/>
    </row>
    <row r="216" ht="75.0" customHeight="1">
      <c r="A216" s="33"/>
      <c r="B216" s="43">
        <f t="shared" si="1"/>
        <v>135</v>
      </c>
      <c r="C216" s="44" t="s">
        <v>1271</v>
      </c>
      <c r="D216" s="59"/>
      <c r="E216" s="46" t="s">
        <v>87</v>
      </c>
      <c r="F216" s="56" t="s">
        <v>672</v>
      </c>
      <c r="G216" s="64" t="s">
        <v>1272</v>
      </c>
      <c r="H216" s="33"/>
      <c r="I216" s="49">
        <f t="shared" si="2"/>
        <v>101</v>
      </c>
      <c r="J216" s="50" t="s">
        <v>1273</v>
      </c>
      <c r="K216" s="65"/>
      <c r="L216" s="55" t="s">
        <v>1274</v>
      </c>
      <c r="M216" s="67" t="s">
        <v>1275</v>
      </c>
      <c r="N216" s="64" t="s">
        <v>1276</v>
      </c>
      <c r="O216" s="33"/>
    </row>
    <row r="217" ht="75.0" customHeight="1">
      <c r="A217" s="33"/>
      <c r="B217" s="43">
        <f t="shared" si="1"/>
        <v>134</v>
      </c>
      <c r="C217" s="44" t="s">
        <v>1277</v>
      </c>
      <c r="D217" s="59"/>
      <c r="E217" s="46" t="s">
        <v>458</v>
      </c>
      <c r="F217" s="56" t="s">
        <v>1278</v>
      </c>
      <c r="G217" s="64" t="s">
        <v>1279</v>
      </c>
      <c r="H217" s="33"/>
      <c r="I217" s="49">
        <f t="shared" si="2"/>
        <v>100</v>
      </c>
      <c r="J217" s="50" t="s">
        <v>1280</v>
      </c>
      <c r="K217" s="65"/>
      <c r="L217" s="55" t="s">
        <v>87</v>
      </c>
      <c r="M217" s="67" t="s">
        <v>556</v>
      </c>
      <c r="N217" s="64" t="s">
        <v>1281</v>
      </c>
      <c r="O217" s="33"/>
    </row>
    <row r="218" ht="75.0" customHeight="1">
      <c r="A218" s="33"/>
      <c r="B218" s="43">
        <f t="shared" si="1"/>
        <v>133</v>
      </c>
      <c r="C218" s="44" t="s">
        <v>1282</v>
      </c>
      <c r="D218" s="59"/>
      <c r="E218" s="46" t="s">
        <v>106</v>
      </c>
      <c r="F218" s="56" t="s">
        <v>1283</v>
      </c>
      <c r="G218" s="64" t="s">
        <v>1284</v>
      </c>
      <c r="H218" s="33"/>
      <c r="I218" s="49">
        <f t="shared" si="2"/>
        <v>99</v>
      </c>
      <c r="J218" s="50" t="s">
        <v>1285</v>
      </c>
      <c r="K218" s="65"/>
      <c r="L218" s="55" t="s">
        <v>626</v>
      </c>
      <c r="M218" s="67" t="s">
        <v>825</v>
      </c>
      <c r="N218" s="64" t="s">
        <v>1286</v>
      </c>
      <c r="O218" s="33"/>
    </row>
    <row r="219" ht="75.0" customHeight="1">
      <c r="A219" s="33"/>
      <c r="B219" s="43">
        <f t="shared" si="1"/>
        <v>132</v>
      </c>
      <c r="C219" s="44" t="s">
        <v>1287</v>
      </c>
      <c r="D219" s="59"/>
      <c r="E219" s="46" t="s">
        <v>1288</v>
      </c>
      <c r="F219" s="56" t="s">
        <v>630</v>
      </c>
      <c r="G219" s="64" t="s">
        <v>1289</v>
      </c>
      <c r="H219" s="33"/>
      <c r="I219" s="49">
        <f t="shared" si="2"/>
        <v>98</v>
      </c>
      <c r="J219" s="50" t="s">
        <v>1290</v>
      </c>
      <c r="K219" s="65"/>
      <c r="L219" s="55" t="s">
        <v>240</v>
      </c>
      <c r="M219" s="67" t="s">
        <v>825</v>
      </c>
      <c r="N219" s="64" t="s">
        <v>1291</v>
      </c>
      <c r="O219" s="33"/>
    </row>
    <row r="220" ht="75.0" customHeight="1">
      <c r="A220" s="33"/>
      <c r="B220" s="43">
        <f t="shared" si="1"/>
        <v>131</v>
      </c>
      <c r="C220" s="44" t="s">
        <v>1292</v>
      </c>
      <c r="D220" s="59"/>
      <c r="E220" s="46" t="s">
        <v>458</v>
      </c>
      <c r="F220" s="56" t="s">
        <v>1293</v>
      </c>
      <c r="G220" s="64" t="s">
        <v>1294</v>
      </c>
      <c r="H220" s="33"/>
      <c r="I220" s="49">
        <f t="shared" si="2"/>
        <v>97</v>
      </c>
      <c r="J220" s="50" t="s">
        <v>1295</v>
      </c>
      <c r="K220" s="65"/>
      <c r="L220" s="55" t="s">
        <v>1296</v>
      </c>
      <c r="M220" s="67" t="s">
        <v>423</v>
      </c>
      <c r="N220" s="64" t="s">
        <v>1297</v>
      </c>
      <c r="O220" s="33"/>
    </row>
    <row r="221" ht="75.0" customHeight="1">
      <c r="A221" s="33"/>
      <c r="B221" s="43">
        <f t="shared" si="1"/>
        <v>130</v>
      </c>
      <c r="C221" s="44" t="s">
        <v>1298</v>
      </c>
      <c r="D221" s="59"/>
      <c r="E221" s="46" t="s">
        <v>106</v>
      </c>
      <c r="F221" s="56" t="s">
        <v>1049</v>
      </c>
      <c r="G221" s="64" t="s">
        <v>1299</v>
      </c>
      <c r="H221" s="33"/>
      <c r="I221" s="49">
        <f t="shared" si="2"/>
        <v>96</v>
      </c>
      <c r="J221" s="50" t="s">
        <v>1300</v>
      </c>
      <c r="K221" s="65"/>
      <c r="L221" s="55" t="s">
        <v>1301</v>
      </c>
      <c r="M221" s="67" t="s">
        <v>1302</v>
      </c>
      <c r="N221" s="64" t="s">
        <v>1303</v>
      </c>
      <c r="O221" s="33"/>
    </row>
    <row r="222" ht="75.0" customHeight="1">
      <c r="A222" s="33"/>
      <c r="B222" s="43">
        <f t="shared" si="1"/>
        <v>129</v>
      </c>
      <c r="C222" s="44" t="s">
        <v>1304</v>
      </c>
      <c r="D222" s="59"/>
      <c r="E222" s="46" t="s">
        <v>216</v>
      </c>
      <c r="F222" s="56" t="s">
        <v>1305</v>
      </c>
      <c r="G222" s="64" t="s">
        <v>1306</v>
      </c>
      <c r="H222" s="33"/>
      <c r="I222" s="49">
        <f t="shared" si="2"/>
        <v>95</v>
      </c>
      <c r="J222" s="50" t="s">
        <v>1307</v>
      </c>
      <c r="K222" s="65"/>
      <c r="L222" s="55" t="s">
        <v>1308</v>
      </c>
      <c r="M222" s="53" t="s">
        <v>1309</v>
      </c>
      <c r="N222" s="64" t="s">
        <v>1310</v>
      </c>
      <c r="O222" s="33"/>
    </row>
    <row r="223" ht="75.0" customHeight="1">
      <c r="A223" s="33"/>
      <c r="B223" s="43">
        <f t="shared" si="1"/>
        <v>128</v>
      </c>
      <c r="C223" s="44" t="s">
        <v>1311</v>
      </c>
      <c r="D223" s="59"/>
      <c r="E223" s="46" t="s">
        <v>1312</v>
      </c>
      <c r="F223" s="56" t="s">
        <v>688</v>
      </c>
      <c r="G223" s="64" t="s">
        <v>1313</v>
      </c>
      <c r="H223" s="33"/>
      <c r="I223" s="49">
        <f t="shared" si="2"/>
        <v>94</v>
      </c>
      <c r="J223" s="50" t="s">
        <v>1314</v>
      </c>
      <c r="K223" s="65"/>
      <c r="L223" s="55" t="s">
        <v>113</v>
      </c>
      <c r="M223" s="67" t="s">
        <v>1210</v>
      </c>
      <c r="N223" s="64" t="s">
        <v>1315</v>
      </c>
      <c r="O223" s="33"/>
    </row>
    <row r="224" ht="75.0" customHeight="1">
      <c r="A224" s="33"/>
      <c r="B224" s="43">
        <f t="shared" si="1"/>
        <v>127</v>
      </c>
      <c r="C224" s="44" t="s">
        <v>1316</v>
      </c>
      <c r="D224" s="59"/>
      <c r="E224" s="46" t="s">
        <v>1039</v>
      </c>
      <c r="F224" s="56" t="s">
        <v>601</v>
      </c>
      <c r="G224" s="64" t="s">
        <v>1317</v>
      </c>
      <c r="H224" s="33"/>
      <c r="I224" s="49">
        <f t="shared" si="2"/>
        <v>93</v>
      </c>
      <c r="J224" s="50" t="s">
        <v>1318</v>
      </c>
      <c r="K224" s="65"/>
      <c r="L224" s="55" t="s">
        <v>1169</v>
      </c>
      <c r="M224" s="67" t="s">
        <v>539</v>
      </c>
      <c r="N224" s="64" t="s">
        <v>1319</v>
      </c>
      <c r="O224" s="33"/>
    </row>
    <row r="225" ht="75.0" customHeight="1">
      <c r="A225" s="33"/>
      <c r="B225" s="43">
        <f t="shared" si="1"/>
        <v>126</v>
      </c>
      <c r="C225" s="44" t="s">
        <v>1320</v>
      </c>
      <c r="D225" s="59"/>
      <c r="E225" s="46" t="s">
        <v>216</v>
      </c>
      <c r="F225" s="56" t="s">
        <v>1321</v>
      </c>
      <c r="G225" s="64" t="s">
        <v>1322</v>
      </c>
      <c r="H225" s="33"/>
      <c r="I225" s="49">
        <f t="shared" si="2"/>
        <v>92</v>
      </c>
      <c r="J225" s="50" t="s">
        <v>1323</v>
      </c>
      <c r="K225" s="65"/>
      <c r="L225" s="55" t="s">
        <v>1324</v>
      </c>
      <c r="M225" s="53" t="s">
        <v>813</v>
      </c>
      <c r="N225" s="64" t="s">
        <v>1325</v>
      </c>
      <c r="O225" s="33"/>
    </row>
    <row r="226" ht="75.0" customHeight="1">
      <c r="A226" s="33"/>
      <c r="B226" s="43">
        <f t="shared" si="1"/>
        <v>125</v>
      </c>
      <c r="C226" s="44" t="s">
        <v>1326</v>
      </c>
      <c r="D226" s="59"/>
      <c r="E226" s="46" t="s">
        <v>324</v>
      </c>
      <c r="F226" s="56" t="s">
        <v>1327</v>
      </c>
      <c r="G226" s="64" t="s">
        <v>1328</v>
      </c>
      <c r="H226" s="33"/>
      <c r="I226" s="49">
        <f t="shared" si="2"/>
        <v>91</v>
      </c>
      <c r="J226" s="50" t="s">
        <v>1329</v>
      </c>
      <c r="K226" s="65"/>
      <c r="L226" s="55" t="s">
        <v>416</v>
      </c>
      <c r="M226" s="67" t="s">
        <v>1330</v>
      </c>
      <c r="N226" s="64" t="s">
        <v>1331</v>
      </c>
      <c r="O226" s="33"/>
    </row>
    <row r="227" ht="75.0" customHeight="1">
      <c r="A227" s="33"/>
      <c r="B227" s="43">
        <f t="shared" si="1"/>
        <v>124</v>
      </c>
      <c r="C227" s="44" t="s">
        <v>1332</v>
      </c>
      <c r="D227" s="59"/>
      <c r="E227" s="46" t="s">
        <v>257</v>
      </c>
      <c r="F227" s="56" t="s">
        <v>1333</v>
      </c>
      <c r="G227" s="64" t="s">
        <v>1334</v>
      </c>
      <c r="H227" s="33"/>
      <c r="I227" s="49">
        <f t="shared" si="2"/>
        <v>90</v>
      </c>
      <c r="J227" s="50" t="s">
        <v>1335</v>
      </c>
      <c r="K227" s="65"/>
      <c r="L227" s="55" t="s">
        <v>1336</v>
      </c>
      <c r="M227" s="53" t="s">
        <v>1337</v>
      </c>
      <c r="N227" s="64" t="s">
        <v>1338</v>
      </c>
      <c r="O227" s="33"/>
    </row>
    <row r="228" ht="75.0" customHeight="1">
      <c r="A228" s="33"/>
      <c r="B228" s="43">
        <f t="shared" si="1"/>
        <v>123</v>
      </c>
      <c r="C228" s="44" t="s">
        <v>1339</v>
      </c>
      <c r="D228" s="59"/>
      <c r="E228" s="46" t="s">
        <v>53</v>
      </c>
      <c r="F228" s="56" t="s">
        <v>1340</v>
      </c>
      <c r="G228" s="64" t="s">
        <v>1341</v>
      </c>
      <c r="H228" s="33"/>
      <c r="I228" s="49">
        <f t="shared" si="2"/>
        <v>89</v>
      </c>
      <c r="J228" s="50" t="s">
        <v>1342</v>
      </c>
      <c r="K228" s="65"/>
      <c r="L228" s="55" t="s">
        <v>1264</v>
      </c>
      <c r="M228" s="53" t="s">
        <v>1343</v>
      </c>
      <c r="N228" s="64" t="s">
        <v>1344</v>
      </c>
      <c r="O228" s="33"/>
    </row>
    <row r="229" ht="75.0" customHeight="1">
      <c r="A229" s="33"/>
      <c r="B229" s="43">
        <f t="shared" si="1"/>
        <v>122</v>
      </c>
      <c r="C229" s="44" t="s">
        <v>1345</v>
      </c>
      <c r="D229" s="59"/>
      <c r="E229" s="46" t="s">
        <v>398</v>
      </c>
      <c r="F229" s="56" t="s">
        <v>1346</v>
      </c>
      <c r="G229" s="64" t="s">
        <v>1347</v>
      </c>
      <c r="H229" s="33"/>
      <c r="I229" s="49">
        <f t="shared" si="2"/>
        <v>88</v>
      </c>
      <c r="J229" s="50" t="s">
        <v>1348</v>
      </c>
      <c r="K229" s="65"/>
      <c r="L229" s="55" t="s">
        <v>334</v>
      </c>
      <c r="M229" s="53" t="s">
        <v>1343</v>
      </c>
      <c r="N229" s="64" t="s">
        <v>1349</v>
      </c>
      <c r="O229" s="33"/>
    </row>
    <row r="230" ht="75.0" customHeight="1">
      <c r="A230" s="33"/>
      <c r="B230" s="43">
        <f t="shared" si="1"/>
        <v>121</v>
      </c>
      <c r="C230" s="44" t="s">
        <v>1350</v>
      </c>
      <c r="D230" s="59"/>
      <c r="E230" s="46" t="s">
        <v>106</v>
      </c>
      <c r="F230" s="56" t="s">
        <v>1351</v>
      </c>
      <c r="G230" s="64" t="s">
        <v>1352</v>
      </c>
      <c r="H230" s="33"/>
      <c r="I230" s="49">
        <f t="shared" si="2"/>
        <v>87</v>
      </c>
      <c r="J230" s="50" t="s">
        <v>1353</v>
      </c>
      <c r="K230" s="65"/>
      <c r="L230" s="55" t="s">
        <v>190</v>
      </c>
      <c r="M230" s="67" t="s">
        <v>1354</v>
      </c>
      <c r="N230" s="64" t="s">
        <v>1355</v>
      </c>
      <c r="O230" s="33"/>
    </row>
    <row r="231" ht="75.0" customHeight="1">
      <c r="A231" s="33"/>
      <c r="B231" s="43">
        <f t="shared" si="1"/>
        <v>120</v>
      </c>
      <c r="C231" s="44" t="s">
        <v>1356</v>
      </c>
      <c r="D231" s="59"/>
      <c r="E231" s="46" t="s">
        <v>287</v>
      </c>
      <c r="F231" s="56" t="s">
        <v>413</v>
      </c>
      <c r="G231" s="64" t="s">
        <v>1357</v>
      </c>
      <c r="H231" s="33"/>
      <c r="I231" s="49">
        <f t="shared" si="2"/>
        <v>86</v>
      </c>
      <c r="J231" s="50" t="s">
        <v>1358</v>
      </c>
      <c r="K231" s="65"/>
      <c r="L231" s="55" t="s">
        <v>1359</v>
      </c>
      <c r="M231" s="67" t="s">
        <v>577</v>
      </c>
      <c r="N231" s="64" t="s">
        <v>1360</v>
      </c>
      <c r="O231" s="33"/>
    </row>
    <row r="232" ht="75.0" customHeight="1">
      <c r="A232" s="33"/>
      <c r="B232" s="43">
        <f t="shared" si="1"/>
        <v>119</v>
      </c>
      <c r="C232" s="44" t="s">
        <v>1361</v>
      </c>
      <c r="D232" s="59"/>
      <c r="E232" s="46" t="s">
        <v>56</v>
      </c>
      <c r="F232" s="56" t="s">
        <v>1362</v>
      </c>
      <c r="G232" s="64" t="s">
        <v>1363</v>
      </c>
      <c r="H232" s="33"/>
      <c r="I232" s="49">
        <f t="shared" si="2"/>
        <v>85</v>
      </c>
      <c r="J232" s="50" t="s">
        <v>1364</v>
      </c>
      <c r="K232" s="65"/>
      <c r="L232" s="69" t="s">
        <v>434</v>
      </c>
      <c r="M232" s="67" t="s">
        <v>577</v>
      </c>
      <c r="N232" s="64" t="s">
        <v>1365</v>
      </c>
      <c r="O232" s="33"/>
    </row>
    <row r="233" ht="75.0" customHeight="1">
      <c r="A233" s="33"/>
      <c r="B233" s="43">
        <f t="shared" si="1"/>
        <v>118</v>
      </c>
      <c r="C233" s="44" t="s">
        <v>1366</v>
      </c>
      <c r="D233" s="59"/>
      <c r="E233" s="46" t="s">
        <v>1367</v>
      </c>
      <c r="F233" s="56" t="s">
        <v>1368</v>
      </c>
      <c r="G233" s="64" t="s">
        <v>1369</v>
      </c>
      <c r="H233" s="33"/>
      <c r="I233" s="49">
        <f t="shared" si="2"/>
        <v>84</v>
      </c>
      <c r="J233" s="50" t="s">
        <v>1370</v>
      </c>
      <c r="K233" s="65"/>
      <c r="L233" s="55" t="s">
        <v>1202</v>
      </c>
      <c r="M233" s="67" t="s">
        <v>595</v>
      </c>
      <c r="N233" s="64" t="s">
        <v>1371</v>
      </c>
      <c r="O233" s="33"/>
    </row>
    <row r="234" ht="75.0" customHeight="1">
      <c r="A234" s="33"/>
      <c r="B234" s="43">
        <f t="shared" si="1"/>
        <v>117</v>
      </c>
      <c r="C234" s="44" t="s">
        <v>1372</v>
      </c>
      <c r="D234" s="59"/>
      <c r="E234" s="46" t="s">
        <v>106</v>
      </c>
      <c r="F234" s="56" t="s">
        <v>1373</v>
      </c>
      <c r="G234" s="64" t="s">
        <v>1374</v>
      </c>
      <c r="H234" s="33"/>
      <c r="I234" s="49">
        <f t="shared" si="2"/>
        <v>83</v>
      </c>
      <c r="J234" s="50" t="s">
        <v>1375</v>
      </c>
      <c r="K234" s="65"/>
      <c r="L234" s="55" t="s">
        <v>1376</v>
      </c>
      <c r="M234" s="67" t="s">
        <v>472</v>
      </c>
      <c r="N234" s="64" t="s">
        <v>1377</v>
      </c>
      <c r="O234" s="33"/>
    </row>
    <row r="235" ht="75.0" customHeight="1">
      <c r="A235" s="33"/>
      <c r="B235" s="43">
        <f t="shared" si="1"/>
        <v>116</v>
      </c>
      <c r="C235" s="44" t="s">
        <v>1378</v>
      </c>
      <c r="D235" s="59"/>
      <c r="E235" s="46" t="s">
        <v>1379</v>
      </c>
      <c r="F235" s="56" t="s">
        <v>1380</v>
      </c>
      <c r="G235" s="64" t="s">
        <v>1381</v>
      </c>
      <c r="H235" s="33"/>
      <c r="I235" s="49">
        <f t="shared" si="2"/>
        <v>82</v>
      </c>
      <c r="J235" s="50" t="s">
        <v>1382</v>
      </c>
      <c r="K235" s="65"/>
      <c r="L235" s="55" t="s">
        <v>1383</v>
      </c>
      <c r="M235" s="67" t="s">
        <v>1384</v>
      </c>
      <c r="N235" s="64" t="s">
        <v>1385</v>
      </c>
      <c r="O235" s="33"/>
    </row>
    <row r="236" ht="75.0" customHeight="1">
      <c r="A236" s="33"/>
      <c r="B236" s="43">
        <f t="shared" si="1"/>
        <v>115</v>
      </c>
      <c r="C236" s="44" t="s">
        <v>1386</v>
      </c>
      <c r="D236" s="59"/>
      <c r="E236" s="46" t="s">
        <v>1387</v>
      </c>
      <c r="F236" s="56" t="s">
        <v>1388</v>
      </c>
      <c r="G236" s="64" t="s">
        <v>1389</v>
      </c>
      <c r="H236" s="33"/>
      <c r="I236" s="49">
        <f t="shared" si="2"/>
        <v>81</v>
      </c>
      <c r="J236" s="50" t="s">
        <v>1390</v>
      </c>
      <c r="K236" s="65"/>
      <c r="L236" s="55" t="s">
        <v>620</v>
      </c>
      <c r="M236" s="67" t="s">
        <v>1391</v>
      </c>
      <c r="N236" s="64" t="s">
        <v>1392</v>
      </c>
      <c r="O236" s="33"/>
    </row>
    <row r="237" ht="75.0" customHeight="1">
      <c r="A237" s="33"/>
      <c r="B237" s="43">
        <f t="shared" si="1"/>
        <v>114</v>
      </c>
      <c r="C237" s="44" t="s">
        <v>1393</v>
      </c>
      <c r="D237" s="59"/>
      <c r="E237" s="46" t="s">
        <v>475</v>
      </c>
      <c r="F237" s="56" t="s">
        <v>1394</v>
      </c>
      <c r="G237" s="64" t="s">
        <v>1395</v>
      </c>
      <c r="H237" s="33"/>
      <c r="I237" s="49">
        <f t="shared" si="2"/>
        <v>80</v>
      </c>
      <c r="J237" s="50" t="s">
        <v>1396</v>
      </c>
      <c r="K237" s="65"/>
      <c r="L237" s="55" t="s">
        <v>1073</v>
      </c>
      <c r="M237" s="53" t="s">
        <v>1397</v>
      </c>
      <c r="N237" s="64" t="s">
        <v>1398</v>
      </c>
      <c r="O237" s="33"/>
    </row>
    <row r="238" ht="75.0" customHeight="1">
      <c r="A238" s="33"/>
      <c r="B238" s="43">
        <f t="shared" si="1"/>
        <v>113</v>
      </c>
      <c r="C238" s="44" t="s">
        <v>1399</v>
      </c>
      <c r="D238" s="59"/>
      <c r="E238" s="46" t="s">
        <v>190</v>
      </c>
      <c r="F238" s="56" t="s">
        <v>1400</v>
      </c>
      <c r="G238" s="64" t="s">
        <v>1401</v>
      </c>
      <c r="H238" s="33"/>
      <c r="I238" s="49">
        <f t="shared" si="2"/>
        <v>79</v>
      </c>
      <c r="J238" s="50" t="s">
        <v>1402</v>
      </c>
      <c r="K238" s="65"/>
      <c r="L238" s="55" t="s">
        <v>204</v>
      </c>
      <c r="M238" s="53" t="s">
        <v>1397</v>
      </c>
      <c r="N238" s="64" t="s">
        <v>1403</v>
      </c>
      <c r="O238" s="33"/>
    </row>
    <row r="239" ht="75.0" customHeight="1">
      <c r="A239" s="33"/>
      <c r="B239" s="43">
        <f t="shared" si="1"/>
        <v>112</v>
      </c>
      <c r="C239" s="44" t="s">
        <v>1404</v>
      </c>
      <c r="D239" s="59"/>
      <c r="E239" s="46" t="s">
        <v>216</v>
      </c>
      <c r="F239" s="56" t="s">
        <v>1405</v>
      </c>
      <c r="G239" s="64" t="s">
        <v>1406</v>
      </c>
      <c r="H239" s="33"/>
      <c r="I239" s="49">
        <f t="shared" si="2"/>
        <v>78</v>
      </c>
      <c r="J239" s="50" t="s">
        <v>1407</v>
      </c>
      <c r="K239" s="65"/>
      <c r="L239" s="55" t="s">
        <v>551</v>
      </c>
      <c r="M239" s="53" t="s">
        <v>1408</v>
      </c>
      <c r="N239" s="64" t="s">
        <v>1409</v>
      </c>
      <c r="O239" s="33"/>
    </row>
    <row r="240" ht="75.0" customHeight="1">
      <c r="A240" s="33"/>
      <c r="B240" s="43">
        <f t="shared" si="1"/>
        <v>111</v>
      </c>
      <c r="C240" s="44" t="s">
        <v>1410</v>
      </c>
      <c r="D240" s="59"/>
      <c r="E240" s="46" t="s">
        <v>1411</v>
      </c>
      <c r="F240" s="56" t="s">
        <v>338</v>
      </c>
      <c r="G240" s="64" t="s">
        <v>1412</v>
      </c>
      <c r="H240" s="33"/>
      <c r="I240" s="49">
        <f t="shared" si="2"/>
        <v>77</v>
      </c>
      <c r="J240" s="50" t="s">
        <v>1413</v>
      </c>
      <c r="K240" s="65"/>
      <c r="L240" s="55" t="s">
        <v>190</v>
      </c>
      <c r="M240" s="53" t="s">
        <v>1408</v>
      </c>
      <c r="N240" s="64" t="s">
        <v>1414</v>
      </c>
      <c r="O240" s="33"/>
    </row>
    <row r="241" ht="75.0" customHeight="1">
      <c r="A241" s="33"/>
      <c r="B241" s="43">
        <f t="shared" si="1"/>
        <v>110</v>
      </c>
      <c r="C241" s="44" t="s">
        <v>1415</v>
      </c>
      <c r="D241" s="59"/>
      <c r="E241" s="46" t="s">
        <v>1202</v>
      </c>
      <c r="F241" s="56" t="s">
        <v>338</v>
      </c>
      <c r="G241" s="64" t="s">
        <v>1416</v>
      </c>
      <c r="H241" s="33"/>
      <c r="I241" s="49">
        <f t="shared" si="2"/>
        <v>76</v>
      </c>
      <c r="J241" s="50" t="s">
        <v>1417</v>
      </c>
      <c r="K241" s="65"/>
      <c r="L241" s="55" t="s">
        <v>1359</v>
      </c>
      <c r="M241" s="67" t="s">
        <v>1418</v>
      </c>
      <c r="N241" s="64" t="s">
        <v>1419</v>
      </c>
      <c r="O241" s="33"/>
    </row>
    <row r="242" ht="75.0" customHeight="1">
      <c r="A242" s="33"/>
      <c r="B242" s="43">
        <f t="shared" si="1"/>
        <v>109</v>
      </c>
      <c r="C242" s="44" t="s">
        <v>1420</v>
      </c>
      <c r="D242" s="59"/>
      <c r="E242" s="46" t="s">
        <v>216</v>
      </c>
      <c r="F242" s="56" t="s">
        <v>1421</v>
      </c>
      <c r="G242" s="64" t="s">
        <v>1422</v>
      </c>
      <c r="H242" s="33"/>
      <c r="I242" s="49">
        <f t="shared" si="2"/>
        <v>75</v>
      </c>
      <c r="J242" s="50" t="s">
        <v>1423</v>
      </c>
      <c r="K242" s="65"/>
      <c r="L242" s="55" t="s">
        <v>1336</v>
      </c>
      <c r="M242" s="67" t="s">
        <v>825</v>
      </c>
      <c r="N242" s="64" t="s">
        <v>1424</v>
      </c>
      <c r="O242" s="33"/>
    </row>
    <row r="243" ht="75.0" customHeight="1">
      <c r="A243" s="33"/>
      <c r="B243" s="43">
        <f t="shared" si="1"/>
        <v>108</v>
      </c>
      <c r="C243" s="44" t="s">
        <v>1425</v>
      </c>
      <c r="D243" s="59"/>
      <c r="E243" s="46" t="s">
        <v>106</v>
      </c>
      <c r="F243" s="56" t="s">
        <v>120</v>
      </c>
      <c r="G243" s="64" t="s">
        <v>1426</v>
      </c>
      <c r="H243" s="33"/>
      <c r="I243" s="49">
        <f t="shared" si="2"/>
        <v>74</v>
      </c>
      <c r="J243" s="50" t="s">
        <v>1427</v>
      </c>
      <c r="K243" s="65"/>
      <c r="L243" s="55" t="s">
        <v>143</v>
      </c>
      <c r="M243" s="53" t="s">
        <v>1428</v>
      </c>
      <c r="N243" s="64" t="s">
        <v>1429</v>
      </c>
      <c r="O243" s="33"/>
    </row>
    <row r="244" ht="75.0" customHeight="1">
      <c r="A244" s="33"/>
      <c r="B244" s="43">
        <f t="shared" si="1"/>
        <v>107</v>
      </c>
      <c r="C244" s="44" t="s">
        <v>1430</v>
      </c>
      <c r="D244" s="59"/>
      <c r="E244" s="46" t="s">
        <v>216</v>
      </c>
      <c r="F244" s="56" t="s">
        <v>643</v>
      </c>
      <c r="G244" s="64" t="s">
        <v>1431</v>
      </c>
      <c r="H244" s="33"/>
      <c r="I244" s="49">
        <f t="shared" si="2"/>
        <v>73</v>
      </c>
      <c r="J244" s="50" t="s">
        <v>1432</v>
      </c>
      <c r="K244" s="65"/>
      <c r="L244" s="55" t="s">
        <v>1433</v>
      </c>
      <c r="M244" s="53" t="s">
        <v>1428</v>
      </c>
      <c r="N244" s="64" t="s">
        <v>1434</v>
      </c>
      <c r="O244" s="33"/>
    </row>
    <row r="245" ht="75.0" customHeight="1">
      <c r="A245" s="33"/>
      <c r="B245" s="43">
        <f t="shared" si="1"/>
        <v>106</v>
      </c>
      <c r="C245" s="44" t="s">
        <v>1435</v>
      </c>
      <c r="D245" s="59"/>
      <c r="E245" s="46" t="s">
        <v>475</v>
      </c>
      <c r="F245" s="56" t="s">
        <v>209</v>
      </c>
      <c r="G245" s="64" t="s">
        <v>1436</v>
      </c>
      <c r="H245" s="33"/>
      <c r="I245" s="49">
        <f t="shared" si="2"/>
        <v>72</v>
      </c>
      <c r="J245" s="50" t="s">
        <v>1437</v>
      </c>
      <c r="K245" s="65"/>
      <c r="L245" s="55" t="s">
        <v>365</v>
      </c>
      <c r="M245" s="67" t="s">
        <v>1438</v>
      </c>
      <c r="N245" s="64" t="s">
        <v>1439</v>
      </c>
      <c r="O245" s="33"/>
    </row>
    <row r="246" ht="75.0" customHeight="1">
      <c r="A246" s="33"/>
      <c r="B246" s="43">
        <f t="shared" si="1"/>
        <v>105</v>
      </c>
      <c r="C246" s="44" t="s">
        <v>1440</v>
      </c>
      <c r="D246" s="59"/>
      <c r="E246" s="46" t="s">
        <v>1039</v>
      </c>
      <c r="F246" s="56" t="s">
        <v>1441</v>
      </c>
      <c r="G246" s="64" t="s">
        <v>1442</v>
      </c>
      <c r="H246" s="33"/>
      <c r="I246" s="49">
        <f t="shared" si="2"/>
        <v>71</v>
      </c>
      <c r="J246" s="50" t="s">
        <v>1443</v>
      </c>
      <c r="K246" s="65"/>
      <c r="L246" s="55" t="s">
        <v>1039</v>
      </c>
      <c r="M246" s="67" t="s">
        <v>1444</v>
      </c>
      <c r="N246" s="64" t="s">
        <v>1445</v>
      </c>
      <c r="O246" s="33"/>
    </row>
    <row r="247" ht="75.0" customHeight="1">
      <c r="A247" s="33"/>
      <c r="B247" s="43">
        <f t="shared" si="1"/>
        <v>104</v>
      </c>
      <c r="C247" s="44" t="s">
        <v>1446</v>
      </c>
      <c r="D247" s="59"/>
      <c r="E247" s="46" t="s">
        <v>287</v>
      </c>
      <c r="F247" s="56" t="s">
        <v>1447</v>
      </c>
      <c r="G247" s="64" t="s">
        <v>1448</v>
      </c>
      <c r="H247" s="33"/>
      <c r="I247" s="49">
        <f t="shared" si="2"/>
        <v>70</v>
      </c>
      <c r="J247" s="50" t="s">
        <v>1449</v>
      </c>
      <c r="K247" s="65"/>
      <c r="L247" s="55" t="s">
        <v>1450</v>
      </c>
      <c r="M247" s="53" t="s">
        <v>604</v>
      </c>
      <c r="N247" s="64" t="s">
        <v>1451</v>
      </c>
      <c r="O247" s="33"/>
    </row>
    <row r="248" ht="75.0" customHeight="1">
      <c r="A248" s="33"/>
      <c r="B248" s="43">
        <f t="shared" si="1"/>
        <v>103</v>
      </c>
      <c r="C248" s="44" t="s">
        <v>1452</v>
      </c>
      <c r="D248" s="59"/>
      <c r="E248" s="46" t="s">
        <v>79</v>
      </c>
      <c r="F248" s="56" t="s">
        <v>1453</v>
      </c>
      <c r="G248" s="64" t="s">
        <v>1454</v>
      </c>
      <c r="H248" s="33"/>
      <c r="I248" s="49">
        <f t="shared" si="2"/>
        <v>69</v>
      </c>
      <c r="J248" s="50" t="s">
        <v>1455</v>
      </c>
      <c r="K248" s="65"/>
      <c r="L248" s="55" t="s">
        <v>458</v>
      </c>
      <c r="M248" s="67" t="s">
        <v>613</v>
      </c>
      <c r="N248" s="64" t="s">
        <v>1456</v>
      </c>
      <c r="O248" s="33"/>
    </row>
    <row r="249" ht="75.0" customHeight="1">
      <c r="A249" s="33"/>
      <c r="B249" s="43">
        <f t="shared" si="1"/>
        <v>102</v>
      </c>
      <c r="C249" s="44" t="s">
        <v>1457</v>
      </c>
      <c r="D249" s="59"/>
      <c r="E249" s="46" t="s">
        <v>156</v>
      </c>
      <c r="F249" s="56" t="s">
        <v>1458</v>
      </c>
      <c r="G249" s="64" t="s">
        <v>1459</v>
      </c>
      <c r="H249" s="33"/>
      <c r="I249" s="49">
        <f t="shared" si="2"/>
        <v>68</v>
      </c>
      <c r="J249" s="50" t="s">
        <v>1460</v>
      </c>
      <c r="K249" s="65"/>
      <c r="L249" s="55" t="s">
        <v>1461</v>
      </c>
      <c r="M249" s="67" t="s">
        <v>1462</v>
      </c>
      <c r="N249" s="64" t="s">
        <v>1463</v>
      </c>
      <c r="O249" s="33"/>
    </row>
    <row r="250" ht="75.0" customHeight="1">
      <c r="A250" s="33"/>
      <c r="B250" s="43">
        <f t="shared" si="1"/>
        <v>101</v>
      </c>
      <c r="C250" s="44" t="s">
        <v>1464</v>
      </c>
      <c r="D250" s="59"/>
      <c r="E250" s="46" t="s">
        <v>1367</v>
      </c>
      <c r="F250" s="56" t="s">
        <v>1465</v>
      </c>
      <c r="G250" s="64" t="s">
        <v>1466</v>
      </c>
      <c r="H250" s="33"/>
      <c r="I250" s="49">
        <f t="shared" si="2"/>
        <v>67</v>
      </c>
      <c r="J250" s="50" t="s">
        <v>1467</v>
      </c>
      <c r="K250" s="65"/>
      <c r="L250" s="55" t="s">
        <v>324</v>
      </c>
      <c r="M250" s="67" t="s">
        <v>1468</v>
      </c>
      <c r="N250" s="64" t="s">
        <v>1469</v>
      </c>
      <c r="O250" s="33"/>
    </row>
    <row r="251" ht="75.0" customHeight="1">
      <c r="A251" s="33"/>
      <c r="B251" s="43">
        <f t="shared" si="1"/>
        <v>100</v>
      </c>
      <c r="C251" s="44" t="s">
        <v>1470</v>
      </c>
      <c r="D251" s="59"/>
      <c r="E251" s="46" t="s">
        <v>1471</v>
      </c>
      <c r="F251" s="56" t="s">
        <v>1472</v>
      </c>
      <c r="G251" s="64" t="s">
        <v>1473</v>
      </c>
      <c r="H251" s="33"/>
      <c r="I251" s="49">
        <f t="shared" si="2"/>
        <v>66</v>
      </c>
      <c r="J251" s="50" t="s">
        <v>1474</v>
      </c>
      <c r="K251" s="65"/>
      <c r="L251" s="55" t="s">
        <v>583</v>
      </c>
      <c r="M251" s="53" t="s">
        <v>1475</v>
      </c>
      <c r="N251" s="64" t="s">
        <v>1476</v>
      </c>
      <c r="O251" s="33"/>
    </row>
    <row r="252" ht="75.0" customHeight="1">
      <c r="A252" s="33"/>
      <c r="B252" s="43">
        <f t="shared" si="1"/>
        <v>99</v>
      </c>
      <c r="C252" s="44" t="s">
        <v>1477</v>
      </c>
      <c r="D252" s="59"/>
      <c r="E252" s="46" t="s">
        <v>398</v>
      </c>
      <c r="F252" s="56" t="s">
        <v>659</v>
      </c>
      <c r="G252" s="64" t="s">
        <v>1478</v>
      </c>
      <c r="H252" s="33"/>
      <c r="I252" s="49">
        <f t="shared" si="2"/>
        <v>65</v>
      </c>
      <c r="J252" s="50" t="s">
        <v>1479</v>
      </c>
      <c r="K252" s="65"/>
      <c r="L252" s="55" t="s">
        <v>1471</v>
      </c>
      <c r="M252" s="53" t="s">
        <v>1475</v>
      </c>
      <c r="N252" s="64" t="s">
        <v>1480</v>
      </c>
      <c r="O252" s="33"/>
    </row>
    <row r="253" ht="75.0" customHeight="1">
      <c r="A253" s="33"/>
      <c r="B253" s="43">
        <f t="shared" si="1"/>
        <v>98</v>
      </c>
      <c r="C253" s="44" t="s">
        <v>1481</v>
      </c>
      <c r="D253" s="59"/>
      <c r="E253" s="46" t="s">
        <v>106</v>
      </c>
      <c r="F253" s="56" t="s">
        <v>1482</v>
      </c>
      <c r="G253" s="64" t="s">
        <v>1483</v>
      </c>
      <c r="H253" s="33"/>
      <c r="I253" s="49">
        <f t="shared" si="2"/>
        <v>64</v>
      </c>
      <c r="J253" s="50" t="s">
        <v>1484</v>
      </c>
      <c r="K253" s="65"/>
      <c r="L253" s="55" t="s">
        <v>1485</v>
      </c>
      <c r="M253" s="67" t="s">
        <v>1475</v>
      </c>
      <c r="N253" s="64" t="s">
        <v>1486</v>
      </c>
      <c r="O253" s="33"/>
    </row>
    <row r="254" ht="75.0" customHeight="1">
      <c r="A254" s="33"/>
      <c r="B254" s="43">
        <f t="shared" si="1"/>
        <v>97</v>
      </c>
      <c r="C254" s="44" t="s">
        <v>1487</v>
      </c>
      <c r="D254" s="59"/>
      <c r="E254" s="46" t="s">
        <v>281</v>
      </c>
      <c r="F254" s="56" t="s">
        <v>1488</v>
      </c>
      <c r="G254" s="64" t="s">
        <v>1489</v>
      </c>
      <c r="H254" s="33"/>
      <c r="I254" s="49">
        <f t="shared" si="2"/>
        <v>63</v>
      </c>
      <c r="J254" s="50" t="s">
        <v>1490</v>
      </c>
      <c r="K254" s="65"/>
      <c r="L254" s="55" t="s">
        <v>1491</v>
      </c>
      <c r="M254" s="53" t="s">
        <v>1400</v>
      </c>
      <c r="N254" s="64" t="s">
        <v>1492</v>
      </c>
      <c r="O254" s="33"/>
    </row>
    <row r="255" ht="75.0" customHeight="1">
      <c r="A255" s="33"/>
      <c r="B255" s="43">
        <f t="shared" si="1"/>
        <v>96</v>
      </c>
      <c r="C255" s="44" t="s">
        <v>1493</v>
      </c>
      <c r="D255" s="59"/>
      <c r="E255" s="46" t="s">
        <v>216</v>
      </c>
      <c r="F255" s="56" t="s">
        <v>1494</v>
      </c>
      <c r="G255" s="64" t="s">
        <v>1495</v>
      </c>
      <c r="H255" s="33"/>
      <c r="I255" s="49">
        <f t="shared" si="2"/>
        <v>62</v>
      </c>
      <c r="J255" s="50" t="s">
        <v>1496</v>
      </c>
      <c r="K255" s="65"/>
      <c r="L255" s="55" t="s">
        <v>1497</v>
      </c>
      <c r="M255" s="67" t="s">
        <v>1498</v>
      </c>
      <c r="N255" s="64" t="s">
        <v>1499</v>
      </c>
      <c r="O255" s="33"/>
    </row>
    <row r="256" ht="75.0" customHeight="1">
      <c r="A256" s="33"/>
      <c r="B256" s="43">
        <f t="shared" si="1"/>
        <v>95</v>
      </c>
      <c r="C256" s="44" t="s">
        <v>1500</v>
      </c>
      <c r="D256" s="59"/>
      <c r="E256" s="46" t="s">
        <v>97</v>
      </c>
      <c r="F256" s="56" t="s">
        <v>1501</v>
      </c>
      <c r="G256" s="64" t="s">
        <v>1502</v>
      </c>
      <c r="H256" s="33"/>
      <c r="I256" s="49">
        <f t="shared" si="2"/>
        <v>61</v>
      </c>
      <c r="J256" s="50" t="s">
        <v>1503</v>
      </c>
      <c r="K256" s="65"/>
      <c r="L256" s="55" t="s">
        <v>1504</v>
      </c>
      <c r="M256" s="67" t="s">
        <v>1505</v>
      </c>
      <c r="N256" s="64" t="s">
        <v>1506</v>
      </c>
      <c r="O256" s="33"/>
    </row>
    <row r="257" ht="75.0" customHeight="1">
      <c r="A257" s="33"/>
      <c r="B257" s="43">
        <f t="shared" si="1"/>
        <v>94</v>
      </c>
      <c r="C257" s="44" t="s">
        <v>1507</v>
      </c>
      <c r="D257" s="59"/>
      <c r="E257" s="46" t="s">
        <v>458</v>
      </c>
      <c r="F257" s="56" t="s">
        <v>194</v>
      </c>
      <c r="G257" s="64" t="s">
        <v>1508</v>
      </c>
      <c r="H257" s="33"/>
      <c r="I257" s="49">
        <f t="shared" si="2"/>
        <v>60</v>
      </c>
      <c r="J257" s="50" t="s">
        <v>1509</v>
      </c>
      <c r="K257" s="65"/>
      <c r="L257" s="55" t="s">
        <v>416</v>
      </c>
      <c r="M257" s="67" t="s">
        <v>345</v>
      </c>
      <c r="N257" s="64" t="s">
        <v>1510</v>
      </c>
      <c r="O257" s="33"/>
    </row>
    <row r="258" ht="75.0" customHeight="1">
      <c r="A258" s="33"/>
      <c r="B258" s="43">
        <f t="shared" si="1"/>
        <v>93</v>
      </c>
      <c r="C258" s="44" t="s">
        <v>1511</v>
      </c>
      <c r="D258" s="59"/>
      <c r="E258" s="46" t="s">
        <v>365</v>
      </c>
      <c r="F258" s="56" t="s">
        <v>1512</v>
      </c>
      <c r="G258" s="64" t="s">
        <v>1513</v>
      </c>
      <c r="H258" s="33"/>
      <c r="I258" s="49">
        <f t="shared" si="2"/>
        <v>59</v>
      </c>
      <c r="J258" s="50" t="s">
        <v>1514</v>
      </c>
      <c r="K258" s="65"/>
      <c r="L258" s="68" t="s">
        <v>681</v>
      </c>
      <c r="M258" s="67" t="s">
        <v>338</v>
      </c>
      <c r="N258" s="64" t="s">
        <v>1515</v>
      </c>
      <c r="O258" s="33"/>
    </row>
    <row r="259" ht="75.0" customHeight="1">
      <c r="A259" s="33"/>
      <c r="B259" s="43">
        <f t="shared" si="1"/>
        <v>92</v>
      </c>
      <c r="C259" s="44" t="s">
        <v>1516</v>
      </c>
      <c r="D259" s="59"/>
      <c r="E259" s="46" t="s">
        <v>1039</v>
      </c>
      <c r="F259" s="56" t="s">
        <v>1199</v>
      </c>
      <c r="G259" s="64" t="s">
        <v>1517</v>
      </c>
      <c r="H259" s="33"/>
      <c r="I259" s="49">
        <f t="shared" si="2"/>
        <v>58</v>
      </c>
      <c r="J259" s="50" t="s">
        <v>1518</v>
      </c>
      <c r="K259" s="65"/>
      <c r="L259" s="69" t="s">
        <v>1264</v>
      </c>
      <c r="M259" s="53" t="s">
        <v>801</v>
      </c>
      <c r="N259" s="64" t="s">
        <v>1519</v>
      </c>
      <c r="O259" s="33"/>
    </row>
    <row r="260" ht="75.0" customHeight="1">
      <c r="A260" s="33"/>
      <c r="B260" s="43">
        <f t="shared" si="1"/>
        <v>91</v>
      </c>
      <c r="C260" s="44" t="s">
        <v>1520</v>
      </c>
      <c r="D260" s="59"/>
      <c r="E260" s="46" t="s">
        <v>1521</v>
      </c>
      <c r="F260" s="56" t="s">
        <v>1522</v>
      </c>
      <c r="G260" s="64" t="s">
        <v>1523</v>
      </c>
      <c r="H260" s="33"/>
      <c r="I260" s="49">
        <f t="shared" si="2"/>
        <v>57</v>
      </c>
      <c r="J260" s="50" t="s">
        <v>1524</v>
      </c>
      <c r="K260" s="65"/>
      <c r="L260" s="55" t="s">
        <v>1525</v>
      </c>
      <c r="M260" s="67" t="s">
        <v>1526</v>
      </c>
      <c r="N260" s="64" t="s">
        <v>1527</v>
      </c>
      <c r="O260" s="33"/>
    </row>
    <row r="261" ht="75.0" customHeight="1">
      <c r="A261" s="33"/>
      <c r="B261" s="43">
        <f t="shared" si="1"/>
        <v>90</v>
      </c>
      <c r="C261" s="44" t="s">
        <v>1528</v>
      </c>
      <c r="D261" s="59"/>
      <c r="E261" s="46" t="s">
        <v>1529</v>
      </c>
      <c r="F261" s="56" t="s">
        <v>1530</v>
      </c>
      <c r="G261" s="64" t="s">
        <v>1531</v>
      </c>
      <c r="H261" s="33"/>
      <c r="I261" s="49">
        <f t="shared" si="2"/>
        <v>56</v>
      </c>
      <c r="J261" s="50" t="s">
        <v>1532</v>
      </c>
      <c r="K261" s="65"/>
      <c r="L261" s="55" t="s">
        <v>1533</v>
      </c>
      <c r="M261" s="53" t="s">
        <v>888</v>
      </c>
      <c r="N261" s="64" t="s">
        <v>1534</v>
      </c>
      <c r="O261" s="33"/>
    </row>
    <row r="262" ht="75.0" customHeight="1">
      <c r="A262" s="33"/>
      <c r="B262" s="43">
        <f t="shared" si="1"/>
        <v>89</v>
      </c>
      <c r="C262" s="44" t="s">
        <v>1535</v>
      </c>
      <c r="D262" s="59"/>
      <c r="E262" s="46" t="s">
        <v>458</v>
      </c>
      <c r="F262" s="56" t="s">
        <v>1536</v>
      </c>
      <c r="G262" s="64" t="s">
        <v>1537</v>
      </c>
      <c r="H262" s="33"/>
      <c r="I262" s="49">
        <f t="shared" si="2"/>
        <v>55</v>
      </c>
      <c r="J262" s="50" t="s">
        <v>1538</v>
      </c>
      <c r="K262" s="65"/>
      <c r="L262" s="55" t="s">
        <v>1539</v>
      </c>
      <c r="M262" s="53" t="s">
        <v>888</v>
      </c>
      <c r="N262" s="64" t="s">
        <v>1540</v>
      </c>
      <c r="O262" s="33"/>
    </row>
    <row r="263" ht="75.0" customHeight="1">
      <c r="A263" s="33"/>
      <c r="B263" s="43">
        <f t="shared" si="1"/>
        <v>88</v>
      </c>
      <c r="C263" s="44" t="s">
        <v>1541</v>
      </c>
      <c r="D263" s="59"/>
      <c r="E263" s="46" t="s">
        <v>1324</v>
      </c>
      <c r="F263" s="56" t="s">
        <v>1542</v>
      </c>
      <c r="G263" s="64" t="s">
        <v>1543</v>
      </c>
      <c r="H263" s="33"/>
      <c r="I263" s="49">
        <f t="shared" si="2"/>
        <v>54</v>
      </c>
      <c r="J263" s="50" t="s">
        <v>1544</v>
      </c>
      <c r="K263" s="65"/>
      <c r="L263" s="55" t="s">
        <v>1545</v>
      </c>
      <c r="M263" s="53" t="s">
        <v>1546</v>
      </c>
      <c r="N263" s="64" t="s">
        <v>1547</v>
      </c>
      <c r="O263" s="33"/>
    </row>
    <row r="264" ht="75.0" customHeight="1">
      <c r="A264" s="33"/>
      <c r="B264" s="43">
        <f t="shared" si="1"/>
        <v>87</v>
      </c>
      <c r="C264" s="44" t="s">
        <v>1548</v>
      </c>
      <c r="D264" s="59"/>
      <c r="E264" s="46" t="s">
        <v>324</v>
      </c>
      <c r="F264" s="56" t="s">
        <v>1549</v>
      </c>
      <c r="G264" s="64" t="s">
        <v>1550</v>
      </c>
      <c r="H264" s="33"/>
      <c r="I264" s="49">
        <f t="shared" si="2"/>
        <v>53</v>
      </c>
      <c r="J264" s="50" t="s">
        <v>1551</v>
      </c>
      <c r="K264" s="65"/>
      <c r="L264" s="55" t="s">
        <v>1552</v>
      </c>
      <c r="M264" s="53" t="s">
        <v>1553</v>
      </c>
      <c r="N264" s="64" t="s">
        <v>1554</v>
      </c>
      <c r="O264" s="33"/>
    </row>
    <row r="265" ht="75.0" customHeight="1">
      <c r="A265" s="33"/>
      <c r="B265" s="43">
        <f t="shared" si="1"/>
        <v>86</v>
      </c>
      <c r="C265" s="44" t="s">
        <v>1555</v>
      </c>
      <c r="D265" s="59"/>
      <c r="E265" s="46" t="s">
        <v>1258</v>
      </c>
      <c r="F265" s="56" t="s">
        <v>672</v>
      </c>
      <c r="G265" s="64" t="s">
        <v>1556</v>
      </c>
      <c r="H265" s="33"/>
      <c r="I265" s="49">
        <f t="shared" si="2"/>
        <v>52</v>
      </c>
      <c r="J265" s="50" t="s">
        <v>1557</v>
      </c>
      <c r="K265" s="65"/>
      <c r="L265" s="55" t="s">
        <v>305</v>
      </c>
      <c r="M265" s="53" t="s">
        <v>652</v>
      </c>
      <c r="N265" s="64" t="s">
        <v>1558</v>
      </c>
      <c r="O265" s="33"/>
    </row>
    <row r="266" ht="75.0" customHeight="1">
      <c r="A266" s="33"/>
      <c r="B266" s="43">
        <f t="shared" si="1"/>
        <v>85</v>
      </c>
      <c r="C266" s="44" t="s">
        <v>1559</v>
      </c>
      <c r="D266" s="59"/>
      <c r="E266" s="46" t="s">
        <v>49</v>
      </c>
      <c r="F266" s="56" t="s">
        <v>1278</v>
      </c>
      <c r="G266" s="64" t="s">
        <v>1560</v>
      </c>
      <c r="H266" s="33"/>
      <c r="I266" s="49">
        <f t="shared" si="2"/>
        <v>51</v>
      </c>
      <c r="J266" s="50" t="s">
        <v>1561</v>
      </c>
      <c r="K266" s="65"/>
      <c r="L266" s="55" t="s">
        <v>278</v>
      </c>
      <c r="M266" s="53" t="s">
        <v>76</v>
      </c>
      <c r="N266" s="64" t="s">
        <v>1562</v>
      </c>
      <c r="O266" s="33"/>
    </row>
    <row r="267" ht="75.0" customHeight="1">
      <c r="A267" s="33"/>
      <c r="B267" s="43">
        <f t="shared" si="1"/>
        <v>84</v>
      </c>
      <c r="C267" s="44" t="s">
        <v>1563</v>
      </c>
      <c r="D267" s="59"/>
      <c r="E267" s="46" t="s">
        <v>583</v>
      </c>
      <c r="F267" s="56" t="s">
        <v>84</v>
      </c>
      <c r="G267" s="64" t="s">
        <v>1564</v>
      </c>
      <c r="H267" s="33"/>
      <c r="I267" s="49">
        <f t="shared" si="2"/>
        <v>50</v>
      </c>
      <c r="J267" s="50" t="s">
        <v>1565</v>
      </c>
      <c r="K267" s="65"/>
      <c r="L267" s="55" t="s">
        <v>1566</v>
      </c>
      <c r="M267" s="53" t="s">
        <v>1567</v>
      </c>
      <c r="N267" s="64" t="s">
        <v>1568</v>
      </c>
      <c r="O267" s="33"/>
    </row>
    <row r="268" ht="75.0" customHeight="1">
      <c r="A268" s="33"/>
      <c r="B268" s="43">
        <f t="shared" si="1"/>
        <v>83</v>
      </c>
      <c r="C268" s="44" t="s">
        <v>1569</v>
      </c>
      <c r="D268" s="59"/>
      <c r="E268" s="46" t="s">
        <v>281</v>
      </c>
      <c r="F268" s="56" t="s">
        <v>1570</v>
      </c>
      <c r="G268" s="64" t="s">
        <v>1571</v>
      </c>
      <c r="H268" s="33"/>
      <c r="I268" s="49">
        <f t="shared" si="2"/>
        <v>49</v>
      </c>
      <c r="J268" s="50" t="s">
        <v>1572</v>
      </c>
      <c r="K268" s="65"/>
      <c r="L268" s="55" t="s">
        <v>106</v>
      </c>
      <c r="M268" s="67" t="s">
        <v>1573</v>
      </c>
      <c r="N268" s="64" t="s">
        <v>1574</v>
      </c>
      <c r="O268" s="33"/>
    </row>
    <row r="269" ht="75.0" customHeight="1">
      <c r="A269" s="33"/>
      <c r="B269" s="43">
        <f t="shared" si="1"/>
        <v>82</v>
      </c>
      <c r="C269" s="44" t="s">
        <v>1575</v>
      </c>
      <c r="D269" s="59"/>
      <c r="E269" s="46" t="s">
        <v>49</v>
      </c>
      <c r="F269" s="56" t="s">
        <v>1070</v>
      </c>
      <c r="G269" s="64" t="s">
        <v>1576</v>
      </c>
      <c r="H269" s="33"/>
      <c r="I269" s="49">
        <f t="shared" si="2"/>
        <v>48</v>
      </c>
      <c r="J269" s="50" t="s">
        <v>1577</v>
      </c>
      <c r="K269" s="65"/>
      <c r="L269" s="55" t="s">
        <v>1578</v>
      </c>
      <c r="M269" s="53" t="s">
        <v>1579</v>
      </c>
      <c r="N269" s="64" t="s">
        <v>1580</v>
      </c>
      <c r="O269" s="33"/>
    </row>
    <row r="270" ht="75.0" customHeight="1">
      <c r="A270" s="33"/>
      <c r="B270" s="43">
        <f t="shared" si="1"/>
        <v>81</v>
      </c>
      <c r="C270" s="44" t="s">
        <v>1581</v>
      </c>
      <c r="D270" s="59"/>
      <c r="E270" s="46" t="s">
        <v>27</v>
      </c>
      <c r="F270" s="56" t="s">
        <v>1582</v>
      </c>
      <c r="G270" s="64" t="s">
        <v>1583</v>
      </c>
      <c r="H270" s="33"/>
      <c r="I270" s="49">
        <f t="shared" si="2"/>
        <v>47</v>
      </c>
      <c r="J270" s="50" t="s">
        <v>1584</v>
      </c>
      <c r="K270" s="65"/>
      <c r="L270" s="55" t="s">
        <v>555</v>
      </c>
      <c r="M270" s="67" t="s">
        <v>825</v>
      </c>
      <c r="N270" s="64" t="s">
        <v>1585</v>
      </c>
      <c r="O270" s="33"/>
    </row>
    <row r="271" ht="75.0" customHeight="1">
      <c r="A271" s="33"/>
      <c r="B271" s="43">
        <f t="shared" si="1"/>
        <v>80</v>
      </c>
      <c r="C271" s="44" t="s">
        <v>1586</v>
      </c>
      <c r="D271" s="59"/>
      <c r="E271" s="46" t="s">
        <v>1258</v>
      </c>
      <c r="F271" s="56" t="s">
        <v>1210</v>
      </c>
      <c r="G271" s="64" t="s">
        <v>1587</v>
      </c>
      <c r="H271" s="33"/>
      <c r="I271" s="49">
        <f t="shared" si="2"/>
        <v>46</v>
      </c>
      <c r="J271" s="50" t="s">
        <v>1588</v>
      </c>
      <c r="K271" s="65"/>
      <c r="L271" s="55" t="s">
        <v>1288</v>
      </c>
      <c r="M271" s="53" t="s">
        <v>1589</v>
      </c>
      <c r="N271" s="64" t="s">
        <v>1590</v>
      </c>
      <c r="O271" s="33"/>
    </row>
    <row r="272" ht="75.0" customHeight="1">
      <c r="A272" s="33"/>
      <c r="B272" s="43">
        <f t="shared" si="1"/>
        <v>79</v>
      </c>
      <c r="C272" s="44" t="s">
        <v>1591</v>
      </c>
      <c r="D272" s="59"/>
      <c r="E272" s="46" t="s">
        <v>1592</v>
      </c>
      <c r="F272" s="56" t="s">
        <v>1593</v>
      </c>
      <c r="G272" s="64" t="s">
        <v>1594</v>
      </c>
      <c r="H272" s="33"/>
      <c r="I272" s="49">
        <f t="shared" si="2"/>
        <v>45</v>
      </c>
      <c r="J272" s="50" t="s">
        <v>1595</v>
      </c>
      <c r="K272" s="65"/>
      <c r="L272" s="55" t="s">
        <v>230</v>
      </c>
      <c r="M272" s="53" t="s">
        <v>1596</v>
      </c>
      <c r="N272" s="64" t="s">
        <v>1597</v>
      </c>
      <c r="O272" s="33"/>
    </row>
    <row r="273" ht="75.0" customHeight="1">
      <c r="A273" s="33"/>
      <c r="B273" s="43">
        <f t="shared" si="1"/>
        <v>78</v>
      </c>
      <c r="C273" s="44" t="s">
        <v>1598</v>
      </c>
      <c r="D273" s="59"/>
      <c r="E273" s="46" t="s">
        <v>1599</v>
      </c>
      <c r="F273" s="56" t="s">
        <v>1600</v>
      </c>
      <c r="G273" s="64" t="s">
        <v>1601</v>
      </c>
      <c r="H273" s="33"/>
      <c r="I273" s="49">
        <f t="shared" si="2"/>
        <v>44</v>
      </c>
      <c r="J273" s="50" t="s">
        <v>1602</v>
      </c>
      <c r="K273" s="65"/>
      <c r="L273" s="55" t="s">
        <v>1603</v>
      </c>
      <c r="M273" s="67" t="s">
        <v>1542</v>
      </c>
      <c r="N273" s="64" t="s">
        <v>1604</v>
      </c>
      <c r="O273" s="33"/>
    </row>
    <row r="274" ht="75.0" customHeight="1">
      <c r="A274" s="33"/>
      <c r="B274" s="43">
        <f t="shared" si="1"/>
        <v>77</v>
      </c>
      <c r="C274" s="44" t="s">
        <v>1605</v>
      </c>
      <c r="D274" s="59"/>
      <c r="E274" s="46" t="s">
        <v>748</v>
      </c>
      <c r="F274" s="56" t="s">
        <v>1606</v>
      </c>
      <c r="G274" s="64" t="s">
        <v>1607</v>
      </c>
      <c r="H274" s="33"/>
      <c r="I274" s="49">
        <f t="shared" si="2"/>
        <v>43</v>
      </c>
      <c r="J274" s="50" t="s">
        <v>1608</v>
      </c>
      <c r="K274" s="65"/>
      <c r="L274" s="55" t="s">
        <v>113</v>
      </c>
      <c r="M274" s="67" t="s">
        <v>1542</v>
      </c>
      <c r="N274" s="64" t="s">
        <v>1609</v>
      </c>
      <c r="O274" s="33"/>
    </row>
    <row r="275" ht="75.0" customHeight="1">
      <c r="A275" s="33"/>
      <c r="B275" s="43">
        <f t="shared" si="1"/>
        <v>76</v>
      </c>
      <c r="C275" s="44" t="s">
        <v>1610</v>
      </c>
      <c r="D275" s="59"/>
      <c r="E275" s="46" t="s">
        <v>1471</v>
      </c>
      <c r="F275" s="56" t="s">
        <v>1192</v>
      </c>
      <c r="G275" s="64" t="s">
        <v>1611</v>
      </c>
      <c r="H275" s="33"/>
      <c r="I275" s="49">
        <f t="shared" si="2"/>
        <v>42</v>
      </c>
      <c r="J275" s="50" t="s">
        <v>1612</v>
      </c>
      <c r="K275" s="65"/>
      <c r="L275" s="55" t="s">
        <v>1461</v>
      </c>
      <c r="M275" s="53" t="s">
        <v>831</v>
      </c>
      <c r="N275" s="64" t="s">
        <v>1613</v>
      </c>
      <c r="O275" s="33"/>
    </row>
    <row r="276" ht="75.0" customHeight="1">
      <c r="A276" s="33"/>
      <c r="B276" s="43">
        <f t="shared" si="1"/>
        <v>75</v>
      </c>
      <c r="C276" s="44" t="s">
        <v>1614</v>
      </c>
      <c r="D276" s="59"/>
      <c r="E276" s="46" t="s">
        <v>1615</v>
      </c>
      <c r="F276" s="56" t="s">
        <v>1616</v>
      </c>
      <c r="G276" s="64" t="s">
        <v>1617</v>
      </c>
      <c r="H276" s="33"/>
      <c r="I276" s="49">
        <f t="shared" si="2"/>
        <v>41</v>
      </c>
      <c r="J276" s="50" t="s">
        <v>1618</v>
      </c>
      <c r="K276" s="65"/>
      <c r="L276" s="55" t="s">
        <v>204</v>
      </c>
      <c r="M276" s="53" t="s">
        <v>831</v>
      </c>
      <c r="N276" s="64" t="s">
        <v>1619</v>
      </c>
      <c r="O276" s="33"/>
    </row>
    <row r="277" ht="75.0" customHeight="1">
      <c r="A277" s="33"/>
      <c r="B277" s="43">
        <f t="shared" si="1"/>
        <v>74</v>
      </c>
      <c r="C277" s="44" t="s">
        <v>1620</v>
      </c>
      <c r="D277" s="59"/>
      <c r="E277" s="46" t="s">
        <v>1521</v>
      </c>
      <c r="F277" s="56" t="s">
        <v>1621</v>
      </c>
      <c r="G277" s="64" t="s">
        <v>1622</v>
      </c>
      <c r="H277" s="33"/>
      <c r="I277" s="49">
        <f t="shared" si="2"/>
        <v>40</v>
      </c>
      <c r="J277" s="50" t="s">
        <v>1623</v>
      </c>
      <c r="K277" s="65"/>
      <c r="L277" s="55" t="s">
        <v>1624</v>
      </c>
      <c r="M277" s="67" t="s">
        <v>452</v>
      </c>
      <c r="N277" s="64" t="s">
        <v>1625</v>
      </c>
      <c r="O277" s="33"/>
    </row>
    <row r="278" ht="75.0" customHeight="1">
      <c r="A278" s="33"/>
      <c r="B278" s="43">
        <f t="shared" si="1"/>
        <v>73</v>
      </c>
      <c r="C278" s="44" t="s">
        <v>1626</v>
      </c>
      <c r="D278" s="59"/>
      <c r="E278" s="46" t="s">
        <v>458</v>
      </c>
      <c r="F278" s="56" t="s">
        <v>1627</v>
      </c>
      <c r="G278" s="64" t="s">
        <v>1628</v>
      </c>
      <c r="H278" s="33"/>
      <c r="I278" s="49">
        <f t="shared" si="2"/>
        <v>39</v>
      </c>
      <c r="J278" s="50" t="s">
        <v>1629</v>
      </c>
      <c r="K278" s="65"/>
      <c r="L278" s="55" t="s">
        <v>1630</v>
      </c>
      <c r="M278" s="67" t="s">
        <v>452</v>
      </c>
      <c r="N278" s="64" t="s">
        <v>1631</v>
      </c>
      <c r="O278" s="33"/>
    </row>
    <row r="279" ht="75.0" customHeight="1">
      <c r="A279" s="33"/>
      <c r="B279" s="43">
        <f t="shared" si="1"/>
        <v>72</v>
      </c>
      <c r="C279" s="44" t="s">
        <v>1632</v>
      </c>
      <c r="D279" s="59"/>
      <c r="E279" s="71" t="s">
        <v>106</v>
      </c>
      <c r="F279" s="56" t="s">
        <v>1633</v>
      </c>
      <c r="G279" s="64" t="s">
        <v>1634</v>
      </c>
      <c r="H279" s="33"/>
      <c r="I279" s="49">
        <f t="shared" si="2"/>
        <v>38</v>
      </c>
      <c r="J279" s="50" t="s">
        <v>1635</v>
      </c>
      <c r="K279" s="65"/>
      <c r="L279" s="55" t="s">
        <v>626</v>
      </c>
      <c r="M279" s="53" t="s">
        <v>1636</v>
      </c>
      <c r="N279" s="64" t="s">
        <v>1637</v>
      </c>
      <c r="O279" s="33"/>
    </row>
    <row r="280" ht="75.0" customHeight="1">
      <c r="A280" s="33"/>
      <c r="B280" s="43">
        <f t="shared" si="1"/>
        <v>71</v>
      </c>
      <c r="C280" s="44" t="s">
        <v>1638</v>
      </c>
      <c r="D280" s="59"/>
      <c r="E280" s="71" t="s">
        <v>1039</v>
      </c>
      <c r="F280" s="56" t="s">
        <v>1639</v>
      </c>
      <c r="G280" s="64" t="s">
        <v>1640</v>
      </c>
      <c r="H280" s="33"/>
      <c r="I280" s="49">
        <f t="shared" si="2"/>
        <v>37</v>
      </c>
      <c r="J280" s="50" t="s">
        <v>1641</v>
      </c>
      <c r="K280" s="65"/>
      <c r="L280" s="55" t="s">
        <v>53</v>
      </c>
      <c r="M280" s="67" t="s">
        <v>1642</v>
      </c>
      <c r="N280" s="64" t="s">
        <v>1643</v>
      </c>
      <c r="O280" s="33"/>
    </row>
    <row r="281" ht="75.0" customHeight="1">
      <c r="A281" s="33"/>
      <c r="B281" s="43">
        <f t="shared" si="1"/>
        <v>70</v>
      </c>
      <c r="C281" s="44" t="s">
        <v>1644</v>
      </c>
      <c r="D281" s="59"/>
      <c r="E281" s="72" t="s">
        <v>293</v>
      </c>
      <c r="F281" s="56" t="s">
        <v>1645</v>
      </c>
      <c r="G281" s="64" t="s">
        <v>1646</v>
      </c>
      <c r="H281" s="33"/>
      <c r="I281" s="49">
        <f t="shared" si="2"/>
        <v>36</v>
      </c>
      <c r="J281" s="50" t="s">
        <v>1647</v>
      </c>
      <c r="K281" s="65"/>
      <c r="L281" s="55" t="s">
        <v>1648</v>
      </c>
      <c r="M281" s="67" t="s">
        <v>1649</v>
      </c>
      <c r="N281" s="64" t="s">
        <v>1650</v>
      </c>
      <c r="O281" s="33"/>
    </row>
    <row r="282" ht="75.0" customHeight="1">
      <c r="A282" s="33"/>
      <c r="B282" s="43">
        <f t="shared" si="1"/>
        <v>69</v>
      </c>
      <c r="C282" s="44" t="s">
        <v>1651</v>
      </c>
      <c r="D282" s="59"/>
      <c r="E282" s="72" t="s">
        <v>1652</v>
      </c>
      <c r="F282" s="56" t="s">
        <v>1653</v>
      </c>
      <c r="G282" s="64" t="s">
        <v>1654</v>
      </c>
      <c r="H282" s="33"/>
      <c r="I282" s="49">
        <f t="shared" si="2"/>
        <v>35</v>
      </c>
      <c r="J282" s="50" t="s">
        <v>1655</v>
      </c>
      <c r="K282" s="65"/>
      <c r="L282" s="55" t="s">
        <v>233</v>
      </c>
      <c r="M282" s="67" t="s">
        <v>1656</v>
      </c>
      <c r="N282" s="64" t="s">
        <v>1657</v>
      </c>
      <c r="O282" s="33"/>
    </row>
    <row r="283" ht="75.0" customHeight="1">
      <c r="A283" s="33"/>
      <c r="B283" s="43">
        <f t="shared" si="1"/>
        <v>68</v>
      </c>
      <c r="C283" s="44" t="s">
        <v>1658</v>
      </c>
      <c r="D283" s="59"/>
      <c r="E283" s="46" t="s">
        <v>1659</v>
      </c>
      <c r="F283" s="56" t="s">
        <v>1660</v>
      </c>
      <c r="G283" s="64" t="s">
        <v>1661</v>
      </c>
      <c r="H283" s="33"/>
      <c r="I283" s="49">
        <f t="shared" si="2"/>
        <v>34</v>
      </c>
      <c r="J283" s="50" t="s">
        <v>1662</v>
      </c>
      <c r="K283" s="65"/>
      <c r="L283" s="55" t="s">
        <v>1663</v>
      </c>
      <c r="M283" s="67" t="s">
        <v>1664</v>
      </c>
      <c r="N283" s="64" t="s">
        <v>1665</v>
      </c>
      <c r="O283" s="33"/>
    </row>
    <row r="284" ht="75.0" customHeight="1">
      <c r="A284" s="33"/>
      <c r="B284" s="43">
        <f t="shared" si="1"/>
        <v>67</v>
      </c>
      <c r="C284" s="44" t="s">
        <v>1666</v>
      </c>
      <c r="D284" s="59"/>
      <c r="E284" s="46" t="s">
        <v>156</v>
      </c>
      <c r="F284" s="56" t="s">
        <v>1667</v>
      </c>
      <c r="G284" s="64" t="s">
        <v>1668</v>
      </c>
      <c r="H284" s="33"/>
      <c r="I284" s="49">
        <f t="shared" si="2"/>
        <v>33</v>
      </c>
      <c r="J284" s="50" t="s">
        <v>1669</v>
      </c>
      <c r="K284" s="65"/>
      <c r="L284" s="55" t="s">
        <v>1670</v>
      </c>
      <c r="M284" s="67" t="s">
        <v>1671</v>
      </c>
      <c r="N284" s="64" t="s">
        <v>1672</v>
      </c>
      <c r="O284" s="33"/>
    </row>
    <row r="285" ht="75.0" customHeight="1">
      <c r="A285" s="33"/>
      <c r="B285" s="43">
        <f t="shared" si="1"/>
        <v>66</v>
      </c>
      <c r="C285" s="44" t="s">
        <v>1673</v>
      </c>
      <c r="D285" s="59"/>
      <c r="E285" s="46" t="s">
        <v>27</v>
      </c>
      <c r="F285" s="56" t="s">
        <v>1674</v>
      </c>
      <c r="G285" s="64" t="s">
        <v>1675</v>
      </c>
      <c r="H285" s="33"/>
      <c r="I285" s="49">
        <f t="shared" si="2"/>
        <v>32</v>
      </c>
      <c r="J285" s="50" t="s">
        <v>1676</v>
      </c>
      <c r="K285" s="65"/>
      <c r="L285" s="55" t="s">
        <v>1677</v>
      </c>
      <c r="M285" s="53" t="s">
        <v>1400</v>
      </c>
      <c r="N285" s="64" t="s">
        <v>1678</v>
      </c>
      <c r="O285" s="33"/>
    </row>
    <row r="286" ht="75.0" customHeight="1">
      <c r="A286" s="33"/>
      <c r="B286" s="43">
        <f t="shared" si="1"/>
        <v>65</v>
      </c>
      <c r="C286" s="44" t="s">
        <v>1679</v>
      </c>
      <c r="D286" s="59"/>
      <c r="E286" s="72" t="s">
        <v>1680</v>
      </c>
      <c r="F286" s="56" t="s">
        <v>1681</v>
      </c>
      <c r="G286" s="64" t="s">
        <v>1682</v>
      </c>
      <c r="H286" s="33"/>
      <c r="I286" s="49">
        <f t="shared" si="2"/>
        <v>31</v>
      </c>
      <c r="J286" s="50" t="s">
        <v>1683</v>
      </c>
      <c r="K286" s="65"/>
      <c r="L286" s="55" t="s">
        <v>1684</v>
      </c>
      <c r="M286" s="53" t="s">
        <v>1685</v>
      </c>
      <c r="N286" s="64" t="s">
        <v>1686</v>
      </c>
      <c r="O286" s="33"/>
    </row>
    <row r="287" ht="75.0" customHeight="1">
      <c r="A287" s="33"/>
      <c r="B287" s="43">
        <f t="shared" si="1"/>
        <v>64</v>
      </c>
      <c r="C287" s="44" t="s">
        <v>1687</v>
      </c>
      <c r="D287" s="59"/>
      <c r="E287" s="46" t="s">
        <v>106</v>
      </c>
      <c r="F287" s="56" t="s">
        <v>1688</v>
      </c>
      <c r="G287" s="64" t="s">
        <v>1689</v>
      </c>
      <c r="H287" s="33"/>
      <c r="I287" s="73">
        <f t="shared" si="2"/>
        <v>30</v>
      </c>
      <c r="J287" s="50" t="s">
        <v>1690</v>
      </c>
      <c r="K287" s="65"/>
      <c r="L287" s="55" t="s">
        <v>1336</v>
      </c>
      <c r="M287" s="53" t="s">
        <v>1691</v>
      </c>
      <c r="N287" s="64" t="s">
        <v>1692</v>
      </c>
      <c r="O287" s="33"/>
    </row>
    <row r="288" ht="75.0" customHeight="1">
      <c r="A288" s="33"/>
      <c r="B288" s="43">
        <f t="shared" si="1"/>
        <v>63</v>
      </c>
      <c r="C288" s="44" t="s">
        <v>1693</v>
      </c>
      <c r="D288" s="59"/>
      <c r="E288" s="72" t="s">
        <v>841</v>
      </c>
      <c r="F288" s="56" t="s">
        <v>1694</v>
      </c>
      <c r="G288" s="64" t="s">
        <v>1695</v>
      </c>
      <c r="H288" s="33"/>
      <c r="I288" s="73">
        <f t="shared" si="2"/>
        <v>29</v>
      </c>
      <c r="J288" s="50" t="s">
        <v>1696</v>
      </c>
      <c r="K288" s="65"/>
      <c r="L288" s="55" t="s">
        <v>551</v>
      </c>
      <c r="M288" s="67" t="s">
        <v>1697</v>
      </c>
      <c r="N288" s="64" t="s">
        <v>1698</v>
      </c>
      <c r="O288" s="33"/>
    </row>
    <row r="289" ht="75.0" customHeight="1">
      <c r="A289" s="33"/>
      <c r="B289" s="43">
        <f t="shared" si="1"/>
        <v>62</v>
      </c>
      <c r="C289" s="44" t="s">
        <v>1699</v>
      </c>
      <c r="D289" s="59"/>
      <c r="E289" s="46" t="s">
        <v>475</v>
      </c>
      <c r="F289" s="56" t="s">
        <v>1700</v>
      </c>
      <c r="G289" s="64" t="s">
        <v>1701</v>
      </c>
      <c r="H289" s="33"/>
      <c r="I289" s="73">
        <f t="shared" si="2"/>
        <v>28</v>
      </c>
      <c r="J289" s="50" t="s">
        <v>1702</v>
      </c>
      <c r="K289" s="65"/>
      <c r="L289" s="55" t="s">
        <v>954</v>
      </c>
      <c r="M289" s="67" t="s">
        <v>1697</v>
      </c>
      <c r="N289" s="64" t="s">
        <v>1703</v>
      </c>
      <c r="O289" s="33"/>
    </row>
    <row r="290" ht="75.0" customHeight="1">
      <c r="A290" s="33"/>
      <c r="B290" s="43">
        <f t="shared" si="1"/>
        <v>61</v>
      </c>
      <c r="C290" s="44" t="s">
        <v>1704</v>
      </c>
      <c r="D290" s="59"/>
      <c r="E290" s="46" t="s">
        <v>620</v>
      </c>
      <c r="F290" s="56" t="s">
        <v>1705</v>
      </c>
      <c r="G290" s="64" t="s">
        <v>1706</v>
      </c>
      <c r="H290" s="33"/>
      <c r="I290" s="73">
        <f t="shared" si="2"/>
        <v>27</v>
      </c>
      <c r="J290" s="50" t="s">
        <v>1707</v>
      </c>
      <c r="K290" s="65"/>
      <c r="L290" s="55" t="s">
        <v>1708</v>
      </c>
      <c r="M290" s="53" t="s">
        <v>1709</v>
      </c>
      <c r="N290" s="64" t="s">
        <v>1710</v>
      </c>
      <c r="O290" s="33"/>
    </row>
    <row r="291" ht="75.0" customHeight="1">
      <c r="A291" s="33"/>
      <c r="B291" s="43">
        <f t="shared" si="1"/>
        <v>60</v>
      </c>
      <c r="C291" s="44" t="s">
        <v>1711</v>
      </c>
      <c r="D291" s="59"/>
      <c r="E291" s="72" t="s">
        <v>190</v>
      </c>
      <c r="F291" s="56" t="s">
        <v>1712</v>
      </c>
      <c r="G291" s="64" t="s">
        <v>1713</v>
      </c>
      <c r="H291" s="33"/>
      <c r="I291" s="73">
        <f t="shared" si="2"/>
        <v>26</v>
      </c>
      <c r="J291" s="50" t="s">
        <v>1714</v>
      </c>
      <c r="K291" s="65"/>
      <c r="L291" s="55" t="s">
        <v>1715</v>
      </c>
      <c r="M291" s="53" t="s">
        <v>1024</v>
      </c>
      <c r="N291" s="64" t="s">
        <v>1716</v>
      </c>
      <c r="O291" s="33"/>
    </row>
    <row r="292" ht="75.0" customHeight="1">
      <c r="A292" s="33"/>
      <c r="B292" s="43">
        <f t="shared" si="1"/>
        <v>59</v>
      </c>
      <c r="C292" s="44" t="s">
        <v>1717</v>
      </c>
      <c r="D292" s="59"/>
      <c r="E292" s="46" t="s">
        <v>79</v>
      </c>
      <c r="F292" s="56" t="s">
        <v>1718</v>
      </c>
      <c r="G292" s="64" t="s">
        <v>1719</v>
      </c>
      <c r="H292" s="33"/>
      <c r="I292" s="73">
        <f t="shared" si="2"/>
        <v>25</v>
      </c>
      <c r="J292" s="50" t="s">
        <v>1720</v>
      </c>
      <c r="K292" s="65"/>
      <c r="L292" s="55" t="s">
        <v>768</v>
      </c>
      <c r="M292" s="67" t="s">
        <v>1721</v>
      </c>
      <c r="N292" s="64" t="s">
        <v>1722</v>
      </c>
      <c r="O292" s="33"/>
    </row>
    <row r="293" ht="75.0" customHeight="1">
      <c r="A293" s="33"/>
      <c r="B293" s="43">
        <f t="shared" si="1"/>
        <v>58</v>
      </c>
      <c r="C293" s="44" t="s">
        <v>1723</v>
      </c>
      <c r="D293" s="59"/>
      <c r="E293" s="46" t="s">
        <v>87</v>
      </c>
      <c r="F293" s="56" t="s">
        <v>1724</v>
      </c>
      <c r="G293" s="64" t="s">
        <v>1725</v>
      </c>
      <c r="H293" s="33"/>
      <c r="I293" s="73">
        <f t="shared" si="2"/>
        <v>24</v>
      </c>
      <c r="J293" s="50" t="s">
        <v>1726</v>
      </c>
      <c r="K293" s="65"/>
      <c r="L293" s="55" t="s">
        <v>243</v>
      </c>
      <c r="M293" s="67" t="s">
        <v>1727</v>
      </c>
      <c r="N293" s="64" t="s">
        <v>1728</v>
      </c>
      <c r="O293" s="33"/>
    </row>
    <row r="294" ht="75.0" customHeight="1">
      <c r="A294" s="33"/>
      <c r="B294" s="43">
        <f t="shared" si="1"/>
        <v>57</v>
      </c>
      <c r="C294" s="44" t="s">
        <v>1729</v>
      </c>
      <c r="D294" s="59"/>
      <c r="E294" s="72" t="s">
        <v>156</v>
      </c>
      <c r="F294" s="56" t="s">
        <v>1730</v>
      </c>
      <c r="G294" s="64" t="s">
        <v>1731</v>
      </c>
      <c r="H294" s="33"/>
      <c r="I294" s="73">
        <f t="shared" si="2"/>
        <v>23</v>
      </c>
      <c r="J294" s="50" t="s">
        <v>1732</v>
      </c>
      <c r="K294" s="65"/>
      <c r="L294" s="55" t="s">
        <v>1383</v>
      </c>
      <c r="M294" s="53" t="s">
        <v>39</v>
      </c>
      <c r="N294" s="64" t="s">
        <v>1733</v>
      </c>
      <c r="O294" s="33"/>
    </row>
    <row r="295" ht="75.0" customHeight="1">
      <c r="A295" s="33"/>
      <c r="B295" s="43">
        <f t="shared" si="1"/>
        <v>56</v>
      </c>
      <c r="C295" s="44" t="s">
        <v>1734</v>
      </c>
      <c r="D295" s="59"/>
      <c r="E295" s="46" t="s">
        <v>1324</v>
      </c>
      <c r="F295" s="56" t="s">
        <v>1735</v>
      </c>
      <c r="G295" s="64" t="s">
        <v>1736</v>
      </c>
      <c r="H295" s="33"/>
      <c r="I295" s="73">
        <f t="shared" si="2"/>
        <v>22</v>
      </c>
      <c r="J295" s="50" t="s">
        <v>1737</v>
      </c>
      <c r="K295" s="65"/>
      <c r="L295" s="55" t="s">
        <v>1738</v>
      </c>
      <c r="M295" s="53" t="s">
        <v>39</v>
      </c>
      <c r="N295" s="64" t="s">
        <v>1739</v>
      </c>
      <c r="O295" s="33"/>
    </row>
    <row r="296" ht="75.0" customHeight="1">
      <c r="A296" s="33"/>
      <c r="B296" s="43">
        <f t="shared" si="1"/>
        <v>55</v>
      </c>
      <c r="C296" s="44" t="s">
        <v>1740</v>
      </c>
      <c r="D296" s="59"/>
      <c r="E296" s="74" t="s">
        <v>1741</v>
      </c>
      <c r="F296" s="56" t="s">
        <v>1742</v>
      </c>
      <c r="G296" s="64" t="s">
        <v>1743</v>
      </c>
      <c r="H296" s="33"/>
      <c r="I296" s="73">
        <f t="shared" si="2"/>
        <v>21</v>
      </c>
      <c r="J296" s="50" t="s">
        <v>1744</v>
      </c>
      <c r="K296" s="65"/>
      <c r="L296" s="55" t="s">
        <v>909</v>
      </c>
      <c r="M296" s="53" t="s">
        <v>1745</v>
      </c>
      <c r="N296" s="64" t="s">
        <v>1746</v>
      </c>
      <c r="O296" s="33"/>
    </row>
    <row r="297" ht="75.0" customHeight="1">
      <c r="A297" s="33"/>
      <c r="B297" s="43">
        <f t="shared" si="1"/>
        <v>54</v>
      </c>
      <c r="C297" s="44" t="s">
        <v>1747</v>
      </c>
      <c r="D297" s="59"/>
      <c r="E297" s="46" t="s">
        <v>233</v>
      </c>
      <c r="F297" s="56" t="s">
        <v>1748</v>
      </c>
      <c r="G297" s="64" t="s">
        <v>1749</v>
      </c>
      <c r="H297" s="33"/>
      <c r="I297" s="73">
        <f t="shared" si="2"/>
        <v>20</v>
      </c>
      <c r="J297" s="50" t="s">
        <v>1750</v>
      </c>
      <c r="K297" s="65"/>
      <c r="L297" s="55" t="s">
        <v>278</v>
      </c>
      <c r="M297" s="53" t="s">
        <v>1745</v>
      </c>
      <c r="N297" s="64" t="s">
        <v>1751</v>
      </c>
      <c r="O297" s="33"/>
    </row>
    <row r="298" ht="75.0" customHeight="1">
      <c r="A298" s="33"/>
      <c r="B298" s="43">
        <f t="shared" si="1"/>
        <v>53</v>
      </c>
      <c r="C298" s="44" t="s">
        <v>1752</v>
      </c>
      <c r="D298" s="59"/>
      <c r="E298" s="72" t="s">
        <v>1491</v>
      </c>
      <c r="F298" s="56" t="s">
        <v>1249</v>
      </c>
      <c r="G298" s="64" t="s">
        <v>1753</v>
      </c>
      <c r="H298" s="33"/>
      <c r="I298" s="73">
        <f t="shared" si="2"/>
        <v>19</v>
      </c>
      <c r="J298" s="50" t="s">
        <v>1754</v>
      </c>
      <c r="K298" s="65"/>
      <c r="L298" s="55" t="s">
        <v>1359</v>
      </c>
      <c r="M298" s="67" t="s">
        <v>1721</v>
      </c>
      <c r="N298" s="64" t="s">
        <v>1755</v>
      </c>
      <c r="O298" s="33"/>
    </row>
    <row r="299" ht="75.0" customHeight="1">
      <c r="A299" s="33"/>
      <c r="B299" s="43">
        <f t="shared" si="1"/>
        <v>52</v>
      </c>
      <c r="C299" s="44" t="s">
        <v>1756</v>
      </c>
      <c r="D299" s="59"/>
      <c r="E299" s="46" t="s">
        <v>1091</v>
      </c>
      <c r="F299" s="56" t="s">
        <v>1757</v>
      </c>
      <c r="G299" s="64" t="s">
        <v>1758</v>
      </c>
      <c r="H299" s="33"/>
      <c r="I299" s="73">
        <f t="shared" si="2"/>
        <v>18</v>
      </c>
      <c r="J299" s="50" t="s">
        <v>1759</v>
      </c>
      <c r="K299" s="65"/>
      <c r="L299" s="55" t="s">
        <v>212</v>
      </c>
      <c r="M299" s="67" t="s">
        <v>1760</v>
      </c>
      <c r="N299" s="64" t="s">
        <v>1761</v>
      </c>
      <c r="O299" s="33"/>
    </row>
    <row r="300" ht="75.0" customHeight="1">
      <c r="A300" s="33"/>
      <c r="B300" s="43">
        <f t="shared" si="1"/>
        <v>51</v>
      </c>
      <c r="C300" s="44" t="s">
        <v>1762</v>
      </c>
      <c r="D300" s="59"/>
      <c r="E300" s="72" t="s">
        <v>190</v>
      </c>
      <c r="F300" s="56" t="s">
        <v>1763</v>
      </c>
      <c r="G300" s="64" t="s">
        <v>1764</v>
      </c>
      <c r="H300" s="33"/>
      <c r="I300" s="73">
        <f t="shared" si="2"/>
        <v>17</v>
      </c>
      <c r="J300" s="50" t="s">
        <v>1765</v>
      </c>
      <c r="K300" s="65"/>
      <c r="L300" s="55" t="s">
        <v>1766</v>
      </c>
      <c r="M300" s="53" t="s">
        <v>521</v>
      </c>
      <c r="N300" s="64" t="s">
        <v>1767</v>
      </c>
      <c r="O300" s="33"/>
    </row>
    <row r="301" ht="75.0" customHeight="1">
      <c r="A301" s="33"/>
      <c r="B301" s="43">
        <f t="shared" si="1"/>
        <v>50</v>
      </c>
      <c r="C301" s="44" t="s">
        <v>1768</v>
      </c>
      <c r="D301" s="59"/>
      <c r="E301" s="46" t="s">
        <v>1769</v>
      </c>
      <c r="F301" s="56" t="s">
        <v>1660</v>
      </c>
      <c r="G301" s="64" t="s">
        <v>1770</v>
      </c>
      <c r="H301" s="33"/>
      <c r="I301" s="73">
        <f t="shared" si="2"/>
        <v>16</v>
      </c>
      <c r="J301" s="50" t="s">
        <v>1771</v>
      </c>
      <c r="K301" s="65"/>
      <c r="L301" s="55" t="s">
        <v>1202</v>
      </c>
      <c r="M301" s="53" t="s">
        <v>521</v>
      </c>
      <c r="N301" s="64" t="s">
        <v>1772</v>
      </c>
      <c r="O301" s="33"/>
    </row>
    <row r="302" ht="75.0" customHeight="1">
      <c r="A302" s="33"/>
      <c r="B302" s="43">
        <f t="shared" si="1"/>
        <v>49</v>
      </c>
      <c r="C302" s="44" t="s">
        <v>1773</v>
      </c>
      <c r="D302" s="59"/>
      <c r="E302" s="46" t="s">
        <v>1471</v>
      </c>
      <c r="F302" s="56" t="s">
        <v>1660</v>
      </c>
      <c r="G302" s="64" t="s">
        <v>1774</v>
      </c>
      <c r="H302" s="33"/>
      <c r="I302" s="73">
        <f t="shared" si="2"/>
        <v>15</v>
      </c>
      <c r="J302" s="50" t="s">
        <v>1775</v>
      </c>
      <c r="K302" s="65"/>
      <c r="L302" s="55" t="s">
        <v>281</v>
      </c>
      <c r="M302" s="53" t="s">
        <v>1776</v>
      </c>
      <c r="N302" s="64" t="s">
        <v>1777</v>
      </c>
      <c r="O302" s="33"/>
    </row>
    <row r="303" ht="75.0" customHeight="1">
      <c r="A303" s="33"/>
      <c r="B303" s="43">
        <f t="shared" si="1"/>
        <v>48</v>
      </c>
      <c r="C303" s="44" t="s">
        <v>1778</v>
      </c>
      <c r="D303" s="59"/>
      <c r="E303" s="46" t="s">
        <v>1779</v>
      </c>
      <c r="F303" s="56" t="s">
        <v>1780</v>
      </c>
      <c r="G303" s="64" t="s">
        <v>1781</v>
      </c>
      <c r="H303" s="33"/>
      <c r="I303" s="73">
        <f t="shared" si="2"/>
        <v>14</v>
      </c>
      <c r="J303" s="50" t="s">
        <v>1782</v>
      </c>
      <c r="K303" s="65"/>
      <c r="L303" s="55" t="s">
        <v>310</v>
      </c>
      <c r="M303" s="53" t="s">
        <v>1783</v>
      </c>
      <c r="N303" s="64" t="s">
        <v>1784</v>
      </c>
      <c r="O303" s="33"/>
    </row>
    <row r="304" ht="75.0" customHeight="1">
      <c r="A304" s="33"/>
      <c r="B304" s="43">
        <f t="shared" si="1"/>
        <v>47</v>
      </c>
      <c r="C304" s="44" t="s">
        <v>1785</v>
      </c>
      <c r="D304" s="59"/>
      <c r="E304" s="46" t="s">
        <v>1677</v>
      </c>
      <c r="F304" s="56" t="s">
        <v>1786</v>
      </c>
      <c r="G304" s="64" t="s">
        <v>1787</v>
      </c>
      <c r="H304" s="33"/>
      <c r="I304" s="73">
        <f t="shared" si="2"/>
        <v>13</v>
      </c>
      <c r="J304" s="50" t="s">
        <v>1788</v>
      </c>
      <c r="K304" s="65"/>
      <c r="L304" s="55" t="s">
        <v>1789</v>
      </c>
      <c r="M304" s="53" t="s">
        <v>1757</v>
      </c>
      <c r="N304" s="64" t="s">
        <v>1790</v>
      </c>
      <c r="O304" s="33"/>
    </row>
    <row r="305" ht="75.0" customHeight="1">
      <c r="A305" s="33"/>
      <c r="B305" s="43">
        <f t="shared" si="1"/>
        <v>46</v>
      </c>
      <c r="C305" s="44" t="s">
        <v>1791</v>
      </c>
      <c r="D305" s="59"/>
      <c r="E305" s="46" t="s">
        <v>293</v>
      </c>
      <c r="F305" s="56" t="s">
        <v>1049</v>
      </c>
      <c r="G305" s="64" t="s">
        <v>1792</v>
      </c>
      <c r="H305" s="33"/>
      <c r="I305" s="73">
        <f t="shared" si="2"/>
        <v>12</v>
      </c>
      <c r="J305" s="50" t="s">
        <v>1793</v>
      </c>
      <c r="K305" s="65"/>
      <c r="L305" s="55" t="s">
        <v>334</v>
      </c>
      <c r="M305" s="53" t="s">
        <v>1794</v>
      </c>
      <c r="N305" s="64" t="s">
        <v>1795</v>
      </c>
      <c r="O305" s="33"/>
    </row>
    <row r="306" ht="75.0" customHeight="1">
      <c r="A306" s="33"/>
      <c r="B306" s="43">
        <f t="shared" si="1"/>
        <v>45</v>
      </c>
      <c r="C306" s="44" t="s">
        <v>1796</v>
      </c>
      <c r="D306" s="59"/>
      <c r="E306" s="46" t="s">
        <v>49</v>
      </c>
      <c r="F306" s="56" t="s">
        <v>1797</v>
      </c>
      <c r="G306" s="64" t="s">
        <v>1798</v>
      </c>
      <c r="H306" s="33"/>
      <c r="I306" s="73">
        <f t="shared" si="2"/>
        <v>11</v>
      </c>
      <c r="J306" s="50" t="s">
        <v>1799</v>
      </c>
      <c r="K306" s="65"/>
      <c r="L306" s="55" t="s">
        <v>1800</v>
      </c>
      <c r="M306" s="67" t="s">
        <v>1801</v>
      </c>
      <c r="N306" s="64" t="s">
        <v>1802</v>
      </c>
      <c r="O306" s="33"/>
    </row>
    <row r="307" ht="75.0" customHeight="1">
      <c r="A307" s="33"/>
      <c r="B307" s="43">
        <f t="shared" si="1"/>
        <v>44</v>
      </c>
      <c r="C307" s="44" t="s">
        <v>1803</v>
      </c>
      <c r="D307" s="59"/>
      <c r="E307" s="46" t="s">
        <v>1133</v>
      </c>
      <c r="F307" s="56" t="s">
        <v>1045</v>
      </c>
      <c r="G307" s="64" t="s">
        <v>1804</v>
      </c>
      <c r="H307" s="33"/>
      <c r="I307" s="73">
        <f t="shared" si="2"/>
        <v>10</v>
      </c>
      <c r="J307" s="50" t="s">
        <v>1805</v>
      </c>
      <c r="K307" s="65"/>
      <c r="L307" s="55" t="s">
        <v>1806</v>
      </c>
      <c r="M307" s="53" t="s">
        <v>1660</v>
      </c>
      <c r="N307" s="64" t="s">
        <v>1807</v>
      </c>
      <c r="O307" s="33"/>
    </row>
    <row r="308" ht="75.0" customHeight="1">
      <c r="A308" s="33"/>
      <c r="B308" s="43">
        <f t="shared" si="1"/>
        <v>43</v>
      </c>
      <c r="C308" s="44" t="s">
        <v>1808</v>
      </c>
      <c r="D308" s="59"/>
      <c r="E308" s="46" t="s">
        <v>1485</v>
      </c>
      <c r="F308" s="56" t="s">
        <v>1809</v>
      </c>
      <c r="G308" s="64" t="s">
        <v>1810</v>
      </c>
      <c r="H308" s="33"/>
      <c r="I308" s="75">
        <f t="shared" si="2"/>
        <v>9</v>
      </c>
      <c r="J308" s="50" t="s">
        <v>1811</v>
      </c>
      <c r="K308" s="65"/>
      <c r="L308" s="55" t="s">
        <v>1566</v>
      </c>
      <c r="M308" s="67" t="s">
        <v>1812</v>
      </c>
      <c r="N308" s="64" t="s">
        <v>1813</v>
      </c>
      <c r="O308" s="33"/>
    </row>
    <row r="309" ht="75.0" customHeight="1">
      <c r="A309" s="33"/>
      <c r="B309" s="43">
        <f t="shared" si="1"/>
        <v>42</v>
      </c>
      <c r="C309" s="44" t="s">
        <v>1814</v>
      </c>
      <c r="D309" s="59"/>
      <c r="E309" s="46" t="s">
        <v>1815</v>
      </c>
      <c r="F309" s="56" t="s">
        <v>1816</v>
      </c>
      <c r="G309" s="64" t="s">
        <v>1817</v>
      </c>
      <c r="H309" s="33"/>
      <c r="I309" s="75">
        <f t="shared" si="2"/>
        <v>8</v>
      </c>
      <c r="J309" s="50" t="s">
        <v>1818</v>
      </c>
      <c r="K309" s="65"/>
      <c r="L309" s="55" t="s">
        <v>1819</v>
      </c>
      <c r="M309" s="67" t="s">
        <v>1812</v>
      </c>
      <c r="N309" s="64" t="s">
        <v>1820</v>
      </c>
      <c r="O309" s="33"/>
    </row>
    <row r="310" ht="75.0" customHeight="1">
      <c r="A310" s="33"/>
      <c r="B310" s="43">
        <f t="shared" si="1"/>
        <v>41</v>
      </c>
      <c r="C310" s="44" t="s">
        <v>1821</v>
      </c>
      <c r="D310" s="59"/>
      <c r="E310" s="46" t="s">
        <v>1741</v>
      </c>
      <c r="F310" s="56" t="s">
        <v>1822</v>
      </c>
      <c r="G310" s="64" t="s">
        <v>1823</v>
      </c>
      <c r="H310" s="33"/>
      <c r="I310" s="75">
        <f t="shared" si="2"/>
        <v>7</v>
      </c>
      <c r="J310" s="50" t="s">
        <v>1824</v>
      </c>
      <c r="K310" s="65"/>
      <c r="L310" s="55" t="s">
        <v>1825</v>
      </c>
      <c r="M310" s="67" t="s">
        <v>1826</v>
      </c>
      <c r="N310" s="64" t="s">
        <v>1827</v>
      </c>
      <c r="O310" s="33"/>
    </row>
    <row r="311" ht="75.0" customHeight="1">
      <c r="A311" s="33"/>
      <c r="B311" s="43">
        <f t="shared" si="1"/>
        <v>40</v>
      </c>
      <c r="C311" s="44" t="s">
        <v>1828</v>
      </c>
      <c r="D311" s="59"/>
      <c r="E311" s="46" t="s">
        <v>204</v>
      </c>
      <c r="F311" s="56" t="s">
        <v>1829</v>
      </c>
      <c r="G311" s="64" t="s">
        <v>1830</v>
      </c>
      <c r="H311" s="33"/>
      <c r="I311" s="75">
        <f t="shared" si="2"/>
        <v>6</v>
      </c>
      <c r="J311" s="50" t="s">
        <v>1831</v>
      </c>
      <c r="K311" s="65"/>
      <c r="L311" s="55" t="s">
        <v>113</v>
      </c>
      <c r="M311" s="67" t="s">
        <v>1832</v>
      </c>
      <c r="N311" s="64" t="s">
        <v>1833</v>
      </c>
      <c r="O311" s="33"/>
    </row>
    <row r="312" ht="75.0" customHeight="1">
      <c r="A312" s="33"/>
      <c r="B312" s="43">
        <f t="shared" si="1"/>
        <v>39</v>
      </c>
      <c r="C312" s="44" t="s">
        <v>1834</v>
      </c>
      <c r="D312" s="59"/>
      <c r="E312" s="46" t="s">
        <v>1223</v>
      </c>
      <c r="F312" s="56" t="s">
        <v>1835</v>
      </c>
      <c r="G312" s="64" t="s">
        <v>1836</v>
      </c>
      <c r="H312" s="33"/>
      <c r="I312" s="75">
        <f t="shared" si="2"/>
        <v>5</v>
      </c>
      <c r="J312" s="50" t="s">
        <v>1837</v>
      </c>
      <c r="K312" s="65"/>
      <c r="L312" s="55" t="s">
        <v>1838</v>
      </c>
      <c r="M312" s="53" t="s">
        <v>1049</v>
      </c>
      <c r="N312" s="64" t="s">
        <v>1839</v>
      </c>
      <c r="O312" s="33"/>
    </row>
    <row r="313" ht="75.0" customHeight="1">
      <c r="A313" s="33"/>
      <c r="B313" s="43">
        <f t="shared" si="1"/>
        <v>38</v>
      </c>
      <c r="C313" s="44" t="s">
        <v>1840</v>
      </c>
      <c r="D313" s="59"/>
      <c r="E313" s="72" t="s">
        <v>287</v>
      </c>
      <c r="F313" s="56" t="s">
        <v>1841</v>
      </c>
      <c r="G313" s="64" t="s">
        <v>1842</v>
      </c>
      <c r="H313" s="33"/>
      <c r="I313" s="75">
        <f t="shared" si="2"/>
        <v>4</v>
      </c>
      <c r="J313" s="50" t="s">
        <v>1843</v>
      </c>
      <c r="K313" s="65"/>
      <c r="L313" s="55" t="s">
        <v>1844</v>
      </c>
      <c r="M313" s="67" t="s">
        <v>1845</v>
      </c>
      <c r="N313" s="64" t="s">
        <v>1846</v>
      </c>
      <c r="O313" s="33"/>
    </row>
    <row r="314" ht="75.0" customHeight="1">
      <c r="A314" s="33"/>
      <c r="B314" s="43">
        <f t="shared" si="1"/>
        <v>37</v>
      </c>
      <c r="C314" s="44" t="s">
        <v>1847</v>
      </c>
      <c r="D314" s="59"/>
      <c r="E314" s="46" t="s">
        <v>1848</v>
      </c>
      <c r="F314" s="56" t="s">
        <v>665</v>
      </c>
      <c r="G314" s="64" t="s">
        <v>1849</v>
      </c>
      <c r="H314" s="33"/>
      <c r="I314" s="75">
        <f t="shared" si="2"/>
        <v>3</v>
      </c>
      <c r="J314" s="50" t="s">
        <v>1850</v>
      </c>
      <c r="K314" s="65"/>
      <c r="L314" s="55" t="s">
        <v>1851</v>
      </c>
      <c r="M314" s="67" t="s">
        <v>39</v>
      </c>
      <c r="N314" s="64" t="s">
        <v>1852</v>
      </c>
      <c r="O314" s="33"/>
    </row>
    <row r="315" ht="75.0" customHeight="1">
      <c r="A315" s="33"/>
      <c r="B315" s="43">
        <f t="shared" si="1"/>
        <v>36</v>
      </c>
      <c r="C315" s="44" t="s">
        <v>1853</v>
      </c>
      <c r="D315" s="59"/>
      <c r="E315" s="72" t="s">
        <v>136</v>
      </c>
      <c r="F315" s="56" t="s">
        <v>1854</v>
      </c>
      <c r="G315" s="64" t="s">
        <v>1855</v>
      </c>
      <c r="H315" s="33"/>
      <c r="I315" s="75">
        <f t="shared" si="2"/>
        <v>2</v>
      </c>
      <c r="J315" s="50" t="s">
        <v>1856</v>
      </c>
      <c r="K315" s="65"/>
      <c r="L315" s="55" t="s">
        <v>1857</v>
      </c>
      <c r="M315" s="67" t="s">
        <v>1858</v>
      </c>
      <c r="N315" s="64" t="s">
        <v>1859</v>
      </c>
      <c r="O315" s="33"/>
    </row>
    <row r="316" ht="75.0" customHeight="1">
      <c r="A316" s="33"/>
      <c r="B316" s="43">
        <f t="shared" si="1"/>
        <v>35</v>
      </c>
      <c r="C316" s="44" t="s">
        <v>1860</v>
      </c>
      <c r="D316" s="59"/>
      <c r="E316" s="71" t="s">
        <v>20</v>
      </c>
      <c r="F316" s="56" t="s">
        <v>1861</v>
      </c>
      <c r="G316" s="64" t="s">
        <v>1862</v>
      </c>
      <c r="H316" s="33"/>
      <c r="I316" s="76">
        <f>1</f>
        <v>1</v>
      </c>
      <c r="J316" s="50" t="s">
        <v>1863</v>
      </c>
      <c r="K316" s="65"/>
      <c r="L316" s="55" t="s">
        <v>1864</v>
      </c>
      <c r="M316" s="53" t="s">
        <v>427</v>
      </c>
      <c r="N316" s="64" t="s">
        <v>1865</v>
      </c>
      <c r="O316" s="33"/>
    </row>
    <row r="317" ht="75.0" customHeight="1">
      <c r="A317" s="33"/>
      <c r="B317" s="43">
        <f t="shared" si="1"/>
        <v>34</v>
      </c>
      <c r="C317" s="44" t="s">
        <v>1866</v>
      </c>
      <c r="D317" s="59"/>
      <c r="E317" s="46" t="s">
        <v>1867</v>
      </c>
      <c r="F317" s="56" t="s">
        <v>1868</v>
      </c>
      <c r="G317" s="64" t="s">
        <v>1869</v>
      </c>
      <c r="H317" s="33"/>
      <c r="I317" s="33"/>
      <c r="J317" s="77"/>
      <c r="K317" s="78" t="s">
        <v>1870</v>
      </c>
      <c r="L317" s="79"/>
      <c r="M317" s="80"/>
      <c r="N317" s="13"/>
      <c r="O317" s="33"/>
    </row>
    <row r="318" ht="75.0" customHeight="1">
      <c r="A318" s="33"/>
      <c r="B318" s="43">
        <f t="shared" si="1"/>
        <v>33</v>
      </c>
      <c r="C318" s="44" t="s">
        <v>1871</v>
      </c>
      <c r="D318" s="59"/>
      <c r="E318" s="46" t="s">
        <v>1872</v>
      </c>
      <c r="F318" s="56" t="s">
        <v>1873</v>
      </c>
      <c r="G318" s="64" t="s">
        <v>1874</v>
      </c>
      <c r="H318" s="33"/>
      <c r="I318" s="33"/>
      <c r="J318" s="77"/>
      <c r="K318" s="78" t="s">
        <v>1870</v>
      </c>
      <c r="L318" s="79"/>
      <c r="M318" s="80"/>
      <c r="N318" s="13"/>
      <c r="O318" s="33"/>
    </row>
    <row r="319" ht="75.0" customHeight="1">
      <c r="A319" s="33"/>
      <c r="B319" s="43">
        <f t="shared" si="1"/>
        <v>32</v>
      </c>
      <c r="C319" s="44" t="s">
        <v>1875</v>
      </c>
      <c r="D319" s="59"/>
      <c r="E319" s="46" t="s">
        <v>1876</v>
      </c>
      <c r="F319" s="56" t="s">
        <v>794</v>
      </c>
      <c r="G319" s="64" t="s">
        <v>1877</v>
      </c>
      <c r="H319" s="33"/>
      <c r="I319" s="33"/>
      <c r="J319" s="77"/>
      <c r="K319" s="78" t="s">
        <v>1870</v>
      </c>
      <c r="L319" s="79"/>
      <c r="M319" s="80"/>
      <c r="N319" s="13"/>
      <c r="O319" s="33"/>
    </row>
    <row r="320" ht="75.0" customHeight="1">
      <c r="A320" s="33"/>
      <c r="B320" s="43">
        <f t="shared" si="1"/>
        <v>31</v>
      </c>
      <c r="C320" s="44" t="s">
        <v>1878</v>
      </c>
      <c r="D320" s="59"/>
      <c r="E320" s="72" t="s">
        <v>745</v>
      </c>
      <c r="F320" s="56" t="s">
        <v>1879</v>
      </c>
      <c r="G320" s="64" t="s">
        <v>1880</v>
      </c>
      <c r="H320" s="33"/>
      <c r="I320" s="33"/>
      <c r="J320" s="77"/>
      <c r="K320" s="78" t="s">
        <v>1870</v>
      </c>
      <c r="L320" s="79"/>
      <c r="M320" s="80"/>
      <c r="N320" s="13"/>
      <c r="O320" s="33"/>
    </row>
    <row r="321" ht="75.0" customHeight="1">
      <c r="A321" s="33"/>
      <c r="B321" s="43">
        <f t="shared" si="1"/>
        <v>30</v>
      </c>
      <c r="C321" s="44" t="s">
        <v>1881</v>
      </c>
      <c r="D321" s="59"/>
      <c r="E321" s="46" t="s">
        <v>469</v>
      </c>
      <c r="F321" s="56" t="s">
        <v>1882</v>
      </c>
      <c r="G321" s="64" t="s">
        <v>1883</v>
      </c>
      <c r="H321" s="33"/>
      <c r="I321" s="33"/>
      <c r="J321" s="77"/>
      <c r="K321" s="78" t="s">
        <v>1870</v>
      </c>
      <c r="L321" s="79"/>
      <c r="M321" s="80"/>
      <c r="N321" s="13"/>
      <c r="O321" s="33"/>
    </row>
    <row r="322" ht="75.0" customHeight="1">
      <c r="A322" s="33"/>
      <c r="B322" s="43">
        <f t="shared" si="1"/>
        <v>29</v>
      </c>
      <c r="C322" s="44" t="s">
        <v>1884</v>
      </c>
      <c r="D322" s="59"/>
      <c r="E322" s="46" t="s">
        <v>1885</v>
      </c>
      <c r="F322" s="56" t="s">
        <v>1886</v>
      </c>
      <c r="G322" s="64" t="s">
        <v>1887</v>
      </c>
      <c r="H322" s="33"/>
      <c r="I322" s="33"/>
      <c r="J322" s="77"/>
      <c r="K322" s="78" t="s">
        <v>1870</v>
      </c>
      <c r="L322" s="79"/>
      <c r="M322" s="80"/>
      <c r="N322" s="13"/>
      <c r="O322" s="33"/>
    </row>
    <row r="323" ht="75.0" customHeight="1">
      <c r="A323" s="33"/>
      <c r="B323" s="43">
        <f t="shared" si="1"/>
        <v>28</v>
      </c>
      <c r="C323" s="44" t="s">
        <v>1888</v>
      </c>
      <c r="D323" s="59"/>
      <c r="E323" s="46" t="s">
        <v>1889</v>
      </c>
      <c r="F323" s="56" t="s">
        <v>1890</v>
      </c>
      <c r="G323" s="64" t="s">
        <v>1891</v>
      </c>
      <c r="H323" s="33"/>
      <c r="I323" s="33"/>
      <c r="J323" s="77"/>
      <c r="K323" s="78" t="s">
        <v>1870</v>
      </c>
      <c r="L323" s="79"/>
      <c r="M323" s="80"/>
      <c r="N323" s="13"/>
      <c r="O323" s="33"/>
    </row>
    <row r="324" ht="75.0" customHeight="1">
      <c r="A324" s="33"/>
      <c r="B324" s="43">
        <f t="shared" si="1"/>
        <v>27</v>
      </c>
      <c r="C324" s="44" t="s">
        <v>1892</v>
      </c>
      <c r="D324" s="59"/>
      <c r="E324" s="46" t="s">
        <v>1893</v>
      </c>
      <c r="F324" s="56" t="s">
        <v>1894</v>
      </c>
      <c r="G324" s="64" t="s">
        <v>1895</v>
      </c>
      <c r="H324" s="33"/>
      <c r="I324" s="33"/>
      <c r="J324" s="77"/>
      <c r="K324" s="78" t="s">
        <v>1870</v>
      </c>
      <c r="L324" s="79"/>
      <c r="M324" s="80"/>
      <c r="N324" s="13"/>
      <c r="O324" s="33"/>
    </row>
    <row r="325" ht="75.0" customHeight="1">
      <c r="A325" s="33"/>
      <c r="B325" s="43">
        <f t="shared" si="1"/>
        <v>26</v>
      </c>
      <c r="C325" s="44" t="s">
        <v>1896</v>
      </c>
      <c r="D325" s="59"/>
      <c r="E325" s="46" t="s">
        <v>626</v>
      </c>
      <c r="F325" s="56" t="s">
        <v>1897</v>
      </c>
      <c r="G325" s="64" t="s">
        <v>1898</v>
      </c>
      <c r="H325" s="33"/>
      <c r="I325" s="33"/>
      <c r="J325" s="77"/>
      <c r="K325" s="78" t="s">
        <v>1870</v>
      </c>
      <c r="L325" s="79"/>
      <c r="M325" s="80"/>
      <c r="N325" s="13"/>
      <c r="O325" s="33"/>
    </row>
    <row r="326" ht="75.0" customHeight="1">
      <c r="A326" s="33"/>
      <c r="B326" s="43">
        <f t="shared" si="1"/>
        <v>25</v>
      </c>
      <c r="C326" s="44" t="s">
        <v>1899</v>
      </c>
      <c r="D326" s="59"/>
      <c r="E326" s="61" t="s">
        <v>851</v>
      </c>
      <c r="F326" s="56" t="s">
        <v>1894</v>
      </c>
      <c r="G326" s="64" t="s">
        <v>1900</v>
      </c>
      <c r="H326" s="33"/>
      <c r="I326" s="33"/>
      <c r="J326" s="77"/>
      <c r="K326" s="78" t="s">
        <v>1870</v>
      </c>
      <c r="L326" s="79"/>
      <c r="M326" s="80"/>
      <c r="N326" s="13"/>
      <c r="O326" s="33"/>
    </row>
    <row r="327" ht="75.0" customHeight="1">
      <c r="A327" s="33"/>
      <c r="B327" s="43">
        <f t="shared" si="1"/>
        <v>24</v>
      </c>
      <c r="C327" s="44" t="s">
        <v>1901</v>
      </c>
      <c r="D327" s="59"/>
      <c r="E327" s="46" t="s">
        <v>1603</v>
      </c>
      <c r="F327" s="56" t="s">
        <v>1902</v>
      </c>
      <c r="G327" s="64" t="s">
        <v>1903</v>
      </c>
      <c r="H327" s="33"/>
      <c r="I327" s="33"/>
      <c r="J327" s="77"/>
      <c r="K327" s="78" t="s">
        <v>1870</v>
      </c>
      <c r="L327" s="79"/>
      <c r="M327" s="80"/>
      <c r="N327" s="13"/>
      <c r="O327" s="33"/>
    </row>
    <row r="328" ht="75.0" customHeight="1">
      <c r="A328" s="33"/>
      <c r="B328" s="43">
        <f t="shared" si="1"/>
        <v>23</v>
      </c>
      <c r="C328" s="44" t="s">
        <v>1904</v>
      </c>
      <c r="D328" s="59"/>
      <c r="E328" s="46" t="s">
        <v>551</v>
      </c>
      <c r="F328" s="56" t="s">
        <v>1905</v>
      </c>
      <c r="G328" s="64" t="s">
        <v>1906</v>
      </c>
      <c r="H328" s="33"/>
      <c r="I328" s="33"/>
      <c r="J328" s="77"/>
      <c r="K328" s="78" t="s">
        <v>1870</v>
      </c>
      <c r="L328" s="79"/>
      <c r="M328" s="80"/>
      <c r="N328" s="13"/>
      <c r="O328" s="33"/>
    </row>
    <row r="329" ht="75.0" customHeight="1">
      <c r="A329" s="33"/>
      <c r="B329" s="43">
        <f t="shared" si="1"/>
        <v>22</v>
      </c>
      <c r="C329" s="44" t="s">
        <v>1907</v>
      </c>
      <c r="D329" s="59"/>
      <c r="E329" s="46" t="s">
        <v>1908</v>
      </c>
      <c r="F329" s="56" t="s">
        <v>1858</v>
      </c>
      <c r="G329" s="64" t="s">
        <v>1909</v>
      </c>
      <c r="H329" s="33"/>
      <c r="I329" s="33"/>
      <c r="J329" s="77"/>
      <c r="K329" s="78" t="s">
        <v>1870</v>
      </c>
      <c r="L329" s="79"/>
      <c r="M329" s="80"/>
      <c r="N329" s="13"/>
      <c r="O329" s="33"/>
    </row>
    <row r="330" ht="75.0" customHeight="1">
      <c r="A330" s="33"/>
      <c r="B330" s="43">
        <f t="shared" si="1"/>
        <v>21</v>
      </c>
      <c r="C330" s="44" t="s">
        <v>1910</v>
      </c>
      <c r="D330" s="59"/>
      <c r="E330" s="46" t="s">
        <v>590</v>
      </c>
      <c r="F330" s="56" t="s">
        <v>1911</v>
      </c>
      <c r="G330" s="64" t="s">
        <v>1912</v>
      </c>
      <c r="H330" s="33"/>
      <c r="I330" s="33"/>
      <c r="J330" s="77"/>
      <c r="K330" s="78" t="s">
        <v>1870</v>
      </c>
      <c r="L330" s="79"/>
      <c r="M330" s="80"/>
      <c r="N330" s="13"/>
      <c r="O330" s="33"/>
    </row>
    <row r="331" ht="75.0" customHeight="1">
      <c r="A331" s="33"/>
      <c r="B331" s="43">
        <f t="shared" si="1"/>
        <v>20</v>
      </c>
      <c r="C331" s="44" t="s">
        <v>1913</v>
      </c>
      <c r="D331" s="59"/>
      <c r="E331" s="46" t="s">
        <v>909</v>
      </c>
      <c r="F331" s="56" t="s">
        <v>1914</v>
      </c>
      <c r="G331" s="64" t="s">
        <v>1915</v>
      </c>
      <c r="H331" s="33"/>
      <c r="I331" s="33"/>
      <c r="J331" s="77"/>
      <c r="K331" s="78" t="s">
        <v>1870</v>
      </c>
      <c r="L331" s="79"/>
      <c r="M331" s="80"/>
      <c r="N331" s="13"/>
      <c r="O331" s="33"/>
    </row>
    <row r="332" ht="75.0" customHeight="1">
      <c r="A332" s="33"/>
      <c r="B332" s="43">
        <f t="shared" si="1"/>
        <v>19</v>
      </c>
      <c r="C332" s="44" t="s">
        <v>1916</v>
      </c>
      <c r="D332" s="59"/>
      <c r="E332" s="46" t="s">
        <v>1917</v>
      </c>
      <c r="F332" s="56" t="s">
        <v>1918</v>
      </c>
      <c r="G332" s="64" t="s">
        <v>1919</v>
      </c>
      <c r="H332" s="33"/>
      <c r="I332" s="33"/>
      <c r="J332" s="77"/>
      <c r="K332" s="78" t="s">
        <v>1870</v>
      </c>
      <c r="L332" s="79"/>
      <c r="M332" s="80"/>
      <c r="N332" s="13"/>
      <c r="O332" s="33"/>
    </row>
    <row r="333" ht="75.0" customHeight="1">
      <c r="A333" s="33"/>
      <c r="B333" s="43">
        <f t="shared" si="1"/>
        <v>18</v>
      </c>
      <c r="C333" s="44" t="s">
        <v>1920</v>
      </c>
      <c r="D333" s="59"/>
      <c r="E333" s="62" t="s">
        <v>1921</v>
      </c>
      <c r="F333" s="56" t="s">
        <v>1918</v>
      </c>
      <c r="G333" s="64" t="s">
        <v>1922</v>
      </c>
      <c r="H333" s="33"/>
      <c r="I333" s="33"/>
      <c r="J333" s="77"/>
      <c r="K333" s="78" t="s">
        <v>1870</v>
      </c>
      <c r="L333" s="79"/>
      <c r="M333" s="80"/>
      <c r="N333" s="13"/>
      <c r="O333" s="33"/>
    </row>
    <row r="334" ht="75.0" customHeight="1">
      <c r="A334" s="33"/>
      <c r="B334" s="43">
        <f t="shared" si="1"/>
        <v>17</v>
      </c>
      <c r="C334" s="44" t="s">
        <v>1923</v>
      </c>
      <c r="D334" s="59"/>
      <c r="E334" s="46" t="s">
        <v>1924</v>
      </c>
      <c r="F334" s="56" t="s">
        <v>1925</v>
      </c>
      <c r="G334" s="64" t="s">
        <v>1926</v>
      </c>
      <c r="H334" s="33"/>
      <c r="I334" s="33"/>
      <c r="J334" s="77"/>
      <c r="K334" s="78" t="s">
        <v>1870</v>
      </c>
      <c r="L334" s="79"/>
      <c r="M334" s="80"/>
      <c r="N334" s="13"/>
      <c r="O334" s="33"/>
    </row>
    <row r="335" ht="75.0" customHeight="1">
      <c r="A335" s="33"/>
      <c r="B335" s="43">
        <f t="shared" si="1"/>
        <v>16</v>
      </c>
      <c r="C335" s="44" t="s">
        <v>1927</v>
      </c>
      <c r="D335" s="59"/>
      <c r="E335" s="46" t="s">
        <v>1928</v>
      </c>
      <c r="F335" s="56" t="s">
        <v>1911</v>
      </c>
      <c r="G335" s="64" t="s">
        <v>1929</v>
      </c>
      <c r="H335" s="33"/>
      <c r="I335" s="33"/>
      <c r="J335" s="77"/>
      <c r="K335" s="78" t="s">
        <v>1870</v>
      </c>
      <c r="L335" s="79"/>
      <c r="M335" s="80"/>
      <c r="N335" s="13"/>
      <c r="O335" s="33"/>
    </row>
    <row r="336" ht="75.0" customHeight="1">
      <c r="A336" s="33"/>
      <c r="B336" s="43">
        <f t="shared" si="1"/>
        <v>15</v>
      </c>
      <c r="C336" s="44" t="s">
        <v>1930</v>
      </c>
      <c r="D336" s="59"/>
      <c r="E336" s="46" t="s">
        <v>1931</v>
      </c>
      <c r="F336" s="56" t="s">
        <v>427</v>
      </c>
      <c r="G336" s="64" t="s">
        <v>1932</v>
      </c>
      <c r="H336" s="33"/>
      <c r="I336" s="33"/>
      <c r="J336" s="77"/>
      <c r="K336" s="78" t="s">
        <v>1870</v>
      </c>
      <c r="L336" s="79"/>
      <c r="M336" s="80"/>
      <c r="N336" s="13"/>
      <c r="O336" s="33"/>
    </row>
    <row r="337" ht="75.0" customHeight="1">
      <c r="A337" s="33"/>
      <c r="B337" s="43">
        <f t="shared" si="1"/>
        <v>14</v>
      </c>
      <c r="C337" s="44" t="s">
        <v>1933</v>
      </c>
      <c r="D337" s="59"/>
      <c r="E337" s="46" t="s">
        <v>1934</v>
      </c>
      <c r="F337" s="56" t="s">
        <v>1935</v>
      </c>
      <c r="G337" s="64" t="s">
        <v>1936</v>
      </c>
      <c r="H337" s="33"/>
      <c r="I337" s="33"/>
      <c r="J337" s="77"/>
      <c r="K337" s="78" t="s">
        <v>1870</v>
      </c>
      <c r="L337" s="79"/>
      <c r="M337" s="80"/>
      <c r="N337" s="13"/>
      <c r="O337" s="33"/>
    </row>
    <row r="338" ht="75.0" customHeight="1">
      <c r="A338" s="33"/>
      <c r="B338" s="81">
        <f t="shared" si="1"/>
        <v>13</v>
      </c>
      <c r="C338" s="82" t="s">
        <v>1937</v>
      </c>
      <c r="D338" s="59"/>
      <c r="E338" s="46" t="s">
        <v>1938</v>
      </c>
      <c r="F338" s="56" t="s">
        <v>665</v>
      </c>
      <c r="G338" s="64" t="s">
        <v>1939</v>
      </c>
      <c r="H338" s="33"/>
      <c r="I338" s="33"/>
      <c r="J338" s="77"/>
      <c r="K338" s="78" t="s">
        <v>1870</v>
      </c>
      <c r="L338" s="79"/>
      <c r="M338" s="80"/>
      <c r="N338" s="13"/>
      <c r="O338" s="33"/>
    </row>
    <row r="339" ht="75.0" customHeight="1">
      <c r="A339" s="33"/>
      <c r="B339" s="81">
        <f t="shared" si="1"/>
        <v>12</v>
      </c>
      <c r="C339" s="82" t="s">
        <v>1940</v>
      </c>
      <c r="D339" s="59"/>
      <c r="E339" s="46" t="s">
        <v>1941</v>
      </c>
      <c r="F339" s="56" t="s">
        <v>1942</v>
      </c>
      <c r="G339" s="64" t="s">
        <v>1943</v>
      </c>
      <c r="H339" s="33"/>
      <c r="I339" s="33"/>
      <c r="J339" s="77"/>
      <c r="K339" s="78" t="s">
        <v>1870</v>
      </c>
      <c r="L339" s="79"/>
      <c r="M339" s="80"/>
      <c r="N339" s="13"/>
      <c r="O339" s="33"/>
    </row>
    <row r="340" ht="75.0" customHeight="1">
      <c r="A340" s="33"/>
      <c r="B340" s="81">
        <f t="shared" si="1"/>
        <v>11</v>
      </c>
      <c r="C340" s="82" t="s">
        <v>1944</v>
      </c>
      <c r="D340" s="59"/>
      <c r="E340" s="46" t="s">
        <v>1599</v>
      </c>
      <c r="F340" s="56" t="s">
        <v>665</v>
      </c>
      <c r="G340" s="64" t="s">
        <v>1945</v>
      </c>
      <c r="H340" s="33"/>
      <c r="I340" s="33"/>
      <c r="J340" s="77"/>
      <c r="K340" s="78" t="s">
        <v>1870</v>
      </c>
      <c r="L340" s="79"/>
      <c r="M340" s="80"/>
      <c r="N340" s="13"/>
      <c r="O340" s="33"/>
    </row>
    <row r="341" ht="75.0" customHeight="1">
      <c r="A341" s="33"/>
      <c r="B341" s="81">
        <f t="shared" si="1"/>
        <v>10</v>
      </c>
      <c r="C341" s="82" t="s">
        <v>1946</v>
      </c>
      <c r="D341" s="59"/>
      <c r="E341" s="46" t="s">
        <v>1947</v>
      </c>
      <c r="F341" s="56" t="s">
        <v>665</v>
      </c>
      <c r="G341" s="64" t="s">
        <v>1948</v>
      </c>
      <c r="H341" s="33"/>
      <c r="I341" s="33"/>
      <c r="J341" s="77"/>
      <c r="K341" s="78" t="s">
        <v>1870</v>
      </c>
      <c r="L341" s="79"/>
      <c r="M341" s="80"/>
      <c r="N341" s="13"/>
      <c r="O341" s="33"/>
    </row>
    <row r="342" ht="75.0" customHeight="1">
      <c r="A342" s="33"/>
      <c r="B342" s="81">
        <f t="shared" si="1"/>
        <v>9</v>
      </c>
      <c r="C342" s="82" t="s">
        <v>1949</v>
      </c>
      <c r="D342" s="59"/>
      <c r="E342" s="46" t="s">
        <v>1950</v>
      </c>
      <c r="F342" s="56" t="s">
        <v>1951</v>
      </c>
      <c r="G342" s="64" t="s">
        <v>1952</v>
      </c>
      <c r="H342" s="33"/>
      <c r="I342" s="33"/>
      <c r="J342" s="77"/>
      <c r="K342" s="78" t="s">
        <v>1870</v>
      </c>
      <c r="L342" s="79"/>
      <c r="M342" s="80"/>
      <c r="N342" s="13"/>
      <c r="O342" s="33"/>
    </row>
    <row r="343" ht="75.0" customHeight="1">
      <c r="A343" s="33"/>
      <c r="B343" s="81">
        <f t="shared" si="1"/>
        <v>8</v>
      </c>
      <c r="C343" s="82" t="s">
        <v>1953</v>
      </c>
      <c r="D343" s="59"/>
      <c r="E343" s="46" t="s">
        <v>1954</v>
      </c>
      <c r="F343" s="56" t="s">
        <v>1955</v>
      </c>
      <c r="G343" s="64" t="s">
        <v>1956</v>
      </c>
      <c r="H343" s="33"/>
      <c r="I343" s="33"/>
      <c r="J343" s="77"/>
      <c r="K343" s="83" t="s">
        <v>1870</v>
      </c>
      <c r="L343" s="79"/>
      <c r="M343" s="84"/>
      <c r="N343" s="13"/>
      <c r="O343" s="33"/>
    </row>
    <row r="344" ht="75.0" customHeight="1">
      <c r="A344" s="33"/>
      <c r="B344" s="81">
        <f t="shared" si="1"/>
        <v>7</v>
      </c>
      <c r="C344" s="82" t="s">
        <v>1957</v>
      </c>
      <c r="D344" s="59"/>
      <c r="E344" s="46" t="s">
        <v>1958</v>
      </c>
      <c r="F344" s="56" t="s">
        <v>1959</v>
      </c>
      <c r="G344" s="64" t="s">
        <v>1960</v>
      </c>
      <c r="H344" s="33"/>
      <c r="I344" s="33"/>
      <c r="J344" s="77"/>
      <c r="K344" s="83" t="s">
        <v>1870</v>
      </c>
      <c r="L344" s="79"/>
      <c r="M344" s="84"/>
      <c r="N344" s="13"/>
      <c r="O344" s="33"/>
    </row>
    <row r="345" ht="75.0" customHeight="1">
      <c r="A345" s="33"/>
      <c r="B345" s="81">
        <f t="shared" si="1"/>
        <v>6</v>
      </c>
      <c r="C345" s="82" t="s">
        <v>1961</v>
      </c>
      <c r="D345" s="59"/>
      <c r="E345" s="46" t="s">
        <v>1962</v>
      </c>
      <c r="F345" s="56" t="s">
        <v>1963</v>
      </c>
      <c r="G345" s="64" t="s">
        <v>1964</v>
      </c>
      <c r="H345" s="33"/>
      <c r="I345" s="33"/>
      <c r="J345" s="77"/>
      <c r="K345" s="83" t="s">
        <v>1870</v>
      </c>
      <c r="L345" s="79"/>
      <c r="M345" s="84"/>
      <c r="N345" s="13"/>
      <c r="O345" s="33"/>
    </row>
    <row r="346" ht="75.0" customHeight="1">
      <c r="A346" s="33"/>
      <c r="B346" s="81">
        <f t="shared" si="1"/>
        <v>5</v>
      </c>
      <c r="C346" s="82" t="s">
        <v>1965</v>
      </c>
      <c r="D346" s="59"/>
      <c r="E346" s="46" t="s">
        <v>1966</v>
      </c>
      <c r="F346" s="56" t="s">
        <v>1967</v>
      </c>
      <c r="G346" s="64" t="s">
        <v>1968</v>
      </c>
      <c r="H346" s="33"/>
      <c r="I346" s="33"/>
      <c r="J346" s="77"/>
      <c r="K346" s="83" t="s">
        <v>1870</v>
      </c>
      <c r="L346" s="79"/>
      <c r="M346" s="84"/>
      <c r="N346" s="13"/>
      <c r="O346" s="33"/>
    </row>
    <row r="347" ht="75.0" customHeight="1">
      <c r="A347" s="33"/>
      <c r="B347" s="81">
        <f t="shared" si="1"/>
        <v>4</v>
      </c>
      <c r="C347" s="82" t="s">
        <v>1969</v>
      </c>
      <c r="D347" s="59"/>
      <c r="E347" s="46" t="s">
        <v>651</v>
      </c>
      <c r="F347" s="56" t="s">
        <v>1970</v>
      </c>
      <c r="G347" s="64" t="s">
        <v>1971</v>
      </c>
      <c r="H347" s="33"/>
      <c r="I347" s="33"/>
      <c r="J347" s="77"/>
      <c r="K347" s="83" t="s">
        <v>1870</v>
      </c>
      <c r="L347" s="79"/>
      <c r="M347" s="84"/>
      <c r="N347" s="13"/>
      <c r="O347" s="33"/>
    </row>
    <row r="348" ht="75.0" customHeight="1">
      <c r="A348" s="33"/>
      <c r="B348" s="81">
        <f t="shared" si="1"/>
        <v>3</v>
      </c>
      <c r="C348" s="82" t="s">
        <v>1972</v>
      </c>
      <c r="D348" s="59"/>
      <c r="E348" s="46" t="s">
        <v>1973</v>
      </c>
      <c r="F348" s="56" t="s">
        <v>1974</v>
      </c>
      <c r="G348" s="64" t="s">
        <v>1975</v>
      </c>
      <c r="H348" s="33"/>
      <c r="I348" s="33"/>
      <c r="J348" s="77"/>
      <c r="K348" s="83" t="s">
        <v>1870</v>
      </c>
      <c r="L348" s="79"/>
      <c r="M348" s="84"/>
      <c r="N348" s="13"/>
      <c r="O348" s="33"/>
    </row>
    <row r="349" ht="75.0" customHeight="1">
      <c r="A349" s="33"/>
      <c r="B349" s="81">
        <f t="shared" si="1"/>
        <v>2</v>
      </c>
      <c r="C349" s="82" t="s">
        <v>1976</v>
      </c>
      <c r="D349" s="59"/>
      <c r="E349" s="46" t="s">
        <v>1977</v>
      </c>
      <c r="F349" s="56" t="s">
        <v>1978</v>
      </c>
      <c r="G349" s="48" t="s">
        <v>1979</v>
      </c>
      <c r="H349" s="33"/>
      <c r="I349" s="33"/>
      <c r="J349" s="77"/>
      <c r="K349" s="83" t="s">
        <v>1870</v>
      </c>
      <c r="L349" s="79"/>
      <c r="M349" s="84"/>
      <c r="N349" s="13"/>
      <c r="O349" s="33"/>
    </row>
    <row r="350" ht="75.0" customHeight="1">
      <c r="A350" s="33"/>
      <c r="B350" s="81">
        <f>1</f>
        <v>1</v>
      </c>
      <c r="C350" s="82" t="s">
        <v>1980</v>
      </c>
      <c r="D350" s="59"/>
      <c r="E350" s="46" t="s">
        <v>1981</v>
      </c>
      <c r="F350" s="56" t="s">
        <v>1982</v>
      </c>
      <c r="G350" s="48" t="s">
        <v>1983</v>
      </c>
      <c r="H350" s="33"/>
      <c r="I350" s="33"/>
      <c r="J350" s="77"/>
      <c r="K350" s="83" t="s">
        <v>1870</v>
      </c>
      <c r="L350" s="79"/>
      <c r="M350" s="84"/>
      <c r="N350" s="13"/>
      <c r="O350" s="33"/>
    </row>
    <row r="351" ht="37.5" customHeight="1">
      <c r="A351" s="33"/>
      <c r="B351" s="85"/>
      <c r="C351" s="86"/>
      <c r="D351" s="87" t="s">
        <v>1870</v>
      </c>
      <c r="E351" s="88"/>
      <c r="F351" s="89"/>
      <c r="G351" s="48"/>
      <c r="H351" s="33"/>
      <c r="I351" s="33"/>
      <c r="J351" s="77"/>
      <c r="K351" s="83" t="s">
        <v>1870</v>
      </c>
      <c r="L351" s="79"/>
      <c r="M351" s="84"/>
      <c r="N351" s="13"/>
      <c r="O351" s="33"/>
    </row>
  </sheetData>
  <mergeCells count="7">
    <mergeCell ref="A1:K1"/>
    <mergeCell ref="A2:J2"/>
    <mergeCell ref="A3:I3"/>
    <mergeCell ref="A4:I4"/>
    <mergeCell ref="A5:I5"/>
    <mergeCell ref="B7:F7"/>
    <mergeCell ref="I7:M7"/>
  </mergeCells>
  <hyperlinks>
    <hyperlink r:id="rId1" ref="A2"/>
    <hyperlink r:id="rId2" ref="A3"/>
    <hyperlink r:id="rId3" ref="A4"/>
    <hyperlink r:id="rId4" ref="A5"/>
    <hyperlink r:id="rId5" ref="G10"/>
    <hyperlink r:id="rId6" ref="N10"/>
    <hyperlink r:id="rId7" ref="G11"/>
    <hyperlink r:id="rId8" ref="N11"/>
    <hyperlink r:id="rId9" ref="G12"/>
    <hyperlink r:id="rId10" ref="N12"/>
    <hyperlink r:id="rId11" ref="G13"/>
    <hyperlink r:id="rId12" ref="N13"/>
    <hyperlink r:id="rId13" ref="G14"/>
    <hyperlink r:id="rId14" ref="N14"/>
    <hyperlink r:id="rId15" ref="G15"/>
    <hyperlink r:id="rId16" ref="N15"/>
    <hyperlink r:id="rId17" ref="G16"/>
    <hyperlink r:id="rId18" ref="N16"/>
    <hyperlink r:id="rId19" ref="G17"/>
    <hyperlink r:id="rId20" ref="N17"/>
    <hyperlink r:id="rId21" ref="G18"/>
    <hyperlink r:id="rId22" ref="N18"/>
    <hyperlink r:id="rId23" ref="G19"/>
    <hyperlink r:id="rId24" ref="N19"/>
    <hyperlink r:id="rId25" ref="G20"/>
    <hyperlink r:id="rId26" ref="N20"/>
    <hyperlink r:id="rId27" ref="G21"/>
    <hyperlink r:id="rId28" ref="N21"/>
    <hyperlink r:id="rId29" ref="G22"/>
    <hyperlink r:id="rId30" ref="N22"/>
    <hyperlink r:id="rId31" ref="G23"/>
    <hyperlink r:id="rId32" ref="N23"/>
    <hyperlink r:id="rId33" ref="G24"/>
    <hyperlink r:id="rId34" ref="N24"/>
    <hyperlink r:id="rId35" ref="G25"/>
    <hyperlink r:id="rId36" ref="N25"/>
    <hyperlink r:id="rId37" ref="G26"/>
    <hyperlink r:id="rId38" ref="N26"/>
    <hyperlink r:id="rId39" ref="G27"/>
    <hyperlink r:id="rId40" ref="N27"/>
    <hyperlink r:id="rId41" ref="G28"/>
    <hyperlink r:id="rId42" ref="N28"/>
    <hyperlink r:id="rId43" ref="G29"/>
    <hyperlink r:id="rId44" ref="N29"/>
    <hyperlink r:id="rId45" ref="G30"/>
    <hyperlink r:id="rId46" ref="N30"/>
    <hyperlink r:id="rId47" ref="G31"/>
    <hyperlink r:id="rId48" ref="N31"/>
    <hyperlink r:id="rId49" ref="G32"/>
    <hyperlink r:id="rId50" ref="N32"/>
    <hyperlink r:id="rId51" ref="G33"/>
    <hyperlink r:id="rId52" ref="N33"/>
    <hyperlink r:id="rId53" ref="G34"/>
    <hyperlink r:id="rId54" ref="N34"/>
    <hyperlink r:id="rId55" ref="G35"/>
    <hyperlink r:id="rId56" ref="N35"/>
    <hyperlink r:id="rId57" ref="G36"/>
    <hyperlink r:id="rId58" ref="N36"/>
    <hyperlink r:id="rId59" ref="G37"/>
    <hyperlink r:id="rId60" ref="N37"/>
    <hyperlink r:id="rId61" ref="G38"/>
    <hyperlink r:id="rId62" ref="N38"/>
    <hyperlink r:id="rId63" ref="G39"/>
    <hyperlink r:id="rId64" ref="N39"/>
    <hyperlink r:id="rId65" ref="G40"/>
    <hyperlink r:id="rId66" ref="G41"/>
    <hyperlink r:id="rId67" ref="G42"/>
    <hyperlink r:id="rId68" ref="G43"/>
    <hyperlink r:id="rId69" ref="N43"/>
    <hyperlink r:id="rId70" ref="G44"/>
    <hyperlink r:id="rId71" ref="N44"/>
    <hyperlink r:id="rId72" ref="G45"/>
    <hyperlink r:id="rId73" ref="N45"/>
    <hyperlink r:id="rId74" ref="G46"/>
    <hyperlink r:id="rId75" ref="N46"/>
    <hyperlink r:id="rId76" ref="G47"/>
    <hyperlink r:id="rId77" ref="N47"/>
    <hyperlink r:id="rId78" ref="G48"/>
    <hyperlink r:id="rId79" ref="N48"/>
    <hyperlink r:id="rId80" ref="G49"/>
    <hyperlink r:id="rId81" ref="N49"/>
    <hyperlink r:id="rId82" ref="G50"/>
    <hyperlink r:id="rId83" ref="N50"/>
    <hyperlink r:id="rId84" ref="G51"/>
    <hyperlink r:id="rId85" ref="N51"/>
    <hyperlink r:id="rId86" ref="G52"/>
    <hyperlink r:id="rId87" ref="N52"/>
    <hyperlink r:id="rId88" ref="G53"/>
    <hyperlink r:id="rId89" ref="N53"/>
    <hyperlink r:id="rId90" ref="G54"/>
    <hyperlink r:id="rId91" ref="N54"/>
    <hyperlink r:id="rId92" ref="G55"/>
    <hyperlink r:id="rId93" ref="N55"/>
    <hyperlink r:id="rId94" ref="G56"/>
    <hyperlink r:id="rId95" ref="N56"/>
    <hyperlink r:id="rId96" ref="G57"/>
    <hyperlink r:id="rId97" ref="N57"/>
    <hyperlink r:id="rId98" ref="G58"/>
    <hyperlink r:id="rId99" ref="N58"/>
    <hyperlink r:id="rId100" ref="G59"/>
    <hyperlink r:id="rId101" ref="N59"/>
    <hyperlink r:id="rId102" ref="G60"/>
    <hyperlink r:id="rId103" ref="N60"/>
    <hyperlink r:id="rId104" ref="G61"/>
    <hyperlink r:id="rId105" ref="N61"/>
    <hyperlink r:id="rId106" ref="G62"/>
    <hyperlink r:id="rId107" ref="N62"/>
    <hyperlink r:id="rId108" ref="G63"/>
    <hyperlink r:id="rId109" ref="N63"/>
    <hyperlink r:id="rId110" ref="G64"/>
    <hyperlink r:id="rId111" ref="N64"/>
    <hyperlink r:id="rId112" ref="G65"/>
    <hyperlink r:id="rId113" ref="N65"/>
    <hyperlink r:id="rId114" ref="G66"/>
    <hyperlink r:id="rId115" ref="N66"/>
    <hyperlink r:id="rId116" ref="G67"/>
    <hyperlink r:id="rId117" ref="N67"/>
    <hyperlink r:id="rId118" ref="G68"/>
    <hyperlink r:id="rId119" ref="N68"/>
    <hyperlink r:id="rId120" ref="G69"/>
    <hyperlink r:id="rId121" ref="N69"/>
    <hyperlink r:id="rId122" ref="G70"/>
    <hyperlink r:id="rId123" ref="N70"/>
    <hyperlink r:id="rId124" ref="G71"/>
    <hyperlink r:id="rId125" ref="N71"/>
    <hyperlink r:id="rId126" ref="G72"/>
    <hyperlink r:id="rId127" ref="N72"/>
    <hyperlink r:id="rId128" ref="G73"/>
    <hyperlink r:id="rId129" ref="N73"/>
    <hyperlink r:id="rId130" ref="G74"/>
    <hyperlink r:id="rId131" ref="N74"/>
    <hyperlink r:id="rId132" ref="G75"/>
    <hyperlink r:id="rId133" ref="N75"/>
    <hyperlink r:id="rId134" ref="G76"/>
    <hyperlink r:id="rId135" ref="N76"/>
    <hyperlink r:id="rId136" ref="G77"/>
    <hyperlink r:id="rId137" ref="N77"/>
    <hyperlink r:id="rId138" ref="G78"/>
    <hyperlink r:id="rId139" ref="N78"/>
    <hyperlink r:id="rId140" ref="G79"/>
    <hyperlink r:id="rId141" ref="N79"/>
    <hyperlink r:id="rId142" ref="G80"/>
    <hyperlink r:id="rId143" ref="N80"/>
    <hyperlink r:id="rId144" ref="G81"/>
    <hyperlink r:id="rId145" ref="N81"/>
    <hyperlink r:id="rId146" ref="G82"/>
    <hyperlink r:id="rId147" ref="N82"/>
    <hyperlink r:id="rId148" ref="G83"/>
    <hyperlink r:id="rId149" ref="N83"/>
    <hyperlink r:id="rId150" ref="G84"/>
    <hyperlink r:id="rId151" ref="N84"/>
    <hyperlink r:id="rId152" ref="G85"/>
    <hyperlink r:id="rId153" ref="N85"/>
    <hyperlink r:id="rId154" ref="G86"/>
    <hyperlink r:id="rId155" ref="N86"/>
    <hyperlink r:id="rId156" ref="G87"/>
    <hyperlink r:id="rId157" ref="N87"/>
    <hyperlink r:id="rId158" ref="G88"/>
    <hyperlink r:id="rId159" ref="N88"/>
    <hyperlink r:id="rId160" ref="G89"/>
    <hyperlink r:id="rId161" ref="N89"/>
    <hyperlink r:id="rId162" ref="G90"/>
    <hyperlink r:id="rId163" ref="N90"/>
    <hyperlink r:id="rId164" ref="G91"/>
    <hyperlink r:id="rId165" ref="N91"/>
    <hyperlink r:id="rId166" ref="G92"/>
    <hyperlink r:id="rId167" ref="N92"/>
    <hyperlink r:id="rId168" ref="G93"/>
    <hyperlink r:id="rId169" ref="N93"/>
    <hyperlink r:id="rId170" ref="G94"/>
    <hyperlink r:id="rId171" ref="N94"/>
    <hyperlink r:id="rId172" ref="G95"/>
    <hyperlink r:id="rId173" ref="N95"/>
    <hyperlink r:id="rId174" ref="G96"/>
    <hyperlink r:id="rId175" ref="N96"/>
    <hyperlink r:id="rId176" ref="G97"/>
    <hyperlink r:id="rId177" ref="N97"/>
    <hyperlink r:id="rId178" ref="G98"/>
    <hyperlink r:id="rId179" ref="N98"/>
    <hyperlink r:id="rId180" ref="G99"/>
    <hyperlink r:id="rId181" ref="N99"/>
    <hyperlink r:id="rId182" ref="G100"/>
    <hyperlink r:id="rId183" ref="N100"/>
    <hyperlink r:id="rId184" ref="G101"/>
    <hyperlink r:id="rId185" ref="N101"/>
    <hyperlink r:id="rId186" ref="G102"/>
    <hyperlink r:id="rId187" ref="N102"/>
    <hyperlink r:id="rId188" ref="G103"/>
    <hyperlink r:id="rId189" ref="N103"/>
    <hyperlink r:id="rId190" ref="G104"/>
    <hyperlink r:id="rId191" ref="N104"/>
    <hyperlink r:id="rId192" ref="G105"/>
    <hyperlink r:id="rId193" ref="N105"/>
    <hyperlink r:id="rId194" ref="G106"/>
    <hyperlink r:id="rId195" ref="N106"/>
    <hyperlink r:id="rId196" ref="G107"/>
    <hyperlink r:id="rId197" ref="N107"/>
    <hyperlink r:id="rId198" ref="G108"/>
    <hyperlink r:id="rId199" ref="N108"/>
    <hyperlink r:id="rId200" ref="G109"/>
    <hyperlink r:id="rId201" ref="N109"/>
    <hyperlink r:id="rId202" ref="G110"/>
    <hyperlink r:id="rId203" ref="N110"/>
    <hyperlink r:id="rId204" ref="G111"/>
    <hyperlink r:id="rId205" ref="N111"/>
    <hyperlink r:id="rId206" ref="G112"/>
    <hyperlink r:id="rId207" ref="N112"/>
    <hyperlink r:id="rId208" ref="G113"/>
    <hyperlink r:id="rId209" ref="N113"/>
    <hyperlink r:id="rId210" ref="G114"/>
    <hyperlink r:id="rId211" ref="N114"/>
    <hyperlink r:id="rId212" ref="G115"/>
    <hyperlink r:id="rId213" ref="N115"/>
    <hyperlink r:id="rId214" ref="G116"/>
    <hyperlink r:id="rId215" ref="N116"/>
    <hyperlink r:id="rId216" ref="G117"/>
    <hyperlink r:id="rId217" ref="N117"/>
    <hyperlink r:id="rId218" ref="G118"/>
    <hyperlink r:id="rId219" ref="N118"/>
    <hyperlink r:id="rId220" ref="G119"/>
    <hyperlink r:id="rId221" ref="N119"/>
    <hyperlink r:id="rId222" ref="G120"/>
    <hyperlink r:id="rId223" ref="N120"/>
    <hyperlink r:id="rId224" ref="G121"/>
    <hyperlink r:id="rId225" ref="N121"/>
    <hyperlink r:id="rId226" ref="G122"/>
    <hyperlink r:id="rId227" ref="N122"/>
    <hyperlink r:id="rId228" ref="G123"/>
    <hyperlink r:id="rId229" ref="N123"/>
    <hyperlink r:id="rId230" ref="G124"/>
    <hyperlink r:id="rId231" ref="N124"/>
    <hyperlink r:id="rId232" ref="G125"/>
    <hyperlink r:id="rId233" ref="N125"/>
    <hyperlink r:id="rId234" ref="G126"/>
    <hyperlink r:id="rId235" ref="N126"/>
    <hyperlink r:id="rId236" ref="G127"/>
    <hyperlink r:id="rId237" ref="N127"/>
    <hyperlink r:id="rId238" ref="G128"/>
    <hyperlink r:id="rId239" ref="N128"/>
    <hyperlink r:id="rId240" ref="G129"/>
    <hyperlink r:id="rId241" ref="N129"/>
    <hyperlink r:id="rId242" ref="G130"/>
    <hyperlink r:id="rId243" ref="N130"/>
    <hyperlink r:id="rId244" ref="G131"/>
    <hyperlink r:id="rId245" ref="N131"/>
    <hyperlink r:id="rId246" ref="G132"/>
    <hyperlink r:id="rId247" ref="N132"/>
    <hyperlink r:id="rId248" ref="G133"/>
    <hyperlink r:id="rId249" ref="N133"/>
    <hyperlink r:id="rId250" ref="G134"/>
    <hyperlink r:id="rId251" ref="N134"/>
    <hyperlink r:id="rId252" ref="G135"/>
    <hyperlink r:id="rId253" ref="N135"/>
    <hyperlink r:id="rId254" ref="G136"/>
    <hyperlink r:id="rId255" ref="N136"/>
    <hyperlink r:id="rId256" ref="G137"/>
    <hyperlink r:id="rId257" ref="N137"/>
    <hyperlink r:id="rId258" ref="G138"/>
    <hyperlink r:id="rId259" ref="N138"/>
    <hyperlink r:id="rId260" ref="G139"/>
    <hyperlink r:id="rId261" ref="N139"/>
    <hyperlink r:id="rId262" ref="G140"/>
    <hyperlink r:id="rId263" ref="N140"/>
    <hyperlink r:id="rId264" ref="G141"/>
    <hyperlink r:id="rId265" ref="N141"/>
    <hyperlink r:id="rId266" ref="G142"/>
    <hyperlink r:id="rId267" ref="N142"/>
    <hyperlink r:id="rId268" ref="G143"/>
    <hyperlink r:id="rId269" ref="N143"/>
    <hyperlink r:id="rId270" ref="G144"/>
    <hyperlink r:id="rId271" ref="N144"/>
    <hyperlink r:id="rId272" ref="G145"/>
    <hyperlink r:id="rId273" ref="N145"/>
    <hyperlink r:id="rId274" ref="G146"/>
    <hyperlink r:id="rId275" ref="N146"/>
    <hyperlink r:id="rId276" ref="G147"/>
    <hyperlink r:id="rId277" ref="N147"/>
    <hyperlink r:id="rId278" ref="G148"/>
    <hyperlink r:id="rId279" ref="N148"/>
    <hyperlink r:id="rId280" ref="G149"/>
    <hyperlink r:id="rId281" ref="N149"/>
    <hyperlink r:id="rId282" ref="G150"/>
    <hyperlink r:id="rId283" ref="N150"/>
    <hyperlink r:id="rId284" ref="G151"/>
    <hyperlink r:id="rId285" ref="N151"/>
    <hyperlink r:id="rId286" ref="G152"/>
    <hyperlink r:id="rId287" ref="N152"/>
    <hyperlink r:id="rId288" ref="G153"/>
    <hyperlink r:id="rId289" ref="N153"/>
    <hyperlink r:id="rId290" ref="G154"/>
    <hyperlink r:id="rId291" ref="N154"/>
    <hyperlink r:id="rId292" ref="G155"/>
    <hyperlink r:id="rId293" ref="N155"/>
    <hyperlink r:id="rId294" ref="G156"/>
    <hyperlink r:id="rId295" ref="N156"/>
    <hyperlink r:id="rId296" ref="G157"/>
    <hyperlink r:id="rId297" ref="N157"/>
    <hyperlink r:id="rId298" ref="G158"/>
    <hyperlink r:id="rId299" ref="N158"/>
    <hyperlink r:id="rId300" ref="G159"/>
    <hyperlink r:id="rId301" ref="N159"/>
    <hyperlink r:id="rId302" ref="G160"/>
    <hyperlink r:id="rId303" ref="N160"/>
    <hyperlink r:id="rId304" ref="G161"/>
    <hyperlink r:id="rId305" ref="N161"/>
    <hyperlink r:id="rId306" ref="G162"/>
    <hyperlink r:id="rId307" ref="N162"/>
    <hyperlink r:id="rId308" ref="G163"/>
    <hyperlink r:id="rId309" ref="N163"/>
    <hyperlink r:id="rId310" ref="G164"/>
    <hyperlink r:id="rId311" ref="N164"/>
    <hyperlink r:id="rId312" ref="G165"/>
    <hyperlink r:id="rId313" ref="N165"/>
    <hyperlink r:id="rId314" ref="G166"/>
    <hyperlink r:id="rId315" ref="N166"/>
    <hyperlink r:id="rId316" ref="G167"/>
    <hyperlink r:id="rId317" ref="N167"/>
    <hyperlink r:id="rId318" ref="G168"/>
    <hyperlink r:id="rId319" ref="N168"/>
    <hyperlink r:id="rId320" ref="G169"/>
    <hyperlink r:id="rId321" ref="N169"/>
    <hyperlink r:id="rId322" ref="G170"/>
    <hyperlink r:id="rId323" ref="N170"/>
    <hyperlink r:id="rId324" ref="G171"/>
    <hyperlink r:id="rId325" ref="N171"/>
    <hyperlink r:id="rId326" ref="G172"/>
    <hyperlink r:id="rId327" ref="N172"/>
    <hyperlink r:id="rId328" ref="G173"/>
    <hyperlink r:id="rId329" ref="N173"/>
    <hyperlink r:id="rId330" ref="G174"/>
    <hyperlink r:id="rId331" ref="N174"/>
    <hyperlink r:id="rId332" ref="G175"/>
    <hyperlink r:id="rId333" ref="N175"/>
    <hyperlink r:id="rId334" ref="G176"/>
    <hyperlink r:id="rId335" ref="N176"/>
    <hyperlink r:id="rId336" ref="G177"/>
    <hyperlink r:id="rId337" ref="N177"/>
    <hyperlink r:id="rId338" ref="G178"/>
    <hyperlink r:id="rId339" ref="N178"/>
    <hyperlink r:id="rId340" ref="G179"/>
    <hyperlink r:id="rId341" ref="N179"/>
    <hyperlink r:id="rId342" ref="G180"/>
    <hyperlink r:id="rId343" ref="N180"/>
    <hyperlink r:id="rId344" ref="G181"/>
    <hyperlink r:id="rId345" ref="N181"/>
    <hyperlink r:id="rId346" ref="G182"/>
    <hyperlink r:id="rId347" ref="N182"/>
    <hyperlink r:id="rId348" ref="G183"/>
    <hyperlink r:id="rId349" ref="N183"/>
    <hyperlink r:id="rId350" ref="G184"/>
    <hyperlink r:id="rId351" ref="N184"/>
    <hyperlink r:id="rId352" ref="G185"/>
    <hyperlink r:id="rId353" ref="N185"/>
    <hyperlink r:id="rId354" ref="G186"/>
    <hyperlink r:id="rId355" ref="N186"/>
    <hyperlink r:id="rId356" ref="G187"/>
    <hyperlink r:id="rId357" ref="N187"/>
    <hyperlink r:id="rId358" ref="G188"/>
    <hyperlink r:id="rId359" ref="N188"/>
    <hyperlink r:id="rId360" ref="G189"/>
    <hyperlink r:id="rId361" ref="N189"/>
    <hyperlink r:id="rId362" ref="G190"/>
    <hyperlink r:id="rId363" ref="N190"/>
    <hyperlink r:id="rId364" ref="G191"/>
    <hyperlink r:id="rId365" ref="N191"/>
    <hyperlink r:id="rId366" ref="G192"/>
    <hyperlink r:id="rId367" ref="N192"/>
    <hyperlink r:id="rId368" ref="G193"/>
    <hyperlink r:id="rId369" ref="N193"/>
    <hyperlink r:id="rId370" ref="G194"/>
    <hyperlink r:id="rId371" ref="N194"/>
    <hyperlink r:id="rId372" ref="G195"/>
    <hyperlink r:id="rId373" ref="N195"/>
    <hyperlink r:id="rId374" ref="G196"/>
    <hyperlink r:id="rId375" ref="N196"/>
    <hyperlink r:id="rId376" ref="G197"/>
    <hyperlink r:id="rId377" ref="N197"/>
    <hyperlink r:id="rId378" ref="G198"/>
    <hyperlink r:id="rId379" ref="N198"/>
    <hyperlink r:id="rId380" ref="G199"/>
    <hyperlink r:id="rId381" ref="N199"/>
    <hyperlink r:id="rId382" ref="G200"/>
    <hyperlink r:id="rId383" ref="N200"/>
    <hyperlink r:id="rId384" ref="G201"/>
    <hyperlink r:id="rId385" ref="N201"/>
    <hyperlink r:id="rId386" ref="G202"/>
    <hyperlink r:id="rId387" ref="N202"/>
    <hyperlink r:id="rId388" ref="G203"/>
    <hyperlink r:id="rId389" ref="N203"/>
    <hyperlink r:id="rId390" ref="G204"/>
    <hyperlink r:id="rId391" ref="N204"/>
    <hyperlink r:id="rId392" ref="G205"/>
    <hyperlink r:id="rId393" ref="N205"/>
    <hyperlink r:id="rId394" ref="G206"/>
    <hyperlink r:id="rId395" ref="N206"/>
    <hyperlink r:id="rId396" ref="G207"/>
    <hyperlink r:id="rId397" ref="N207"/>
    <hyperlink r:id="rId398" ref="G208"/>
    <hyperlink r:id="rId399" ref="N208"/>
    <hyperlink r:id="rId400" ref="G209"/>
    <hyperlink r:id="rId401" ref="N209"/>
    <hyperlink r:id="rId402" ref="G210"/>
    <hyperlink r:id="rId403" ref="N210"/>
    <hyperlink r:id="rId404" ref="G211"/>
    <hyperlink r:id="rId405" ref="N211"/>
    <hyperlink r:id="rId406" ref="G212"/>
    <hyperlink r:id="rId407" ref="N212"/>
    <hyperlink r:id="rId408" ref="G213"/>
    <hyperlink r:id="rId409" ref="N213"/>
    <hyperlink r:id="rId410" ref="G214"/>
    <hyperlink r:id="rId411" ref="N214"/>
    <hyperlink r:id="rId412" ref="G215"/>
    <hyperlink r:id="rId413" ref="N215"/>
    <hyperlink r:id="rId414" ref="G216"/>
    <hyperlink r:id="rId415" ref="N216"/>
    <hyperlink r:id="rId416" ref="G217"/>
    <hyperlink r:id="rId417" ref="N217"/>
    <hyperlink r:id="rId418" ref="G218"/>
    <hyperlink r:id="rId419" ref="N218"/>
    <hyperlink r:id="rId420" ref="G219"/>
    <hyperlink r:id="rId421" ref="N219"/>
    <hyperlink r:id="rId422" ref="G220"/>
    <hyperlink r:id="rId423" ref="N220"/>
    <hyperlink r:id="rId424" ref="G221"/>
    <hyperlink r:id="rId425" ref="N221"/>
    <hyperlink r:id="rId426" ref="G222"/>
    <hyperlink r:id="rId427" ref="N222"/>
    <hyperlink r:id="rId428" ref="G223"/>
    <hyperlink r:id="rId429" ref="N223"/>
    <hyperlink r:id="rId430" ref="G224"/>
    <hyperlink r:id="rId431" ref="N224"/>
    <hyperlink r:id="rId432" ref="G225"/>
    <hyperlink r:id="rId433" ref="N225"/>
    <hyperlink r:id="rId434" ref="G226"/>
    <hyperlink r:id="rId435" ref="N226"/>
    <hyperlink r:id="rId436" ref="G227"/>
    <hyperlink r:id="rId437" ref="N227"/>
    <hyperlink r:id="rId438" ref="G228"/>
    <hyperlink r:id="rId439" ref="N228"/>
    <hyperlink r:id="rId440" ref="G229"/>
    <hyperlink r:id="rId441" ref="N229"/>
    <hyperlink r:id="rId442" ref="G230"/>
    <hyperlink r:id="rId443" ref="N230"/>
    <hyperlink r:id="rId444" ref="G231"/>
    <hyperlink r:id="rId445" ref="N231"/>
    <hyperlink r:id="rId446" ref="G232"/>
    <hyperlink r:id="rId447" ref="N232"/>
    <hyperlink r:id="rId448" ref="G233"/>
    <hyperlink r:id="rId449" ref="N233"/>
    <hyperlink r:id="rId450" ref="G234"/>
    <hyperlink r:id="rId451" ref="N234"/>
    <hyperlink r:id="rId452" ref="G235"/>
    <hyperlink r:id="rId453" ref="N235"/>
    <hyperlink r:id="rId454" ref="G236"/>
    <hyperlink r:id="rId455" ref="N236"/>
    <hyperlink r:id="rId456" ref="G237"/>
    <hyperlink r:id="rId457" ref="N237"/>
    <hyperlink r:id="rId458" ref="G238"/>
    <hyperlink r:id="rId459" ref="N238"/>
    <hyperlink r:id="rId460" ref="G239"/>
    <hyperlink r:id="rId461" ref="N239"/>
    <hyperlink r:id="rId462" ref="G240"/>
    <hyperlink r:id="rId463" ref="N240"/>
    <hyperlink r:id="rId464" ref="G241"/>
    <hyperlink r:id="rId465" ref="N241"/>
    <hyperlink r:id="rId466" ref="G242"/>
    <hyperlink r:id="rId467" ref="N242"/>
    <hyperlink r:id="rId468" ref="G243"/>
    <hyperlink r:id="rId469" ref="N243"/>
    <hyperlink r:id="rId470" ref="G244"/>
    <hyperlink r:id="rId471" ref="N244"/>
    <hyperlink r:id="rId472" ref="G245"/>
    <hyperlink r:id="rId473" ref="N245"/>
    <hyperlink r:id="rId474" ref="G246"/>
    <hyperlink r:id="rId475" ref="N246"/>
    <hyperlink r:id="rId476" ref="G247"/>
    <hyperlink r:id="rId477" ref="N247"/>
    <hyperlink r:id="rId478" ref="G248"/>
    <hyperlink r:id="rId479" ref="N248"/>
    <hyperlink r:id="rId480" ref="G249"/>
    <hyperlink r:id="rId481" ref="N249"/>
    <hyperlink r:id="rId482" ref="G250"/>
    <hyperlink r:id="rId483" ref="N250"/>
    <hyperlink r:id="rId484" ref="G251"/>
    <hyperlink r:id="rId485" ref="N251"/>
    <hyperlink r:id="rId486" ref="G252"/>
    <hyperlink r:id="rId487" ref="N252"/>
    <hyperlink r:id="rId488" ref="G253"/>
    <hyperlink r:id="rId489" ref="N253"/>
    <hyperlink r:id="rId490" ref="G254"/>
    <hyperlink r:id="rId491" ref="N254"/>
    <hyperlink r:id="rId492" ref="G255"/>
    <hyperlink r:id="rId493" ref="N255"/>
    <hyperlink r:id="rId494" ref="G256"/>
    <hyperlink r:id="rId495" ref="N256"/>
    <hyperlink r:id="rId496" ref="G257"/>
    <hyperlink r:id="rId497" ref="N257"/>
    <hyperlink r:id="rId498" ref="G258"/>
    <hyperlink r:id="rId499" ref="N258"/>
    <hyperlink r:id="rId500" ref="G259"/>
    <hyperlink r:id="rId501" ref="N259"/>
    <hyperlink r:id="rId502" ref="G260"/>
    <hyperlink r:id="rId503" ref="N260"/>
    <hyperlink r:id="rId504" ref="G261"/>
    <hyperlink r:id="rId505" ref="N261"/>
    <hyperlink r:id="rId506" ref="G262"/>
    <hyperlink r:id="rId507" ref="N262"/>
    <hyperlink r:id="rId508" ref="G263"/>
    <hyperlink r:id="rId509" ref="N263"/>
    <hyperlink r:id="rId510" ref="G264"/>
    <hyperlink r:id="rId511" ref="N264"/>
    <hyperlink r:id="rId512" ref="G265"/>
    <hyperlink r:id="rId513" ref="N265"/>
    <hyperlink r:id="rId514" ref="G266"/>
    <hyperlink r:id="rId515" ref="N266"/>
    <hyperlink r:id="rId516" ref="G267"/>
    <hyperlink r:id="rId517" ref="N267"/>
    <hyperlink r:id="rId518" ref="G268"/>
    <hyperlink r:id="rId519" ref="N268"/>
    <hyperlink r:id="rId520" ref="G269"/>
    <hyperlink r:id="rId521" ref="N269"/>
    <hyperlink r:id="rId522" ref="G270"/>
    <hyperlink r:id="rId523" ref="N270"/>
    <hyperlink r:id="rId524" ref="G271"/>
    <hyperlink r:id="rId525" ref="N271"/>
    <hyperlink r:id="rId526" ref="G272"/>
    <hyperlink r:id="rId527" ref="N272"/>
    <hyperlink r:id="rId528" ref="G273"/>
    <hyperlink r:id="rId529" ref="N273"/>
    <hyperlink r:id="rId530" ref="G274"/>
    <hyperlink r:id="rId531" ref="N274"/>
    <hyperlink r:id="rId532" ref="G275"/>
    <hyperlink r:id="rId533" ref="N275"/>
    <hyperlink r:id="rId534" ref="G276"/>
    <hyperlink r:id="rId535" ref="N276"/>
    <hyperlink r:id="rId536" ref="G277"/>
    <hyperlink r:id="rId537" ref="N277"/>
    <hyperlink r:id="rId538" ref="G278"/>
    <hyperlink r:id="rId539" ref="N278"/>
    <hyperlink r:id="rId540" ref="G279"/>
    <hyperlink r:id="rId541" ref="N279"/>
    <hyperlink r:id="rId542" ref="G280"/>
    <hyperlink r:id="rId543" ref="N280"/>
    <hyperlink r:id="rId544" ref="G281"/>
    <hyperlink r:id="rId545" ref="N281"/>
    <hyperlink r:id="rId546" ref="G282"/>
    <hyperlink r:id="rId547" ref="N282"/>
    <hyperlink r:id="rId548" ref="G283"/>
    <hyperlink r:id="rId549" ref="N283"/>
    <hyperlink r:id="rId550" ref="G284"/>
    <hyperlink r:id="rId551" ref="N284"/>
    <hyperlink r:id="rId552" ref="G285"/>
    <hyperlink r:id="rId553" ref="N285"/>
    <hyperlink r:id="rId554" ref="G286"/>
    <hyperlink r:id="rId555" ref="N286"/>
    <hyperlink r:id="rId556" ref="G287"/>
    <hyperlink r:id="rId557" ref="N287"/>
    <hyperlink r:id="rId558" ref="G288"/>
    <hyperlink r:id="rId559" ref="N288"/>
    <hyperlink r:id="rId560" ref="G289"/>
    <hyperlink r:id="rId561" ref="N289"/>
    <hyperlink r:id="rId562" ref="G290"/>
    <hyperlink r:id="rId563" ref="N290"/>
    <hyperlink r:id="rId564" ref="G291"/>
    <hyperlink r:id="rId565" ref="N291"/>
    <hyperlink r:id="rId566" ref="G292"/>
    <hyperlink r:id="rId567" ref="N292"/>
    <hyperlink r:id="rId568" ref="G293"/>
    <hyperlink r:id="rId569" ref="N293"/>
    <hyperlink r:id="rId570" ref="G294"/>
    <hyperlink r:id="rId571" ref="N294"/>
    <hyperlink r:id="rId572" ref="G295"/>
    <hyperlink r:id="rId573" ref="N295"/>
    <hyperlink r:id="rId574" ref="G296"/>
    <hyperlink r:id="rId575" ref="N296"/>
    <hyperlink r:id="rId576" ref="G297"/>
    <hyperlink r:id="rId577" ref="N297"/>
    <hyperlink r:id="rId578" ref="G298"/>
    <hyperlink r:id="rId579" ref="N298"/>
    <hyperlink r:id="rId580" ref="G299"/>
    <hyperlink r:id="rId581" ref="N299"/>
    <hyperlink r:id="rId582" ref="G300"/>
    <hyperlink r:id="rId583" ref="N300"/>
    <hyperlink r:id="rId584" ref="G301"/>
    <hyperlink r:id="rId585" ref="N301"/>
    <hyperlink r:id="rId586" ref="G302"/>
    <hyperlink r:id="rId587" ref="N302"/>
    <hyperlink r:id="rId588" ref="G303"/>
    <hyperlink r:id="rId589" ref="N303"/>
    <hyperlink r:id="rId590" ref="G304"/>
    <hyperlink r:id="rId591" ref="N304"/>
    <hyperlink r:id="rId592" ref="G305"/>
    <hyperlink r:id="rId593" ref="N305"/>
    <hyperlink r:id="rId594" ref="G306"/>
    <hyperlink r:id="rId595" ref="N306"/>
    <hyperlink r:id="rId596" ref="G307"/>
    <hyperlink r:id="rId597" ref="N307"/>
    <hyperlink r:id="rId598" ref="G308"/>
    <hyperlink r:id="rId599" ref="N308"/>
    <hyperlink r:id="rId600" ref="G309"/>
    <hyperlink r:id="rId601" ref="N309"/>
    <hyperlink r:id="rId602" ref="G310"/>
    <hyperlink r:id="rId603" ref="N310"/>
    <hyperlink r:id="rId604" ref="G311"/>
    <hyperlink r:id="rId605" ref="N311"/>
    <hyperlink r:id="rId606" ref="G312"/>
    <hyperlink r:id="rId607" ref="N312"/>
    <hyperlink r:id="rId608" ref="G313"/>
    <hyperlink r:id="rId609" ref="N313"/>
    <hyperlink r:id="rId610" ref="G314"/>
    <hyperlink r:id="rId611" ref="N314"/>
    <hyperlink r:id="rId612" ref="G315"/>
    <hyperlink r:id="rId613" ref="N315"/>
    <hyperlink r:id="rId614" ref="G316"/>
    <hyperlink r:id="rId615" ref="N316"/>
    <hyperlink r:id="rId616" ref="G317"/>
    <hyperlink r:id="rId617" ref="G318"/>
    <hyperlink r:id="rId618" ref="G319"/>
    <hyperlink r:id="rId619" ref="G320"/>
    <hyperlink r:id="rId620" ref="G321"/>
    <hyperlink r:id="rId621" ref="G322"/>
    <hyperlink r:id="rId622" ref="G323"/>
    <hyperlink r:id="rId623" ref="G324"/>
    <hyperlink r:id="rId624" ref="G325"/>
    <hyperlink r:id="rId625" ref="G326"/>
    <hyperlink r:id="rId626" ref="G327"/>
    <hyperlink r:id="rId627" ref="G328"/>
    <hyperlink r:id="rId628" ref="G329"/>
    <hyperlink r:id="rId629" ref="G330"/>
    <hyperlink r:id="rId630" ref="G331"/>
    <hyperlink r:id="rId631" ref="G332"/>
    <hyperlink r:id="rId632" ref="G333"/>
    <hyperlink r:id="rId633" ref="G334"/>
    <hyperlink r:id="rId634" ref="G335"/>
    <hyperlink r:id="rId635" ref="G336"/>
    <hyperlink r:id="rId636" ref="G337"/>
    <hyperlink r:id="rId637" ref="G338"/>
    <hyperlink r:id="rId638" ref="G339"/>
    <hyperlink r:id="rId639" ref="G340"/>
    <hyperlink r:id="rId640" ref="G341"/>
    <hyperlink r:id="rId641" ref="G342"/>
    <hyperlink r:id="rId642" ref="G343"/>
    <hyperlink r:id="rId643" ref="G344"/>
    <hyperlink r:id="rId644" ref="G345"/>
    <hyperlink r:id="rId645" ref="G346"/>
    <hyperlink r:id="rId646" ref="G347"/>
    <hyperlink r:id="rId647" ref="G348"/>
    <hyperlink r:id="rId648" ref="G349"/>
    <hyperlink r:id="rId649" ref="G350"/>
  </hyperlinks>
  <printOptions gridLines="1" horizontalCentered="1"/>
  <pageMargins bottom="0.0" footer="0.0" header="0.0" left="0.0" right="0.0" top="0.0"/>
  <pageSetup fitToHeight="0" cellComments="atEnd" orientation="landscape" pageOrder="overThenDown"/>
  <drawing r:id="rId6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5.13"/>
    <col customWidth="1" min="3" max="3" width="12.63"/>
    <col customWidth="1" min="4" max="4" width="50.13"/>
    <col customWidth="1" min="5" max="6" width="25.13"/>
    <col customWidth="1" min="7" max="7" width="12.63"/>
    <col customWidth="1" min="8" max="8" width="50.13"/>
    <col customWidth="1" min="9" max="9" width="25.13"/>
    <col customWidth="1" min="10" max="10" width="3.25"/>
  </cols>
  <sheetData>
    <row r="1" ht="18.75" customHeight="1">
      <c r="A1" s="90"/>
      <c r="B1" s="91"/>
      <c r="C1" s="92"/>
      <c r="D1" s="93"/>
      <c r="E1" s="94"/>
      <c r="F1" s="95"/>
      <c r="G1" s="96"/>
      <c r="H1" s="91"/>
      <c r="I1" s="91"/>
      <c r="J1" s="97"/>
    </row>
    <row r="2" ht="26.25" customHeight="1">
      <c r="A2" s="98"/>
      <c r="B2" s="99" t="s">
        <v>1984</v>
      </c>
      <c r="D2" s="100"/>
      <c r="J2" s="101"/>
    </row>
    <row r="3" ht="26.25" customHeight="1">
      <c r="A3" s="101"/>
      <c r="B3" s="99" t="s">
        <v>1985</v>
      </c>
      <c r="D3" s="100"/>
      <c r="J3" s="101"/>
    </row>
    <row r="4" ht="26.25" customHeight="1">
      <c r="A4" s="101"/>
      <c r="B4" s="99" t="str">
        <f>IF(Text!L2 &lt;&gt; "",  "CHANCE", "-")</f>
        <v>CHANCE</v>
      </c>
      <c r="D4" s="100"/>
      <c r="J4" s="101"/>
    </row>
    <row r="5" ht="26.25" customHeight="1">
      <c r="A5" s="101"/>
      <c r="B5" s="99" t="str">
        <f>IF(Text!N2 &lt;&gt; "",  "PERCENTAGE", "-")</f>
        <v>PERCENTAGE</v>
      </c>
      <c r="D5" s="100"/>
      <c r="J5" s="101"/>
    </row>
    <row r="6" ht="26.25" customHeight="1">
      <c r="A6" s="101"/>
      <c r="B6" s="99" t="str">
        <f>IF(Text!O2 &lt;&gt; "",  "TIME", "-")</f>
        <v>TIME</v>
      </c>
      <c r="D6" s="100"/>
      <c r="J6" s="101"/>
    </row>
    <row r="7" ht="26.25" customHeight="1">
      <c r="A7" s="101"/>
      <c r="B7" s="99" t="s">
        <v>1986</v>
      </c>
      <c r="D7" s="102"/>
      <c r="J7" s="101"/>
    </row>
    <row r="8" ht="26.25" customHeight="1">
      <c r="A8" s="101"/>
      <c r="B8" s="103" t="s">
        <v>1987</v>
      </c>
      <c r="C8" s="99" t="b">
        <v>0</v>
      </c>
      <c r="D8" s="104"/>
      <c r="E8" s="104"/>
      <c r="F8" s="104"/>
      <c r="G8" s="104"/>
      <c r="H8" s="104"/>
      <c r="I8" s="104"/>
      <c r="J8" s="101"/>
    </row>
    <row r="9" ht="26.25" customHeight="1">
      <c r="A9" s="101"/>
      <c r="B9" s="103" t="s">
        <v>1988</v>
      </c>
      <c r="C9" s="99" t="b">
        <v>0</v>
      </c>
      <c r="D9" s="104"/>
      <c r="E9" s="104"/>
      <c r="F9" s="104"/>
      <c r="G9" s="104"/>
      <c r="H9" s="104"/>
      <c r="I9" s="104"/>
      <c r="J9" s="101"/>
    </row>
    <row r="10" ht="15.0" hidden="1" customHeight="1">
      <c r="A10" s="101"/>
      <c r="B10" s="105"/>
      <c r="C10" s="105"/>
      <c r="D10" s="106" t="str">
        <f>IFERROR(__xludf.DUMMYFUNCTION("IFERROR(FLATTEN(SPLIT(TRIM(REGEXREPLACE(D7, ""\s?\[.*?\]"", """")), "", "", FALSE)), )"),"")</f>
        <v/>
      </c>
      <c r="F10" s="107"/>
      <c r="G10" s="101"/>
      <c r="H10" s="101"/>
      <c r="I10" s="101"/>
      <c r="J10" s="101"/>
    </row>
    <row r="11" ht="15.0" hidden="1" customHeight="1">
      <c r="A11" s="101"/>
      <c r="B11" s="105"/>
      <c r="C11" s="105"/>
      <c r="D11" s="106"/>
      <c r="F11" s="101"/>
      <c r="G11" s="101"/>
      <c r="H11" s="101"/>
      <c r="I11" s="101"/>
      <c r="J11" s="101"/>
    </row>
    <row r="12" ht="15.0" hidden="1" customHeight="1">
      <c r="A12" s="101"/>
      <c r="B12" s="105"/>
      <c r="C12" s="105"/>
      <c r="D12" s="106"/>
      <c r="F12" s="101"/>
      <c r="G12" s="101"/>
      <c r="H12" s="101"/>
      <c r="I12" s="101"/>
      <c r="J12" s="101"/>
    </row>
    <row r="13" ht="15.0" hidden="1" customHeight="1">
      <c r="A13" s="101"/>
      <c r="B13" s="105"/>
      <c r="C13" s="105"/>
      <c r="D13" s="106"/>
      <c r="F13" s="101"/>
      <c r="G13" s="101"/>
      <c r="H13" s="101"/>
      <c r="I13" s="101"/>
      <c r="J13" s="101"/>
    </row>
    <row r="14" ht="15.0" hidden="1" customHeight="1">
      <c r="A14" s="101"/>
      <c r="B14" s="105"/>
      <c r="C14" s="105"/>
      <c r="D14" s="106"/>
      <c r="F14" s="101"/>
      <c r="G14" s="101"/>
      <c r="H14" s="101"/>
      <c r="I14" s="101"/>
      <c r="J14" s="101"/>
    </row>
    <row r="15" ht="15.0" hidden="1" customHeight="1">
      <c r="A15" s="101"/>
      <c r="B15" s="105"/>
      <c r="C15" s="105"/>
      <c r="D15" s="106"/>
      <c r="F15" s="101"/>
      <c r="G15" s="101"/>
      <c r="H15" s="101"/>
      <c r="I15" s="101"/>
      <c r="J15" s="101"/>
    </row>
    <row r="16" ht="15.0" hidden="1" customHeight="1">
      <c r="A16" s="101"/>
      <c r="B16" s="105"/>
      <c r="C16" s="105"/>
      <c r="D16" s="106"/>
      <c r="F16" s="101"/>
      <c r="G16" s="101"/>
      <c r="H16" s="101"/>
      <c r="I16" s="101"/>
      <c r="J16" s="101"/>
    </row>
    <row r="17" ht="37.5" customHeight="1">
      <c r="A17" s="101"/>
      <c r="B17" s="108">
        <f>COUNTA(B18:B368)</f>
        <v>341</v>
      </c>
      <c r="F17" s="108">
        <f>COUNTA(F18:F368)</f>
        <v>307</v>
      </c>
      <c r="J17" s="101"/>
    </row>
    <row r="18" ht="75.0" customHeight="1">
      <c r="A18" s="101"/>
      <c r="B18" s="109" t="str">
        <f>IFERROR(__xludf.DUMMYFUNCTION("IFERROR(
    FILTER('Medals Database'!C9:C368,
        ('Medals Database'!$C9:$C368 &lt;&gt; """") *
        IF($D2 &lt;&gt; """", REGEXMATCH('Medals Database'!$E9:$E368, REGEXREPLACE(D2, ""([()])"", ""\\$1"") &amp; ""(:|\.)""), TRUE) *
        IF($D3 &lt;&gt; """", REGE"&amp;"XMATCH('Medals Database'!$E9:$E368, $D3), TRUE) *
        IF($D4 &lt;&gt; """", REGEXMATCH('Medals Database'!$E9:$E368, $D4), TRUE) *
        IF($D5 &lt;&gt; """", REGEXMATCH('Medals Database'!$E9:$E368, $D5), TRUE) *
        IF($D6 &lt;&gt; """", REGEXMATCH('Medals Databa"&amp;"se'!$E9:$E368, $D6), TRUE) *
        IF($D10  &lt;&gt; """", REGEXMATCH('Medals Database'!$F9:$F368, ""^(.*\n)*"" &amp; $D10  &amp; ""(\n.*)*$""), TRUE) *
        IF($D11 &lt;&gt; """", REGEXMATCH('Medals Database'!$F9:$F368, ""^(.*\n)*"" &amp; $D11 &amp; ""(\n.*)*$""), TRUE) *
   "&amp;"     IF($D12 &lt;&gt; """", REGEXMATCH('Medals Database'!$F9:$F368, ""^(.*\n)*"" &amp; $D12 &amp; ""(\n.*)*$""), TRUE) *
        IF($D13 &lt;&gt; """", REGEXMATCH('Medals Database'!$F9:$F368, ""^(.*\n)*"" &amp; $D13 &amp; ""(\n.*)*$""), TRUE) *
        IF($D14 &lt;&gt; """", REGEXMATCH('M"&amp;"edals Database'!$F9:$F368, ""^(.*\n)*"" &amp; $D14 &amp; ""(\n.*)*$""), TRUE) *
        IF($D15 &lt;&gt; """", REGEXMATCH('Medals Database'!$F9:$F368, ""^(.*\n)*"" &amp; $D15 &amp; ""(\n.*)*$""), TRUE) *
        IF($D16 &lt;&gt; """", REGEXMATCH('Medals Database'!$F9:$F368, ""^(.*\n"&amp;")*"" &amp; $D16 &amp; ""(\n.*)*$""), TRUE)
    ),
)"),"Black Vortex")</f>
        <v>Black Vortex</v>
      </c>
      <c r="C18" s="109" t="str">
        <f>IFERROR(__xludf.DUMMYFUNCTION("IFERROR(
    FILTER('Medals Database'!D9:D368,
        ('Medals Database'!$C9:$C368 &lt;&gt; """") *
        IF($D2 &lt;&gt; """", REGEXMATCH('Medals Database'!$E9:$E368, REGEXREPLACE(D2, ""([()])"", ""\\$1"") &amp; ""(:|\.)""), TRUE) *
        IF($D3 &lt;&gt; """", REGE"&amp;"XMATCH('Medals Database'!$E9:$E368, $D3), TRUE) *
        IF($D4 &lt;&gt; """", REGEXMATCH('Medals Database'!$E9:$E368, $D4), TRUE) *
        IF($D5 &lt;&gt; """", REGEXMATCH('Medals Database'!$E9:$E368, $D5), TRUE) *
        IF($D6 &lt;&gt; """", REGEXMATCH('Medals Databa"&amp;"se'!$E9:$E368, $D6), TRUE) *
        IF($D10  &lt;&gt; """", REGEXMATCH('Medals Database'!$F9:$F368, ""^(.*\n)*"" &amp; $D10  &amp; ""(\n.*)*$""), TRUE) *
        IF($D11 &lt;&gt; """", REGEXMATCH('Medals Database'!$F9:$F368, ""^(.*\n)*"" &amp; $D11 &amp; ""(\n.*)*$""), TRUE) *
   "&amp;"     IF($D12 &lt;&gt; """", REGEXMATCH('Medals Database'!$F9:$F368, ""^(.*\n)*"" &amp; $D12 &amp; ""(\n.*)*$""), TRUE) *
        IF($D13 &lt;&gt; """", REGEXMATCH('Medals Database'!$F9:$F368, ""^(.*\n)*"" &amp; $D13 &amp; ""(\n.*)*$""), TRUE) *
        IF($D14 &lt;&gt; """", REGEXMATCH('M"&amp;"edals Database'!$F9:$F368, ""^(.*\n)*"" &amp; $D14 &amp; ""(\n.*)*$""), TRUE) *
        IF($D15 &lt;&gt; """", REGEXMATCH('Medals Database'!$F9:$F368, ""^(.*\n)*"" &amp; $D15 &amp; ""(\n.*)*$""), TRUE) *
        IF($D16 &lt;&gt; """", REGEXMATCH('Medals Database'!$F9:$F368, ""^(.*\n"&amp;")*"" &amp; $D16 &amp; ""(\n.*)*$""), TRUE)
    ),
)"),"")</f>
        <v/>
      </c>
      <c r="D18" s="109" t="str">
        <f>IFERROR(__xludf.DUMMYFUNCTION("
    FILTER('Medals Database'!E9:E368,
        ('Medals Database'!$C9:$C368 &lt;&gt; """") *
        IF($D2 &lt;&gt; """", REGEXMATCH('Medals Database'!$E9:$E368, REGEXREPLACE(D2, ""([()])"", ""\\$1"") &amp; ""(:|\.)""), TRUE) *
        IF($D3 &lt;&gt; """", REGEXMATCH('"&amp;"Medals Database'!$E9:$E368, $D3), TRUE) *
        IF($D4 &lt;&gt; """", REGEXMATCH('Medals Database'!$E9:$E368, $D4), TRUE) *
        IF($D5 &lt;&gt; """", REGEXMATCH('Medals Database'!$E9:$E368, $D5), TRUE) *
        IF($D6 &lt;&gt; """", REGEXMATCH('Medals Database'!$E9:"&amp;"$E368, $D6), TRUE) *
        IF($D10  &lt;&gt; """", REGEXMATCH('Medals Database'!$F9:$F368, ""^(.*\n)*"" &amp; $D10  &amp; ""(\n.*)*$""), TRUE) *
        IF($D11 &lt;&gt; """", REGEXMATCH('Medals Database'!$F9:$F368, ""^(.*\n)*"" &amp; $D11 &amp; ""(\n.*)*$""), TRUE) *
        IF("&amp;"$D12 &lt;&gt; """", REGEXMATCH('Medals Database'!$F9:$F368, ""^(.*\n)*"" &amp; $D12 &amp; ""(\n.*)*$""), TRUE) *
        IF($D13 &lt;&gt; """", REGEXMATCH('Medals Database'!$F9:$F368, ""^(.*\n)*"" &amp; $D13 &amp; ""(\n.*)*$""), TRUE) *
        IF($D14 &lt;&gt; """", REGEXMATCH('Medals Da"&amp;"tabase'!$F9:$F368, ""^(.*\n)*"" &amp; $D14 &amp; ""(\n.*)*$""), TRUE) *
        IF($D15 &lt;&gt; """", REGEXMATCH('Medals Database'!$F9:$F368, ""^(.*\n)*"" &amp; $D15 &amp; ""(\n.*)*$""), TRUE) *
        IF($D16 &lt;&gt; """", REGEXMATCH('Medals Database'!$F9:$F368, ""^(.*\n)*"" &amp; $"&amp;"D16 &amp; ""(\n.*)*$""), TRUE)
    )"),"When attacked by a character type ``Power users`` enemy: Reduce damage recieved by 2%.")</f>
        <v>When attacked by a character type ``Power users`` enemy: Reduce damage recieved by 2%.</v>
      </c>
      <c r="E18" s="110" t="str">
        <f>IFERROR(__xludf.DUMMYFUNCTION("IFERROR(
    FILTER('Medals Database'!F9:F368,
        ('Medals Database'!$C9:$C368 &lt;&gt; """") *
        REGEXMATCH('Medals Database'!$E9:$E368, REGEXREPLACE(D2, ""([()])"", ""\\$1"") &amp; ""(:|\.)"") *
        REGEXMATCH('Medals Database'!$E9:$E368, $D3"&amp;") *
        REGEXMATCH('Medals Database'!$E9:$E368, $D4) *
        REGEXMATCH('Medals Database'!$E9:$E368, $D5) *
        REGEXMATCH('Medals Database'!$E9:$E368, $D6) *
        IF($D10  &lt;&gt; """", REGEXMATCH('Medals Database'!$F9:$F368, ""^(.*\n)*"" &amp; $D10"&amp;"  &amp; ""(\n.*)*$""), TRUE) *
        IF($D11 &lt;&gt; """", REGEXMATCH('Medals Database'!$F9:$F368, ""^(.*\n)*"" &amp; $D11 &amp; ""(\n.*)*$""), TRUE) *
        IF($D12 &lt;&gt; """", REGEXMATCH('Medals Database'!$F9:$F368, ""^(.*\n)*"" &amp; $D12 &amp; ""(\n.*)*$""), TRUE) *
        "&amp;"IF($D13 &lt;&gt; """", REGEXMATCH('Medals Database'!$F9:$F368, ""^(.*\n)*"" &amp; $D13 &amp; ""(\n.*)*$""), TRUE) *
        IF($D14 &lt;&gt; """", REGEXMATCH('Medals Database'!$F9:$F368, ""^(.*\n)*"" &amp; $D14 &amp; ""(\n.*)*$""), TRUE) *
        IF($D15 &lt;&gt; """", REGEXMATCH('Medals"&amp;" Database'!$F9:$F368, ""^(.*\n)*"" &amp; $D15 &amp; ""(\n.*)*$""), TRUE) *
        IF($D16 &lt;&gt; """", REGEXMATCH('Medals Database'!$F9:$F368, ""^(.*\n)*"" &amp; $D16 &amp; ""(\n.*)*$""), TRUE)
    ),
)"),"Egghead
The Seven Warlords of the Sea / Former Warlords of the Sea
Logia
Paramecia
Captain
The Four Emperors
Blackbeard Pirates")</f>
        <v>Egghead
The Seven Warlords of the Sea / Former Warlords of the Sea
Logia
Paramecia
Captain
The Four Emperors
Blackbeard Pirates</v>
      </c>
      <c r="F18" s="109" t="str">
        <f>IFERROR(__xludf.DUMMYFUNCTION("IFERROR(
    FILTER('Medals Database'!J9:J368,
        ('Medals Database'!$J9:$J368 &lt;&gt; """") *
        REGEXMATCH('Medals Database'!$L9:$L368, REGEXREPLACE(D2, ""([()])"", ""\\$1"") &amp; ""(:|\.)"") *
        REGEXMATCH('Medals Database'!$L9:$L368, $D3"&amp;") *
        REGEXMATCH('Medals Database'!$L9:$L368, $D4) *
        REGEXMATCH('Medals Database'!$L9:$L368, $D5) *
        REGEXMATCH('Medals Database'!$L9:$L368, $D6) *
        IF($D10  &lt;&gt; """", REGEXMATCH('Medals Database'!$M9:$M368, ""^(.*\n)*"" &amp; $D10"&amp;"  &amp; ""(\n.*)*$""), TRUE) *
        IF($D11 &lt;&gt; """", REGEXMATCH('Medals Database'!$M9:$M368, ""^(.*\n)*"" &amp; $D11 &amp; ""(\n.*)*$""), TRUE) *
        IF($D12 &lt;&gt; """", REGEXMATCH('Medals Database'!$M9:$M368, ""^(.*\n)*"" &amp; $D12 &amp; ""(\n.*)*$""), TRUE) *
        "&amp;"IF($D13 &lt;&gt; """", REGEXMATCH('Medals Database'!$M9:$M368, ""^(.*\n)*"" &amp; $D13 &amp; ""(\n.*)*$""), TRUE) *
        IF($D14 &lt;&gt; """", REGEXMATCH('Medals Database'!$M9:$M368, ""^(.*\n)*"" &amp; $D14 &amp; ""(\n.*)*$""), TRUE) *
        IF($D15 &lt;&gt; """", REGEXMATCH('Medals"&amp;" Database'!$M9:$M368, ""^(.*\n)*"" &amp; $D15 &amp; ""(\n.*)*$""), TRUE) *
        IF($D16 &lt;&gt; """", REGEXMATCH('Medals Database'!$M9:$M368, ""^(.*\n)*"" &amp; $D16 &amp; ""(\n.*)*$""), TRUE)
    ),
)"),"The Four Emperrors Red Hair")</f>
        <v>The Four Emperrors Red Hair</v>
      </c>
      <c r="G18" s="109" t="str">
        <f>IFERROR(__xludf.DUMMYFUNCTION("IFERROR(
    FILTER('Medals Database'!K9:K368,
        ('Medals Database'!$J9:$J368 &lt;&gt; """") *
        REGEXMATCH('Medals Database'!$L9:$L368, REGEXREPLACE(D2, ""([()])"", ""\\$1"") &amp; ""(:|\.)"") *
        REGEXMATCH('Medals Database'!$L9:$L368, $D3"&amp;") *
        REGEXMATCH('Medals Database'!$L9:$L368, $D4) *
        REGEXMATCH('Medals Database'!$L9:$L368, $D5) *
        REGEXMATCH('Medals Database'!$L9:$L368, $D6) *
        IF($D10  &lt;&gt; """", REGEXMATCH('Medals Database'!$M9:$M368, ""^(.*\n)*"" &amp; $D10"&amp;"  &amp; ""(\n.*)*$""), TRUE) *
        IF($D11 &lt;&gt; """", REGEXMATCH('Medals Database'!$M9:$M368, ""^(.*\n)*"" &amp; $D11 &amp; ""(\n.*)*$""), TRUE) *
        IF($D12 &lt;&gt; """", REGEXMATCH('Medals Database'!$M9:$M368, ""^(.*\n)*"" &amp; $D12 &amp; ""(\n.*)*$""), TRUE) *
        "&amp;"IF($D13 &lt;&gt; """", REGEXMATCH('Medals Database'!$M9:$M368, ""^(.*\n)*"" &amp; $D13 &amp; ""(\n.*)*$""), TRUE) *
        IF($D14 &lt;&gt; """", REGEXMATCH('Medals Database'!$M9:$M368, ""^(.*\n)*"" &amp; $D14 &amp; ""(\n.*)*$""), TRUE) *
        IF($D15 &lt;&gt; """", REGEXMATCH('Medals"&amp;" Database'!$M9:$M368, ""^(.*\n)*"" &amp; $D15 &amp; ""(\n.*)*$""), TRUE) *
        IF($D16 &lt;&gt; """", REGEXMATCH('Medals Database'!$M9:$M368, ""^(.*\n)*"" &amp; $D16 &amp; ""(\n.*)*$""), TRUE)
    ),
)"),"")</f>
        <v/>
      </c>
      <c r="H18" s="111" t="str">
        <f>IFERROR(__xludf.DUMMYFUNCTION("IFERROR(
    FILTER('Medals Database'!L9:L368,
        ('Medals Database'!$J9:$J368 &lt;&gt; """") *
        REGEXMATCH('Medals Database'!$L9:$L368, REGEXREPLACE(D2, ""([()])"", ""\\$1"") &amp; ""(:|\.)"") *
        REGEXMATCH('Medals Database'!$L9:$L368, $D3"&amp;") *
        REGEXMATCH('Medals Database'!$L9:$L368, $D4) *
        REGEXMATCH('Medals Database'!$L9:$L368, $D5) *
        REGEXMATCH('Medals Database'!$L9:$L368, $D6) *
        IF($D10  &lt;&gt; """", REGEXMATCH('Medals Database'!$M9:$M368, ""^(.*\n)*"" &amp; $D10"&amp;"  &amp; ""(\n.*)*$""), TRUE) *
        IF($D11 &lt;&gt; """", REGEXMATCH('Medals Database'!$M9:$M368, ""^(.*\n)*"" &amp; $D11 &amp; ""(\n.*)*$""), TRUE) *
        IF($D12 &lt;&gt; """", REGEXMATCH('Medals Database'!$M9:$M368, ""^(.*\n)*"" &amp; $D12 &amp; ""(\n.*)*$""), TRUE) *
        "&amp;"IF($D13 &lt;&gt; """", REGEXMATCH('Medals Database'!$M9:$M368, ""^(.*\n)*"" &amp; $D13 &amp; ""(\n.*)*$""), TRUE) *
        IF($D14 &lt;&gt; """", REGEXMATCH('Medals Database'!$M9:$M368, ""^(.*\n)*"" &amp; $D14 &amp; ""(\n.*)*$""), TRUE) *
        IF($D15 &lt;&gt; """", REGEXMATCH('Medals"&amp;" Database'!$M9:$M368, ""^(.*\n)*"" &amp; $D15 &amp; ""(\n.*)*$""), TRUE) *
        IF($D16 &lt;&gt; """", REGEXMATCH('Medals Database'!$M9:$M368, ""^(.*\n)*"" &amp; $D16 &amp; ""(\n.*)*$""), TRUE)
    ),
)"),"When using Skill 2: Reduce the cooldown time of Skill 1 by 5%.")</f>
        <v>When using Skill 2: Reduce the cooldown time of Skill 1 by 5%.</v>
      </c>
      <c r="I18" s="112" t="str">
        <f>IFERROR(__xludf.DUMMYFUNCTION("IFERROR(
    FILTER('Medals Database'!M9:M368,
        ('Medals Database'!$J9:$J368 &lt;&gt; """") *
        REGEXMATCH('Medals Database'!$L9:$L368, REGEXREPLACE(D2, ""([()])"", ""\\$1"") &amp; ""(:|\.)"") *
        REGEXMATCH('Medals Database'!$L9:$L368, $D3"&amp;") *
        REGEXMATCH('Medals Database'!$L9:$L368, $D4) *
        REGEXMATCH('Medals Database'!$L9:$L368, $D5) *
        REGEXMATCH('Medals Database'!$L9:$L368, $D6) *
        IF($D10  &lt;&gt; """", REGEXMATCH('Medals Database'!$M9:$M368, ""^(.*\n)*"" &amp; $D10"&amp;"  &amp; ""(\n.*)*$""), TRUE) *
        IF($D11 &lt;&gt; """", REGEXMATCH('Medals Database'!$M9:$M368, ""^(.*\n)*"" &amp; $D11 &amp; ""(\n.*)*$""), TRUE) *
        IF($D12 &lt;&gt; """", REGEXMATCH('Medals Database'!$M9:$M368, ""^(.*\n)*"" &amp; $D12 &amp; ""(\n.*)*$""), TRUE) *
        "&amp;"IF($D13 &lt;&gt; """", REGEXMATCH('Medals Database'!$M9:$M368, ""^(.*\n)*"" &amp; $D13 &amp; ""(\n.*)*$""), TRUE) *
        IF($D14 &lt;&gt; """", REGEXMATCH('Medals Database'!$M9:$M368, ""^(.*\n)*"" &amp; $D14 &amp; ""(\n.*)*$""), TRUE) *
        IF($D15 &lt;&gt; """", REGEXMATCH('Medals"&amp;" Database'!$M9:$M368, ""^(.*\n)*"" &amp; $D15 &amp; ""(\n.*)*$""), TRUE) *
        IF($D16 &lt;&gt; """", REGEXMATCH('Medals Database'!$M9:$M368, ""^(.*\n)*"" &amp; $D16 &amp; ""(\n.*)*$""), TRUE)
    ),
)"),"Egghead
Red_Haired Pirates
Captain
The Four Emperors
Roger Pirates / Ex_Roger Pirates")</f>
        <v>Egghead
Red_Haired Pirates
Captain
The Four Emperors
Roger Pirates / Ex_Roger Pirates</v>
      </c>
      <c r="J18" s="101"/>
    </row>
    <row r="19" ht="75.0" customHeight="1">
      <c r="A19" s="101"/>
      <c r="B19" s="111" t="str">
        <f>IFERROR(__xludf.DUMMYFUNCTION("""COMPUTED_VALUE"""),"ASL Ace &amp; Sabo &amp; Luffy")</f>
        <v>ASL Ace &amp; Sabo &amp; Luffy</v>
      </c>
      <c r="C19" s="113" t="str">
        <f>IFERROR(__xludf.DUMMYFUNCTION("""COMPUTED_VALUE"""),"")</f>
        <v/>
      </c>
      <c r="D19" s="109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E19" s="110" t="str">
        <f>IFERROR(__xludf.DUMMYFUNCTION("""COMPUTED_VALUE"""),"East Blue
Paramecia
Blood Brothers
Child")</f>
        <v>East Blue
Paramecia
Blood Brothers
Child</v>
      </c>
      <c r="F19" s="111" t="str">
        <f>IFERROR(__xludf.DUMMYFUNCTION("""COMPUTED_VALUE"""),"The Four Emperrors Blackbeard")</f>
        <v>The Four Emperrors Blackbeard</v>
      </c>
      <c r="G19" s="111" t="str">
        <f>IFERROR(__xludf.DUMMYFUNCTION("""COMPUTED_VALUE"""),"")</f>
        <v/>
      </c>
      <c r="H19" s="111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I19" s="112" t="str">
        <f>IFERROR(__xludf.DUMMYFUNCTION("""COMPUTED_VALUE"""),"Egghead
The Seven Warlords of the Sea / Former Warlords of the Sea
Logia
Paramecia
Captain
The Four Emperors
Blackbeard Pirates")</f>
        <v>Egghead
The Seven Warlords of the Sea / Former Warlords of the Sea
Logia
Paramecia
Captain
The Four Emperors
Blackbeard Pirates</v>
      </c>
      <c r="J19" s="101"/>
    </row>
    <row r="20" ht="75.0" customHeight="1">
      <c r="A20" s="101"/>
      <c r="B20" s="111" t="str">
        <f>IFERROR(__xludf.DUMMYFUNCTION("""COMPUTED_VALUE"""),"Winner Island Law")</f>
        <v>Winner Island Law</v>
      </c>
      <c r="C20" s="113" t="str">
        <f>IFERROR(__xludf.DUMMYFUNCTION("""COMPUTED_VALUE"""),"")</f>
        <v/>
      </c>
      <c r="D20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20" s="110" t="str">
        <f>IFERROR(__xludf.DUMMYFUNCTION("""COMPUTED_VALUE"""),"Egghead
The Seven Warlords of the Sea / Former Warlords of the Sea
Paramecia
Captain
Worst Generation
Heart Pirates")</f>
        <v>Egghead
The Seven Warlords of the Sea / Former Warlords of the Sea
Paramecia
Captain
Worst Generation
Heart Pirates</v>
      </c>
      <c r="F20" s="111" t="str">
        <f>IFERROR(__xludf.DUMMYFUNCTION("""COMPUTED_VALUE"""),"ASL Luffy")</f>
        <v>ASL Luffy</v>
      </c>
      <c r="G20" s="111" t="str">
        <f>IFERROR(__xludf.DUMMYFUNCTION("""COMPUTED_VALUE"""),"")</f>
        <v/>
      </c>
      <c r="H20" s="111" t="str">
        <f>IFERROR(__xludf.DUMMYFUNCTION("""COMPUTED_VALUE"""),"When attacking an enemy whose ATK are boosted: Increase damage dealt by 3%.")</f>
        <v>When attacking an enemy whose ATK are boosted: Increase damage dealt by 3%.</v>
      </c>
      <c r="I20" s="112" t="str">
        <f>IFERROR(__xludf.DUMMYFUNCTION("""COMPUTED_VALUE"""),"East Blue
Paramecia
Blood Brothers
Child")</f>
        <v>East Blue
Paramecia
Blood Brothers
Child</v>
      </c>
      <c r="J20" s="101"/>
    </row>
    <row r="21" ht="75.0" customHeight="1">
      <c r="A21" s="101"/>
      <c r="B21" s="111" t="str">
        <f>IFERROR(__xludf.DUMMYFUNCTION("""COMPUTED_VALUE"""),"Winner Island Bepo")</f>
        <v>Winner Island Bepo</v>
      </c>
      <c r="C21" s="113" t="str">
        <f>IFERROR(__xludf.DUMMYFUNCTION("""COMPUTED_VALUE"""),"")</f>
        <v/>
      </c>
      <c r="D21" s="109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E21" s="110" t="str">
        <f>IFERROR(__xludf.DUMMYFUNCTION("""COMPUTED_VALUE"""),"Egghead
Navigator
Minks
Heart Pirates")</f>
        <v>Egghead
Navigator
Minks
Heart Pirates</v>
      </c>
      <c r="F21" s="111" t="str">
        <f>IFERROR(__xludf.DUMMYFUNCTION("""COMPUTED_VALUE"""),"ASL Sabo")</f>
        <v>ASL Sabo</v>
      </c>
      <c r="G21" s="111" t="str">
        <f>IFERROR(__xludf.DUMMYFUNCTION("""COMPUTED_VALUE"""),"")</f>
        <v/>
      </c>
      <c r="H21" s="111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I21" s="112" t="str">
        <f>IFERROR(__xludf.DUMMYFUNCTION("""COMPUTED_VALUE"""),"East Blue
Blood Brothers
Child")</f>
        <v>East Blue
Blood Brothers
Child</v>
      </c>
      <c r="J21" s="101"/>
    </row>
    <row r="22" ht="75.0" customHeight="1">
      <c r="A22" s="101"/>
      <c r="B22" s="111" t="str">
        <f>IFERROR(__xludf.DUMMYFUNCTION("""COMPUTED_VALUE"""),"Genius Scientist")</f>
        <v>Genius Scientist</v>
      </c>
      <c r="C22" s="113" t="str">
        <f>IFERROR(__xludf.DUMMYFUNCTION("""COMPUTED_VALUE"""),"")</f>
        <v/>
      </c>
      <c r="D22" s="109" t="str">
        <f>IFERROR(__xludf.DUMMYFUNCTION("""COMPUTED_VALUE"""),"When attacked by a character type ``Navy`` enemy: Reduce damage recieved by 3%.")</f>
        <v>When attacked by a character type ``Navy`` enemy: Reduce damage recieved by 3%.</v>
      </c>
      <c r="E22" s="110" t="str">
        <f>IFERROR(__xludf.DUMMYFUNCTION("""COMPUTED_VALUE"""),"Egghead
Navy
Paramecia")</f>
        <v>Egghead
Navy
Paramecia</v>
      </c>
      <c r="F22" s="111" t="str">
        <f>IFERROR(__xludf.DUMMYFUNCTION("""COMPUTED_VALUE"""),"Bepo
(Sulong)")</f>
        <v>Bepo
(Sulong)</v>
      </c>
      <c r="G22" s="111" t="str">
        <f>IFERROR(__xludf.DUMMYFUNCTION("""COMPUTED_VALUE"""),"")</f>
        <v/>
      </c>
      <c r="H22" s="111" t="str">
        <f>IFERROR(__xludf.DUMMYFUNCTION("""COMPUTED_VALUE"""),"When Critical occurs: Reduce the cooldown time of Skill 2 by 2%.")</f>
        <v>When Critical occurs: Reduce the cooldown time of Skill 2 by 2%.</v>
      </c>
      <c r="I22" s="112" t="str">
        <f>IFERROR(__xludf.DUMMYFUNCTION("""COMPUTED_VALUE"""),"Egghead
Navigator
Minks
Heart Pirates")</f>
        <v>Egghead
Navigator
Minks
Heart Pirates</v>
      </c>
      <c r="J22" s="101"/>
    </row>
    <row r="23" ht="75.0" customHeight="1">
      <c r="A23" s="101"/>
      <c r="B23" s="111" t="str">
        <f>IFERROR(__xludf.DUMMYFUNCTION("""COMPUTED_VALUE"""),"Kuma &amp; Bonney")</f>
        <v>Kuma &amp; Bonney</v>
      </c>
      <c r="C23" s="113" t="str">
        <f>IFERROR(__xludf.DUMMYFUNCTION("""COMPUTED_VALUE"""),"")</f>
        <v/>
      </c>
      <c r="D23" s="109" t="str">
        <f>IFERROR(__xludf.DUMMYFUNCTION("""COMPUTED_VALUE"""),"After KOing an enemy: Recover HP by 5%.")</f>
        <v>After KOing an enemy: Recover HP by 5%.</v>
      </c>
      <c r="E23" s="110" t="str">
        <f>IFERROR(__xludf.DUMMYFUNCTION("""COMPUTED_VALUE"""),"Egghead
Bonney Pirates
Paramecia
Royalty / Former Royalty
Worst Generation
The Seven Warlords of the Sea / Former Warlords of the Sea")</f>
        <v>Egghead
Bonney Pirates
Paramecia
Royalty / Former Royalty
Worst Generation
The Seven Warlords of the Sea / Former Warlords of the Sea</v>
      </c>
      <c r="F23" s="111" t="str">
        <f>IFERROR(__xludf.DUMMYFUNCTION("""COMPUTED_VALUE"""),"Winner Takes All")</f>
        <v>Winner Takes All</v>
      </c>
      <c r="G23" s="111" t="str">
        <f>IFERROR(__xludf.DUMMYFUNCTION("""COMPUTED_VALUE"""),"")</f>
        <v/>
      </c>
      <c r="H23" s="111" t="str">
        <f>IFERROR(__xludf.DUMMYFUNCTION("""COMPUTED_VALUE"""),"When you capture the Treasure: Reduce the cooldown time of Skill 2 by 8%.")</f>
        <v>When you capture the Treasure: Reduce the cooldown time of Skill 2 by 8%.</v>
      </c>
      <c r="I23" s="112" t="str">
        <f>IFERROR(__xludf.DUMMYFUNCTION("""COMPUTED_VALUE"""),"Egghead
The Seven Warlords of the Sea / Former Warlords of the Sea
Paramecia
Captain
Worst Generation
Heart Pirates")</f>
        <v>Egghead
The Seven Warlords of the Sea / Former Warlords of the Sea
Paramecia
Captain
Worst Generation
Heart Pirates</v>
      </c>
      <c r="J23" s="101"/>
    </row>
    <row r="24" ht="75.0" customHeight="1">
      <c r="A24" s="101"/>
      <c r="B24" s="111" t="str">
        <f>IFERROR(__xludf.DUMMYFUNCTION("""COMPUTED_VALUE"""),"Egghead Jinbe")</f>
        <v>Egghead Jinbe</v>
      </c>
      <c r="C24" s="113" t="str">
        <f>IFERROR(__xludf.DUMMYFUNCTION("""COMPUTED_VALUE"""),"")</f>
        <v/>
      </c>
      <c r="D24" s="109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E24" s="110" t="str">
        <f>IFERROR(__xludf.DUMMYFUNCTION("""COMPUTED_VALUE"""),"Egghead
Straw Hat Pirates
The Seven Warlords of the Sea / Former Warlords of the Sea
Helmsman
Fish_Man
Fish_Man Karate")</f>
        <v>Egghead
Straw Hat Pirates
The Seven Warlords of the Sea / Former Warlords of the Sea
Helmsman
Fish_Man
Fish_Man Karate</v>
      </c>
      <c r="F24" s="111" t="str">
        <f>IFERROR(__xludf.DUMMYFUNCTION("""COMPUTED_VALUE"""),"Sentomaru
(Child)")</f>
        <v>Sentomaru
(Child)</v>
      </c>
      <c r="G24" s="111" t="str">
        <f>IFERROR(__xludf.DUMMYFUNCTION("""COMPUTED_VALUE"""),"")</f>
        <v/>
      </c>
      <c r="H24" s="111" t="str">
        <f>IFERROR(__xludf.DUMMYFUNCTION("""COMPUTED_VALUE"""),"When you or an ally captures Treasure: Recover HP by 3%.")</f>
        <v>When you or an ally captures Treasure: Recover HP by 3%.</v>
      </c>
      <c r="I24" s="112" t="str">
        <f>IFERROR(__xludf.DUMMYFUNCTION("""COMPUTED_VALUE"""),"Egghead
Child")</f>
        <v>Egghead
Child</v>
      </c>
      <c r="J24" s="101"/>
    </row>
    <row r="25" ht="75.0" customHeight="1">
      <c r="A25" s="101"/>
      <c r="B25" s="111" t="str">
        <f>IFERROR(__xludf.DUMMYFUNCTION("""COMPUTED_VALUE"""),"Egghead Franky")</f>
        <v>Egghead Franky</v>
      </c>
      <c r="C25" s="113" t="str">
        <f>IFERROR(__xludf.DUMMYFUNCTION("""COMPUTED_VALUE"""),"")</f>
        <v/>
      </c>
      <c r="D25" s="109" t="str">
        <f>IFERROR(__xludf.DUMMYFUNCTION("""COMPUTED_VALUE"""),"When attacking an enemy with Skill 2: Increase damage dealt by 5%.")</f>
        <v>When attacking an enemy with Skill 2: Increase damage dealt by 5%.</v>
      </c>
      <c r="E25" s="110" t="str">
        <f>IFERROR(__xludf.DUMMYFUNCTION("""COMPUTED_VALUE"""),"Egghead
Straw Hat Pirates
Ship Carpenter")</f>
        <v>Egghead
Straw Hat Pirates
Ship Carpenter</v>
      </c>
      <c r="F25" s="111" t="str">
        <f>IFERROR(__xludf.DUMMYFUNCTION("""COMPUTED_VALUE"""),"Ginny
(Child)")</f>
        <v>Ginny
(Child)</v>
      </c>
      <c r="G25" s="111" t="str">
        <f>IFERROR(__xludf.DUMMYFUNCTION("""COMPUTED_VALUE"""),"")</f>
        <v/>
      </c>
      <c r="H25" s="111" t="str">
        <f>IFERROR(__xludf.DUMMYFUNCTION("""COMPUTED_VALUE"""),"When you Down an enemy: Reduce the cooldown time of Skill 2 by 4%.")</f>
        <v>When you Down an enemy: Reduce the cooldown time of Skill 2 by 4%.</v>
      </c>
      <c r="I25" s="112" t="str">
        <f>IFERROR(__xludf.DUMMYFUNCTION("""COMPUTED_VALUE"""),"Egghead
Child")</f>
        <v>Egghead
Child</v>
      </c>
      <c r="J25" s="101"/>
    </row>
    <row r="26" ht="75.0" customHeight="1">
      <c r="A26" s="101"/>
      <c r="B26" s="111" t="str">
        <f>IFERROR(__xludf.DUMMYFUNCTION("""COMPUTED_VALUE"""),"St. Jaygarcia Saturn")</f>
        <v>St. Jaygarcia Saturn</v>
      </c>
      <c r="C26" s="113" t="str">
        <f>IFERROR(__xludf.DUMMYFUNCTION("""COMPUTED_VALUE"""),"")</f>
        <v/>
      </c>
      <c r="D26" s="109" t="str">
        <f>IFERROR(__xludf.DUMMYFUNCTION("""COMPUTED_VALUE"""),"When in the Treasure Area: Reduce damage recieved by 3%.")</f>
        <v>When in the Treasure Area: Reduce damage recieved by 3%.</v>
      </c>
      <c r="E26" s="110" t="str">
        <f>IFERROR(__xludf.DUMMYFUNCTION("""COMPUTED_VALUE"""),"Egghead
World Noble
The Five Elders")</f>
        <v>Egghead
World Noble
The Five Elders</v>
      </c>
      <c r="F26" s="111" t="str">
        <f>IFERROR(__xludf.DUMMYFUNCTION("""COMPUTED_VALUE"""),"King
(Bandaged)")</f>
        <v>King
(Bandaged)</v>
      </c>
      <c r="G26" s="111" t="str">
        <f>IFERROR(__xludf.DUMMYFUNCTION("""COMPUTED_VALUE"""),"")</f>
        <v/>
      </c>
      <c r="H26" s="111" t="str">
        <f>IFERROR(__xludf.DUMMYFUNCTION("""COMPUTED_VALUE"""),"When Critical occurs: Recover HP by 2%.")</f>
        <v>When Critical occurs: Recover HP by 2%.</v>
      </c>
      <c r="I26" s="112" t="str">
        <f>IFERROR(__xludf.DUMMYFUNCTION("""COMPUTED_VALUE"""),"Land of Wano
Animal Kingdom Pirates
Zoan
Lead Performer")</f>
        <v>Land of Wano
Animal Kingdom Pirates
Zoan
Lead Performer</v>
      </c>
      <c r="J26" s="101"/>
    </row>
    <row r="27" ht="75.0" customHeight="1">
      <c r="A27" s="101"/>
      <c r="B27" s="111" t="str">
        <f>IFERROR(__xludf.DUMMYFUNCTION("""COMPUTED_VALUE"""),"Egghead Robin")</f>
        <v>Egghead Robin</v>
      </c>
      <c r="C27" s="113" t="str">
        <f>IFERROR(__xludf.DUMMYFUNCTION("""COMPUTED_VALUE"""),"")</f>
        <v/>
      </c>
      <c r="D27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27" s="110" t="str">
        <f>IFERROR(__xludf.DUMMYFUNCTION("""COMPUTED_VALUE"""),"Egghead
Straw Hat Pirates
Paramecia
Archaeologist")</f>
        <v>Egghead
Straw Hat Pirates
Paramecia
Archaeologist</v>
      </c>
      <c r="F27" s="111" t="str">
        <f>IFERROR(__xludf.DUMMYFUNCTION("""COMPUTED_VALUE"""),"Zoro
(Feast)")</f>
        <v>Zoro
(Feast)</v>
      </c>
      <c r="G27" s="111" t="str">
        <f>IFERROR(__xludf.DUMMYFUNCTION("""COMPUTED_VALUE"""),"")</f>
        <v/>
      </c>
      <c r="H27" s="111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I27" s="112" t="str">
        <f>IFERROR(__xludf.DUMMYFUNCTION("""COMPUTED_VALUE"""),"Land of Wano
Straw Hat Pirates
Combatant
Worst Generation")</f>
        <v>Land of Wano
Straw Hat Pirates
Combatant
Worst Generation</v>
      </c>
      <c r="J27" s="101"/>
    </row>
    <row r="28" ht="75.0" customHeight="1">
      <c r="A28" s="101"/>
      <c r="B28" s="111" t="str">
        <f>IFERROR(__xludf.DUMMYFUNCTION("""COMPUTED_VALUE"""),"Egghead Chopper")</f>
        <v>Egghead Chopper</v>
      </c>
      <c r="C28" s="113" t="str">
        <f>IFERROR(__xludf.DUMMYFUNCTION("""COMPUTED_VALUE"""),"")</f>
        <v/>
      </c>
      <c r="D28" s="109" t="str">
        <f>IFERROR(__xludf.DUMMYFUNCTION("""COMPUTED_VALUE"""),"When your HP is 70% or more: Reduce damage recieved by 5%.")</f>
        <v>When your HP is 70% or more: Reduce damage recieved by 5%.</v>
      </c>
      <c r="E28" s="110" t="str">
        <f>IFERROR(__xludf.DUMMYFUNCTION("""COMPUTED_VALUE"""),"Egghead
Straw Hat Pirates
Zoan
Doctor")</f>
        <v>Egghead
Straw Hat Pirates
Zoan
Doctor</v>
      </c>
      <c r="F28" s="111" t="str">
        <f>IFERROR(__xludf.DUMMYFUNCTION("""COMPUTED_VALUE"""),"Warrior God of Agriculture")</f>
        <v>Warrior God of Agriculture</v>
      </c>
      <c r="G28" s="111" t="str">
        <f>IFERROR(__xludf.DUMMYFUNCTION("""COMPUTED_VALUE"""),"")</f>
        <v/>
      </c>
      <c r="H28" s="111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I28" s="112" t="str">
        <f>IFERROR(__xludf.DUMMYFUNCTION("""COMPUTED_VALUE"""),"Egghead
World Noble
The Five Elders")</f>
        <v>Egghead
World Noble
The Five Elders</v>
      </c>
      <c r="J28" s="101"/>
    </row>
    <row r="29" ht="75.0" customHeight="1">
      <c r="A29" s="101"/>
      <c r="B29" s="111" t="str">
        <f>IFERROR(__xludf.DUMMYFUNCTION("""COMPUTED_VALUE"""),"Egghead Brook")</f>
        <v>Egghead Brook</v>
      </c>
      <c r="C29" s="113" t="str">
        <f>IFERROR(__xludf.DUMMYFUNCTION("""COMPUTED_VALUE"""),"")</f>
        <v/>
      </c>
      <c r="D29" s="109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E29" s="110" t="str">
        <f>IFERROR(__xludf.DUMMYFUNCTION("""COMPUTED_VALUE"""),"Egghead
Straw Hat Pirates
Paramecia
Musician")</f>
        <v>Egghead
Straw Hat Pirates
Paramecia
Musician</v>
      </c>
      <c r="F29" s="111" t="str">
        <f>IFERROR(__xludf.DUMMYFUNCTION("""COMPUTED_VALUE"""),"Warrior God of Justice")</f>
        <v>Warrior God of Justice</v>
      </c>
      <c r="G29" s="111" t="str">
        <f>IFERROR(__xludf.DUMMYFUNCTION("""COMPUTED_VALUE"""),"")</f>
        <v/>
      </c>
      <c r="H29" s="111" t="str">
        <f>IFERROR(__xludf.DUMMYFUNCTION("""COMPUTED_VALUE"""),"When you Knockback an enemy: Recover HP by 3%.")</f>
        <v>When you Knockback an enemy: Recover HP by 3%.</v>
      </c>
      <c r="I29" s="112" t="str">
        <f>IFERROR(__xludf.DUMMYFUNCTION("""COMPUTED_VALUE"""),"Egghead
World Noble
The Five Elders")</f>
        <v>Egghead
World Noble
The Five Elders</v>
      </c>
      <c r="J29" s="101"/>
    </row>
    <row r="30" ht="75.0" customHeight="1">
      <c r="A30" s="101"/>
      <c r="B30" s="111" t="str">
        <f>IFERROR(__xludf.DUMMYFUNCTION("""COMPUTED_VALUE"""),"Star Gun")</f>
        <v>Star Gun</v>
      </c>
      <c r="C30" s="113" t="str">
        <f>IFERROR(__xludf.DUMMYFUNCTION("""COMPUTED_VALUE"""),"")</f>
        <v/>
      </c>
      <c r="D30" s="109" t="str">
        <f>IFERROR(__xludf.DUMMYFUNCTION("""COMPUTED_VALUE"""),"When your HP is 70% or more: Reduce damage recieved by 5%.")</f>
        <v>When your HP is 70% or more: Reduce damage recieved by 5%.</v>
      </c>
      <c r="E30" s="110" t="str">
        <f>IFERROR(__xludf.DUMMYFUNCTION("""COMPUTED_VALUE"""),"Egghead
Straw Hat Pirates
Zoan
Captain
The Four Emperors
Blood Brothers")</f>
        <v>Egghead
Straw Hat Pirates
Zoan
Captain
The Four Emperors
Blood Brothers</v>
      </c>
      <c r="F30" s="111" t="str">
        <f>IFERROR(__xludf.DUMMYFUNCTION("""COMPUTED_VALUE"""),"Jinbe
(Future Outfit)")</f>
        <v>Jinbe
(Future Outfit)</v>
      </c>
      <c r="G30" s="111" t="str">
        <f>IFERROR(__xludf.DUMMYFUNCTION("""COMPUTED_VALUE"""),"")</f>
        <v/>
      </c>
      <c r="H30" s="111" t="str">
        <f>IFERROR(__xludf.DUMMYFUNCTION("""COMPUTED_VALUE"""),"When attacking an enemy in the area around your enemy`s Treasure: Increase damage dealt by 3%.")</f>
        <v>When attacking an enemy in the area around your enemy`s Treasure: Increase damage dealt by 3%.</v>
      </c>
      <c r="I30" s="112" t="str">
        <f>IFERROR(__xludf.DUMMYFUNCTION("""COMPUTED_VALUE"""),"Egghead
Straw Hat Pirates
The Seven Warlords of the Sea / Former Warlords of the Sea
Helmsman
Fish_Man
Fish_Man Karate")</f>
        <v>Egghead
Straw Hat Pirates
The Seven Warlords of the Sea / Former Warlords of the Sea
Helmsman
Fish_Man
Fish_Man Karate</v>
      </c>
      <c r="J30" s="101"/>
    </row>
    <row r="31" ht="75.0" customHeight="1">
      <c r="A31" s="101"/>
      <c r="B31" s="111" t="str">
        <f>IFERROR(__xludf.DUMMYFUNCTION("""COMPUTED_VALUE"""),"Egghead Usopp")</f>
        <v>Egghead Usopp</v>
      </c>
      <c r="C31" s="113" t="str">
        <f>IFERROR(__xludf.DUMMYFUNCTION("""COMPUTED_VALUE"""),"")</f>
        <v/>
      </c>
      <c r="D31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31" s="110" t="str">
        <f>IFERROR(__xludf.DUMMYFUNCTION("""COMPUTED_VALUE"""),"Egghead
Straw Hat Pirates
Sharp Shooter")</f>
        <v>Egghead
Straw Hat Pirates
Sharp Shooter</v>
      </c>
      <c r="F31" s="111" t="str">
        <f>IFERROR(__xludf.DUMMYFUNCTION("""COMPUTED_VALUE"""),"Zoro &amp; Kaku")</f>
        <v>Zoro &amp; Kaku</v>
      </c>
      <c r="G31" s="111" t="str">
        <f>IFERROR(__xludf.DUMMYFUNCTION("""COMPUTED_VALUE"""),"")</f>
        <v/>
      </c>
      <c r="H31" s="111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I31" s="112" t="str">
        <f>IFERROR(__xludf.DUMMYFUNCTION("""COMPUTED_VALUE"""),"Egghead
Straw Hat Pirates
Zoan
Combatant
Six Powers
Worst Generation")</f>
        <v>Egghead
Straw Hat Pirates
Zoan
Combatant
Six Powers
Worst Generation</v>
      </c>
      <c r="J31" s="101"/>
    </row>
    <row r="32" ht="75.0" customHeight="1">
      <c r="A32" s="101"/>
      <c r="B32" s="111" t="str">
        <f>IFERROR(__xludf.DUMMYFUNCTION("""COMPUTED_VALUE"""),"Egghead Nami")</f>
        <v>Egghead Nami</v>
      </c>
      <c r="C32" s="113" t="str">
        <f>IFERROR(__xludf.DUMMYFUNCTION("""COMPUTED_VALUE"""),"")</f>
        <v/>
      </c>
      <c r="D32" s="109" t="str">
        <f>IFERROR(__xludf.DUMMYFUNCTION("""COMPUTED_VALUE"""),"When you capture the Treasure: Recover HP by 5%.")</f>
        <v>When you capture the Treasure: Recover HP by 5%.</v>
      </c>
      <c r="E32" s="110" t="str">
        <f>IFERROR(__xludf.DUMMYFUNCTION("""COMPUTED_VALUE"""),"Egghead
Straw Hat Pirates
Navigator")</f>
        <v>Egghead
Straw Hat Pirates
Navigator</v>
      </c>
      <c r="F32" s="111" t="str">
        <f>IFERROR(__xludf.DUMMYFUNCTION("""COMPUTED_VALUE"""),"Franky
(Future Outfit)")</f>
        <v>Franky
(Future Outfit)</v>
      </c>
      <c r="G32" s="111" t="str">
        <f>IFERROR(__xludf.DUMMYFUNCTION("""COMPUTED_VALUE"""),"")</f>
        <v/>
      </c>
      <c r="H32" s="111" t="str">
        <f>IFERROR(__xludf.DUMMYFUNCTION("""COMPUTED_VALUE"""),"When attacked by an enemy whose ATK is boosted: Reduce damage recieved by 3%.")</f>
        <v>When attacked by an enemy whose ATK is boosted: Reduce damage recieved by 3%.</v>
      </c>
      <c r="I32" s="112" t="str">
        <f>IFERROR(__xludf.DUMMYFUNCTION("""COMPUTED_VALUE"""),"Egghead
Straw Hat Pirates
Ship Carpenter")</f>
        <v>Egghead
Straw Hat Pirates
Ship Carpenter</v>
      </c>
      <c r="J32" s="101"/>
    </row>
    <row r="33" ht="75.0" customHeight="1">
      <c r="A33" s="101"/>
      <c r="B33" s="111" t="str">
        <f>IFERROR(__xludf.DUMMYFUNCTION("""COMPUTED_VALUE"""),"Issho")</f>
        <v>Issho</v>
      </c>
      <c r="C33" s="113" t="str">
        <f>IFERROR(__xludf.DUMMYFUNCTION("""COMPUTED_VALUE"""),"")</f>
        <v/>
      </c>
      <c r="D33" s="109" t="str">
        <f>IFERROR(__xludf.DUMMYFUNCTION("""COMPUTED_VALUE"""),"When you capture the Treasure: Recover HP by 5%.")</f>
        <v>When you capture the Treasure: Recover HP by 5%.</v>
      </c>
      <c r="E33" s="110" t="str">
        <f>IFERROR(__xludf.DUMMYFUNCTION("""COMPUTED_VALUE"""),"Dressrosa
Navy
Paramecia
Navy Admiral / Former Navy Admiral")</f>
        <v>Dressrosa
Navy
Paramecia
Navy Admiral / Former Navy Admiral</v>
      </c>
      <c r="F33" s="111" t="str">
        <f>IFERROR(__xludf.DUMMYFUNCTION("""COMPUTED_VALUE"""),"Usopp
(Future Outfit)")</f>
        <v>Usopp
(Future Outfit)</v>
      </c>
      <c r="G33" s="111" t="str">
        <f>IFERROR(__xludf.DUMMYFUNCTION("""COMPUTED_VALUE"""),"")</f>
        <v/>
      </c>
      <c r="H33" s="111" t="str">
        <f>IFERROR(__xludf.DUMMYFUNCTION("""COMPUTED_VALUE"""),"When you or an ally KOs an enemy: Reduce the cooldown time of Skill 1 by 3%.")</f>
        <v>When you or an ally KOs an enemy: Reduce the cooldown time of Skill 1 by 3%.</v>
      </c>
      <c r="I33" s="112" t="str">
        <f>IFERROR(__xludf.DUMMYFUNCTION("""COMPUTED_VALUE"""),"Egghead
Straw Hat Pirates
Sharp Shooter")</f>
        <v>Egghead
Straw Hat Pirates
Sharp Shooter</v>
      </c>
      <c r="J33" s="101"/>
    </row>
    <row r="34" ht="75.0" customHeight="1">
      <c r="A34" s="101"/>
      <c r="B34" s="111" t="str">
        <f>IFERROR(__xludf.DUMMYFUNCTION("""COMPUTED_VALUE"""),"Aramaki")</f>
        <v>Aramaki</v>
      </c>
      <c r="C34" s="113" t="str">
        <f>IFERROR(__xludf.DUMMYFUNCTION("""COMPUTED_VALUE"""),"")</f>
        <v/>
      </c>
      <c r="D34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34" s="110" t="str">
        <f>IFERROR(__xludf.DUMMYFUNCTION("""COMPUTED_VALUE"""),"Land of Wano
Navy
Logia
Navy Admiral / Former Navy Admiral")</f>
        <v>Land of Wano
Navy
Logia
Navy Admiral / Former Navy Admiral</v>
      </c>
      <c r="F34" s="111" t="str">
        <f>IFERROR(__xludf.DUMMYFUNCTION("""COMPUTED_VALUE"""),"Sanji
(Future Outfit)")</f>
        <v>Sanji
(Future Outfit)</v>
      </c>
      <c r="G34" s="111" t="str">
        <f>IFERROR(__xludf.DUMMYFUNCTION("""COMPUTED_VALUE"""),"")</f>
        <v/>
      </c>
      <c r="H34" s="111" t="str">
        <f>IFERROR(__xludf.DUMMYFUNCTION("""COMPUTED_VALUE"""),"When you Knockback an enemy: Reduce the cooldown time of Skill 2 by 3%.")</f>
        <v>When you Knockback an enemy: Reduce the cooldown time of Skill 2 by 3%.</v>
      </c>
      <c r="I34" s="112" t="str">
        <f>IFERROR(__xludf.DUMMYFUNCTION("""COMPUTED_VALUE"""),"Egghead
Straw Hat Pirates
Cook")</f>
        <v>Egghead
Straw Hat Pirates
Cook</v>
      </c>
      <c r="J34" s="101"/>
    </row>
    <row r="35" ht="75.0" customHeight="1">
      <c r="A35" s="101"/>
      <c r="B35" s="111" t="str">
        <f>IFERROR(__xludf.DUMMYFUNCTION("""COMPUTED_VALUE"""),"Borsalino")</f>
        <v>Borsalino</v>
      </c>
      <c r="C35" s="113" t="str">
        <f>IFERROR(__xludf.DUMMYFUNCTION("""COMPUTED_VALUE"""),"")</f>
        <v/>
      </c>
      <c r="D35" s="109" t="str">
        <f>IFERROR(__xludf.DUMMYFUNCTION("""COMPUTED_VALUE"""),"When in the Treasure Area: Reduce damage recieved by 3%.")</f>
        <v>When in the Treasure Area: Reduce damage recieved by 3%.</v>
      </c>
      <c r="E35" s="110" t="str">
        <f>IFERROR(__xludf.DUMMYFUNCTION("""COMPUTED_VALUE"""),"Egghead
Navy
Logia
Navy Admiral / Former Navy Admiral")</f>
        <v>Egghead
Navy
Logia
Navy Admiral / Former Navy Admiral</v>
      </c>
      <c r="F35" s="111" t="str">
        <f>IFERROR(__xludf.DUMMYFUNCTION("""COMPUTED_VALUE"""),"A Hundred Times Stronger")</f>
        <v>A Hundred Times Stronger</v>
      </c>
      <c r="G35" s="111" t="str">
        <f>IFERROR(__xludf.DUMMYFUNCTION("""COMPUTED_VALUE"""),"")</f>
        <v/>
      </c>
      <c r="H35" s="111" t="str">
        <f>IFERROR(__xludf.DUMMYFUNCTION("""COMPUTED_VALUE"""),"When you capture the Treasure: Reduce the cooldown time of Skill 1 by 8%.")</f>
        <v>When you capture the Treasure: Reduce the cooldown time of Skill 1 by 8%.</v>
      </c>
      <c r="I35" s="112" t="str">
        <f>IFERROR(__xludf.DUMMYFUNCTION("""COMPUTED_VALUE"""),"Egghead
Straw Hat Pirates
Zoan
Captain
The Four Emperors
Blood Brothers")</f>
        <v>Egghead
Straw Hat Pirates
Zoan
Captain
The Four Emperors
Blood Brothers</v>
      </c>
      <c r="J35" s="101"/>
    </row>
    <row r="36" ht="75.0" customHeight="1">
      <c r="A36" s="101"/>
      <c r="B36" s="111" t="str">
        <f>IFERROR(__xludf.DUMMYFUNCTION("""COMPUTED_VALUE"""),"Armée de l’Air Power Shoot")</f>
        <v>Armée de l’Air Power Shoot</v>
      </c>
      <c r="C36" s="113" t="str">
        <f>IFERROR(__xludf.DUMMYFUNCTION("""COMPUTED_VALUE"""),"")</f>
        <v/>
      </c>
      <c r="D36" s="109" t="str">
        <f>IFERROR(__xludf.DUMMYFUNCTION("""COMPUTED_VALUE"""),"When you are Downed: Reduce the cooldown time of Skill 2 by 4%.")</f>
        <v>When you are Downed: Reduce the cooldown time of Skill 2 by 4%.</v>
      </c>
      <c r="E36" s="110" t="str">
        <f>IFERROR(__xludf.DUMMYFUNCTION("""COMPUTED_VALUE"""),"Sky Island / LRLL
Foxy Pirates
Cook")</f>
        <v>Sky Island / LRLL
Foxy Pirates
Cook</v>
      </c>
      <c r="F36" s="111" t="str">
        <f>IFERROR(__xludf.DUMMYFUNCTION("""COMPUTED_VALUE"""),"Atlas
(Order)")</f>
        <v>Atlas
(Order)</v>
      </c>
      <c r="G36" s="111" t="str">
        <f>IFERROR(__xludf.DUMMYFUNCTION("""COMPUTED_VALUE"""),"")</f>
        <v/>
      </c>
      <c r="H36" s="111" t="str">
        <f>IFERROR(__xludf.DUMMYFUNCTION("""COMPUTED_VALUE"""),"When your HP is 70% or more: Reduce damage recieved by 3%.")</f>
        <v>When your HP is 70% or more: Reduce damage recieved by 3%.</v>
      </c>
      <c r="I36" s="112" t="str">
        <f>IFERROR(__xludf.DUMMYFUNCTION("""COMPUTED_VALUE"""),"Egghead
Navy
Satellite")</f>
        <v>Egghead
Navy
Satellite</v>
      </c>
      <c r="J36" s="101"/>
    </row>
    <row r="37" ht="75.0" customHeight="1">
      <c r="A37" s="101"/>
      <c r="B37" s="111" t="str">
        <f>IFERROR(__xludf.DUMMYFUNCTION("""COMPUTED_VALUE"""),"Foxy")</f>
        <v>Foxy</v>
      </c>
      <c r="C37" s="113" t="str">
        <f>IFERROR(__xludf.DUMMYFUNCTION("""COMPUTED_VALUE"""),"")</f>
        <v/>
      </c>
      <c r="D37" s="109" t="str">
        <f>IFERROR(__xludf.DUMMYFUNCTION("""COMPUTED_VALUE"""),"When your HP is 70% or more: Reduce damage recieved by 5%.")</f>
        <v>When your HP is 70% or more: Reduce damage recieved by 5%.</v>
      </c>
      <c r="E37" s="110" t="str">
        <f>IFERROR(__xludf.DUMMYFUNCTION("""COMPUTED_VALUE"""),"Sky Island / LRLL
Foxy Pirates
Paramecia
Captain")</f>
        <v>Sky Island / LRLL
Foxy Pirates
Paramecia
Captain</v>
      </c>
      <c r="F37" s="111" t="str">
        <f>IFERROR(__xludf.DUMMYFUNCTION("""COMPUTED_VALUE"""),"Edison
(Bandaged)")</f>
        <v>Edison
(Bandaged)</v>
      </c>
      <c r="G37" s="111" t="str">
        <f>IFERROR(__xludf.DUMMYFUNCTION("""COMPUTED_VALUE"""),"")</f>
        <v/>
      </c>
      <c r="H37" s="111" t="str">
        <f>IFERROR(__xludf.DUMMYFUNCTION("""COMPUTED_VALUE"""),"When you Knockback an enemy: Reduce the cooldown time of Skill 2 by 5%.")</f>
        <v>When you Knockback an enemy: Reduce the cooldown time of Skill 2 by 5%.</v>
      </c>
      <c r="I37" s="112" t="str">
        <f>IFERROR(__xludf.DUMMYFUNCTION("""COMPUTED_VALUE"""),"Egghead
Navy
Satellite")</f>
        <v>Egghead
Navy
Satellite</v>
      </c>
      <c r="J37" s="101"/>
    </row>
    <row r="38" ht="75.0" customHeight="1">
      <c r="A38" s="101"/>
      <c r="B38" s="111" t="str">
        <f>IFERROR(__xludf.DUMMYFUNCTION("""COMPUTED_VALUE"""),"Flail")</f>
        <v>Flail</v>
      </c>
      <c r="C38" s="113" t="str">
        <f>IFERROR(__xludf.DUMMYFUNCTION("""COMPUTED_VALUE"""),"")</f>
        <v/>
      </c>
      <c r="D38" s="109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E38" s="110" t="str">
        <f>IFERROR(__xludf.DUMMYFUNCTION("""COMPUTED_VALUE"""),"Sky Island / LRLL
Straw Hat Pirates
Paramecia
Captain
Blood Brothers")</f>
        <v>Sky Island / LRLL
Straw Hat Pirates
Paramecia
Captain
Blood Brothers</v>
      </c>
      <c r="F38" s="111" t="str">
        <f>IFERROR(__xludf.DUMMYFUNCTION("""COMPUTED_VALUE"""),"Kuzan
(FILM Z)")</f>
        <v>Kuzan
(FILM Z)</v>
      </c>
      <c r="G38" s="111" t="str">
        <f>IFERROR(__xludf.DUMMYFUNCTION("""COMPUTED_VALUE"""),"")</f>
        <v/>
      </c>
      <c r="H38" s="111" t="str">
        <f>IFERROR(__xludf.DUMMYFUNCTION("""COMPUTED_VALUE"""),"When in the area around your captured Treasure: Reduce damage recieved by 3%.")</f>
        <v>When in the area around your captured Treasure: Reduce damage recieved by 3%.</v>
      </c>
      <c r="I38" s="112" t="str">
        <f>IFERROR(__xludf.DUMMYFUNCTION("""COMPUTED_VALUE"""),"FILM Z
Logia
Navy Admiral / Former Navy Admiral")</f>
        <v>FILM Z
Logia
Navy Admiral / Former Navy Admiral</v>
      </c>
      <c r="J38" s="101"/>
    </row>
    <row r="39" ht="75.0" customHeight="1">
      <c r="A39" s="101"/>
      <c r="B39" s="111" t="str">
        <f>IFERROR(__xludf.DUMMYFUNCTION("""COMPUTED_VALUE"""),"Sai")</f>
        <v>Sai</v>
      </c>
      <c r="C39" s="113" t="str">
        <f>IFERROR(__xludf.DUMMYFUNCTION("""COMPUTED_VALUE"""),"")</f>
        <v/>
      </c>
      <c r="D39" s="109" t="str">
        <f>IFERROR(__xludf.DUMMYFUNCTION("""COMPUTED_VALUE"""),"When Critical occurs: Recover HP by 2%.")</f>
        <v>When Critical occurs: Recover HP by 2%.</v>
      </c>
      <c r="E39" s="110" t="str">
        <f>IFERROR(__xludf.DUMMYFUNCTION("""COMPUTED_VALUE"""),"Reverie
Straw Hat Fleet")</f>
        <v>Reverie
Straw Hat Fleet</v>
      </c>
      <c r="F39" s="111" t="str">
        <f>IFERROR(__xludf.DUMMYFUNCTION("""COMPUTED_VALUE"""),"Admiral Zephyr")</f>
        <v>Admiral Zephyr</v>
      </c>
      <c r="G39" s="111" t="str">
        <f>IFERROR(__xludf.DUMMYFUNCTION("""COMPUTED_VALUE"""),"")</f>
        <v/>
      </c>
      <c r="H39" s="111" t="str">
        <f>IFERROR(__xludf.DUMMYFUNCTION("""COMPUTED_VALUE"""),"When you Knockback an enemy: Recover HP by 3%.")</f>
        <v>When you Knockback an enemy: Recover HP by 3%.</v>
      </c>
      <c r="I39" s="112" t="str">
        <f>IFERROR(__xludf.DUMMYFUNCTION("""COMPUTED_VALUE"""),"FILM Z
Navy Admiral / Former Navy Admiral")</f>
        <v>FILM Z
Navy Admiral / Former Navy Admiral</v>
      </c>
      <c r="J39" s="101"/>
    </row>
    <row r="40" ht="75.0" customHeight="1">
      <c r="A40" s="101"/>
      <c r="B40" s="111" t="str">
        <f>IFERROR(__xludf.DUMMYFUNCTION("""COMPUTED_VALUE"""),"Leo")</f>
        <v>Leo</v>
      </c>
      <c r="C40" s="113" t="str">
        <f>IFERROR(__xludf.DUMMYFUNCTION("""COMPUTED_VALUE"""),"")</f>
        <v/>
      </c>
      <c r="D40" s="109" t="str">
        <f>IFERROR(__xludf.DUMMYFUNCTION("""COMPUTED_VALUE"""),"When your HP is 70% or more: Reduce damage recieved by 5%.")</f>
        <v>When your HP is 70% or more: Reduce damage recieved by 5%.</v>
      </c>
      <c r="E40" s="110" t="str">
        <f>IFERROR(__xludf.DUMMYFUNCTION("""COMPUTED_VALUE"""),"Reverie
Paramecia
Captain
Straw Hat Fleet")</f>
        <v>Reverie
Paramecia
Captain
Straw Hat Fleet</v>
      </c>
      <c r="F40" s="111" t="str">
        <f>IFERROR(__xludf.DUMMYFUNCTION("""COMPUTED_VALUE"""),"Bluegrass")</f>
        <v>Bluegrass</v>
      </c>
      <c r="G40" s="111" t="str">
        <f>IFERROR(__xludf.DUMMYFUNCTION("""COMPUTED_VALUE"""),"")</f>
        <v/>
      </c>
      <c r="H40" s="111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I40" s="112" t="str">
        <f>IFERROR(__xludf.DUMMYFUNCTION("""COMPUTED_VALUE"""),"Egghead
Navy
Paramecia
Vice Admiral")</f>
        <v>Egghead
Navy
Paramecia
Vice Admiral</v>
      </c>
      <c r="J40" s="101"/>
    </row>
    <row r="41" ht="75.0" customHeight="1">
      <c r="A41" s="101"/>
      <c r="B41" s="111" t="str">
        <f>IFERROR(__xludf.DUMMYFUNCTION("""COMPUTED_VALUE"""),"St. Charlos")</f>
        <v>St. Charlos</v>
      </c>
      <c r="C41" s="113" t="str">
        <f>IFERROR(__xludf.DUMMYFUNCTION("""COMPUTED_VALUE"""),"")</f>
        <v/>
      </c>
      <c r="D41" s="109" t="str">
        <f>IFERROR(__xludf.DUMMYFUNCTION("""COMPUTED_VALUE"""),"When attacking a character type ``Fish_Man`` enemy: Increase damage dealt by 1%.")</f>
        <v>When attacking a character type ``Fish_Man`` enemy: Increase damage dealt by 1%.</v>
      </c>
      <c r="E41" s="110" t="str">
        <f>IFERROR(__xludf.DUMMYFUNCTION("""COMPUTED_VALUE"""),"Sabaody Archipelago / Island of Women
World Noble")</f>
        <v>Sabaody Archipelago / Island of Women
World Noble</v>
      </c>
      <c r="F41" s="111" t="str">
        <f>IFERROR(__xludf.DUMMYFUNCTION("""COMPUTED_VALUE"""),"Doll")</f>
        <v>Doll</v>
      </c>
      <c r="G41" s="111" t="str">
        <f>IFERROR(__xludf.DUMMYFUNCTION("""COMPUTED_VALUE"""),"")</f>
        <v/>
      </c>
      <c r="H41" s="111" t="str">
        <f>IFERROR(__xludf.DUMMYFUNCTION("""COMPUTED_VALUE"""),"When you Knockback an enemy: Reduce the cooldown time of Skill 1 by 5%.")</f>
        <v>When you Knockback an enemy: Reduce the cooldown time of Skill 1 by 5%.</v>
      </c>
      <c r="I41" s="112" t="str">
        <f>IFERROR(__xludf.DUMMYFUNCTION("""COMPUTED_VALUE"""),"Egghead
Navy
Vice Admiral")</f>
        <v>Egghead
Navy
Vice Admiral</v>
      </c>
      <c r="J41" s="101"/>
    </row>
    <row r="42" ht="75.0" customHeight="1">
      <c r="A42" s="101"/>
      <c r="B42" s="111" t="str">
        <f>IFERROR(__xludf.DUMMYFUNCTION("""COMPUTED_VALUE"""),"Invisible Strike")</f>
        <v>Invisible Strike</v>
      </c>
      <c r="C42" s="113" t="str">
        <f>IFERROR(__xludf.DUMMYFUNCTION("""COMPUTED_VALUE"""),"")</f>
        <v/>
      </c>
      <c r="D42" s="109" t="str">
        <f>IFERROR(__xludf.DUMMYFUNCTION("""COMPUTED_VALUE"""),"After KOing an enemy: Recover HP by 5%.")</f>
        <v>After KOing an enemy: Recover HP by 5%.</v>
      </c>
      <c r="E42" s="110" t="str">
        <f>IFERROR(__xludf.DUMMYFUNCTION("""COMPUTED_VALUE"""),"Egghead
Paramecia
Helmsman
Blackbeard Pirates")</f>
        <v>Egghead
Paramecia
Helmsman
Blackbeard Pirates</v>
      </c>
      <c r="F42" s="111" t="str">
        <f>IFERROR(__xludf.DUMMYFUNCTION("""COMPUTED_VALUE"""),"Usopp
(Cornerman)")</f>
        <v>Usopp
(Cornerman)</v>
      </c>
      <c r="G42" s="111" t="str">
        <f>IFERROR(__xludf.DUMMYFUNCTION("""COMPUTED_VALUE"""),"")</f>
        <v/>
      </c>
      <c r="H42" s="111" t="str">
        <f>IFERROR(__xludf.DUMMYFUNCTION("""COMPUTED_VALUE"""),"When you capture the Treasure: Reduce the cooldown time of Skill 2 by 8%.")</f>
        <v>When you capture the Treasure: Reduce the cooldown time of Skill 2 by 8%.</v>
      </c>
      <c r="I42" s="112" t="str">
        <f>IFERROR(__xludf.DUMMYFUNCTION("""COMPUTED_VALUE"""),"Sky Island / LRLL
Foxy Pirates
Sharp Shooter")</f>
        <v>Sky Island / LRLL
Foxy Pirates
Sharp Shooter</v>
      </c>
      <c r="J42" s="101"/>
    </row>
    <row r="43" ht="75.0" customHeight="1">
      <c r="A43" s="101"/>
      <c r="B43" s="111" t="str">
        <f>IFERROR(__xludf.DUMMYFUNCTION("""COMPUTED_VALUE"""),"Gallion Lariat")</f>
        <v>Gallion Lariat</v>
      </c>
      <c r="C43" s="113" t="str">
        <f>IFERROR(__xludf.DUMMYFUNCTION("""COMPUTED_VALUE"""),"")</f>
        <v/>
      </c>
      <c r="D43" s="109" t="str">
        <f>IFERROR(__xludf.DUMMYFUNCTION("""COMPUTED_VALUE"""),"When you Knockback an enemy: Recover HP by 3%.")</f>
        <v>When you Knockback an enemy: Recover HP by 3%.</v>
      </c>
      <c r="E43" s="110" t="str">
        <f>IFERROR(__xludf.DUMMYFUNCTION("""COMPUTED_VALUE"""),"Egghead
Paramecia
Blackbeard Pirates")</f>
        <v>Egghead
Paramecia
Blackbeard Pirates</v>
      </c>
      <c r="F43" s="111" t="str">
        <f>IFERROR(__xludf.DUMMYFUNCTION("""COMPUTED_VALUE"""),"Chappy")</f>
        <v>Chappy</v>
      </c>
      <c r="G43" s="111" t="str">
        <f>IFERROR(__xludf.DUMMYFUNCTION("""COMPUTED_VALUE"""),"")</f>
        <v/>
      </c>
      <c r="H43" s="111" t="str">
        <f>IFERROR(__xludf.DUMMYFUNCTION("""COMPUTED_VALUE"""),"When in the area around your enemy`s Treasure: Increase damage dealt by 5%.")</f>
        <v>When in the area around your enemy`s Treasure: Increase damage dealt by 5%.</v>
      </c>
      <c r="I43" s="112" t="str">
        <f>IFERROR(__xludf.DUMMYFUNCTION("""COMPUTED_VALUE"""),"Sky Island / LRLL
Foxy Pirates
Zoan
Doctor")</f>
        <v>Sky Island / LRLL
Foxy Pirates
Zoan
Doctor</v>
      </c>
      <c r="J43" s="101"/>
    </row>
    <row r="44" ht="75.0" customHeight="1">
      <c r="A44" s="101"/>
      <c r="B44" s="111" t="str">
        <f>IFERROR(__xludf.DUMMYFUNCTION("""COMPUTED_VALUE"""),"Yonji")</f>
        <v>Yonji</v>
      </c>
      <c r="C44" s="113" t="str">
        <f>IFERROR(__xludf.DUMMYFUNCTION("""COMPUTED_VALUE"""),"")</f>
        <v/>
      </c>
      <c r="D44" s="109" t="str">
        <f>IFERROR(__xludf.DUMMYFUNCTION("""COMPUTED_VALUE"""),"When your HP is 70% or more: Reduce damage recieved by 5%.")</f>
        <v>When your HP is 70% or more: Reduce damage recieved by 5%.</v>
      </c>
      <c r="E44" s="110" t="str">
        <f>IFERROR(__xludf.DUMMYFUNCTION("""COMPUTED_VALUE"""),"Zou / Whole Cake Island
Royalty / Former Royalty
Germa 66")</f>
        <v>Zou / Whole Cake Island
Royalty / Former Royalty
Germa 66</v>
      </c>
      <c r="F44" s="111" t="str">
        <f>IFERROR(__xludf.DUMMYFUNCTION("""COMPUTED_VALUE"""),"Hamburg")</f>
        <v>Hamburg</v>
      </c>
      <c r="G44" s="111" t="str">
        <f>IFERROR(__xludf.DUMMYFUNCTION("""COMPUTED_VALUE"""),"")</f>
        <v/>
      </c>
      <c r="H44" s="111" t="str">
        <f>IFERROR(__xludf.DUMMYFUNCTION("""COMPUTED_VALUE"""),"When in the Treasure Area: Boost the cooldown reduction speed of dodge by 10%.")</f>
        <v>When in the Treasure Area: Boost the cooldown reduction speed of dodge by 10%.</v>
      </c>
      <c r="I44" s="112" t="str">
        <f>IFERROR(__xludf.DUMMYFUNCTION("""COMPUTED_VALUE"""),"Sky Island / LRLL
Foxy Pirates
Combatant")</f>
        <v>Sky Island / LRLL
Foxy Pirates
Combatant</v>
      </c>
      <c r="J44" s="101"/>
    </row>
    <row r="45" ht="75.0" customHeight="1">
      <c r="A45" s="101"/>
      <c r="B45" s="111" t="str">
        <f>IFERROR(__xludf.DUMMYFUNCTION("""COMPUTED_VALUE"""),"Neji")</f>
        <v>Neji</v>
      </c>
      <c r="C45" s="113" t="str">
        <f>IFERROR(__xludf.DUMMYFUNCTION("""COMPUTED_VALUE"""),"")</f>
        <v/>
      </c>
      <c r="D45" s="109" t="str">
        <f>IFERROR(__xludf.DUMMYFUNCTION("""COMPUTED_VALUE"""),"When performing a Perfect Dodge: Reduce the cooldown time of Skill 1 by 3%.")</f>
        <v>When performing a Perfect Dodge: Reduce the cooldown time of Skill 1 by 3%.</v>
      </c>
      <c r="E45" s="110" t="str">
        <f>IFERROR(__xludf.DUMMYFUNCTION("""COMPUTED_VALUE"""),"Zou / Whole Cake Island
Royalty / Former Royalty
Germa 66")</f>
        <v>Zou / Whole Cake Island
Royalty / Former Royalty
Germa 66</v>
      </c>
      <c r="F45" s="111" t="str">
        <f>IFERROR(__xludf.DUMMYFUNCTION("""COMPUTED_VALUE"""),"Porche")</f>
        <v>Porche</v>
      </c>
      <c r="G45" s="111" t="str">
        <f>IFERROR(__xludf.DUMMYFUNCTION("""COMPUTED_VALUE"""),"")</f>
        <v/>
      </c>
      <c r="H45" s="111" t="str">
        <f>IFERROR(__xludf.DUMMYFUNCTION("""COMPUTED_VALUE"""),"After KOing an enemy: Reduce the cooldown time of Skill 2 by 8%.")</f>
        <v>After KOing an enemy: Reduce the cooldown time of Skill 2 by 8%.</v>
      </c>
      <c r="I45" s="112" t="str">
        <f>IFERROR(__xludf.DUMMYFUNCTION("""COMPUTED_VALUE"""),"Sky Island / LRLL
Foxy Pirates
Combatant")</f>
        <v>Sky Island / LRLL
Foxy Pirates
Combatant</v>
      </c>
      <c r="J45" s="101"/>
    </row>
    <row r="46" ht="75.0" customHeight="1">
      <c r="A46" s="101"/>
      <c r="B46" s="111" t="str">
        <f>IFERROR(__xludf.DUMMYFUNCTION("""COMPUTED_VALUE"""),"Ichiji")</f>
        <v>Ichiji</v>
      </c>
      <c r="C46" s="113" t="str">
        <f>IFERROR(__xludf.DUMMYFUNCTION("""COMPUTED_VALUE"""),"")</f>
        <v/>
      </c>
      <c r="D46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46" s="110" t="str">
        <f>IFERROR(__xludf.DUMMYFUNCTION("""COMPUTED_VALUE"""),"Zou / Whole Cake Island
Royalty / Former Royalty
Germa 66")</f>
        <v>Zou / Whole Cake Island
Royalty / Former Royalty
Germa 66</v>
      </c>
      <c r="F46" s="111" t="str">
        <f>IFERROR(__xludf.DUMMYFUNCTION("""COMPUTED_VALUE"""),"Bartolomeo
(Straw Hat Fleet)")</f>
        <v>Bartolomeo
(Straw Hat Fleet)</v>
      </c>
      <c r="G46" s="111" t="str">
        <f>IFERROR(__xludf.DUMMYFUNCTION("""COMPUTED_VALUE"""),"")</f>
        <v/>
      </c>
      <c r="H46" s="111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I46" s="112" t="str">
        <f>IFERROR(__xludf.DUMMYFUNCTION("""COMPUTED_VALUE"""),"Dressrosa
Barto Club
Paramecia
Captain
Straw Hat Fleet")</f>
        <v>Dressrosa
Barto Club
Paramecia
Captain
Straw Hat Fleet</v>
      </c>
      <c r="J46" s="101"/>
    </row>
    <row r="47" ht="75.0" customHeight="1">
      <c r="A47" s="101"/>
      <c r="B47" s="111" t="str">
        <f>IFERROR(__xludf.DUMMYFUNCTION("""COMPUTED_VALUE"""),"Rock Check")</f>
        <v>Rock Check</v>
      </c>
      <c r="C47" s="113" t="str">
        <f>IFERROR(__xludf.DUMMYFUNCTION("""COMPUTED_VALUE"""),"")</f>
        <v/>
      </c>
      <c r="D47" s="109" t="str">
        <f>IFERROR(__xludf.DUMMYFUNCTION("""COMPUTED_VALUE"""),"When in the area around your enemy`s Treasure: Reduce damage recieved by 5%.")</f>
        <v>When in the area around your enemy`s Treasure: Reduce damage recieved by 5%.</v>
      </c>
      <c r="E47" s="110" t="str">
        <f>IFERROR(__xludf.DUMMYFUNCTION("""COMPUTED_VALUE"""),"Egghead
Revolutionary Army
Logia
Chief of Staff
Blood Brothers")</f>
        <v>Egghead
Revolutionary Army
Logia
Chief of Staff
Blood Brothers</v>
      </c>
      <c r="F47" s="111" t="str">
        <f>IFERROR(__xludf.DUMMYFUNCTION("""COMPUTED_VALUE"""),"Hajrudin
(Straw Hat Fleet)")</f>
        <v>Hajrudin
(Straw Hat Fleet)</v>
      </c>
      <c r="G47" s="111" t="str">
        <f>IFERROR(__xludf.DUMMYFUNCTION("""COMPUTED_VALUE"""),"")</f>
        <v/>
      </c>
      <c r="H47" s="111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I47" s="112" t="str">
        <f>IFERROR(__xludf.DUMMYFUNCTION("""COMPUTED_VALUE"""),"Dressrosa
Captain
Giant
Straw Hat Fleet")</f>
        <v>Dressrosa
Captain
Giant
Straw Hat Fleet</v>
      </c>
      <c r="J47" s="101"/>
    </row>
    <row r="48" ht="75.0" customHeight="1">
      <c r="A48" s="101"/>
      <c r="B48" s="111" t="str">
        <f>IFERROR(__xludf.DUMMYFUNCTION("""COMPUTED_VALUE"""),"Revolutionary Army Female Solider")</f>
        <v>Revolutionary Army Female Solider</v>
      </c>
      <c r="C48" s="113" t="str">
        <f>IFERROR(__xludf.DUMMYFUNCTION("""COMPUTED_VALUE"""),"")</f>
        <v/>
      </c>
      <c r="D48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48" s="110" t="str">
        <f>IFERROR(__xludf.DUMMYFUNCTION("""COMPUTED_VALUE"""),"Egghead
Revolutionary Army
Fish_Man Karate")</f>
        <v>Egghead
Revolutionary Army
Fish_Man Karate</v>
      </c>
      <c r="F48" s="111" t="str">
        <f>IFERROR(__xludf.DUMMYFUNCTION("""COMPUTED_VALUE"""),"Kuma`s Daughter")</f>
        <v>Kuma`s Daughter</v>
      </c>
      <c r="G48" s="111" t="str">
        <f>IFERROR(__xludf.DUMMYFUNCTION("""COMPUTED_VALUE"""),"")</f>
        <v/>
      </c>
      <c r="H48" s="111" t="str">
        <f>IFERROR(__xludf.DUMMYFUNCTION("""COMPUTED_VALUE"""),"When in the area around your captured Treasure: Reduce damage recieved by 3%.")</f>
        <v>When in the area around your captured Treasure: Reduce damage recieved by 3%.</v>
      </c>
      <c r="I48" s="112" t="str">
        <f>IFERROR(__xludf.DUMMYFUNCTION("""COMPUTED_VALUE"""),"Egghead
Bonney Pirates
Paramecia
Captain
Worst Generation")</f>
        <v>Egghead
Bonney Pirates
Paramecia
Captain
Worst Generation</v>
      </c>
      <c r="J48" s="101"/>
    </row>
    <row r="49" ht="75.0" customHeight="1">
      <c r="A49" s="101"/>
      <c r="B49" s="111" t="str">
        <f>IFERROR(__xludf.DUMMYFUNCTION("""COMPUTED_VALUE"""),"Former Senior Apprentice")</f>
        <v>Former Senior Apprentice</v>
      </c>
      <c r="C49" s="113" t="str">
        <f>IFERROR(__xludf.DUMMYFUNCTION("""COMPUTED_VALUE"""),"")</f>
        <v/>
      </c>
      <c r="D49" s="109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E49" s="110" t="str">
        <f>IFERROR(__xludf.DUMMYFUNCTION("""COMPUTED_VALUE"""),"Egghead
Blackbeard Pirates
Logia
Navy Admiral / Former Navy Admiral")</f>
        <v>Egghead
Blackbeard Pirates
Logia
Navy Admiral / Former Navy Admiral</v>
      </c>
      <c r="F49" s="111" t="str">
        <f>IFERROR(__xludf.DUMMYFUNCTION("""COMPUTED_VALUE"""),"Free Form")</f>
        <v>Free Form</v>
      </c>
      <c r="G49" s="111" t="str">
        <f>IFERROR(__xludf.DUMMYFUNCTION("""COMPUTED_VALUE"""),"")</f>
        <v/>
      </c>
      <c r="H49" s="111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I49" s="112" t="str">
        <f>IFERROR(__xludf.DUMMYFUNCTION("""COMPUTED_VALUE"""),"Egghead
Straw Hat Pirates
Zoan
Captain
The Four Emperors
Blood Brothers")</f>
        <v>Egghead
Straw Hat Pirates
Zoan
Captain
The Four Emperors
Blood Brothers</v>
      </c>
      <c r="J49" s="101"/>
    </row>
    <row r="50" ht="75.0" customHeight="1">
      <c r="A50" s="101"/>
      <c r="B50" s="111" t="str">
        <f>IFERROR(__xludf.DUMMYFUNCTION("""COMPUTED_VALUE"""),"The Future of the Navy")</f>
        <v>The Future of the Navy</v>
      </c>
      <c r="C50" s="113" t="str">
        <f>IFERROR(__xludf.DUMMYFUNCTION("""COMPUTED_VALUE"""),"")</f>
        <v/>
      </c>
      <c r="D50" s="109" t="str">
        <f>IFERROR(__xludf.DUMMYFUNCTION("""COMPUTED_VALUE"""),"When an ally is KO`d (not including you): Recover HP by 3%.")</f>
        <v>When an ally is KO`d (not including you): Recover HP by 3%.</v>
      </c>
      <c r="E50" s="110" t="str">
        <f>IFERROR(__xludf.DUMMYFUNCTION("""COMPUTED_VALUE"""),"Egghead
Navy
Navy Captain
Six Powers
``Sword``")</f>
        <v>Egghead
Navy
Navy Captain
Six Powers
``Sword``</v>
      </c>
      <c r="F50" s="111" t="str">
        <f>IFERROR(__xludf.DUMMYFUNCTION("""COMPUTED_VALUE"""),"St. Roswald")</f>
        <v>St. Roswald</v>
      </c>
      <c r="G50" s="111" t="str">
        <f>IFERROR(__xludf.DUMMYFUNCTION("""COMPUTED_VALUE"""),"")</f>
        <v/>
      </c>
      <c r="H50" s="111" t="str">
        <f>IFERROR(__xludf.DUMMYFUNCTION("""COMPUTED_VALUE"""),"When you or an ally KOs an enemy: Reduce the cooldown time of Skill 2 by 3%.")</f>
        <v>When you or an ally KOs an enemy: Reduce the cooldown time of Skill 2 by 3%.</v>
      </c>
      <c r="I50" s="112" t="str">
        <f>IFERROR(__xludf.DUMMYFUNCTION("""COMPUTED_VALUE"""),"Sabaody Archipelago / Island of Women
World Noble")</f>
        <v>Sabaody Archipelago / Island of Women
World Noble</v>
      </c>
      <c r="J50" s="101"/>
    </row>
    <row r="51" ht="75.0" customHeight="1">
      <c r="A51" s="101"/>
      <c r="B51" s="111" t="str">
        <f>IFERROR(__xludf.DUMMYFUNCTION("""COMPUTED_VALUE"""),"Galaxy Impact")</f>
        <v>Galaxy Impact</v>
      </c>
      <c r="C51" s="113" t="str">
        <f>IFERROR(__xludf.DUMMYFUNCTION("""COMPUTED_VALUE"""),"")</f>
        <v/>
      </c>
      <c r="D51" s="109" t="str">
        <f>IFERROR(__xludf.DUMMYFUNCTION("""COMPUTED_VALUE"""),"When your HP is 70% or more: Increase damage dealt by 5%.")</f>
        <v>When your HP is 70% or more: Increase damage dealt by 5%.</v>
      </c>
      <c r="E51" s="110" t="str">
        <f>IFERROR(__xludf.DUMMYFUNCTION("""COMPUTED_VALUE"""),"Egghead
Navy
Vice Admiral")</f>
        <v>Egghead
Navy
Vice Admiral</v>
      </c>
      <c r="F51" s="111" t="str">
        <f>IFERROR(__xludf.DUMMYFUNCTION("""COMPUTED_VALUE"""),"Buggyjiro")</f>
        <v>Buggyjiro</v>
      </c>
      <c r="G51" s="111" t="str">
        <f>IFERROR(__xludf.DUMMYFUNCTION("""COMPUTED_VALUE"""),"")</f>
        <v/>
      </c>
      <c r="H51" s="111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I51" s="112" t="str">
        <f>IFERROR(__xludf.DUMMYFUNCTION("""COMPUTED_VALUE"""),"Land of Wano
Paramecia
Child
Roger Pirates / Ex_Roger Pirates")</f>
        <v>Land of Wano
Paramecia
Child
Roger Pirates / Ex_Roger Pirates</v>
      </c>
      <c r="J51" s="101"/>
    </row>
    <row r="52" ht="75.0" customHeight="1">
      <c r="A52" s="101"/>
      <c r="B52" s="111" t="str">
        <f>IFERROR(__xludf.DUMMYFUNCTION("""COMPUTED_VALUE"""),"Lt. Commander Helmeppo")</f>
        <v>Lt. Commander Helmeppo</v>
      </c>
      <c r="C52" s="113" t="str">
        <f>IFERROR(__xludf.DUMMYFUNCTION("""COMPUTED_VALUE"""),"")</f>
        <v/>
      </c>
      <c r="D52" s="109" t="str">
        <f>IFERROR(__xludf.DUMMYFUNCTION("""COMPUTED_VALUE"""),"When in the area around your enemy`s Treasure: Reduce damage recieved by 5%.")</f>
        <v>When in the area around your enemy`s Treasure: Reduce damage recieved by 5%.</v>
      </c>
      <c r="E52" s="110" t="str">
        <f>IFERROR(__xludf.DUMMYFUNCTION("""COMPUTED_VALUE"""),"Egghead
Navy
``Sword``")</f>
        <v>Egghead
Navy
``Sword``</v>
      </c>
      <c r="F52" s="111" t="str">
        <f>IFERROR(__xludf.DUMMYFUNCTION("""COMPUTED_VALUE"""),"Redtaro")</f>
        <v>Redtaro</v>
      </c>
      <c r="G52" s="111" t="str">
        <f>IFERROR(__xludf.DUMMYFUNCTION("""COMPUTED_VALUE"""),"")</f>
        <v/>
      </c>
      <c r="H52" s="111" t="str">
        <f>IFERROR(__xludf.DUMMYFUNCTION("""COMPUTED_VALUE"""),"When you capture the Treasure: Reduce the cooldown time of Skill 2 by 8%.")</f>
        <v>When you capture the Treasure: Reduce the cooldown time of Skill 2 by 8%.</v>
      </c>
      <c r="I52" s="112" t="str">
        <f>IFERROR(__xludf.DUMMYFUNCTION("""COMPUTED_VALUE"""),"Land of Wano
Child
Roger Pirates / Ex_Roger Pirates")</f>
        <v>Land of Wano
Child
Roger Pirates / Ex_Roger Pirates</v>
      </c>
      <c r="J52" s="101"/>
    </row>
    <row r="53" ht="75.0" customHeight="1">
      <c r="A53" s="101"/>
      <c r="B53" s="111" t="str">
        <f>IFERROR(__xludf.DUMMYFUNCTION("""COMPUTED_VALUE"""),"Egghead Bonney")</f>
        <v>Egghead Bonney</v>
      </c>
      <c r="C53" s="113" t="str">
        <f>IFERROR(__xludf.DUMMYFUNCTION("""COMPUTED_VALUE"""),"")</f>
        <v/>
      </c>
      <c r="D53" s="109" t="str">
        <f>IFERROR(__xludf.DUMMYFUNCTION("""COMPUTED_VALUE"""),"When attacking an enemy that is capturing Treasure: Reduce the cooldown time of Skill 1 by 2%.")</f>
        <v>When attacking an enemy that is capturing Treasure: Reduce the cooldown time of Skill 1 by 2%.</v>
      </c>
      <c r="E53" s="110" t="str">
        <f>IFERROR(__xludf.DUMMYFUNCTION("""COMPUTED_VALUE"""),"Egghead
Bonney Pirates
Paramecia
Captain
Royalty / Former Royalty
Worst Generation")</f>
        <v>Egghead
Bonney Pirates
Paramecia
Captain
Royalty / Former Royalty
Worst Generation</v>
      </c>
      <c r="F53" s="111" t="str">
        <f>IFERROR(__xludf.DUMMYFUNCTION("""COMPUTED_VALUE"""),"Vice Captain of the Eastern Forces")</f>
        <v>Vice Captain of the Eastern Forces</v>
      </c>
      <c r="G53" s="111" t="str">
        <f>IFERROR(__xludf.DUMMYFUNCTION("""COMPUTED_VALUE"""),"")</f>
        <v/>
      </c>
      <c r="H53" s="111" t="str">
        <f>IFERROR(__xludf.DUMMYFUNCTION("""COMPUTED_VALUE"""),"When your HP is 50% or less: Increase damage dealt by 3%.")</f>
        <v>When your HP is 50% or less: Increase damage dealt by 3%.</v>
      </c>
      <c r="I53" s="112" t="str">
        <f>IFERROR(__xludf.DUMMYFUNCTION("""COMPUTED_VALUE"""),"Egghead
Revolutionary Army")</f>
        <v>Egghead
Revolutionary Army</v>
      </c>
      <c r="J53" s="101"/>
    </row>
    <row r="54" ht="75.0" customHeight="1">
      <c r="A54" s="101"/>
      <c r="B54" s="111" t="str">
        <f>IFERROR(__xludf.DUMMYFUNCTION("""COMPUTED_VALUE"""),"Egghead Sanji")</f>
        <v>Egghead Sanji</v>
      </c>
      <c r="C54" s="113" t="str">
        <f>IFERROR(__xludf.DUMMYFUNCTION("""COMPUTED_VALUE"""),"")</f>
        <v/>
      </c>
      <c r="D54" s="109" t="str">
        <f>IFERROR(__xludf.DUMMYFUNCTION("""COMPUTED_VALUE"""),"When your HP is 70% or more: Reduce damage recieved by 5%.")</f>
        <v>When your HP is 70% or more: Reduce damage recieved by 5%.</v>
      </c>
      <c r="E54" s="110" t="str">
        <f>IFERROR(__xludf.DUMMYFUNCTION("""COMPUTED_VALUE"""),"Egghead
Straw Hat Pirates
Cook
Royalty / Former Royalty")</f>
        <v>Egghead
Straw Hat Pirates
Cook
Royalty / Former Royalty</v>
      </c>
      <c r="F54" s="111" t="str">
        <f>IFERROR(__xludf.DUMMYFUNCTION("""COMPUTED_VALUE"""),"Captain of the Eastern Forces")</f>
        <v>Captain of the Eastern Forces</v>
      </c>
      <c r="G54" s="111" t="str">
        <f>IFERROR(__xludf.DUMMYFUNCTION("""COMPUTED_VALUE"""),"")</f>
        <v/>
      </c>
      <c r="H54" s="111" t="str">
        <f>IFERROR(__xludf.DUMMYFUNCTION("""COMPUTED_VALUE"""),"When hit with Knockback by enemy: Reduce the cooldown time of Skill 1 by 5%.")</f>
        <v>When hit with Knockback by enemy: Reduce the cooldown time of Skill 1 by 5%.</v>
      </c>
      <c r="I54" s="112" t="str">
        <f>IFERROR(__xludf.DUMMYFUNCTION("""COMPUTED_VALUE"""),"Egghead
Revolutionary Army
Paramecia
Captain of the Revolutionary Army")</f>
        <v>Egghead
Revolutionary Army
Paramecia
Captain of the Revolutionary Army</v>
      </c>
      <c r="J54" s="101"/>
    </row>
    <row r="55" ht="75.0" customHeight="1">
      <c r="A55" s="101"/>
      <c r="B55" s="111" t="str">
        <f>IFERROR(__xludf.DUMMYFUNCTION("""COMPUTED_VALUE"""),"S_Shark")</f>
        <v>S_Shark</v>
      </c>
      <c r="C55" s="113" t="str">
        <f>IFERROR(__xludf.DUMMYFUNCTION("""COMPUTED_VALUE"""),"")</f>
        <v/>
      </c>
      <c r="D55" s="109" t="str">
        <f>IFERROR(__xludf.DUMMYFUNCTION("""COMPUTED_VALUE"""),"When you capture the Treasure: Reduce the cooldown time of Skill 2 by 8%.")</f>
        <v>When you capture the Treasure: Reduce the cooldown time of Skill 2 by 8%.</v>
      </c>
      <c r="E55" s="110" t="str">
        <f>IFERROR(__xludf.DUMMYFUNCTION("""COMPUTED_VALUE"""),"Egghead
Navy
Paramecia
Fish_Man Karate
Seraphim")</f>
        <v>Egghead
Navy
Paramecia
Fish_Man Karate
Seraphim</v>
      </c>
      <c r="F55" s="111" t="str">
        <f>IFERROR(__xludf.DUMMYFUNCTION("""COMPUTED_VALUE"""),"Helmeppo
(Fullalead)")</f>
        <v>Helmeppo
(Fullalead)</v>
      </c>
      <c r="G55" s="111" t="str">
        <f>IFERROR(__xludf.DUMMYFUNCTION("""COMPUTED_VALUE"""),"")</f>
        <v/>
      </c>
      <c r="H55" s="111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I55" s="112" t="str">
        <f>IFERROR(__xludf.DUMMYFUNCTION("""COMPUTED_VALUE"""),"Egghead
Navy
``Sword``")</f>
        <v>Egghead
Navy
``Sword``</v>
      </c>
      <c r="J55" s="101"/>
    </row>
    <row r="56" ht="75.0" customHeight="1">
      <c r="A56" s="101"/>
      <c r="B56" s="111" t="str">
        <f>IFERROR(__xludf.DUMMYFUNCTION("""COMPUTED_VALUE"""),"Punk_06")</f>
        <v>Punk_06</v>
      </c>
      <c r="C56" s="113" t="str">
        <f>IFERROR(__xludf.DUMMYFUNCTION("""COMPUTED_VALUE"""),"")</f>
        <v/>
      </c>
      <c r="D56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56" s="110" t="str">
        <f>IFERROR(__xludf.DUMMYFUNCTION("""COMPUTED_VALUE"""),"Egghead
Navy
Satellite")</f>
        <v>Egghead
Navy
Satellite</v>
      </c>
      <c r="F56" s="111" t="str">
        <f>IFERROR(__xludf.DUMMYFUNCTION("""COMPUTED_VALUE"""),"Garp
(Fullalead)")</f>
        <v>Garp
(Fullalead)</v>
      </c>
      <c r="G56" s="111" t="str">
        <f>IFERROR(__xludf.DUMMYFUNCTION("""COMPUTED_VALUE"""),"")</f>
        <v/>
      </c>
      <c r="H56" s="111" t="str">
        <f>IFERROR(__xludf.DUMMYFUNCTION("""COMPUTED_VALUE"""),"When in the area around your enemy`s Treasure: Increase damage dealt by 5%.")</f>
        <v>When in the area around your enemy`s Treasure: Increase damage dealt by 5%.</v>
      </c>
      <c r="I56" s="112" t="str">
        <f>IFERROR(__xludf.DUMMYFUNCTION("""COMPUTED_VALUE"""),"Egghead
Navy
Vice Admiral")</f>
        <v>Egghead
Navy
Vice Admiral</v>
      </c>
      <c r="J56" s="101"/>
    </row>
    <row r="57" ht="75.0" customHeight="1">
      <c r="A57" s="101"/>
      <c r="B57" s="111" t="str">
        <f>IFERROR(__xludf.DUMMYFUNCTION("""COMPUTED_VALUE"""),"Punk_05")</f>
        <v>Punk_05</v>
      </c>
      <c r="C57" s="113" t="str">
        <f>IFERROR(__xludf.DUMMYFUNCTION("""COMPUTED_VALUE"""),"")</f>
        <v/>
      </c>
      <c r="D57" s="109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E57" s="110" t="str">
        <f>IFERROR(__xludf.DUMMYFUNCTION("""COMPUTED_VALUE"""),"Egghead
Navy
Satellite")</f>
        <v>Egghead
Navy
Satellite</v>
      </c>
      <c r="F57" s="111" t="str">
        <f>IFERROR(__xludf.DUMMYFUNCTION("""COMPUTED_VALUE"""),"Hibari
(Fullalead)")</f>
        <v>Hibari
(Fullalead)</v>
      </c>
      <c r="G57" s="111" t="str">
        <f>IFERROR(__xludf.DUMMYFUNCTION("""COMPUTED_VALUE"""),"")</f>
        <v/>
      </c>
      <c r="H57" s="111" t="str">
        <f>IFERROR(__xludf.DUMMYFUNCTION("""COMPUTED_VALUE"""),"When using Skill 2: Reduce the cooldown time of Skill 1 by 3%.")</f>
        <v>When using Skill 2: Reduce the cooldown time of Skill 1 by 3%.</v>
      </c>
      <c r="I57" s="112" t="str">
        <f>IFERROR(__xludf.DUMMYFUNCTION("""COMPUTED_VALUE"""),"Egghead
Navy
``Sword``")</f>
        <v>Egghead
Navy
``Sword``</v>
      </c>
      <c r="J57" s="101"/>
    </row>
    <row r="58" ht="75.0" customHeight="1">
      <c r="A58" s="101"/>
      <c r="B58" s="111" t="str">
        <f>IFERROR(__xludf.DUMMYFUNCTION("""COMPUTED_VALUE"""),"S_Bear")</f>
        <v>S_Bear</v>
      </c>
      <c r="C58" s="113" t="str">
        <f>IFERROR(__xludf.DUMMYFUNCTION("""COMPUTED_VALUE"""),"")</f>
        <v/>
      </c>
      <c r="D58" s="109" t="str">
        <f>IFERROR(__xludf.DUMMYFUNCTION("""COMPUTED_VALUE"""),"When you Knockback an enemy: Recover HP by 3%.")</f>
        <v>When you Knockback an enemy: Recover HP by 3%.</v>
      </c>
      <c r="E58" s="110" t="str">
        <f>IFERROR(__xludf.DUMMYFUNCTION("""COMPUTED_VALUE"""),"Egghead
Paramecia
Navy
Seraphim")</f>
        <v>Egghead
Paramecia
Navy
Seraphim</v>
      </c>
      <c r="F58" s="111" t="str">
        <f>IFERROR(__xludf.DUMMYFUNCTION("""COMPUTED_VALUE"""),"Prince Grus
(Fullalead)")</f>
        <v>Prince Grus
(Fullalead)</v>
      </c>
      <c r="G58" s="111" t="str">
        <f>IFERROR(__xludf.DUMMYFUNCTION("""COMPUTED_VALUE"""),"")</f>
        <v/>
      </c>
      <c r="H58" s="111" t="str">
        <f>IFERROR(__xludf.DUMMYFUNCTION("""COMPUTED_VALUE"""),"After KOing an enemy: Reduce the cooldown time of Skill 1 by 8%.")</f>
        <v>After KOing an enemy: Reduce the cooldown time of Skill 1 by 8%.</v>
      </c>
      <c r="I58" s="112" t="str">
        <f>IFERROR(__xludf.DUMMYFUNCTION("""COMPUTED_VALUE"""),"Egghead
Navy
``Sword``")</f>
        <v>Egghead
Navy
``Sword``</v>
      </c>
      <c r="J58" s="101"/>
    </row>
    <row r="59" ht="75.0" customHeight="1">
      <c r="A59" s="101"/>
      <c r="B59" s="111" t="str">
        <f>IFERROR(__xludf.DUMMYFUNCTION("""COMPUTED_VALUE"""),"Punk_02")</f>
        <v>Punk_02</v>
      </c>
      <c r="C59" s="113" t="str">
        <f>IFERROR(__xludf.DUMMYFUNCTION("""COMPUTED_VALUE"""),"")</f>
        <v/>
      </c>
      <c r="D59" s="109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E59" s="110" t="str">
        <f>IFERROR(__xludf.DUMMYFUNCTION("""COMPUTED_VALUE"""),"Egghead
Navy
Satellite")</f>
        <v>Egghead
Navy
Satellite</v>
      </c>
      <c r="F59" s="111" t="str">
        <f>IFERROR(__xludf.DUMMYFUNCTION("""COMPUTED_VALUE"""),"Tashigi
(Fullalead)")</f>
        <v>Tashigi
(Fullalead)</v>
      </c>
      <c r="G59" s="111" t="str">
        <f>IFERROR(__xludf.DUMMYFUNCTION("""COMPUTED_VALUE"""),"")</f>
        <v/>
      </c>
      <c r="H59" s="111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I59" s="112" t="str">
        <f>IFERROR(__xludf.DUMMYFUNCTION("""COMPUTED_VALUE"""),"Egghead
Navy
Navy Captain")</f>
        <v>Egghead
Navy
Navy Captain</v>
      </c>
      <c r="J59" s="101"/>
    </row>
    <row r="60" ht="75.0" customHeight="1">
      <c r="A60" s="101"/>
      <c r="B60" s="111" t="str">
        <f>IFERROR(__xludf.DUMMYFUNCTION("""COMPUTED_VALUE"""),"Halloween Uta")</f>
        <v>Halloween Uta</v>
      </c>
      <c r="C60" s="113" t="str">
        <f>IFERROR(__xludf.DUMMYFUNCTION("""COMPUTED_VALUE"""),"")</f>
        <v/>
      </c>
      <c r="D60" s="109" t="str">
        <f>IFERROR(__xludf.DUMMYFUNCTION("""COMPUTED_VALUE"""),"When using Skill 2: Reduce the cooldown time of Skill 1 by 5%.")</f>
        <v>When using Skill 2: Reduce the cooldown time of Skill 1 by 5%.</v>
      </c>
      <c r="E60" s="110" t="str">
        <f>IFERROR(__xludf.DUMMYFUNCTION("""COMPUTED_VALUE"""),"FILM RED
Paramecia")</f>
        <v>FILM RED
Paramecia</v>
      </c>
      <c r="F60" s="111" t="str">
        <f>IFERROR(__xludf.DUMMYFUNCTION("""COMPUTED_VALUE"""),"Peacook
(Fullalead)")</f>
        <v>Peacook
(Fullalead)</v>
      </c>
      <c r="G60" s="111" t="str">
        <f>IFERROR(__xludf.DUMMYFUNCTION("""COMPUTED_VALUE"""),"")</f>
        <v/>
      </c>
      <c r="H60" s="111" t="str">
        <f>IFERROR(__xludf.DUMMYFUNCTION("""COMPUTED_VALUE"""),"When you Knockback an enemy: Reduce the cooldown time of Skill 2 by 5%.")</f>
        <v>When you Knockback an enemy: Reduce the cooldown time of Skill 2 by 5%.</v>
      </c>
      <c r="I60" s="112" t="str">
        <f>IFERROR(__xludf.DUMMYFUNCTION("""COMPUTED_VALUE"""),"Egghead
Navy
``Sword``")</f>
        <v>Egghead
Navy
``Sword``</v>
      </c>
      <c r="J60" s="101"/>
    </row>
    <row r="61" ht="75.0" customHeight="1">
      <c r="A61" s="101"/>
      <c r="B61" s="111" t="str">
        <f>IFERROR(__xludf.DUMMYFUNCTION("""COMPUTED_VALUE"""),"Broggy")</f>
        <v>Broggy</v>
      </c>
      <c r="C61" s="113" t="str">
        <f>IFERROR(__xludf.DUMMYFUNCTION("""COMPUTED_VALUE"""),"")</f>
        <v/>
      </c>
      <c r="D61" s="109" t="str">
        <f>IFERROR(__xludf.DUMMYFUNCTION("""COMPUTED_VALUE"""),"When your HP is 70% or more: Reduce damage recieved by 5%.")</f>
        <v>When your HP is 70% or more: Reduce damage recieved by 5%.</v>
      </c>
      <c r="E61" s="110" t="str">
        <f>IFERROR(__xludf.DUMMYFUNCTION("""COMPUTED_VALUE"""),"Egghead
Giant Pirate Crew
Captain
Giant")</f>
        <v>Egghead
Giant Pirate Crew
Captain
Giant</v>
      </c>
      <c r="F61" s="111" t="str">
        <f>IFERROR(__xludf.DUMMYFUNCTION("""COMPUTED_VALUE"""),"Nami
(Future Outfit)")</f>
        <v>Nami
(Future Outfit)</v>
      </c>
      <c r="G61" s="111" t="str">
        <f>IFERROR(__xludf.DUMMYFUNCTION("""COMPUTED_VALUE"""),"")</f>
        <v/>
      </c>
      <c r="H61" s="111" t="str">
        <f>IFERROR(__xludf.DUMMYFUNCTION("""COMPUTED_VALUE"""),"When in the area around your captured Treasure: Increase damage dealt by 3%.")</f>
        <v>When in the area around your captured Treasure: Increase damage dealt by 3%.</v>
      </c>
      <c r="I61" s="112" t="str">
        <f>IFERROR(__xludf.DUMMYFUNCTION("""COMPUTED_VALUE"""),"Egghead
Straw Hat Pirates
Navigator")</f>
        <v>Egghead
Straw Hat Pirates
Navigator</v>
      </c>
      <c r="J61" s="101"/>
    </row>
    <row r="62" ht="75.0" customHeight="1">
      <c r="A62" s="101"/>
      <c r="B62" s="111" t="str">
        <f>IFERROR(__xludf.DUMMYFUNCTION("""COMPUTED_VALUE"""),"Dorry")</f>
        <v>Dorry</v>
      </c>
      <c r="C62" s="113" t="str">
        <f>IFERROR(__xludf.DUMMYFUNCTION("""COMPUTED_VALUE"""),"")</f>
        <v/>
      </c>
      <c r="D62" s="109" t="str">
        <f>IFERROR(__xludf.DUMMYFUNCTION("""COMPUTED_VALUE"""),"When your HP is 70% or more: Increase damage dealt by 5%.")</f>
        <v>When your HP is 70% or more: Increase damage dealt by 5%.</v>
      </c>
      <c r="E62" s="110" t="str">
        <f>IFERROR(__xludf.DUMMYFUNCTION("""COMPUTED_VALUE"""),"Egghead
Giant Pirate Crew
Captain
Giant")</f>
        <v>Egghead
Giant Pirate Crew
Captain
Giant</v>
      </c>
      <c r="F62" s="111" t="str">
        <f>IFERROR(__xludf.DUMMYFUNCTION("""COMPUTED_VALUE"""),"Robin
(Future Outfit)")</f>
        <v>Robin
(Future Outfit)</v>
      </c>
      <c r="G62" s="111" t="str">
        <f>IFERROR(__xludf.DUMMYFUNCTION("""COMPUTED_VALUE"""),"")</f>
        <v/>
      </c>
      <c r="H62" s="111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I62" s="112" t="str">
        <f>IFERROR(__xludf.DUMMYFUNCTION("""COMPUTED_VALUE"""),"Egghead
Straw Hat Pirates
Paramecia
Archaeologist")</f>
        <v>Egghead
Straw Hat Pirates
Paramecia
Archaeologist</v>
      </c>
      <c r="J62" s="101"/>
    </row>
    <row r="63" ht="75.0" customHeight="1">
      <c r="A63" s="101"/>
      <c r="B63" s="111" t="str">
        <f>IFERROR(__xludf.DUMMYFUNCTION("""COMPUTED_VALUE"""),"Red_Haired Divine Departure")</f>
        <v>Red_Haired Divine Departure</v>
      </c>
      <c r="C63" s="113" t="str">
        <f>IFERROR(__xludf.DUMMYFUNCTION("""COMPUTED_VALUE"""),"")</f>
        <v/>
      </c>
      <c r="D63" s="109" t="str">
        <f>IFERROR(__xludf.DUMMYFUNCTION("""COMPUTED_VALUE"""),"When you capture the Treasure: Reduce the cooldown time of Skill 2 by 8%.")</f>
        <v>When you capture the Treasure: Reduce the cooldown time of Skill 2 by 8%.</v>
      </c>
      <c r="E63" s="110" t="str">
        <f>IFERROR(__xludf.DUMMYFUNCTION("""COMPUTED_VALUE"""),"Egghead
Red_Haired Pirates
Captain
The Four Emperors
Roger Pirates / Ex_Roger Pirates")</f>
        <v>Egghead
Red_Haired Pirates
Captain
The Four Emperors
Roger Pirates / Ex_Roger Pirates</v>
      </c>
      <c r="F63" s="111" t="str">
        <f>IFERROR(__xludf.DUMMYFUNCTION("""COMPUTED_VALUE"""),"Chopper
(Future Outfit)")</f>
        <v>Chopper
(Future Outfit)</v>
      </c>
      <c r="G63" s="111" t="str">
        <f>IFERROR(__xludf.DUMMYFUNCTION("""COMPUTED_VALUE"""),"")</f>
        <v/>
      </c>
      <c r="H63" s="111" t="str">
        <f>IFERROR(__xludf.DUMMYFUNCTION("""COMPUTED_VALUE"""),"When you Down an enemy: Reduce the cooldown time of Skill 2 by 3%.")</f>
        <v>When you Down an enemy: Reduce the cooldown time of Skill 2 by 3%.</v>
      </c>
      <c r="I63" s="112" t="str">
        <f>IFERROR(__xludf.DUMMYFUNCTION("""COMPUTED_VALUE"""),"Egghead
Straw Hat Pirates
Zoan
Doctor")</f>
        <v>Egghead
Straw Hat Pirates
Zoan
Doctor</v>
      </c>
      <c r="J63" s="101"/>
    </row>
    <row r="64" ht="75.0" customHeight="1">
      <c r="A64" s="101"/>
      <c r="B64" s="111" t="str">
        <f>IFERROR(__xludf.DUMMYFUNCTION("""COMPUTED_VALUE"""),"Vegapunk`s Spy")</f>
        <v>Vegapunk`s Spy</v>
      </c>
      <c r="C64" s="113" t="str">
        <f>IFERROR(__xludf.DUMMYFUNCTION("""COMPUTED_VALUE"""),"")</f>
        <v/>
      </c>
      <c r="D64" s="109" t="str">
        <f>IFERROR(__xludf.DUMMYFUNCTION("""COMPUTED_VALUE"""),"When attacking a character type ``Zoan`` enemy: Increase damage dealt by 5%.")</f>
        <v>When attacking a character type ``Zoan`` enemy: Increase damage dealt by 5%.</v>
      </c>
      <c r="E64" s="110" t="str">
        <f>IFERROR(__xludf.DUMMYFUNCTION("""COMPUTED_VALUE"""),"Egghead
Six Powers")</f>
        <v>Egghead
Six Powers</v>
      </c>
      <c r="F64" s="111" t="str">
        <f>IFERROR(__xludf.DUMMYFUNCTION("""COMPUTED_VALUE"""),"Brook
(Future Outfit)")</f>
        <v>Brook
(Future Outfit)</v>
      </c>
      <c r="G64" s="111" t="str">
        <f>IFERROR(__xludf.DUMMYFUNCTION("""COMPUTED_VALUE"""),"")</f>
        <v/>
      </c>
      <c r="H64" s="111" t="str">
        <f>IFERROR(__xludf.DUMMYFUNCTION("""COMPUTED_VALUE"""),"After KOing an enemy: Reduce the cooldown time of Skill 2 by 8%.")</f>
        <v>After KOing an enemy: Reduce the cooldown time of Skill 2 by 8%.</v>
      </c>
      <c r="I64" s="112" t="str">
        <f>IFERROR(__xludf.DUMMYFUNCTION("""COMPUTED_VALUE"""),"Egghead
Straw Hat Pirates
Paramecia
Musician")</f>
        <v>Egghead
Straw Hat Pirates
Paramecia
Musician</v>
      </c>
      <c r="J64" s="101"/>
    </row>
    <row r="65" ht="75.0" customHeight="1">
      <c r="A65" s="101"/>
      <c r="B65" s="111" t="str">
        <f>IFERROR(__xludf.DUMMYFUNCTION("""COMPUTED_VALUE"""),"Nose Pistol")</f>
        <v>Nose Pistol</v>
      </c>
      <c r="C65" s="113" t="str">
        <f>IFERROR(__xludf.DUMMYFUNCTION("""COMPUTED_VALUE"""),"")</f>
        <v/>
      </c>
      <c r="D65" s="109" t="str">
        <f>IFERROR(__xludf.DUMMYFUNCTION("""COMPUTED_VALUE"""),"When in the area around your captured Treasure: Increase damage dealt by 5%.")</f>
        <v>When in the area around your captured Treasure: Increase damage dealt by 5%.</v>
      </c>
      <c r="E65" s="110" t="str">
        <f>IFERROR(__xludf.DUMMYFUNCTION("""COMPUTED_VALUE"""),"Egghead
Cipher Pol
Zoan
Intelligence Agent
Six Powers")</f>
        <v>Egghead
Cipher Pol
Zoan
Intelligence Agent
Six Powers</v>
      </c>
      <c r="F65" s="111" t="str">
        <f>IFERROR(__xludf.DUMMYFUNCTION("""COMPUTED_VALUE"""),"Bonney`s Father")</f>
        <v>Bonney`s Father</v>
      </c>
      <c r="G65" s="111" t="str">
        <f>IFERROR(__xludf.DUMMYFUNCTION("""COMPUTED_VALUE"""),"")</f>
        <v/>
      </c>
      <c r="H65" s="111" t="str">
        <f>IFERROR(__xludf.DUMMYFUNCTION("""COMPUTED_VALUE"""),"When you Knockback an enemy: Reduce the cooldown time of Skill 1 by 3%.")</f>
        <v>When you Knockback an enemy: Reduce the cooldown time of Skill 1 by 3%.</v>
      </c>
      <c r="I65" s="112" t="str">
        <f>IFERROR(__xludf.DUMMYFUNCTION("""COMPUTED_VALUE"""),"Egghead
Revolutionary Army
Paramecia")</f>
        <v>Egghead
Revolutionary Army
Paramecia</v>
      </c>
      <c r="J65" s="101"/>
    </row>
    <row r="66" ht="75.0" customHeight="1">
      <c r="A66" s="101"/>
      <c r="B66" s="111" t="str">
        <f>IFERROR(__xludf.DUMMYFUNCTION("""COMPUTED_VALUE"""),"Hand Pistol")</f>
        <v>Hand Pistol</v>
      </c>
      <c r="C66" s="113" t="str">
        <f>IFERROR(__xludf.DUMMYFUNCTION("""COMPUTED_VALUE"""),"")</f>
        <v/>
      </c>
      <c r="D66" s="109" t="str">
        <f>IFERROR(__xludf.DUMMYFUNCTION("""COMPUTED_VALUE"""),"When you capture the Treasure: Reduce the cooldown time of Skill 2 by 8%.")</f>
        <v>When you capture the Treasure: Reduce the cooldown time of Skill 2 by 8%.</v>
      </c>
      <c r="E66" s="110" t="str">
        <f>IFERROR(__xludf.DUMMYFUNCTION("""COMPUTED_VALUE"""),"Egghead
Cipher Pol
Zoan
Intelligence Agent
Six Powers")</f>
        <v>Egghead
Cipher Pol
Zoan
Intelligence Agent
Six Powers</v>
      </c>
      <c r="F66" s="111" t="str">
        <f>IFERROR(__xludf.DUMMYFUNCTION("""COMPUTED_VALUE"""),"Luffy &amp; Lucci")</f>
        <v>Luffy &amp; Lucci</v>
      </c>
      <c r="G66" s="111" t="str">
        <f>IFERROR(__xludf.DUMMYFUNCTION("""COMPUTED_VALUE"""),"")</f>
        <v/>
      </c>
      <c r="H66" s="111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I66" s="112" t="str">
        <f>IFERROR(__xludf.DUMMYFUNCTION("""COMPUTED_VALUE"""),"Egghead
Straw Hat Pirates
Zoan
Captain
Six Powers
The Four Emperors
Blood Brothers")</f>
        <v>Egghead
Straw Hat Pirates
Zoan
Captain
Six Powers
The Four Emperors
Blood Brothers</v>
      </c>
      <c r="J66" s="101"/>
    </row>
    <row r="67" ht="75.0" customHeight="1">
      <c r="A67" s="101"/>
      <c r="B67" s="111" t="str">
        <f>IFERROR(__xludf.DUMMYFUNCTION("""COMPUTED_VALUE"""),"Jabra")</f>
        <v>Jabra</v>
      </c>
      <c r="C67" s="113" t="str">
        <f>IFERROR(__xludf.DUMMYFUNCTION("""COMPUTED_VALUE"""),"")</f>
        <v/>
      </c>
      <c r="D67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67" s="110" t="str">
        <f>IFERROR(__xludf.DUMMYFUNCTION("""COMPUTED_VALUE"""),"Water 7 / Enies Lobby
Cipher Pol
Zoan
Intelligence Agent
Six Powers")</f>
        <v>Water 7 / Enies Lobby
Cipher Pol
Zoan
Intelligence Agent
Six Powers</v>
      </c>
      <c r="F67" s="111" t="str">
        <f>IFERROR(__xludf.DUMMYFUNCTION("""COMPUTED_VALUE"""),"Pythagores")</f>
        <v>Pythagores</v>
      </c>
      <c r="G67" s="111" t="str">
        <f>IFERROR(__xludf.DUMMYFUNCTION("""COMPUTED_VALUE"""),"")</f>
        <v/>
      </c>
      <c r="H67" s="111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I67" s="112" t="str">
        <f>IFERROR(__xludf.DUMMYFUNCTION("""COMPUTED_VALUE"""),"Egghead
Navy")</f>
        <v>Egghead
Navy</v>
      </c>
      <c r="J67" s="101"/>
    </row>
    <row r="68" ht="75.0" customHeight="1">
      <c r="A68" s="101"/>
      <c r="B68" s="111" t="str">
        <f>IFERROR(__xludf.DUMMYFUNCTION("""COMPUTED_VALUE"""),"Blueno")</f>
        <v>Blueno</v>
      </c>
      <c r="C68" s="113" t="str">
        <f>IFERROR(__xludf.DUMMYFUNCTION("""COMPUTED_VALUE"""),"")</f>
        <v/>
      </c>
      <c r="D68" s="109" t="str">
        <f>IFERROR(__xludf.DUMMYFUNCTION("""COMPUTED_VALUE"""),"When in the area around your enemy`s Treasure: Reduce damage recieved by 5%.")</f>
        <v>When in the area around your enemy`s Treasure: Reduce damage recieved by 5%.</v>
      </c>
      <c r="E68" s="110" t="str">
        <f>IFERROR(__xludf.DUMMYFUNCTION("""COMPUTED_VALUE"""),"Water 7 / Enies Lobby
Cipher Pol
Paramecia
Intelligence Agent
Six Powers")</f>
        <v>Water 7 / Enies Lobby
Cipher Pol
Paramecia
Intelligence Agent
Six Powers</v>
      </c>
      <c r="F68" s="111" t="str">
        <f>IFERROR(__xludf.DUMMYFUNCTION("""COMPUTED_VALUE"""),"Vegaforce_01")</f>
        <v>Vegaforce_01</v>
      </c>
      <c r="G68" s="111" t="str">
        <f>IFERROR(__xludf.DUMMYFUNCTION("""COMPUTED_VALUE"""),"")</f>
        <v/>
      </c>
      <c r="H68" s="111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I68" s="112" t="str">
        <f>IFERROR(__xludf.DUMMYFUNCTION("""COMPUTED_VALUE"""),"Egghead
Navy")</f>
        <v>Egghead
Navy</v>
      </c>
      <c r="J68" s="101"/>
    </row>
    <row r="69" ht="75.0" customHeight="1">
      <c r="A69" s="101"/>
      <c r="B69" s="111" t="str">
        <f>IFERROR(__xludf.DUMMYFUNCTION("""COMPUTED_VALUE"""),"S_Hawk")</f>
        <v>S_Hawk</v>
      </c>
      <c r="C69" s="113" t="str">
        <f>IFERROR(__xludf.DUMMYFUNCTION("""COMPUTED_VALUE"""),"")</f>
        <v/>
      </c>
      <c r="D69" s="109" t="str">
        <f>IFERROR(__xludf.DUMMYFUNCTION("""COMPUTED_VALUE"""),"When your HP is 70% or more: Reduce damage recieved by 5%.")</f>
        <v>When your HP is 70% or more: Reduce damage recieved by 5%.</v>
      </c>
      <c r="E69" s="110" t="str">
        <f>IFERROR(__xludf.DUMMYFUNCTION("""COMPUTED_VALUE"""),"Egghead
Paramecia
Navy
Seraphim")</f>
        <v>Egghead
Paramecia
Navy
Seraphim</v>
      </c>
      <c r="F69" s="111" t="str">
        <f>IFERROR(__xludf.DUMMYFUNCTION("""COMPUTED_VALUE"""),"Kashii")</f>
        <v>Kashii</v>
      </c>
      <c r="G69" s="111" t="str">
        <f>IFERROR(__xludf.DUMMYFUNCTION("""COMPUTED_VALUE"""),"")</f>
        <v/>
      </c>
      <c r="H69" s="111" t="str">
        <f>IFERROR(__xludf.DUMMYFUNCTION("""COMPUTED_VALUE"""),"When you Knockback an enemy: Recover HP by 2%.")</f>
        <v>When you Knockback an enemy: Recover HP by 2%.</v>
      </c>
      <c r="I69" s="112" t="str">
        <f>IFERROR(__xludf.DUMMYFUNCTION("""COMPUTED_VALUE"""),"Egghead
Giant Pirate Crew
Giant")</f>
        <v>Egghead
Giant Pirate Crew
Giant</v>
      </c>
      <c r="J69" s="101"/>
    </row>
    <row r="70" ht="75.0" customHeight="1">
      <c r="A70" s="101"/>
      <c r="B70" s="111" t="str">
        <f>IFERROR(__xludf.DUMMYFUNCTION("""COMPUTED_VALUE"""),"Egghead Zoro")</f>
        <v>Egghead Zoro</v>
      </c>
      <c r="C70" s="113" t="str">
        <f>IFERROR(__xludf.DUMMYFUNCTION("""COMPUTED_VALUE"""),"")</f>
        <v/>
      </c>
      <c r="D70" s="109" t="str">
        <f>IFERROR(__xludf.DUMMYFUNCTION("""COMPUTED_VALUE"""),"When you capture the Treasure: Reduce the cooldown time of Skill 1 by 8%.")</f>
        <v>When you capture the Treasure: Reduce the cooldown time of Skill 1 by 8%.</v>
      </c>
      <c r="E70" s="110" t="str">
        <f>IFERROR(__xludf.DUMMYFUNCTION("""COMPUTED_VALUE"""),"Egghead
Straw Hat Pirates
Combatant
Worst Generation")</f>
        <v>Egghead
Straw Hat Pirates
Combatant
Worst Generation</v>
      </c>
      <c r="F70" s="111" t="str">
        <f>IFERROR(__xludf.DUMMYFUNCTION("""COMPUTED_VALUE"""),"Oimo")</f>
        <v>Oimo</v>
      </c>
      <c r="G70" s="111" t="str">
        <f>IFERROR(__xludf.DUMMYFUNCTION("""COMPUTED_VALUE"""),"")</f>
        <v/>
      </c>
      <c r="H70" s="111" t="str">
        <f>IFERROR(__xludf.DUMMYFUNCTION("""COMPUTED_VALUE"""),"When using Skill 1: Reduce the cooldown time of Skill 2 by 5%.")</f>
        <v>When using Skill 1: Reduce the cooldown time of Skill 2 by 5%.</v>
      </c>
      <c r="I70" s="112" t="str">
        <f>IFERROR(__xludf.DUMMYFUNCTION("""COMPUTED_VALUE"""),"Egghead
Giant Pirate Crew
Giant")</f>
        <v>Egghead
Giant Pirate Crew
Giant</v>
      </c>
      <c r="J70" s="101"/>
    </row>
    <row r="71" ht="75.0" customHeight="1">
      <c r="A71" s="101"/>
      <c r="B71" s="111" t="str">
        <f>IFERROR(__xludf.DUMMYFUNCTION("""COMPUTED_VALUE"""),"S_Snake")</f>
        <v>S_Snake</v>
      </c>
      <c r="C71" s="113" t="str">
        <f>IFERROR(__xludf.DUMMYFUNCTION("""COMPUTED_VALUE"""),"")</f>
        <v/>
      </c>
      <c r="D71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71" s="110" t="str">
        <f>IFERROR(__xludf.DUMMYFUNCTION("""COMPUTED_VALUE"""),"Egghead
Paramecia
Navy
Seraphim")</f>
        <v>Egghead
Paramecia
Navy
Seraphim</v>
      </c>
      <c r="F71" s="111" t="str">
        <f>IFERROR(__xludf.DUMMYFUNCTION("""COMPUTED_VALUE"""),"Izo
(Young)")</f>
        <v>Izo
(Young)</v>
      </c>
      <c r="G71" s="111" t="str">
        <f>IFERROR(__xludf.DUMMYFUNCTION("""COMPUTED_VALUE"""),"")</f>
        <v/>
      </c>
      <c r="H71" s="111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I71" s="112" t="str">
        <f>IFERROR(__xludf.DUMMYFUNCTION("""COMPUTED_VALUE"""),"Whitebeard Pirates
Kozuki Clan / Kozuki Clan Servant")</f>
        <v>Whitebeard Pirates
Kozuki Clan / Kozuki Clan Servant</v>
      </c>
      <c r="J71" s="101"/>
    </row>
    <row r="72" ht="75.0" customHeight="1">
      <c r="A72" s="101"/>
      <c r="B72" s="111" t="str">
        <f>IFERROR(__xludf.DUMMYFUNCTION("""COMPUTED_VALUE"""),"Egghead Luffy")</f>
        <v>Egghead Luffy</v>
      </c>
      <c r="C72" s="113" t="str">
        <f>IFERROR(__xludf.DUMMYFUNCTION("""COMPUTED_VALUE"""),"")</f>
        <v/>
      </c>
      <c r="D72" s="109" t="str">
        <f>IFERROR(__xludf.DUMMYFUNCTION("""COMPUTED_VALUE"""),"When in the area around your enemy`s Treasure: Reduce damage recieved by 5%.")</f>
        <v>When in the area around your enemy`s Treasure: Reduce damage recieved by 5%.</v>
      </c>
      <c r="E72" s="110" t="str">
        <f>IFERROR(__xludf.DUMMYFUNCTION("""COMPUTED_VALUE"""),"Egghead
Straw Hat Pirates
Zoan
Captain
The Four Emperors
Blood Brothers")</f>
        <v>Egghead
Straw Hat Pirates
Zoan
Captain
The Four Emperors
Blood Brothers</v>
      </c>
      <c r="F72" s="111" t="str">
        <f>IFERROR(__xludf.DUMMYFUNCTION("""COMPUTED_VALUE"""),"Oden
(2nd Division Commander)")</f>
        <v>Oden
(2nd Division Commander)</v>
      </c>
      <c r="G72" s="111" t="str">
        <f>IFERROR(__xludf.DUMMYFUNCTION("""COMPUTED_VALUE"""),"")</f>
        <v/>
      </c>
      <c r="H72" s="111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I72" s="112" t="str">
        <f>IFERROR(__xludf.DUMMYFUNCTION("""COMPUTED_VALUE"""),"Whitebeard Pirates
Kozuki Clan / Kozuki Clan Servant
Whitebeard Pirates Commander")</f>
        <v>Whitebeard Pirates
Kozuki Clan / Kozuki Clan Servant
Whitebeard Pirates Commander</v>
      </c>
      <c r="J72" s="101"/>
    </row>
    <row r="73" ht="75.0" customHeight="1">
      <c r="A73" s="101"/>
      <c r="B73" s="111" t="str">
        <f>IFERROR(__xludf.DUMMYFUNCTION("""COMPUTED_VALUE"""),"Pacifista")</f>
        <v>Pacifista</v>
      </c>
      <c r="C73" s="113" t="str">
        <f>IFERROR(__xludf.DUMMYFUNCTION("""COMPUTED_VALUE"""),"")</f>
        <v/>
      </c>
      <c r="D73" s="109" t="str">
        <f>IFERROR(__xludf.DUMMYFUNCTION("""COMPUTED_VALUE"""),"When you Knockback an enemy: Recover HP by 3%.")</f>
        <v>When you Knockback an enemy: Recover HP by 3%.</v>
      </c>
      <c r="E73" s="110" t="str">
        <f>IFERROR(__xludf.DUMMYFUNCTION("""COMPUTED_VALUE"""),"Navy")</f>
        <v>Navy</v>
      </c>
      <c r="F73" s="111" t="str">
        <f>IFERROR(__xludf.DUMMYFUNCTION("""COMPUTED_VALUE"""),"Rayleigh
(First Mate)")</f>
        <v>Rayleigh
(First Mate)</v>
      </c>
      <c r="G73" s="111" t="str">
        <f>IFERROR(__xludf.DUMMYFUNCTION("""COMPUTED_VALUE"""),"")</f>
        <v/>
      </c>
      <c r="H73" s="111" t="str">
        <f>IFERROR(__xludf.DUMMYFUNCTION("""COMPUTED_VALUE"""),"When in the Treasure Area: Boost the cooldown reduction speed of dodge by 13%.")</f>
        <v>When in the Treasure Area: Boost the cooldown reduction speed of dodge by 13%.</v>
      </c>
      <c r="I73" s="112" t="str">
        <f>IFERROR(__xludf.DUMMYFUNCTION("""COMPUTED_VALUE"""),"Roger Pirates / Ex_Roger Pirates")</f>
        <v>Roger Pirates / Ex_Roger Pirates</v>
      </c>
      <c r="J73" s="101"/>
    </row>
    <row r="74" ht="75.0" customHeight="1">
      <c r="A74" s="101"/>
      <c r="B74" s="111" t="str">
        <f>IFERROR(__xludf.DUMMYFUNCTION("""COMPUTED_VALUE"""),"Axe")</f>
        <v>Axe</v>
      </c>
      <c r="C74" s="113" t="str">
        <f>IFERROR(__xludf.DUMMYFUNCTION("""COMPUTED_VALUE"""),"")</f>
        <v/>
      </c>
      <c r="D74" s="109" t="str">
        <f>IFERROR(__xludf.DUMMYFUNCTION("""COMPUTED_VALUE"""),"When enemies are inflicted with Recovery Block: Reduce the cooldown time of Skill 2 by 6%.")</f>
        <v>When enemies are inflicted with Recovery Block: Reduce the cooldown time of Skill 2 by 6%.</v>
      </c>
      <c r="E74" s="110" t="str">
        <f>IFERROR(__xludf.DUMMYFUNCTION("""COMPUTED_VALUE"""),"Navy")</f>
        <v>Navy</v>
      </c>
      <c r="F74" s="111" t="str">
        <f>IFERROR(__xludf.DUMMYFUNCTION("""COMPUTED_VALUE"""),"Roger
(Captain)")</f>
        <v>Roger
(Captain)</v>
      </c>
      <c r="G74" s="111" t="str">
        <f>IFERROR(__xludf.DUMMYFUNCTION("""COMPUTED_VALUE"""),"")</f>
        <v/>
      </c>
      <c r="H74" s="111" t="str">
        <f>IFERROR(__xludf.DUMMYFUNCTION("""COMPUTED_VALUE"""),"When your HP is 70% or more: Increase damage dealt by 5%.")</f>
        <v>When your HP is 70% or more: Increase damage dealt by 5%.</v>
      </c>
      <c r="I74" s="112" t="str">
        <f>IFERROR(__xludf.DUMMYFUNCTION("""COMPUTED_VALUE"""),"Captain
Roger Pirates / Ex_Roger Pirates")</f>
        <v>Captain
Roger Pirates / Ex_Roger Pirates</v>
      </c>
      <c r="J74" s="101"/>
    </row>
    <row r="75" ht="75.0" customHeight="1">
      <c r="A75" s="101"/>
      <c r="B75" s="111" t="str">
        <f>IFERROR(__xludf.DUMMYFUNCTION("""COMPUTED_VALUE"""),"Demaro Black")</f>
        <v>Demaro Black</v>
      </c>
      <c r="C75" s="113" t="str">
        <f>IFERROR(__xludf.DUMMYFUNCTION("""COMPUTED_VALUE"""),"")</f>
        <v/>
      </c>
      <c r="D75" s="109" t="str">
        <f>IFERROR(__xludf.DUMMYFUNCTION("""COMPUTED_VALUE"""),"When attacked by a character type ``Straw Hat Pirates`` enemy: Reduce damage recieved by 3%.")</f>
        <v>When attacked by a character type ``Straw Hat Pirates`` enemy: Reduce damage recieved by 3%.</v>
      </c>
      <c r="E75" s="110" t="str">
        <f>IFERROR(__xludf.DUMMYFUNCTION("""COMPUTED_VALUE"""),"Fake Straw Hat Pirates
Captain")</f>
        <v>Fake Straw Hat Pirates
Captain</v>
      </c>
      <c r="F75" s="111" t="str">
        <f>IFERROR(__xludf.DUMMYFUNCTION("""COMPUTED_VALUE"""),"Edison")</f>
        <v>Edison</v>
      </c>
      <c r="G75" s="111" t="str">
        <f>IFERROR(__xludf.DUMMYFUNCTION("""COMPUTED_VALUE"""),"")</f>
        <v/>
      </c>
      <c r="H75" s="111" t="str">
        <f>IFERROR(__xludf.DUMMYFUNCTION("""COMPUTED_VALUE"""),"When hit with Knockback by enemy: Reduce the cooldown time of Skill 2 by 3%.")</f>
        <v>When hit with Knockback by enemy: Reduce the cooldown time of Skill 2 by 3%.</v>
      </c>
      <c r="I75" s="112" t="str">
        <f>IFERROR(__xludf.DUMMYFUNCTION("""COMPUTED_VALUE"""),"Egghead
Navy")</f>
        <v>Egghead
Navy</v>
      </c>
      <c r="J75" s="101"/>
    </row>
    <row r="76" ht="75.0" customHeight="1">
      <c r="A76" s="101"/>
      <c r="B76" s="111" t="str">
        <f>IFERROR(__xludf.DUMMYFUNCTION("""COMPUTED_VALUE"""),"Shandia`s Savior")</f>
        <v>Shandia`s Savior</v>
      </c>
      <c r="C76" s="113" t="str">
        <f>IFERROR(__xludf.DUMMYFUNCTION("""COMPUTED_VALUE"""),"")</f>
        <v/>
      </c>
      <c r="D76" s="109" t="str">
        <f>IFERROR(__xludf.DUMMYFUNCTION("""COMPUTED_VALUE"""),"When attacking an enemy that is capturing Treasure: Recover HP by 3%.")</f>
        <v>When attacking an enemy that is capturing Treasure: Recover HP by 3%.</v>
      </c>
      <c r="E76" s="110" t="str">
        <f>IFERROR(__xludf.DUMMYFUNCTION("""COMPUTED_VALUE"""),"Sky Island / LRLL")</f>
        <v>Sky Island / LRLL</v>
      </c>
      <c r="F76" s="111" t="str">
        <f>IFERROR(__xludf.DUMMYFUNCTION("""COMPUTED_VALUE"""),"Shaka")</f>
        <v>Shaka</v>
      </c>
      <c r="G76" s="111" t="str">
        <f>IFERROR(__xludf.DUMMYFUNCTION("""COMPUTED_VALUE"""),"")</f>
        <v/>
      </c>
      <c r="H76" s="111" t="str">
        <f>IFERROR(__xludf.DUMMYFUNCTION("""COMPUTED_VALUE"""),"When attacked by an enemy: Reduce the cooldown time of Skill 1 by 2%.")</f>
        <v>When attacked by an enemy: Reduce the cooldown time of Skill 1 by 2%.</v>
      </c>
      <c r="I76" s="112" t="str">
        <f>IFERROR(__xludf.DUMMYFUNCTION("""COMPUTED_VALUE"""),"Egghead
Navy")</f>
        <v>Egghead
Navy</v>
      </c>
      <c r="J76" s="101"/>
    </row>
    <row r="77" ht="75.0" customHeight="1">
      <c r="A77" s="101"/>
      <c r="B77" s="111" t="str">
        <f>IFERROR(__xludf.DUMMYFUNCTION("""COMPUTED_VALUE"""),"The Great Warrior Kalgara")</f>
        <v>The Great Warrior Kalgara</v>
      </c>
      <c r="C77" s="113" t="str">
        <f>IFERROR(__xludf.DUMMYFUNCTION("""COMPUTED_VALUE"""),"")</f>
        <v/>
      </c>
      <c r="D77" s="109" t="str">
        <f>IFERROR(__xludf.DUMMYFUNCTION("""COMPUTED_VALUE"""),"When attacking an enemy that is capturing Treasure: Increase damage dealt by 3%.")</f>
        <v>When attacking an enemy that is capturing Treasure: Increase damage dealt by 3%.</v>
      </c>
      <c r="E77" s="110" t="str">
        <f>IFERROR(__xludf.DUMMYFUNCTION("""COMPUTED_VALUE"""),"Sky Island / LRLL")</f>
        <v>Sky Island / LRLL</v>
      </c>
      <c r="F77" s="111" t="str">
        <f>IFERROR(__xludf.DUMMYFUNCTION("""COMPUTED_VALUE"""),"Hattori
(CP0)")</f>
        <v>Hattori
(CP0)</v>
      </c>
      <c r="G77" s="111" t="str">
        <f>IFERROR(__xludf.DUMMYFUNCTION("""COMPUTED_VALUE"""),"")</f>
        <v/>
      </c>
      <c r="H77" s="111" t="str">
        <f>IFERROR(__xludf.DUMMYFUNCTION("""COMPUTED_VALUE"""),"When the equipped character is character type ``Cipher Pol``: Increase Normal Attack damage dealt by 3%.")</f>
        <v>When the equipped character is character type ``Cipher Pol``: Increase Normal Attack damage dealt by 3%.</v>
      </c>
      <c r="I77" s="112" t="str">
        <f>IFERROR(__xludf.DUMMYFUNCTION("""COMPUTED_VALUE"""),"Egghead
Cipher Pol")</f>
        <v>Egghead
Cipher Pol</v>
      </c>
      <c r="J77" s="101"/>
    </row>
    <row r="78" ht="75.0" customHeight="1">
      <c r="A78" s="101"/>
      <c r="B78" s="111" t="str">
        <f>IFERROR(__xludf.DUMMYFUNCTION("""COMPUTED_VALUE"""),"Ganfor")</f>
        <v>Ganfor</v>
      </c>
      <c r="C78" s="113" t="str">
        <f>IFERROR(__xludf.DUMMYFUNCTION("""COMPUTED_VALUE"""),"")</f>
        <v/>
      </c>
      <c r="D78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78" s="110" t="str">
        <f>IFERROR(__xludf.DUMMYFUNCTION("""COMPUTED_VALUE"""),"Sky Island / LRLL")</f>
        <v>Sky Island / LRLL</v>
      </c>
      <c r="F78" s="111" t="str">
        <f>IFERROR(__xludf.DUMMYFUNCTION("""COMPUTED_VALUE"""),"Stussy
(CP0)")</f>
        <v>Stussy
(CP0)</v>
      </c>
      <c r="G78" s="111" t="str">
        <f>IFERROR(__xludf.DUMMYFUNCTION("""COMPUTED_VALUE"""),"")</f>
        <v/>
      </c>
      <c r="H78" s="111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I78" s="112" t="str">
        <f>IFERROR(__xludf.DUMMYFUNCTION("""COMPUTED_VALUE"""),"Egghead
Cipher Pol
Intelligence Agent
Six Powers")</f>
        <v>Egghead
Cipher Pol
Intelligence Agent
Six Powers</v>
      </c>
      <c r="J78" s="101"/>
    </row>
    <row r="79" ht="75.0" customHeight="1">
      <c r="A79" s="101"/>
      <c r="B79" s="111" t="str">
        <f>IFERROR(__xludf.DUMMYFUNCTION("""COMPUTED_VALUE"""),"The Dark King`s Flash")</f>
        <v>The Dark King`s Flash</v>
      </c>
      <c r="C79" s="113" t="str">
        <f>IFERROR(__xludf.DUMMYFUNCTION("""COMPUTED_VALUE"""),"")</f>
        <v/>
      </c>
      <c r="D79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79" s="110" t="str">
        <f>IFERROR(__xludf.DUMMYFUNCTION("""COMPUTED_VALUE"""),"Sabaody Archipelago / Island of Women
Roger Pirates / Ex_Roger Pirates")</f>
        <v>Sabaody Archipelago / Island of Women
Roger Pirates / Ex_Roger Pirates</v>
      </c>
      <c r="F79" s="111" t="str">
        <f>IFERROR(__xludf.DUMMYFUNCTION("""COMPUTED_VALUE"""),"Zoro
(Future Outfit)")</f>
        <v>Zoro
(Future Outfit)</v>
      </c>
      <c r="G79" s="111" t="str">
        <f>IFERROR(__xludf.DUMMYFUNCTION("""COMPUTED_VALUE"""),"")</f>
        <v/>
      </c>
      <c r="H79" s="111" t="str">
        <f>IFERROR(__xludf.DUMMYFUNCTION("""COMPUTED_VALUE"""),"When in the area around your enemy`s Treasure: Increase damage dealt by 3%.")</f>
        <v>When in the area around your enemy`s Treasure: Increase damage dealt by 3%.</v>
      </c>
      <c r="I79" s="112" t="str">
        <f>IFERROR(__xludf.DUMMYFUNCTION("""COMPUTED_VALUE"""),"Egghead
Straw Hat Pirates
Combatant
Worst Generation")</f>
        <v>Egghead
Straw Hat Pirates
Combatant
Worst Generation</v>
      </c>
      <c r="J79" s="101"/>
    </row>
    <row r="80" ht="75.0" customHeight="1">
      <c r="A80" s="101"/>
      <c r="B80" s="111" t="str">
        <f>IFERROR(__xludf.DUMMYFUNCTION("""COMPUTED_VALUE"""),"The Man Who Had Everything")</f>
        <v>The Man Who Had Everything</v>
      </c>
      <c r="C80" s="113" t="str">
        <f>IFERROR(__xludf.DUMMYFUNCTION("""COMPUTED_VALUE"""),"")</f>
        <v/>
      </c>
      <c r="D80" s="109" t="str">
        <f>IFERROR(__xludf.DUMMYFUNCTION("""COMPUTED_VALUE"""),"When you capture the Treasure: Recover HP by 5%.")</f>
        <v>When you capture the Treasure: Recover HP by 5%.</v>
      </c>
      <c r="E80" s="110" t="str">
        <f>IFERROR(__xludf.DUMMYFUNCTION("""COMPUTED_VALUE"""),"Captain
Roger Pirates / Ex_Roger Pirates")</f>
        <v>Captain
Roger Pirates / Ex_Roger Pirates</v>
      </c>
      <c r="F80" s="111" t="str">
        <f>IFERROR(__xludf.DUMMYFUNCTION("""COMPUTED_VALUE"""),"Luffy
(Future Outfit)")</f>
        <v>Luffy
(Future Outfit)</v>
      </c>
      <c r="G80" s="111" t="str">
        <f>IFERROR(__xludf.DUMMYFUNCTION("""COMPUTED_VALUE"""),"")</f>
        <v/>
      </c>
      <c r="H80" s="111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I80" s="112" t="str">
        <f>IFERROR(__xludf.DUMMYFUNCTION("""COMPUTED_VALUE"""),"Egghead
Straw Hat Pirates
Zoan
Captain
The Four Emperors
Blood Brothers")</f>
        <v>Egghead
Straw Hat Pirates
Zoan
Captain
The Four Emperors
Blood Brothers</v>
      </c>
      <c r="J80" s="101"/>
    </row>
    <row r="81" ht="75.0" customHeight="1">
      <c r="A81" s="101"/>
      <c r="B81" s="111" t="str">
        <f>IFERROR(__xludf.DUMMYFUNCTION("""COMPUTED_VALUE"""),"Carrot
(Whole Cake Island)")</f>
        <v>Carrot
(Whole Cake Island)</v>
      </c>
      <c r="C81" s="113" t="str">
        <f>IFERROR(__xludf.DUMMYFUNCTION("""COMPUTED_VALUE"""),"")</f>
        <v/>
      </c>
      <c r="D81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81" s="110" t="str">
        <f>IFERROR(__xludf.DUMMYFUNCTION("""COMPUTED_VALUE"""),"Zou / Whole Cake Island
Mokomo Dukedom Musketeer
Kingsbird
Minks")</f>
        <v>Zou / Whole Cake Island
Mokomo Dukedom Musketeer
Kingsbird
Minks</v>
      </c>
      <c r="F81" s="111" t="str">
        <f>IFERROR(__xludf.DUMMYFUNCTION("""COMPUTED_VALUE"""),"Kumadori")</f>
        <v>Kumadori</v>
      </c>
      <c r="G81" s="111" t="str">
        <f>IFERROR(__xludf.DUMMYFUNCTION("""COMPUTED_VALUE"""),"")</f>
        <v/>
      </c>
      <c r="H81" s="111" t="str">
        <f>IFERROR(__xludf.DUMMYFUNCTION("""COMPUTED_VALUE"""),"When you Down an enemy: Reduce the cooldown time of Skill 1 by 3%.")</f>
        <v>When you Down an enemy: Reduce the cooldown time of Skill 1 by 3%.</v>
      </c>
      <c r="I81" s="112" t="str">
        <f>IFERROR(__xludf.DUMMYFUNCTION("""COMPUTED_VALUE"""),"East Blue
Buggy Pirates")</f>
        <v>East Blue
Buggy Pirates</v>
      </c>
      <c r="J81" s="101"/>
    </row>
    <row r="82" ht="75.0" customHeight="1">
      <c r="A82" s="101"/>
      <c r="B82" s="111" t="str">
        <f>IFERROR(__xludf.DUMMYFUNCTION("""COMPUTED_VALUE"""),"Paradise Waterfall")</f>
        <v>Paradise Waterfall</v>
      </c>
      <c r="C82" s="113" t="str">
        <f>IFERROR(__xludf.DUMMYFUNCTION("""COMPUTED_VALUE"""),"")</f>
        <v/>
      </c>
      <c r="D82" s="109" t="str">
        <f>IFERROR(__xludf.DUMMYFUNCTION("""COMPUTED_VALUE"""),"When your HP is 50% or less: Increase damage dealt by 5%.")</f>
        <v>When your HP is 50% or less: Increase damage dealt by 5%.</v>
      </c>
      <c r="E82" s="110" t="str">
        <f>IFERROR(__xludf.DUMMYFUNCTION("""COMPUTED_VALUE"""),"Whitebeard Pirates
Kozuki Clan / Kozuki Clan Servant
Whitebeard Pirates Commander
Roger Pirates / Ex_Roger Pirates")</f>
        <v>Whitebeard Pirates
Kozuki Clan / Kozuki Clan Servant
Whitebeard Pirates Commander
Roger Pirates / Ex_Roger Pirates</v>
      </c>
      <c r="F82" s="111" t="str">
        <f>IFERROR(__xludf.DUMMYFUNCTION("""COMPUTED_VALUE"""),"Fukuro")</f>
        <v>Fukuro</v>
      </c>
      <c r="G82" s="111" t="str">
        <f>IFERROR(__xludf.DUMMYFUNCTION("""COMPUTED_VALUE"""),"")</f>
        <v/>
      </c>
      <c r="H82" s="111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I82" s="112" t="str">
        <f>IFERROR(__xludf.DUMMYFUNCTION("""COMPUTED_VALUE"""),"Water 7 / Enies Lobby
Cipher Pol
Intelligence Agent
Six Powers")</f>
        <v>Water 7 / Enies Lobby
Cipher Pol
Intelligence Agent
Six Powers</v>
      </c>
      <c r="J82" s="101"/>
    </row>
    <row r="83" ht="75.0" customHeight="1">
      <c r="A83" s="101"/>
      <c r="B83" s="111" t="str">
        <f>IFERROR(__xludf.DUMMYFUNCTION("""COMPUTED_VALUE"""),"The Man Who Shook the World")</f>
        <v>The Man Who Shook the World</v>
      </c>
      <c r="C83" s="113" t="str">
        <f>IFERROR(__xludf.DUMMYFUNCTION("""COMPUTED_VALUE"""),"")</f>
        <v/>
      </c>
      <c r="D83" s="109" t="str">
        <f>IFERROR(__xludf.DUMMYFUNCTION("""COMPUTED_VALUE"""),"When attacked by an enemy: Reduce the cooldown time of Skill 1 by 2%.")</f>
        <v>When attacked by an enemy: Reduce the cooldown time of Skill 1 by 2%.</v>
      </c>
      <c r="E83" s="110" t="str">
        <f>IFERROR(__xludf.DUMMYFUNCTION("""COMPUTED_VALUE"""),"Whitebeard Pirates
Paramecia
Captain
Former Rocks Pirates")</f>
        <v>Whitebeard Pirates
Paramecia
Captain
Former Rocks Pirates</v>
      </c>
      <c r="F83" s="111" t="str">
        <f>IFERROR(__xludf.DUMMYFUNCTION("""COMPUTED_VALUE"""),"Mini_Merry")</f>
        <v>Mini_Merry</v>
      </c>
      <c r="G83" s="111" t="str">
        <f>IFERROR(__xludf.DUMMYFUNCTION("""COMPUTED_VALUE"""),"")</f>
        <v/>
      </c>
      <c r="H83" s="111" t="str">
        <f>IFERROR(__xludf.DUMMYFUNCTION("""COMPUTED_VALUE"""),"When attacking an enemy with a Normal Attack: 30% chance to, Reduce the cooldown time of Skill 2 by 2%.")</f>
        <v>When attacking an enemy with a Normal Attack: 30% chance to, Reduce the cooldown time of Skill 2 by 2%.</v>
      </c>
      <c r="I83" s="112" t="str">
        <f>IFERROR(__xludf.DUMMYFUNCTION("""COMPUTED_VALUE"""),"Thriller Bark")</f>
        <v>Thriller Bark</v>
      </c>
      <c r="J83" s="101"/>
    </row>
    <row r="84" ht="75.0" customHeight="1">
      <c r="A84" s="101"/>
      <c r="B84" s="111" t="str">
        <f>IFERROR(__xludf.DUMMYFUNCTION("""COMPUTED_VALUE"""),"Ace &amp; Yamato")</f>
        <v>Ace &amp; Yamato</v>
      </c>
      <c r="C84" s="113" t="str">
        <f>IFERROR(__xludf.DUMMYFUNCTION("""COMPUTED_VALUE"""),"")</f>
        <v/>
      </c>
      <c r="D84" s="109" t="str">
        <f>IFERROR(__xludf.DUMMYFUNCTION("""COMPUTED_VALUE"""),"When your HP is 70% or more: Reduce damage recieved by 5%.")</f>
        <v>When your HP is 70% or more: Reduce damage recieved by 5%.</v>
      </c>
      <c r="E84" s="110" t="str">
        <f>IFERROR(__xludf.DUMMYFUNCTION("""COMPUTED_VALUE"""),"Land of Wano
Logia
Zoan
Captain
Blood Brothers")</f>
        <v>Land of Wano
Logia
Zoan
Captain
Blood Brothers</v>
      </c>
      <c r="F84" s="111" t="str">
        <f>IFERROR(__xludf.DUMMYFUNCTION("""COMPUTED_VALUE"""),"Thousand Sunny")</f>
        <v>Thousand Sunny</v>
      </c>
      <c r="G84" s="111" t="str">
        <f>IFERROR(__xludf.DUMMYFUNCTION("""COMPUTED_VALUE"""),"")</f>
        <v/>
      </c>
      <c r="H84" s="111" t="str">
        <f>IFERROR(__xludf.DUMMYFUNCTION("""COMPUTED_VALUE"""),"When attacking an enemy with a Normal Attack: 30% chance to, Reduce the cooldown time of Skill 1 by 3%.")</f>
        <v>When attacking an enemy with a Normal Attack: 30% chance to, Reduce the cooldown time of Skill 1 by 3%.</v>
      </c>
      <c r="I84" s="112" t="str">
        <f>IFERROR(__xludf.DUMMYFUNCTION("""COMPUTED_VALUE"""),"Water 7 / Enies Lobby")</f>
        <v>Water 7 / Enies Lobby</v>
      </c>
      <c r="J84" s="101"/>
    </row>
    <row r="85" ht="75.0" customHeight="1">
      <c r="A85" s="101"/>
      <c r="B85" s="111" t="str">
        <f>IFERROR(__xludf.DUMMYFUNCTION("""COMPUTED_VALUE"""),"Shogun of Wano")</f>
        <v>Shogun of Wano</v>
      </c>
      <c r="C85" s="113" t="str">
        <f>IFERROR(__xludf.DUMMYFUNCTION("""COMPUTED_VALUE"""),"")</f>
        <v/>
      </c>
      <c r="D85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85" s="110" t="str">
        <f>IFERROR(__xludf.DUMMYFUNCTION("""COMPUTED_VALUE"""),"Land of Wano
Paramecia
Kozuki Clan / Kozuki Clan Servant")</f>
        <v>Land of Wano
Paramecia
Kozuki Clan / Kozuki Clan Servant</v>
      </c>
      <c r="F85" s="111" t="str">
        <f>IFERROR(__xludf.DUMMYFUNCTION("""COMPUTED_VALUE"""),"Dr. Vegapunk")</f>
        <v>Dr. Vegapunk</v>
      </c>
      <c r="G85" s="111" t="str">
        <f>IFERROR(__xludf.DUMMYFUNCTION("""COMPUTED_VALUE"""),"")</f>
        <v/>
      </c>
      <c r="H85" s="111" t="str">
        <f>IFERROR(__xludf.DUMMYFUNCTION("""COMPUTED_VALUE"""),"When using Skill 2: Reduce the cooldown time of Skill 1 by 5%.")</f>
        <v>When using Skill 2: Reduce the cooldown time of Skill 1 by 5%.</v>
      </c>
      <c r="I85" s="112" t="str">
        <f>IFERROR(__xludf.DUMMYFUNCTION("""COMPUTED_VALUE"""),"Egghead
Paramecia
Navy")</f>
        <v>Egghead
Paramecia
Navy</v>
      </c>
      <c r="J85" s="101"/>
    </row>
    <row r="86" ht="75.0" customHeight="1">
      <c r="A86" s="101"/>
      <c r="B86" s="111" t="str">
        <f>IFERROR(__xludf.DUMMYFUNCTION("""COMPUTED_VALUE"""),"Ryokugyu")</f>
        <v>Ryokugyu</v>
      </c>
      <c r="C86" s="113" t="str">
        <f>IFERROR(__xludf.DUMMYFUNCTION("""COMPUTED_VALUE"""),"")</f>
        <v/>
      </c>
      <c r="D86" s="109" t="str">
        <f>IFERROR(__xludf.DUMMYFUNCTION("""COMPUTED_VALUE"""),"When your HP is 70% or more: Boost capture speed by 8%.")</f>
        <v>When your HP is 70% or more: Boost capture speed by 8%.</v>
      </c>
      <c r="E86" s="110" t="str">
        <f>IFERROR(__xludf.DUMMYFUNCTION("""COMPUTED_VALUE"""),"Land of Wano
Navy
Logia
Navy Admiral / Former Navy Admiral")</f>
        <v>Land of Wano
Navy
Logia
Navy Admiral / Former Navy Admiral</v>
      </c>
      <c r="F86" s="111" t="str">
        <f>IFERROR(__xludf.DUMMYFUNCTION("""COMPUTED_VALUE"""),"Slave Arrow")</f>
        <v>Slave Arrow</v>
      </c>
      <c r="G86" s="111" t="str">
        <f>IFERROR(__xludf.DUMMYFUNCTION("""COMPUTED_VALUE"""),"")</f>
        <v/>
      </c>
      <c r="H86" s="111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I86" s="112" t="str">
        <f>IFERROR(__xludf.DUMMYFUNCTION("""COMPUTED_VALUE"""),"Kuja Pirates
Paramecia
Captain
Gorgon Sisters")</f>
        <v>Kuja Pirates
Paramecia
Captain
Gorgon Sisters</v>
      </c>
      <c r="J86" s="101"/>
    </row>
    <row r="87" ht="75.0" customHeight="1">
      <c r="A87" s="101"/>
      <c r="B87" s="111" t="str">
        <f>IFERROR(__xludf.DUMMYFUNCTION("""COMPUTED_VALUE"""),"Otama &amp; Komachiyo")</f>
        <v>Otama &amp; Komachiyo</v>
      </c>
      <c r="C87" s="113" t="str">
        <f>IFERROR(__xludf.DUMMYFUNCTION("""COMPUTED_VALUE"""),"")</f>
        <v/>
      </c>
      <c r="D87" s="109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E87" s="110" t="str">
        <f>IFERROR(__xludf.DUMMYFUNCTION("""COMPUTED_VALUE"""),"Land of Wano
Paramecia")</f>
        <v>Land of Wano
Paramecia</v>
      </c>
      <c r="F87" s="111" t="str">
        <f>IFERROR(__xludf.DUMMYFUNCTION("""COMPUTED_VALUE"""),"Lilith")</f>
        <v>Lilith</v>
      </c>
      <c r="G87" s="111" t="str">
        <f>IFERROR(__xludf.DUMMYFUNCTION("""COMPUTED_VALUE"""),"")</f>
        <v/>
      </c>
      <c r="H87" s="111" t="str">
        <f>IFERROR(__xludf.DUMMYFUNCTION("""COMPUTED_VALUE"""),"When you capture the Treasure: Reduce the cooldown time of Skill 1 by 6%.")</f>
        <v>When you capture the Treasure: Reduce the cooldown time of Skill 1 by 6%.</v>
      </c>
      <c r="I87" s="112" t="str">
        <f>IFERROR(__xludf.DUMMYFUNCTION("""COMPUTED_VALUE"""),"Egghead
Navy")</f>
        <v>Egghead
Navy</v>
      </c>
      <c r="J87" s="101"/>
    </row>
    <row r="88" ht="75.0" customHeight="1">
      <c r="A88" s="101"/>
      <c r="B88" s="111" t="str">
        <f>IFERROR(__xludf.DUMMYFUNCTION("""COMPUTED_VALUE"""),"Raid Franky")</f>
        <v>Raid Franky</v>
      </c>
      <c r="C88" s="113" t="str">
        <f>IFERROR(__xludf.DUMMYFUNCTION("""COMPUTED_VALUE"""),"")</f>
        <v/>
      </c>
      <c r="D88" s="109" t="str">
        <f>IFERROR(__xludf.DUMMYFUNCTION("""COMPUTED_VALUE"""),"When you capture the Treasure: Reduce the cooldown time of Skill 1 by 8%.")</f>
        <v>When you capture the Treasure: Reduce the cooldown time of Skill 1 by 8%.</v>
      </c>
      <c r="E88" s="110" t="str">
        <f>IFERROR(__xludf.DUMMYFUNCTION("""COMPUTED_VALUE"""),"Land of Wano
Straw Hat Pirates
Ship Carpenter")</f>
        <v>Land of Wano
Straw Hat Pirates
Ship Carpenter</v>
      </c>
      <c r="F88" s="111" t="str">
        <f>IFERROR(__xludf.DUMMYFUNCTION("""COMPUTED_VALUE"""),"Bonney
(Kid)")</f>
        <v>Bonney
(Kid)</v>
      </c>
      <c r="G88" s="111" t="str">
        <f>IFERROR(__xludf.DUMMYFUNCTION("""COMPUTED_VALUE"""),"")</f>
        <v/>
      </c>
      <c r="H88" s="111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I88" s="112" t="str">
        <f>IFERROR(__xludf.DUMMYFUNCTION("""COMPUTED_VALUE"""),"Egghead
Bonney Pirates
Paramecia
Captain
Worst Generation")</f>
        <v>Egghead
Bonney Pirates
Paramecia
Captain
Worst Generation</v>
      </c>
      <c r="J88" s="101"/>
    </row>
    <row r="89" ht="75.0" customHeight="1">
      <c r="A89" s="101"/>
      <c r="B89" s="111" t="str">
        <f>IFERROR(__xludf.DUMMYFUNCTION("""COMPUTED_VALUE"""),"Raid Chopper")</f>
        <v>Raid Chopper</v>
      </c>
      <c r="C89" s="113" t="str">
        <f>IFERROR(__xludf.DUMMYFUNCTION("""COMPUTED_VALUE"""),"")</f>
        <v/>
      </c>
      <c r="D89" s="109" t="str">
        <f>IFERROR(__xludf.DUMMYFUNCTION("""COMPUTED_VALUE"""),"When hit with Knockback by enemy: Reduce the cooldown time of Skill 2 by 5%.")</f>
        <v>When hit with Knockback by enemy: Reduce the cooldown time of Skill 2 by 5%.</v>
      </c>
      <c r="E89" s="110" t="str">
        <f>IFERROR(__xludf.DUMMYFUNCTION("""COMPUTED_VALUE"""),"Land of Wano
Straw Hat Pirates
Zoan
Doctor")</f>
        <v>Land of Wano
Straw Hat Pirates
Zoan
Doctor</v>
      </c>
      <c r="F89" s="111" t="str">
        <f>IFERROR(__xludf.DUMMYFUNCTION("""COMPUTED_VALUE"""),"The Pirate King``s Right Arm")</f>
        <v>The Pirate King``s Right Arm</v>
      </c>
      <c r="G89" s="111" t="str">
        <f>IFERROR(__xludf.DUMMYFUNCTION("""COMPUTED_VALUE"""),"")</f>
        <v/>
      </c>
      <c r="H89" s="111" t="str">
        <f>IFERROR(__xludf.DUMMYFUNCTION("""COMPUTED_VALUE"""),"When you or an ally KOs an enemy: Recover HP by 2%.")</f>
        <v>When you or an ally KOs an enemy: Recover HP by 2%.</v>
      </c>
      <c r="I89" s="112" t="str">
        <f>IFERROR(__xludf.DUMMYFUNCTION("""COMPUTED_VALUE"""),"Roger Pirates / Ex_Roger Pirates")</f>
        <v>Roger Pirates / Ex_Roger Pirates</v>
      </c>
      <c r="J89" s="101"/>
    </row>
    <row r="90" ht="75.0" customHeight="1">
      <c r="A90" s="101"/>
      <c r="B90" s="111" t="str">
        <f>IFERROR(__xludf.DUMMYFUNCTION("""COMPUTED_VALUE"""),"Spider_Spider")</f>
        <v>Spider_Spider</v>
      </c>
      <c r="C90" s="113" t="str">
        <f>IFERROR(__xludf.DUMMYFUNCTION("""COMPUTED_VALUE"""),"")</f>
        <v/>
      </c>
      <c r="D90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90" s="110" t="str">
        <f>IFERROR(__xludf.DUMMYFUNCTION("""COMPUTED_VALUE"""),"Land of Wano
Animal Kingdom Pirates
Zoan
Tobi Roppo")</f>
        <v>Land of Wano
Animal Kingdom Pirates
Zoan
Tobi Roppo</v>
      </c>
      <c r="F90" s="111" t="str">
        <f>IFERROR(__xludf.DUMMYFUNCTION("""COMPUTED_VALUE"""),"Light Human")</f>
        <v>Light Human</v>
      </c>
      <c r="G90" s="111" t="str">
        <f>IFERROR(__xludf.DUMMYFUNCTION("""COMPUTED_VALUE"""),"")</f>
        <v/>
      </c>
      <c r="H90" s="111" t="str">
        <f>IFERROR(__xludf.DUMMYFUNCTION("""COMPUTED_VALUE"""),"When you capture the Treasure: Reduce the cooldown time of Skill 2 by 8%.")</f>
        <v>When you capture the Treasure: Reduce the cooldown time of Skill 2 by 8%.</v>
      </c>
      <c r="I90" s="112" t="str">
        <f>IFERROR(__xludf.DUMMYFUNCTION("""COMPUTED_VALUE"""),"Sabaody Archipelago / Island of Women
Navy
Logia
Navy Admiral / Former Navy Admiral")</f>
        <v>Sabaody Archipelago / Island of Women
Navy
Logia
Navy Admiral / Former Navy Admiral</v>
      </c>
      <c r="J90" s="101"/>
    </row>
    <row r="91" ht="75.0" customHeight="1">
      <c r="A91" s="101"/>
      <c r="B91" s="111" t="str">
        <f>IFERROR(__xludf.DUMMYFUNCTION("""COMPUTED_VALUE"""),"Belo Betty")</f>
        <v>Belo Betty</v>
      </c>
      <c r="C91" s="113" t="str">
        <f>IFERROR(__xludf.DUMMYFUNCTION("""COMPUTED_VALUE"""),"")</f>
        <v/>
      </c>
      <c r="D91" s="109" t="str">
        <f>IFERROR(__xludf.DUMMYFUNCTION("""COMPUTED_VALUE"""),"When your HP is 70% or more: Reduce damage recieved by 5%.")</f>
        <v>When your HP is 70% or more: Reduce damage recieved by 5%.</v>
      </c>
      <c r="E91" s="110" t="str">
        <f>IFERROR(__xludf.DUMMYFUNCTION("""COMPUTED_VALUE"""),"Reverie
Revolutionary Army
Paramecia
Captain of the Revolutionary Army")</f>
        <v>Reverie
Revolutionary Army
Paramecia
Captain of the Revolutionary Army</v>
      </c>
      <c r="F91" s="111" t="str">
        <f>IFERROR(__xludf.DUMMYFUNCTION("""COMPUTED_VALUE"""),"Fake Sniper King")</f>
        <v>Fake Sniper King</v>
      </c>
      <c r="G91" s="111" t="str">
        <f>IFERROR(__xludf.DUMMYFUNCTION("""COMPUTED_VALUE"""),"")</f>
        <v/>
      </c>
      <c r="H91" s="111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I91" s="112" t="str">
        <f>IFERROR(__xludf.DUMMYFUNCTION("""COMPUTED_VALUE"""),"Fake Straw Hat Pirates")</f>
        <v>Fake Straw Hat Pirates</v>
      </c>
      <c r="J91" s="101"/>
    </row>
    <row r="92" ht="75.0" customHeight="1">
      <c r="A92" s="101"/>
      <c r="B92" s="111" t="str">
        <f>IFERROR(__xludf.DUMMYFUNCTION("""COMPUTED_VALUE"""),"Karasu")</f>
        <v>Karasu</v>
      </c>
      <c r="C92" s="113" t="str">
        <f>IFERROR(__xludf.DUMMYFUNCTION("""COMPUTED_VALUE"""),"")</f>
        <v/>
      </c>
      <c r="D92" s="109" t="str">
        <f>IFERROR(__xludf.DUMMYFUNCTION("""COMPUTED_VALUE"""),"When your HP is 70% or more: Boost capture speed by 8%.")</f>
        <v>When your HP is 70% or more: Boost capture speed by 8%.</v>
      </c>
      <c r="E92" s="110" t="str">
        <f>IFERROR(__xludf.DUMMYFUNCTION("""COMPUTED_VALUE"""),"Reverie
Revolutionary Army
Captain of the Revolutionary Army")</f>
        <v>Reverie
Revolutionary Army
Captain of the Revolutionary Army</v>
      </c>
      <c r="F92" s="111" t="str">
        <f>IFERROR(__xludf.DUMMYFUNCTION("""COMPUTED_VALUE"""),"Wyper
(Young)")</f>
        <v>Wyper
(Young)</v>
      </c>
      <c r="G92" s="111" t="str">
        <f>IFERROR(__xludf.DUMMYFUNCTION("""COMPUTED_VALUE"""),"")</f>
        <v/>
      </c>
      <c r="H92" s="111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I92" s="112" t="str">
        <f>IFERROR(__xludf.DUMMYFUNCTION("""COMPUTED_VALUE"""),"Sky Island / LRLL")</f>
        <v>Sky Island / LRLL</v>
      </c>
      <c r="J92" s="101"/>
    </row>
    <row r="93" ht="75.0" customHeight="1">
      <c r="A93" s="101"/>
      <c r="B93" s="111" t="str">
        <f>IFERROR(__xludf.DUMMYFUNCTION("""COMPUTED_VALUE"""),"Inazuma")</f>
        <v>Inazuma</v>
      </c>
      <c r="C93" s="113" t="str">
        <f>IFERROR(__xludf.DUMMYFUNCTION("""COMPUTED_VALUE"""),"")</f>
        <v/>
      </c>
      <c r="D93" s="109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E93" s="110" t="str">
        <f>IFERROR(__xludf.DUMMYFUNCTION("""COMPUTED_VALUE"""),"Impel Down
Revolutionary Army
Paramecia
New Kama")</f>
        <v>Impel Down
Revolutionary Army
Paramecia
New Kama</v>
      </c>
      <c r="F93" s="111" t="str">
        <f>IFERROR(__xludf.DUMMYFUNCTION("""COMPUTED_VALUE"""),"Cricket")</f>
        <v>Cricket</v>
      </c>
      <c r="G93" s="111" t="str">
        <f>IFERROR(__xludf.DUMMYFUNCTION("""COMPUTED_VALUE"""),"")</f>
        <v/>
      </c>
      <c r="H93" s="111" t="str">
        <f>IFERROR(__xludf.DUMMYFUNCTION("""COMPUTED_VALUE"""),"When an enemy begins capturing one of your team`s Treasure Areas: Reduce the cooldown time of Skill 1 by 3%.")</f>
        <v>When an enemy begins capturing one of your team`s Treasure Areas: Reduce the cooldown time of Skill 1 by 3%.</v>
      </c>
      <c r="I93" s="112" t="str">
        <f>IFERROR(__xludf.DUMMYFUNCTION("""COMPUTED_VALUE"""),"Sky Island / LRLL")</f>
        <v>Sky Island / LRLL</v>
      </c>
      <c r="J93" s="101"/>
    </row>
    <row r="94" ht="75.0" customHeight="1">
      <c r="A94" s="101"/>
      <c r="B94" s="111" t="str">
        <f>IFERROR(__xludf.DUMMYFUNCTION("""COMPUTED_VALUE"""),"Hack")</f>
        <v>Hack</v>
      </c>
      <c r="C94" s="113" t="str">
        <f>IFERROR(__xludf.DUMMYFUNCTION("""COMPUTED_VALUE"""),"")</f>
        <v/>
      </c>
      <c r="D94" s="109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E94" s="110" t="str">
        <f>IFERROR(__xludf.DUMMYFUNCTION("""COMPUTED_VALUE"""),"Dressrosa
Revolutionary Army
Fish_Man
Fish_Man Karate")</f>
        <v>Dressrosa
Revolutionary Army
Fish_Man
Fish_Man Karate</v>
      </c>
      <c r="F94" s="111" t="str">
        <f>IFERROR(__xludf.DUMMYFUNCTION("""COMPUTED_VALUE"""),"Pierre")</f>
        <v>Pierre</v>
      </c>
      <c r="G94" s="111" t="str">
        <f>IFERROR(__xludf.DUMMYFUNCTION("""COMPUTED_VALUE"""),"")</f>
        <v/>
      </c>
      <c r="H94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94" s="112" t="str">
        <f>IFERROR(__xludf.DUMMYFUNCTION("""COMPUTED_VALUE"""),"Sky Island / LRLL
Zoan")</f>
        <v>Sky Island / LRLL
Zoan</v>
      </c>
      <c r="J94" s="101"/>
    </row>
    <row r="95" ht="75.0" customHeight="1">
      <c r="A95" s="101"/>
      <c r="B95" s="111" t="str">
        <f>IFERROR(__xludf.DUMMYFUNCTION("""COMPUTED_VALUE"""),"Flying Pan")</f>
        <v>Flying Pan</v>
      </c>
      <c r="C95" s="113" t="str">
        <f>IFERROR(__xludf.DUMMYFUNCTION("""COMPUTED_VALUE"""),"")</f>
        <v/>
      </c>
      <c r="D95" s="109" t="str">
        <f>IFERROR(__xludf.DUMMYFUNCTION("""COMPUTED_VALUE"""),"When hit with Knockback by enemy: Recover HP by 3%.")</f>
        <v>When hit with Knockback by enemy: Recover HP by 3%.</v>
      </c>
      <c r="E95" s="110" t="str">
        <f>IFERROR(__xludf.DUMMYFUNCTION("""COMPUTED_VALUE"""),"Land of Wano
Animal Kingdom Pirates
Zoan
Lead Performer")</f>
        <v>Land of Wano
Animal Kingdom Pirates
Zoan
Lead Performer</v>
      </c>
      <c r="F95" s="111" t="str">
        <f>IFERROR(__xludf.DUMMYFUNCTION("""COMPUTED_VALUE"""),"String Challenge")</f>
        <v>String Challenge</v>
      </c>
      <c r="G95" s="111" t="str">
        <f>IFERROR(__xludf.DUMMYFUNCTION("""COMPUTED_VALUE"""),"")</f>
        <v/>
      </c>
      <c r="H95" s="111" t="str">
        <f>IFERROR(__xludf.DUMMYFUNCTION("""COMPUTED_VALUE"""),"When you Knockback an enemy: Recover HP by 3%.")</f>
        <v>When you Knockback an enemy: Recover HP by 3%.</v>
      </c>
      <c r="I95" s="112" t="str">
        <f>IFERROR(__xludf.DUMMYFUNCTION("""COMPUTED_VALUE"""),"Sky Island / LRLL
God`s Army
Mantra")</f>
        <v>Sky Island / LRLL
God`s Army
Mantra</v>
      </c>
      <c r="J95" s="101"/>
    </row>
    <row r="96" ht="75.0" customHeight="1">
      <c r="A96" s="101"/>
      <c r="B96" s="111" t="str">
        <f>IFERROR(__xludf.DUMMYFUNCTION("""COMPUTED_VALUE"""),"Imperial Flame")</f>
        <v>Imperial Flame</v>
      </c>
      <c r="C96" s="113" t="str">
        <f>IFERROR(__xludf.DUMMYFUNCTION("""COMPUTED_VALUE"""),"")</f>
        <v/>
      </c>
      <c r="D96" s="109" t="str">
        <f>IFERROR(__xludf.DUMMYFUNCTION("""COMPUTED_VALUE"""),"When attacking an enemy whose DEF is boosted: Increase damage dealt by 5%.")</f>
        <v>When attacking an enemy whose DEF is boosted: Increase damage dealt by 5%.</v>
      </c>
      <c r="E96" s="110" t="str">
        <f>IFERROR(__xludf.DUMMYFUNCTION("""COMPUTED_VALUE"""),"Land of Wano
Animal Kingdom Pirates
Zoan
Lead Performer")</f>
        <v>Land of Wano
Animal Kingdom Pirates
Zoan
Lead Performer</v>
      </c>
      <c r="F96" s="111" t="str">
        <f>IFERROR(__xludf.DUMMYFUNCTION("""COMPUTED_VALUE"""),"Crocus
(Roger Pirates)")</f>
        <v>Crocus
(Roger Pirates)</v>
      </c>
      <c r="G96" s="111" t="str">
        <f>IFERROR(__xludf.DUMMYFUNCTION("""COMPUTED_VALUE"""),"")</f>
        <v/>
      </c>
      <c r="H96" s="111" t="str">
        <f>IFERROR(__xludf.DUMMYFUNCTION("""COMPUTED_VALUE"""),"When performing a Perfect Dodge: Reduce the cooldown time of Skill 1 by 4%.")</f>
        <v>When performing a Perfect Dodge: Reduce the cooldown time of Skill 1 by 4%.</v>
      </c>
      <c r="I96" s="112" t="str">
        <f>IFERROR(__xludf.DUMMYFUNCTION("""COMPUTED_VALUE"""),"Doctor
Roger Pirates / Ex_Roger Pirates")</f>
        <v>Doctor
Roger Pirates / Ex_Roger Pirates</v>
      </c>
      <c r="J96" s="101"/>
    </row>
    <row r="97" ht="75.0" customHeight="1">
      <c r="A97" s="101"/>
      <c r="B97" s="111" t="str">
        <f>IFERROR(__xludf.DUMMYFUNCTION("""COMPUTED_VALUE"""),"Heliceratops")</f>
        <v>Heliceratops</v>
      </c>
      <c r="C97" s="113" t="str">
        <f>IFERROR(__xludf.DUMMYFUNCTION("""COMPUTED_VALUE"""),"")</f>
        <v/>
      </c>
      <c r="D97" s="109" t="str">
        <f>IFERROR(__xludf.DUMMYFUNCTION("""COMPUTED_VALUE"""),"When your HP is 70% or more: Boost capture speed by 8%.")</f>
        <v>When your HP is 70% or more: Boost capture speed by 8%.</v>
      </c>
      <c r="E97" s="110" t="str">
        <f>IFERROR(__xludf.DUMMYFUNCTION("""COMPUTED_VALUE"""),"Land of Wano
Animal Kingdom Pirates
Zoan
Tobi Roppo
Fish_Man")</f>
        <v>Land of Wano
Animal Kingdom Pirates
Zoan
Tobi Roppo
Fish_Man</v>
      </c>
      <c r="F97" s="111" t="str">
        <f>IFERROR(__xludf.DUMMYFUNCTION("""COMPUTED_VALUE"""),"Oden
(Roger Pirates)")</f>
        <v>Oden
(Roger Pirates)</v>
      </c>
      <c r="G97" s="111" t="str">
        <f>IFERROR(__xludf.DUMMYFUNCTION("""COMPUTED_VALUE"""),"")</f>
        <v/>
      </c>
      <c r="H97" s="111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I97" s="112" t="str">
        <f>IFERROR(__xludf.DUMMYFUNCTION("""COMPUTED_VALUE"""),"Whitebeard Pirates
Kozuki Clan / Kozuki Clan Servant
Whitebeard Pirates Commander
Roger Pirates / Ex_Roger Pirates")</f>
        <v>Whitebeard Pirates
Kozuki Clan / Kozuki Clan Servant
Whitebeard Pirates Commander
Roger Pirates / Ex_Roger Pirates</v>
      </c>
      <c r="J97" s="101"/>
    </row>
    <row r="98" ht="75.0" customHeight="1">
      <c r="A98" s="101"/>
      <c r="B98" s="111" t="str">
        <f>IFERROR(__xludf.DUMMYFUNCTION("""COMPUTED_VALUE"""),"Raid Sanji")</f>
        <v>Raid Sanji</v>
      </c>
      <c r="C98" s="113" t="str">
        <f>IFERROR(__xludf.DUMMYFUNCTION("""COMPUTED_VALUE"""),"")</f>
        <v/>
      </c>
      <c r="D98" s="109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E98" s="110" t="str">
        <f>IFERROR(__xludf.DUMMYFUNCTION("""COMPUTED_VALUE"""),"Land of Wano
Straw Hat Pirates
Cook
Royalty / Former Royalty")</f>
        <v>Land of Wano
Straw Hat Pirates
Cook
Royalty / Former Royalty</v>
      </c>
      <c r="F98" s="111" t="str">
        <f>IFERROR(__xludf.DUMMYFUNCTION("""COMPUTED_VALUE"""),"Tristan")</f>
        <v>Tristan</v>
      </c>
      <c r="G98" s="111" t="str">
        <f>IFERROR(__xludf.DUMMYFUNCTION("""COMPUTED_VALUE"""),"")</f>
        <v/>
      </c>
      <c r="H98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98" s="112" t="str">
        <f>IFERROR(__xludf.DUMMYFUNCTION("""COMPUTED_VALUE"""),"Zou / Whole Cake Island
Minks")</f>
        <v>Zou / Whole Cake Island
Minks</v>
      </c>
      <c r="J98" s="101"/>
    </row>
    <row r="99" ht="75.0" customHeight="1">
      <c r="A99" s="101"/>
      <c r="B99" s="111" t="str">
        <f>IFERROR(__xludf.DUMMYFUNCTION("""COMPUTED_VALUE"""),"Gear Five")</f>
        <v>Gear Five</v>
      </c>
      <c r="C99" s="113" t="str">
        <f>IFERROR(__xludf.DUMMYFUNCTION("""COMPUTED_VALUE"""),"")</f>
        <v/>
      </c>
      <c r="D99" s="109" t="str">
        <f>IFERROR(__xludf.DUMMYFUNCTION("""COMPUTED_VALUE"""),"When you Knockback an enemy: Recover HP by 3%.")</f>
        <v>When you Knockback an enemy: Recover HP by 3%.</v>
      </c>
      <c r="E99" s="110" t="str">
        <f>IFERROR(__xludf.DUMMYFUNCTION("""COMPUTED_VALUE"""),"Land of Wano
Straw Hat Pirates
Zoan
Captain
Worst Generation
Blood Brothers")</f>
        <v>Land of Wano
Straw Hat Pirates
Zoan
Captain
Worst Generation
Blood Brothers</v>
      </c>
      <c r="F99" s="111" t="str">
        <f>IFERROR(__xludf.DUMMYFUNCTION("""COMPUTED_VALUE"""),"Milky")</f>
        <v>Milky</v>
      </c>
      <c r="G99" s="111" t="str">
        <f>IFERROR(__xludf.DUMMYFUNCTION("""COMPUTED_VALUE"""),"")</f>
        <v/>
      </c>
      <c r="H99" s="111" t="str">
        <f>IFERROR(__xludf.DUMMYFUNCTION("""COMPUTED_VALUE"""),"When enemies are inflicted with Shock: Recover HP by 3%.")</f>
        <v>When enemies are inflicted with Shock: Recover HP by 3%.</v>
      </c>
      <c r="I99" s="112" t="str">
        <f>IFERROR(__xludf.DUMMYFUNCTION("""COMPUTED_VALUE"""),"Zou / Whole Cake Island
Minks")</f>
        <v>Zou / Whole Cake Island
Minks</v>
      </c>
      <c r="J99" s="101"/>
    </row>
    <row r="100" ht="75.0" customHeight="1">
      <c r="A100" s="101"/>
      <c r="B100" s="111" t="str">
        <f>IFERROR(__xludf.DUMMYFUNCTION("""COMPUTED_VALUE"""),"Shanks`` Daughter")</f>
        <v>Shanks`` Daughter</v>
      </c>
      <c r="C100" s="113" t="str">
        <f>IFERROR(__xludf.DUMMYFUNCTION("""COMPUTED_VALUE"""),"")</f>
        <v/>
      </c>
      <c r="D100" s="109" t="str">
        <f>IFERROR(__xludf.DUMMYFUNCTION("""COMPUTED_VALUE"""),"When attacking an enemy inflicted With Sing_Sing: Increase damage dealt by 5%.")</f>
        <v>When attacking an enemy inflicted With Sing_Sing: Increase damage dealt by 5%.</v>
      </c>
      <c r="E100" s="110" t="str">
        <f>IFERROR(__xludf.DUMMYFUNCTION("""COMPUTED_VALUE"""),"FILM RED
Paramecia")</f>
        <v>FILM RED
Paramecia</v>
      </c>
      <c r="F100" s="111" t="str">
        <f>IFERROR(__xludf.DUMMYFUNCTION("""COMPUTED_VALUE"""),"Vista
(Land of Wano Memoir)")</f>
        <v>Vista
(Land of Wano Memoir)</v>
      </c>
      <c r="G100" s="111" t="str">
        <f>IFERROR(__xludf.DUMMYFUNCTION("""COMPUTED_VALUE"""),"")</f>
        <v/>
      </c>
      <c r="H100" s="111" t="str">
        <f>IFERROR(__xludf.DUMMYFUNCTION("""COMPUTED_VALUE"""),"After KOing an enemy: Reduce the cooldown time of Skill 1 by 6%.")</f>
        <v>After KOing an enemy: Reduce the cooldown time of Skill 1 by 6%.</v>
      </c>
      <c r="I100" s="112" t="str">
        <f>IFERROR(__xludf.DUMMYFUNCTION("""COMPUTED_VALUE"""),"Whitebeard Pirates")</f>
        <v>Whitebeard Pirates</v>
      </c>
      <c r="J100" s="101"/>
    </row>
    <row r="101" ht="75.0" customHeight="1">
      <c r="A101" s="101"/>
      <c r="B101" s="111" t="str">
        <f>IFERROR(__xludf.DUMMYFUNCTION("""COMPUTED_VALUE"""),"Raid Killer")</f>
        <v>Raid Killer</v>
      </c>
      <c r="C101" s="113" t="str">
        <f>IFERROR(__xludf.DUMMYFUNCTION("""COMPUTED_VALUE"""),"")</f>
        <v/>
      </c>
      <c r="D101" s="109" t="str">
        <f>IFERROR(__xludf.DUMMYFUNCTION("""COMPUTED_VALUE"""),"When Critical occurs: Reduce the cooldown time of Skill 1 by 3%.")</f>
        <v>When Critical occurs: Reduce the cooldown time of Skill 1 by 3%.</v>
      </c>
      <c r="E101" s="110" t="str">
        <f>IFERROR(__xludf.DUMMYFUNCTION("""COMPUTED_VALUE"""),"Land of Wano
Kid Pirates
Combatant
Worst Generation")</f>
        <v>Land of Wano
Kid Pirates
Combatant
Worst Generation</v>
      </c>
      <c r="F101" s="111" t="str">
        <f>IFERROR(__xludf.DUMMYFUNCTION("""COMPUTED_VALUE"""),"Marco
(Land of Wano Memoir)")</f>
        <v>Marco
(Land of Wano Memoir)</v>
      </c>
      <c r="G101" s="111" t="str">
        <f>IFERROR(__xludf.DUMMYFUNCTION("""COMPUTED_VALUE"""),"")</f>
        <v/>
      </c>
      <c r="H101" s="111" t="str">
        <f>IFERROR(__xludf.DUMMYFUNCTION("""COMPUTED_VALUE"""),"After KOing an enemy: Reduce the cooldown time of Skill 2 by 8%.")</f>
        <v>After KOing an enemy: Reduce the cooldown time of Skill 2 by 8%.</v>
      </c>
      <c r="I101" s="112" t="str">
        <f>IFERROR(__xludf.DUMMYFUNCTION("""COMPUTED_VALUE"""),"Whitebeard Pirates
Zoan")</f>
        <v>Whitebeard Pirates
Zoan</v>
      </c>
      <c r="J101" s="101"/>
    </row>
    <row r="102" ht="75.0" customHeight="1">
      <c r="A102" s="101"/>
      <c r="B102" s="111" t="str">
        <f>IFERROR(__xludf.DUMMYFUNCTION("""COMPUTED_VALUE"""),"Kid &amp; Law")</f>
        <v>Kid &amp; Law</v>
      </c>
      <c r="C102" s="113" t="str">
        <f>IFERROR(__xludf.DUMMYFUNCTION("""COMPUTED_VALUE"""),"")</f>
        <v/>
      </c>
      <c r="D102" s="109" t="str">
        <f>IFERROR(__xludf.DUMMYFUNCTION("""COMPUTED_VALUE"""),"When your HP is 70% or more: Boost capture speed by 8%.")</f>
        <v>When your HP is 70% or more: Boost capture speed by 8%.</v>
      </c>
      <c r="E102" s="110" t="str">
        <f>IFERROR(__xludf.DUMMYFUNCTION("""COMPUTED_VALUE"""),"Land of Wano
Kid Pirates
Paramecia
Captain
The Seven Warlords of the Sea / Former Warlords of the Sea
Worst Generation
Heart Pirates")</f>
        <v>Land of Wano
Kid Pirates
Paramecia
Captain
The Seven Warlords of the Sea / Former Warlords of the Sea
Worst Generation
Heart Pirates</v>
      </c>
      <c r="F102" s="111" t="str">
        <f>IFERROR(__xludf.DUMMYFUNCTION("""COMPUTED_VALUE"""),"Otama
(Post_Onigashima)")</f>
        <v>Otama
(Post_Onigashima)</v>
      </c>
      <c r="G102" s="111" t="str">
        <f>IFERROR(__xludf.DUMMYFUNCTION("""COMPUTED_VALUE"""),"")</f>
        <v/>
      </c>
      <c r="H102" s="111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I102" s="112" t="str">
        <f>IFERROR(__xludf.DUMMYFUNCTION("""COMPUTED_VALUE"""),"Land of Wano
Paramecia")</f>
        <v>Land of Wano
Paramecia</v>
      </c>
      <c r="J102" s="101"/>
    </row>
    <row r="103" ht="75.0" customHeight="1">
      <c r="A103" s="101"/>
      <c r="B103" s="111" t="str">
        <f>IFERROR(__xludf.DUMMYFUNCTION("""COMPUTED_VALUE"""),"Shark Pack")</f>
        <v>Shark Pack</v>
      </c>
      <c r="C103" s="113" t="str">
        <f>IFERROR(__xludf.DUMMYFUNCTION("""COMPUTED_VALUE"""),"")</f>
        <v/>
      </c>
      <c r="D103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103" s="110" t="str">
        <f>IFERROR(__xludf.DUMMYFUNCTION("""COMPUTED_VALUE"""),"Fish_Man Island
Captain
Fish_Man
Fish_Man Karate")</f>
        <v>Fish_Man Island
Captain
Fish_Man
Fish_Man Karate</v>
      </c>
      <c r="F103" s="111" t="str">
        <f>IFERROR(__xludf.DUMMYFUNCTION("""COMPUTED_VALUE"""),"Luffy
(Post_Onigashima)")</f>
        <v>Luffy
(Post_Onigashima)</v>
      </c>
      <c r="G103" s="111" t="str">
        <f>IFERROR(__xludf.DUMMYFUNCTION("""COMPUTED_VALUE"""),"")</f>
        <v/>
      </c>
      <c r="H103" s="111" t="str">
        <f>IFERROR(__xludf.DUMMYFUNCTION("""COMPUTED_VALUE"""),"When in the Treasure Area: Increase damage dealt by 3%.")</f>
        <v>When in the Treasure Area: Increase damage dealt by 3%.</v>
      </c>
      <c r="I103" s="112" t="str">
        <f>IFERROR(__xludf.DUMMYFUNCTION("""COMPUTED_VALUE"""),"Land of Wano
Straw Hat Pirates
Zoan
Captain
Worst Generation
Blood Brothers")</f>
        <v>Land of Wano
Straw Hat Pirates
Zoan
Captain
Worst Generation
Blood Brothers</v>
      </c>
      <c r="J103" s="101"/>
    </row>
    <row r="104" ht="75.0" customHeight="1">
      <c r="A104" s="101"/>
      <c r="B104" s="111" t="str">
        <f>IFERROR(__xludf.DUMMYFUNCTION("""COMPUTED_VALUE"""),"Neptune")</f>
        <v>Neptune</v>
      </c>
      <c r="C104" s="113" t="str">
        <f>IFERROR(__xludf.DUMMYFUNCTION("""COMPUTED_VALUE"""),"")</f>
        <v/>
      </c>
      <c r="D104" s="109" t="str">
        <f>IFERROR(__xludf.DUMMYFUNCTION("""COMPUTED_VALUE"""),"When attacked by an enemy: Reduce the cooldown time of Skill 1 by 2%.")</f>
        <v>When attacked by an enemy: Reduce the cooldown time of Skill 1 by 2%.</v>
      </c>
      <c r="E104" s="110" t="str">
        <f>IFERROR(__xludf.DUMMYFUNCTION("""COMPUTED_VALUE"""),"Fish_Man Island
Royalty / Former Royalty")</f>
        <v>Fish_Man Island
Royalty / Former Royalty</v>
      </c>
      <c r="F104" s="111" t="str">
        <f>IFERROR(__xludf.DUMMYFUNCTION("""COMPUTED_VALUE"""),"Princess Hiyori")</f>
        <v>Princess Hiyori</v>
      </c>
      <c r="G104" s="111" t="str">
        <f>IFERROR(__xludf.DUMMYFUNCTION("""COMPUTED_VALUE"""),"")</f>
        <v/>
      </c>
      <c r="H104" s="111" t="str">
        <f>IFERROR(__xludf.DUMMYFUNCTION("""COMPUTED_VALUE"""),"When your allies are not near the Treasure area where you are at: Boost capture speed by 6%.")</f>
        <v>When your allies are not near the Treasure area where you are at: Boost capture speed by 6%.</v>
      </c>
      <c r="I104" s="112" t="str">
        <f>IFERROR(__xludf.DUMMYFUNCTION("""COMPUTED_VALUE"""),"Land of Wano
Kozuki Clan / Kozuki Clan Servant")</f>
        <v>Land of Wano
Kozuki Clan / Kozuki Clan Servant</v>
      </c>
      <c r="J104" s="101"/>
    </row>
    <row r="105" ht="75.0" customHeight="1">
      <c r="A105" s="101"/>
      <c r="B105" s="111" t="str">
        <f>IFERROR(__xludf.DUMMYFUNCTION("""COMPUTED_VALUE"""),"Caribou")</f>
        <v>Caribou</v>
      </c>
      <c r="C105" s="113" t="str">
        <f>IFERROR(__xludf.DUMMYFUNCTION("""COMPUTED_VALUE"""),"")</f>
        <v/>
      </c>
      <c r="D105" s="109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E105" s="110" t="str">
        <f>IFERROR(__xludf.DUMMYFUNCTION("""COMPUTED_VALUE"""),"Fish_Man Island
Logia
Captain")</f>
        <v>Fish_Man Island
Logia
Captain</v>
      </c>
      <c r="F105" s="111" t="str">
        <f>IFERROR(__xludf.DUMMYFUNCTION("""COMPUTED_VALUE"""),"Yamato
(Post_Onigashima)")</f>
        <v>Yamato
(Post_Onigashima)</v>
      </c>
      <c r="G105" s="111" t="str">
        <f>IFERROR(__xludf.DUMMYFUNCTION("""COMPUTED_VALUE"""),"")</f>
        <v/>
      </c>
      <c r="H105" s="111" t="str">
        <f>IFERROR(__xludf.DUMMYFUNCTION("""COMPUTED_VALUE"""),"When your team has more Treasure secured: Increase damage dealt by 5%.")</f>
        <v>When your team has more Treasure secured: Increase damage dealt by 5%.</v>
      </c>
      <c r="I105" s="112" t="str">
        <f>IFERROR(__xludf.DUMMYFUNCTION("""COMPUTED_VALUE"""),"Land of Wano
Zoan")</f>
        <v>Land of Wano
Zoan</v>
      </c>
      <c r="J105" s="101"/>
    </row>
    <row r="106" ht="75.0" customHeight="1">
      <c r="A106" s="101"/>
      <c r="B106" s="111" t="str">
        <f>IFERROR(__xludf.DUMMYFUNCTION("""COMPUTED_VALUE"""),"Vander Decken IX")</f>
        <v>Vander Decken IX</v>
      </c>
      <c r="C106" s="113" t="str">
        <f>IFERROR(__xludf.DUMMYFUNCTION("""COMPUTED_VALUE"""),"")</f>
        <v/>
      </c>
      <c r="D106" s="109" t="str">
        <f>IFERROR(__xludf.DUMMYFUNCTION("""COMPUTED_VALUE"""),"When using Skill 1: Reduce the cooldown time of Skill 2 by 5%.")</f>
        <v>When using Skill 1: Reduce the cooldown time of Skill 2 by 5%.</v>
      </c>
      <c r="E106" s="110" t="str">
        <f>IFERROR(__xludf.DUMMYFUNCTION("""COMPUTED_VALUE"""),"Fish_Man Island
Flying Pirates
Paramecia
Captain
Fish_Man")</f>
        <v>Fish_Man Island
Flying Pirates
Paramecia
Captain
Fish_Man</v>
      </c>
      <c r="F106" s="111" t="str">
        <f>IFERROR(__xludf.DUMMYFUNCTION("""COMPUTED_VALUE"""),"Daifugo")</f>
        <v>Daifugo</v>
      </c>
      <c r="G106" s="111" t="str">
        <f>IFERROR(__xludf.DUMMYFUNCTION("""COMPUTED_VALUE"""),"")</f>
        <v/>
      </c>
      <c r="H106" s="111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I106" s="112" t="str">
        <f>IFERROR(__xludf.DUMMYFUNCTION("""COMPUTED_VALUE"""),"Land of Wano
Animal Kingdom Pirates
Zoan
Headliner")</f>
        <v>Land of Wano
Animal Kingdom Pirates
Zoan
Headliner</v>
      </c>
      <c r="J106" s="101"/>
    </row>
    <row r="107" ht="75.0" customHeight="1">
      <c r="A107" s="101"/>
      <c r="B107" s="111" t="str">
        <f>IFERROR(__xludf.DUMMYFUNCTION("""COMPUTED_VALUE"""),"Raid Usopp")</f>
        <v>Raid Usopp</v>
      </c>
      <c r="C107" s="113" t="str">
        <f>IFERROR(__xludf.DUMMYFUNCTION("""COMPUTED_VALUE"""),"")</f>
        <v/>
      </c>
      <c r="D107" s="109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E107" s="110" t="str">
        <f>IFERROR(__xludf.DUMMYFUNCTION("""COMPUTED_VALUE"""),"Land of Wano
Straw Hat Pirates
Sharp Shooter")</f>
        <v>Land of Wano
Straw Hat Pirates
Sharp Shooter</v>
      </c>
      <c r="F107" s="111" t="str">
        <f>IFERROR(__xludf.DUMMYFUNCTION("""COMPUTED_VALUE"""),"Speed")</f>
        <v>Speed</v>
      </c>
      <c r="G107" s="111" t="str">
        <f>IFERROR(__xludf.DUMMYFUNCTION("""COMPUTED_VALUE"""),"")</f>
        <v/>
      </c>
      <c r="H107" s="111" t="str">
        <f>IFERROR(__xludf.DUMMYFUNCTION("""COMPUTED_VALUE"""),"When your team loses the Treasure: Reduce the cooldown time of Skill 1 by 8%.")</f>
        <v>When your team loses the Treasure: Reduce the cooldown time of Skill 1 by 8%.</v>
      </c>
      <c r="I107" s="112" t="str">
        <f>IFERROR(__xludf.DUMMYFUNCTION("""COMPUTED_VALUE"""),"Land of Wano
Animal Kingdom Pirates
Zoan
Headliner")</f>
        <v>Land of Wano
Animal Kingdom Pirates
Zoan
Headliner</v>
      </c>
      <c r="J107" s="101"/>
    </row>
    <row r="108" ht="75.0" customHeight="1">
      <c r="A108" s="101"/>
      <c r="B108" s="111" t="str">
        <f>IFERROR(__xludf.DUMMYFUNCTION("""COMPUTED_VALUE"""),"Raid Nami")</f>
        <v>Raid Nami</v>
      </c>
      <c r="C108" s="113" t="str">
        <f>IFERROR(__xludf.DUMMYFUNCTION("""COMPUTED_VALUE"""),"")</f>
        <v/>
      </c>
      <c r="D108" s="109" t="str">
        <f>IFERROR(__xludf.DUMMYFUNCTION("""COMPUTED_VALUE"""),"When your HP is 70% or more: Reduce damage recieved by 5%.")</f>
        <v>When your HP is 70% or more: Reduce damage recieved by 5%.</v>
      </c>
      <c r="E108" s="110" t="str">
        <f>IFERROR(__xludf.DUMMYFUNCTION("""COMPUTED_VALUE"""),"Land of Wano
Straw Hat Pirates
Navigator")</f>
        <v>Land of Wano
Straw Hat Pirates
Navigator</v>
      </c>
      <c r="F108" s="111" t="str">
        <f>IFERROR(__xludf.DUMMYFUNCTION("""COMPUTED_VALUE"""),"Robin
(Onigashima Infiltration)")</f>
        <v>Robin
(Onigashima Infiltration)</v>
      </c>
      <c r="G108" s="111" t="str">
        <f>IFERROR(__xludf.DUMMYFUNCTION("""COMPUTED_VALUE"""),"")</f>
        <v/>
      </c>
      <c r="H108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108" s="112" t="str">
        <f>IFERROR(__xludf.DUMMYFUNCTION("""COMPUTED_VALUE"""),"Land of Wano
Straw Hat Pirates
Paramecia
Archaeologist")</f>
        <v>Land of Wano
Straw Hat Pirates
Paramecia
Archaeologist</v>
      </c>
      <c r="J108" s="101"/>
    </row>
    <row r="109" ht="75.0" customHeight="1">
      <c r="A109" s="101"/>
      <c r="B109" s="111" t="str">
        <f>IFERROR(__xludf.DUMMYFUNCTION("""COMPUTED_VALUE"""),"Namuji Glacier Fang")</f>
        <v>Namuji Glacier Fang</v>
      </c>
      <c r="C109" s="113" t="str">
        <f>IFERROR(__xludf.DUMMYFUNCTION("""COMPUTED_VALUE"""),"")</f>
        <v/>
      </c>
      <c r="D109" s="109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E109" s="110" t="str">
        <f>IFERROR(__xludf.DUMMYFUNCTION("""COMPUTED_VALUE"""),"Land of Wano
Zoan")</f>
        <v>Land of Wano
Zoan</v>
      </c>
      <c r="F109" s="111" t="str">
        <f>IFERROR(__xludf.DUMMYFUNCTION("""COMPUTED_VALUE"""),"Jinbe
(Onigashima Infiltration)")</f>
        <v>Jinbe
(Onigashima Infiltration)</v>
      </c>
      <c r="G109" s="111" t="str">
        <f>IFERROR(__xludf.DUMMYFUNCTION("""COMPUTED_VALUE"""),"")</f>
        <v/>
      </c>
      <c r="H109" s="111" t="str">
        <f>IFERROR(__xludf.DUMMYFUNCTION("""COMPUTED_VALUE"""),"When your HP is 70% or more: Increase damage dealt by 5%.")</f>
        <v>When your HP is 70% or more: Increase damage dealt by 5%.</v>
      </c>
      <c r="I109" s="112" t="str">
        <f>IFERROR(__xludf.DUMMYFUNCTION("""COMPUTED_VALUE"""),"Land of Wano
Straw Hat Pirates
Helmsman
Fish_Man
Fish_Man Karate")</f>
        <v>Land of Wano
Straw Hat Pirates
Helmsman
Fish_Man
Fish_Man Karate</v>
      </c>
      <c r="J109" s="101"/>
    </row>
    <row r="110" ht="75.0" customHeight="1">
      <c r="A110" s="101"/>
      <c r="B110" s="111" t="str">
        <f>IFERROR(__xludf.DUMMYFUNCTION("""COMPUTED_VALUE"""),"Raid Brook")</f>
        <v>Raid Brook</v>
      </c>
      <c r="C110" s="113" t="str">
        <f>IFERROR(__xludf.DUMMYFUNCTION("""COMPUTED_VALUE"""),"")</f>
        <v/>
      </c>
      <c r="D110" s="109" t="str">
        <f>IFERROR(__xludf.DUMMYFUNCTION("""COMPUTED_VALUE"""),"When enemies are inflicted with Freeze: Reduce the cooldown time of Skill 1 by 6%.")</f>
        <v>When enemies are inflicted with Freeze: Reduce the cooldown time of Skill 1 by 6%.</v>
      </c>
      <c r="E110" s="110" t="str">
        <f>IFERROR(__xludf.DUMMYFUNCTION("""COMPUTED_VALUE"""),"Land of Wano
Straw Hat Pirates
Paramecia
Musician")</f>
        <v>Land of Wano
Straw Hat Pirates
Paramecia
Musician</v>
      </c>
      <c r="F110" s="111" t="str">
        <f>IFERROR(__xludf.DUMMYFUNCTION("""COMPUTED_VALUE"""),"Page One
(Human_Monster Form)")</f>
        <v>Page One
(Human_Monster Form)</v>
      </c>
      <c r="G110" s="111" t="str">
        <f>IFERROR(__xludf.DUMMYFUNCTION("""COMPUTED_VALUE"""),"")</f>
        <v/>
      </c>
      <c r="H110" s="111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I110" s="112" t="str">
        <f>IFERROR(__xludf.DUMMYFUNCTION("""COMPUTED_VALUE"""),"Land of Wano
Animal Kingdom Pirates
Zoan
Tobi Roppo")</f>
        <v>Land of Wano
Animal Kingdom Pirates
Zoan
Tobi Roppo</v>
      </c>
      <c r="J110" s="101"/>
    </row>
    <row r="111" ht="75.0" customHeight="1">
      <c r="A111" s="101"/>
      <c r="B111" s="111" t="str">
        <f>IFERROR(__xludf.DUMMYFUNCTION("""COMPUTED_VALUE"""),"Raid Robin")</f>
        <v>Raid Robin</v>
      </c>
      <c r="C111" s="113" t="str">
        <f>IFERROR(__xludf.DUMMYFUNCTION("""COMPUTED_VALUE"""),"")</f>
        <v/>
      </c>
      <c r="D111" s="109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E111" s="110" t="str">
        <f>IFERROR(__xludf.DUMMYFUNCTION("""COMPUTED_VALUE"""),"Land of Wano
Straw Hat Pirates
Paramecia
Archaeologist")</f>
        <v>Land of Wano
Straw Hat Pirates
Paramecia
Archaeologist</v>
      </c>
      <c r="F111" s="111" t="str">
        <f>IFERROR(__xludf.DUMMYFUNCTION("""COMPUTED_VALUE"""),"Ulti
(Human_Monster Form)")</f>
        <v>Ulti
(Human_Monster Form)</v>
      </c>
      <c r="G111" s="111" t="str">
        <f>IFERROR(__xludf.DUMMYFUNCTION("""COMPUTED_VALUE"""),"")</f>
        <v/>
      </c>
      <c r="H111" s="111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I111" s="112" t="str">
        <f>IFERROR(__xludf.DUMMYFUNCTION("""COMPUTED_VALUE"""),"Land of Wano
Animal Kingdom Pirates
Zoan
Tobi Roppo")</f>
        <v>Land of Wano
Animal Kingdom Pirates
Zoan
Tobi Roppo</v>
      </c>
      <c r="J111" s="101"/>
    </row>
    <row r="112" ht="75.0" customHeight="1">
      <c r="A112" s="101"/>
      <c r="B112" s="111" t="str">
        <f>IFERROR(__xludf.DUMMYFUNCTION("""COMPUTED_VALUE"""),"Ideo")</f>
        <v>Ideo</v>
      </c>
      <c r="C112" s="113" t="str">
        <f>IFERROR(__xludf.DUMMYFUNCTION("""COMPUTED_VALUE"""),"")</f>
        <v/>
      </c>
      <c r="D112" s="109" t="str">
        <f>IFERROR(__xludf.DUMMYFUNCTION("""COMPUTED_VALUE"""),"When you Knockback an enemy: Recover HP by 3%.")</f>
        <v>When you Knockback an enemy: Recover HP by 3%.</v>
      </c>
      <c r="E112" s="110" t="str">
        <f>IFERROR(__xludf.DUMMYFUNCTION("""COMPUTED_VALUE"""),"Dressrosa
Straw Hat Fleet")</f>
        <v>Dressrosa
Straw Hat Fleet</v>
      </c>
      <c r="F112" s="111" t="str">
        <f>IFERROR(__xludf.DUMMYFUNCTION("""COMPUTED_VALUE"""),"Inventor")</f>
        <v>Inventor</v>
      </c>
      <c r="G112" s="111" t="str">
        <f>IFERROR(__xludf.DUMMYFUNCTION("""COMPUTED_VALUE"""),"")</f>
        <v/>
      </c>
      <c r="H112" s="111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I112" s="112" t="str">
        <f>IFERROR(__xludf.DUMMYFUNCTION("""COMPUTED_VALUE"""),"Reverie
Revolutionary Army
Captain of the Revolutionary Army
Minks")</f>
        <v>Reverie
Revolutionary Army
Captain of the Revolutionary Army
Minks</v>
      </c>
      <c r="J112" s="101"/>
    </row>
    <row r="113" ht="75.0" customHeight="1">
      <c r="A113" s="101"/>
      <c r="B113" s="111" t="str">
        <f>IFERROR(__xludf.DUMMYFUNCTION("""COMPUTED_VALUE"""),"Elizabello II")</f>
        <v>Elizabello II</v>
      </c>
      <c r="C113" s="113" t="str">
        <f>IFERROR(__xludf.DUMMYFUNCTION("""COMPUTED_VALUE"""),"")</f>
        <v/>
      </c>
      <c r="D113" s="109" t="str">
        <f>IFERROR(__xludf.DUMMYFUNCTION("""COMPUTED_VALUE"""),"When using Skill 1: Reduce the cooldown time of Skill 2 by 5%.")</f>
        <v>When using Skill 1: Reduce the cooldown time of Skill 2 by 5%.</v>
      </c>
      <c r="E113" s="110" t="str">
        <f>IFERROR(__xludf.DUMMYFUNCTION("""COMPUTED_VALUE"""),"Dressrosa
Royalty / Former Royalty")</f>
        <v>Dressrosa
Royalty / Former Royalty</v>
      </c>
      <c r="F113" s="111" t="str">
        <f>IFERROR(__xludf.DUMMYFUNCTION("""COMPUTED_VALUE"""),"Horm_Horm")</f>
        <v>Horm_Horm</v>
      </c>
      <c r="G113" s="111" t="str">
        <f>IFERROR(__xludf.DUMMYFUNCTION("""COMPUTED_VALUE"""),"")</f>
        <v/>
      </c>
      <c r="H113" s="111" t="str">
        <f>IFERROR(__xludf.DUMMYFUNCTION("""COMPUTED_VALUE"""),"When you or an ally KOs an enemy: Reduce the cooldown time of Skill 1 by 3%.")</f>
        <v>When you or an ally KOs an enemy: Reduce the cooldown time of Skill 1 by 3%.</v>
      </c>
      <c r="I113" s="112" t="str">
        <f>IFERROR(__xludf.DUMMYFUNCTION("""COMPUTED_VALUE"""),"Reverie
Revolutionary Army
Paramecia
New Kama")</f>
        <v>Reverie
Revolutionary Army
Paramecia
New Kama</v>
      </c>
      <c r="J113" s="101"/>
    </row>
    <row r="114" ht="75.0" customHeight="1">
      <c r="A114" s="101"/>
      <c r="B114" s="111" t="str">
        <f>IFERROR(__xludf.DUMMYFUNCTION("""COMPUTED_VALUE"""),"Kung Fu Jugon")</f>
        <v>Kung Fu Jugon</v>
      </c>
      <c r="C114" s="113" t="str">
        <f>IFERROR(__xludf.DUMMYFUNCTION("""COMPUTED_VALUE"""),"")</f>
        <v/>
      </c>
      <c r="D114" s="109" t="str">
        <f>IFERROR(__xludf.DUMMYFUNCTION("""COMPUTED_VALUE"""),"When attacking an enemy with the same Element: Increase damage dealt by 3%.")</f>
        <v>When attacking an enemy with the same Element: Increase damage dealt by 3%.</v>
      </c>
      <c r="E114" s="110" t="str">
        <f>IFERROR(__xludf.DUMMYFUNCTION("""COMPUTED_VALUE"""),"Alabasta")</f>
        <v>Alabasta</v>
      </c>
      <c r="F114" s="111" t="str">
        <f>IFERROR(__xludf.DUMMYFUNCTION("""COMPUTED_VALUE"""),"Push_Push")</f>
        <v>Push_Push</v>
      </c>
      <c r="G114" s="111" t="str">
        <f>IFERROR(__xludf.DUMMYFUNCTION("""COMPUTED_VALUE"""),"")</f>
        <v/>
      </c>
      <c r="H114" s="111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I114" s="112" t="str">
        <f>IFERROR(__xludf.DUMMYFUNCTION("""COMPUTED_VALUE"""),"Reverie
Revolutionary Army
Fish_Man Karate
Captain of the Revolutionary Army")</f>
        <v>Reverie
Revolutionary Army
Fish_Man Karate
Captain of the Revolutionary Army</v>
      </c>
      <c r="J114" s="101"/>
    </row>
    <row r="115" ht="75.0" customHeight="1">
      <c r="A115" s="101"/>
      <c r="B115" s="111" t="str">
        <f>IFERROR(__xludf.DUMMYFUNCTION("""COMPUTED_VALUE"""),"Hakuba")</f>
        <v>Hakuba</v>
      </c>
      <c r="C115" s="113" t="str">
        <f>IFERROR(__xludf.DUMMYFUNCTION("""COMPUTED_VALUE"""),"")</f>
        <v/>
      </c>
      <c r="D115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115" s="110" t="str">
        <f>IFERROR(__xludf.DUMMYFUNCTION("""COMPUTED_VALUE"""),"Dressrosa
Beautiful Pirates
Captain
Royalty / Former Royalty
Straw Hat Fleet")</f>
        <v>Dressrosa
Beautiful Pirates
Captain
Royalty / Former Royalty
Straw Hat Fleet</v>
      </c>
      <c r="F115" s="111" t="str">
        <f>IFERROR(__xludf.DUMMYFUNCTION("""COMPUTED_VALUE"""),"Koala
(Reverie)")</f>
        <v>Koala
(Reverie)</v>
      </c>
      <c r="G115" s="111" t="str">
        <f>IFERROR(__xludf.DUMMYFUNCTION("""COMPUTED_VALUE"""),"")</f>
        <v/>
      </c>
      <c r="H115" s="111" t="str">
        <f>IFERROR(__xludf.DUMMYFUNCTION("""COMPUTED_VALUE"""),"When you Knockback an enemy: Reduce the cooldown time of Skill 2 by 5%.")</f>
        <v>When you Knockback an enemy: Reduce the cooldown time of Skill 2 by 5%.</v>
      </c>
      <c r="I115" s="112" t="str">
        <f>IFERROR(__xludf.DUMMYFUNCTION("""COMPUTED_VALUE"""),"Reverie
Revolutionary Army
Fish_Man Karate")</f>
        <v>Reverie
Revolutionary Army
Fish_Man Karate</v>
      </c>
      <c r="J115" s="101"/>
    </row>
    <row r="116" ht="75.0" customHeight="1">
      <c r="A116" s="101"/>
      <c r="B116" s="111" t="str">
        <f>IFERROR(__xludf.DUMMYFUNCTION("""COMPUTED_VALUE"""),"Chin Jao")</f>
        <v>Chin Jao</v>
      </c>
      <c r="C116" s="113" t="str">
        <f>IFERROR(__xludf.DUMMYFUNCTION("""COMPUTED_VALUE"""),"")</f>
        <v/>
      </c>
      <c r="D116" s="109" t="str">
        <f>IFERROR(__xludf.DUMMYFUNCTION("""COMPUTED_VALUE"""),"When hit with Knockback by enemy: Reduce the cooldown time of Skill 2 by 5%.")</f>
        <v>When hit with Knockback by enemy: Reduce the cooldown time of Skill 2 by 5%.</v>
      </c>
      <c r="E116" s="110" t="str">
        <f>IFERROR(__xludf.DUMMYFUNCTION("""COMPUTED_VALUE"""),"Dressrosa
Straw Hat Fleet")</f>
        <v>Dressrosa
Straw Hat Fleet</v>
      </c>
      <c r="F116" s="111" t="str">
        <f>IFERROR(__xludf.DUMMYFUNCTION("""COMPUTED_VALUE"""),"Jack
(Human_Monster Form)")</f>
        <v>Jack
(Human_Monster Form)</v>
      </c>
      <c r="G116" s="111" t="str">
        <f>IFERROR(__xludf.DUMMYFUNCTION("""COMPUTED_VALUE"""),"")</f>
        <v/>
      </c>
      <c r="H116" s="111" t="str">
        <f>IFERROR(__xludf.DUMMYFUNCTION("""COMPUTED_VALUE"""),"When there are 60 seconds or less remaining: Boost capture speed by 6%.")</f>
        <v>When there are 60 seconds or less remaining: Boost capture speed by 6%.</v>
      </c>
      <c r="I116" s="112" t="str">
        <f>IFERROR(__xludf.DUMMYFUNCTION("""COMPUTED_VALUE"""),"Land of Wano
Animal Kingdom Pirates
Zoan
Fish_Man
Lead Performer")</f>
        <v>Land of Wano
Animal Kingdom Pirates
Zoan
Fish_Man
Lead Performer</v>
      </c>
      <c r="J116" s="101"/>
    </row>
    <row r="117" ht="75.0" customHeight="1">
      <c r="A117" s="101"/>
      <c r="B117" s="111" t="str">
        <f>IFERROR(__xludf.DUMMYFUNCTION("""COMPUTED_VALUE"""),"Oven")</f>
        <v>Oven</v>
      </c>
      <c r="C117" s="113" t="str">
        <f>IFERROR(__xludf.DUMMYFUNCTION("""COMPUTED_VALUE"""),"")</f>
        <v/>
      </c>
      <c r="D117" s="109" t="str">
        <f>IFERROR(__xludf.DUMMYFUNCTION("""COMPUTED_VALUE"""),"When attacked by an enemy inflicted with Aflame: Reduce damage recieved by 5%.")</f>
        <v>When attacked by an enemy inflicted with Aflame: Reduce damage recieved by 5%.</v>
      </c>
      <c r="E117" s="110" t="str">
        <f>IFERROR(__xludf.DUMMYFUNCTION("""COMPUTED_VALUE"""),"Zou / Whole Cake Island
Big Mom Pirates
Paramecia
Royalty / Former Royalty
Charlotte Family")</f>
        <v>Zou / Whole Cake Island
Big Mom Pirates
Paramecia
Royalty / Former Royalty
Charlotte Family</v>
      </c>
      <c r="F117" s="111" t="str">
        <f>IFERROR(__xludf.DUMMYFUNCTION("""COMPUTED_VALUE"""),"Kaido
(Human_Monster Form)")</f>
        <v>Kaido
(Human_Monster Form)</v>
      </c>
      <c r="G117" s="111" t="str">
        <f>IFERROR(__xludf.DUMMYFUNCTION("""COMPUTED_VALUE"""),"")</f>
        <v/>
      </c>
      <c r="H117" s="111" t="str">
        <f>IFERROR(__xludf.DUMMYFUNCTION("""COMPUTED_VALUE"""),"After KOing an enemy: Reduce the cooldown time of Skill 1 by 8%.")</f>
        <v>After KOing an enemy: Reduce the cooldown time of Skill 1 by 8%.</v>
      </c>
      <c r="I117" s="112" t="str">
        <f>IFERROR(__xludf.DUMMYFUNCTION("""COMPUTED_VALUE"""),"Land of Wano
Animal Kingdom Pirates
Zoan
Captain
The Four Emperors
Former Rocks Pirates")</f>
        <v>Land of Wano
Animal Kingdom Pirates
Zoan
Captain
The Four Emperors
Former Rocks Pirates</v>
      </c>
      <c r="J117" s="101"/>
    </row>
    <row r="118" ht="75.0" customHeight="1">
      <c r="A118" s="101"/>
      <c r="B118" s="111" t="str">
        <f>IFERROR(__xludf.DUMMYFUNCTION("""COMPUTED_VALUE"""),"Leader")</f>
        <v>Leader</v>
      </c>
      <c r="C118" s="113" t="str">
        <f>IFERROR(__xludf.DUMMYFUNCTION("""COMPUTED_VALUE"""),"")</f>
        <v/>
      </c>
      <c r="D118" s="109" t="str">
        <f>IFERROR(__xludf.DUMMYFUNCTION("""COMPUTED_VALUE"""),"When enemies are inflicted with Shock: Reduce the cooldown time of Skill 2 by 6%.")</f>
        <v>When enemies are inflicted with Shock: Reduce the cooldown time of Skill 2 by 6%.</v>
      </c>
      <c r="E118" s="110" t="str">
        <f>IFERROR(__xludf.DUMMYFUNCTION("""COMPUTED_VALUE"""),"Zou / Whole Cake Island
Minks")</f>
        <v>Zou / Whole Cake Island
Minks</v>
      </c>
      <c r="F118" s="111" t="str">
        <f>IFERROR(__xludf.DUMMYFUNCTION("""COMPUTED_VALUE"""),"Local Sea Monster")</f>
        <v>Local Sea Monster</v>
      </c>
      <c r="G118" s="111" t="str">
        <f>IFERROR(__xludf.DUMMYFUNCTION("""COMPUTED_VALUE"""),"")</f>
        <v/>
      </c>
      <c r="H118" s="111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I118" s="112" t="str">
        <f>IFERROR(__xludf.DUMMYFUNCTION("""COMPUTED_VALUE"""),"East Blue")</f>
        <v>East Blue</v>
      </c>
      <c r="J118" s="101"/>
    </row>
    <row r="119" ht="75.0" customHeight="1">
      <c r="A119" s="101"/>
      <c r="B119" s="111" t="str">
        <f>IFERROR(__xludf.DUMMYFUNCTION("""COMPUTED_VALUE"""),"Brulee")</f>
        <v>Brulee</v>
      </c>
      <c r="C119" s="113" t="str">
        <f>IFERROR(__xludf.DUMMYFUNCTION("""COMPUTED_VALUE"""),"")</f>
        <v/>
      </c>
      <c r="D119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119" s="110" t="str">
        <f>IFERROR(__xludf.DUMMYFUNCTION("""COMPUTED_VALUE"""),"Zou / Whole Cake Island
Big Mom Pirates
Paramecia
Royalty / Former Royalty
Charlotte Family")</f>
        <v>Zou / Whole Cake Island
Big Mom Pirates
Paramecia
Royalty / Former Royalty
Charlotte Family</v>
      </c>
      <c r="F119" s="111" t="str">
        <f>IFERROR(__xludf.DUMMYFUNCTION("""COMPUTED_VALUE"""),"Merry Go")</f>
        <v>Merry Go</v>
      </c>
      <c r="G119" s="111" t="str">
        <f>IFERROR(__xludf.DUMMYFUNCTION("""COMPUTED_VALUE"""),"")</f>
        <v/>
      </c>
      <c r="H119" s="111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I119" s="112" t="str">
        <f>IFERROR(__xludf.DUMMYFUNCTION("""COMPUTED_VALUE"""),"East Blue")</f>
        <v>East Blue</v>
      </c>
      <c r="J119" s="101"/>
    </row>
    <row r="120" ht="75.0" customHeight="1">
      <c r="A120" s="101"/>
      <c r="B120" s="111" t="str">
        <f>IFERROR(__xludf.DUMMYFUNCTION("""COMPUTED_VALUE"""),"Cracker")</f>
        <v>Cracker</v>
      </c>
      <c r="C120" s="113" t="str">
        <f>IFERROR(__xludf.DUMMYFUNCTION("""COMPUTED_VALUE"""),"")</f>
        <v/>
      </c>
      <c r="D120" s="109" t="str">
        <f>IFERROR(__xludf.DUMMYFUNCTION("""COMPUTED_VALUE"""),"When attacking an enemy with Skill 2: Increase damage dealt by 5%.")</f>
        <v>When attacking an enemy with Skill 2: Increase damage dealt by 5%.</v>
      </c>
      <c r="E120" s="110" t="str">
        <f>IFERROR(__xludf.DUMMYFUNCTION("""COMPUTED_VALUE"""),"Zou / Whole Cake Island
Big Mom Pirates
Paramecia
Royalty / Former Royalty
``Sweet 3`` General
Charlotte Family")</f>
        <v>Zou / Whole Cake Island
Big Mom Pirates
Paramecia
Royalty / Former Royalty
``Sweet 3`` General
Charlotte Family</v>
      </c>
      <c r="F120" s="111" t="str">
        <f>IFERROR(__xludf.DUMMYFUNCTION("""COMPUTED_VALUE"""),"Three Captains Law")</f>
        <v>Three Captains Law</v>
      </c>
      <c r="G120" s="111" t="str">
        <f>IFERROR(__xludf.DUMMYFUNCTION("""COMPUTED_VALUE"""),"")</f>
        <v/>
      </c>
      <c r="H120" s="111" t="str">
        <f>IFERROR(__xludf.DUMMYFUNCTION("""COMPUTED_VALUE"""),"When you capture the Treasure: Reduce the cooldown time of Skill 1 by 8%.")</f>
        <v>When you capture the Treasure: Reduce the cooldown time of Skill 1 by 8%.</v>
      </c>
      <c r="I120" s="112" t="str">
        <f>IFERROR(__xludf.DUMMYFUNCTION("""COMPUTED_VALUE"""),"Land of Wano
Paramecia
Captain
Worst Generation
Heart Pirates")</f>
        <v>Land of Wano
Paramecia
Captain
Worst Generation
Heart Pirates</v>
      </c>
      <c r="J120" s="101"/>
    </row>
    <row r="121" ht="75.0" customHeight="1">
      <c r="A121" s="101"/>
      <c r="B121" s="111" t="str">
        <f>IFERROR(__xludf.DUMMYFUNCTION("""COMPUTED_VALUE"""),"Mrs. Pudding?")</f>
        <v>Mrs. Pudding?</v>
      </c>
      <c r="C121" s="113" t="str">
        <f>IFERROR(__xludf.DUMMYFUNCTION("""COMPUTED_VALUE"""),"")</f>
        <v/>
      </c>
      <c r="D121" s="109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E121" s="110" t="str">
        <f>IFERROR(__xludf.DUMMYFUNCTION("""COMPUTED_VALUE"""),"Zou / Whole Cake Island
Big Mom Pirates
Paramecia
Cook
Royalty / Former Royalty
Charlotte Family")</f>
        <v>Zou / Whole Cake Island
Big Mom Pirates
Paramecia
Cook
Royalty / Former Royalty
Charlotte Family</v>
      </c>
      <c r="F121" s="111" t="str">
        <f>IFERROR(__xludf.DUMMYFUNCTION("""COMPUTED_VALUE"""),"Three Captains Kid")</f>
        <v>Three Captains Kid</v>
      </c>
      <c r="G121" s="111" t="str">
        <f>IFERROR(__xludf.DUMMYFUNCTION("""COMPUTED_VALUE"""),"")</f>
        <v/>
      </c>
      <c r="H121" s="111" t="str">
        <f>IFERROR(__xludf.DUMMYFUNCTION("""COMPUTED_VALUE"""),"When Critical occurs: Recover HP by 3%.")</f>
        <v>When Critical occurs: Recover HP by 3%.</v>
      </c>
      <c r="I121" s="112" t="str">
        <f>IFERROR(__xludf.DUMMYFUNCTION("""COMPUTED_VALUE"""),"Land of Wano
Kid Pirates
Paramecia
Captain
Worst Generation")</f>
        <v>Land of Wano
Kid Pirates
Paramecia
Captain
Worst Generation</v>
      </c>
      <c r="J121" s="101"/>
    </row>
    <row r="122" ht="75.0" customHeight="1">
      <c r="A122" s="101"/>
      <c r="B122" s="111" t="str">
        <f>IFERROR(__xludf.DUMMYFUNCTION("""COMPUTED_VALUE"""),"Who`s_Who")</f>
        <v>Who`s_Who</v>
      </c>
      <c r="C122" s="113" t="str">
        <f>IFERROR(__xludf.DUMMYFUNCTION("""COMPUTED_VALUE"""),"")</f>
        <v/>
      </c>
      <c r="D122" s="109" t="str">
        <f>IFERROR(__xludf.DUMMYFUNCTION("""COMPUTED_VALUE"""),"When your HP is 70% or more: Increase damage dealt by 5%.")</f>
        <v>When your HP is 70% or more: Increase damage dealt by 5%.</v>
      </c>
      <c r="E122" s="110" t="str">
        <f>IFERROR(__xludf.DUMMYFUNCTION("""COMPUTED_VALUE"""),"Land of Wano
Animal Kingdom Pirates
Zoan
Tobi Roppo
Six Powers")</f>
        <v>Land of Wano
Animal Kingdom Pirates
Zoan
Tobi Roppo
Six Powers</v>
      </c>
      <c r="F122" s="111" t="str">
        <f>IFERROR(__xludf.DUMMYFUNCTION("""COMPUTED_VALUE"""),"Three Captains Luffy")</f>
        <v>Three Captains Luffy</v>
      </c>
      <c r="G122" s="111" t="str">
        <f>IFERROR(__xludf.DUMMYFUNCTION("""COMPUTED_VALUE"""),"")</f>
        <v/>
      </c>
      <c r="H122" s="111" t="str">
        <f>IFERROR(__xludf.DUMMYFUNCTION("""COMPUTED_VALUE"""),"When in the Treasure Area: Reduce damage recieved by 3%.")</f>
        <v>When in the Treasure Area: Reduce damage recieved by 3%.</v>
      </c>
      <c r="I122" s="112" t="str">
        <f>IFERROR(__xludf.DUMMYFUNCTION("""COMPUTED_VALUE"""),"Land of Wano
Straw Hat Pirates
Paramecia
Captain
Worst Generation
Blood Brothers")</f>
        <v>Land of Wano
Straw Hat Pirates
Paramecia
Captain
Worst Generation
Blood Brothers</v>
      </c>
      <c r="J122" s="101"/>
    </row>
    <row r="123" ht="75.0" customHeight="1">
      <c r="A123" s="101"/>
      <c r="B123" s="111" t="str">
        <f>IFERROR(__xludf.DUMMYFUNCTION("""COMPUTED_VALUE"""),"Raid Jinbe")</f>
        <v>Raid Jinbe</v>
      </c>
      <c r="C123" s="113" t="str">
        <f>IFERROR(__xludf.DUMMYFUNCTION("""COMPUTED_VALUE"""),"")</f>
        <v/>
      </c>
      <c r="D123" s="109" t="str">
        <f>IFERROR(__xludf.DUMMYFUNCTION("""COMPUTED_VALUE"""),"When your HP is 70% or more: Reduce damage recieved by 5%.")</f>
        <v>When your HP is 70% or more: Reduce damage recieved by 5%.</v>
      </c>
      <c r="E123" s="110" t="str">
        <f>IFERROR(__xludf.DUMMYFUNCTION("""COMPUTED_VALUE"""),"Land of Wano
Straw Hat Pirates
Helmsman
Fish_Man
Fish_Man Karate
The Seven Warlords of the Sea / Former Warlords of the Sea")</f>
        <v>Land of Wano
Straw Hat Pirates
Helmsman
Fish_Man
Fish_Man Karate
The Seven Warlords of the Sea / Former Warlords of the Sea</v>
      </c>
      <c r="F123" s="111" t="str">
        <f>IFERROR(__xludf.DUMMYFUNCTION("""COMPUTED_VALUE"""),"Gordon")</f>
        <v>Gordon</v>
      </c>
      <c r="G123" s="111" t="str">
        <f>IFERROR(__xludf.DUMMYFUNCTION("""COMPUTED_VALUE"""),"")</f>
        <v/>
      </c>
      <c r="H123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123" s="112" t="str">
        <f>IFERROR(__xludf.DUMMYFUNCTION("""COMPUTED_VALUE"""),"FILM RED")</f>
        <v>FILM RED</v>
      </c>
      <c r="J123" s="101"/>
    </row>
    <row r="124" ht="75.0" customHeight="1">
      <c r="A124" s="101"/>
      <c r="B124" s="111" t="str">
        <f>IFERROR(__xludf.DUMMYFUNCTION("""COMPUTED_VALUE"""),"Enma")</f>
        <v>Enma</v>
      </c>
      <c r="C124" s="113" t="str">
        <f>IFERROR(__xludf.DUMMYFUNCTION("""COMPUTED_VALUE"""),"")</f>
        <v/>
      </c>
      <c r="D124" s="109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E124" s="110" t="str">
        <f>IFERROR(__xludf.DUMMYFUNCTION("""COMPUTED_VALUE"""),"Land of Wano
Straw Hat Pirates
Combatant
Worst Generation")</f>
        <v>Land of Wano
Straw Hat Pirates
Combatant
Worst Generation</v>
      </c>
      <c r="F124" s="111" t="str">
        <f>IFERROR(__xludf.DUMMYFUNCTION("""COMPUTED_VALUE"""),"Uta`s Father")</f>
        <v>Uta`s Father</v>
      </c>
      <c r="G124" s="111" t="str">
        <f>IFERROR(__xludf.DUMMYFUNCTION("""COMPUTED_VALUE"""),"")</f>
        <v/>
      </c>
      <c r="H124" s="111" t="str">
        <f>IFERROR(__xludf.DUMMYFUNCTION("""COMPUTED_VALUE"""),"When you Knockback an enemy: Reduce the cooldown time of Skill 1 by 5%.")</f>
        <v>When you Knockback an enemy: Reduce the cooldown time of Skill 1 by 5%.</v>
      </c>
      <c r="I124" s="112" t="str">
        <f>IFERROR(__xludf.DUMMYFUNCTION("""COMPUTED_VALUE"""),"FILM RED
Red_Haired Pirates
Captain
The Four Emperors
Roger Pirates / Ex_Roger Pirates")</f>
        <v>FILM RED
Red_Haired Pirates
Captain
The Four Emperors
Roger Pirates / Ex_Roger Pirates</v>
      </c>
      <c r="J124" s="101"/>
    </row>
    <row r="125" ht="75.0" customHeight="1">
      <c r="A125" s="101"/>
      <c r="B125" s="111" t="str">
        <f>IFERROR(__xludf.DUMMYFUNCTION("""COMPUTED_VALUE"""),"Conqueror of Three
Worlds Raganaraku")</f>
        <v>Conqueror of Three
Worlds Raganaraku</v>
      </c>
      <c r="C125" s="113" t="str">
        <f>IFERROR(__xludf.DUMMYFUNCTION("""COMPUTED_VALUE"""),"")</f>
        <v/>
      </c>
      <c r="D125" s="109" t="str">
        <f>IFERROR(__xludf.DUMMYFUNCTION("""COMPUTED_VALUE"""),"When you capture the Treasure: Reduce the cooldown time of Skill 1 by 8%.")</f>
        <v>When you capture the Treasure: Reduce the cooldown time of Skill 1 by 8%.</v>
      </c>
      <c r="E125" s="110" t="str">
        <f>IFERROR(__xludf.DUMMYFUNCTION("""COMPUTED_VALUE"""),"Land of Wano
Animal Kingdom Pirates
Zoan
Captain
The Four Emperors
Former Rocks Pirates")</f>
        <v>Land of Wano
Animal Kingdom Pirates
Zoan
Captain
The Four Emperors
Former Rocks Pirates</v>
      </c>
      <c r="F125" s="111" t="str">
        <f>IFERROR(__xludf.DUMMYFUNCTION("""COMPUTED_VALUE"""),"Purgatory Onigiri")</f>
        <v>Purgatory Onigiri</v>
      </c>
      <c r="G125" s="111" t="str">
        <f>IFERROR(__xludf.DUMMYFUNCTION("""COMPUTED_VALUE"""),"")</f>
        <v/>
      </c>
      <c r="H125" s="111" t="str">
        <f>IFERROR(__xludf.DUMMYFUNCTION("""COMPUTED_VALUE"""),"When Critical occurs: Reduce the cooldown time of Skill 2 by 2%.")</f>
        <v>When Critical occurs: Reduce the cooldown time of Skill 2 by 2%.</v>
      </c>
      <c r="I125" s="112" t="str">
        <f>IFERROR(__xludf.DUMMYFUNCTION("""COMPUTED_VALUE"""),"Land of Wano
Straw Hat Pirates
Combatant
Worst Generation")</f>
        <v>Land of Wano
Straw Hat Pirates
Combatant
Worst Generation</v>
      </c>
      <c r="J125" s="101"/>
    </row>
    <row r="126" ht="75.0" customHeight="1">
      <c r="A126" s="101"/>
      <c r="B126" s="111" t="str">
        <f>IFERROR(__xludf.DUMMYFUNCTION("""COMPUTED_VALUE"""),"Olin")</f>
        <v>Olin</v>
      </c>
      <c r="C126" s="113" t="str">
        <f>IFERROR(__xludf.DUMMYFUNCTION("""COMPUTED_VALUE"""),"")</f>
        <v/>
      </c>
      <c r="D126" s="109" t="str">
        <f>IFERROR(__xludf.DUMMYFUNCTION("""COMPUTED_VALUE"""),"When attacked by an enemy inflicted with Aflame: Reduce damage recieved by 5%.")</f>
        <v>When attacked by an enemy inflicted with Aflame: Reduce damage recieved by 5%.</v>
      </c>
      <c r="E126" s="110" t="str">
        <f>IFERROR(__xludf.DUMMYFUNCTION("""COMPUTED_VALUE"""),"Land of Wano
Big Mom Pirates
Paramecia
Captain
Royalty / Former Royalty
The Four Emperors
Charlotte Family
Former Rocks Pirates")</f>
        <v>Land of Wano
Big Mom Pirates
Paramecia
Captain
Royalty / Former Royalty
The Four Emperors
Charlotte Family
Former Rocks Pirates</v>
      </c>
      <c r="F126" s="111" t="str">
        <f>IFERROR(__xludf.DUMMYFUNCTION("""COMPUTED_VALUE"""),"Kong Gun")</f>
        <v>Kong Gun</v>
      </c>
      <c r="G126" s="111" t="str">
        <f>IFERROR(__xludf.DUMMYFUNCTION("""COMPUTED_VALUE"""),"")</f>
        <v/>
      </c>
      <c r="H126" s="111" t="str">
        <f>IFERROR(__xludf.DUMMYFUNCTION("""COMPUTED_VALUE"""),"When you capture the Treasure: Recover HP by 5%.")</f>
        <v>When you capture the Treasure: Recover HP by 5%.</v>
      </c>
      <c r="I126" s="112" t="str">
        <f>IFERROR(__xludf.DUMMYFUNCTION("""COMPUTED_VALUE"""),"Land of Wano
Straw Hat Pirates
Paramecia
Captain
Worst Generation
Blood Brothers")</f>
        <v>Land of Wano
Straw Hat Pirates
Paramecia
Captain
Worst Generation
Blood Brothers</v>
      </c>
      <c r="J126" s="101"/>
    </row>
    <row r="127" ht="75.0" customHeight="1">
      <c r="A127" s="101"/>
      <c r="B127" s="111" t="str">
        <f>IFERROR(__xludf.DUMMYFUNCTION("""COMPUTED_VALUE"""),"Adio")</f>
        <v>Adio</v>
      </c>
      <c r="C127" s="113" t="str">
        <f>IFERROR(__xludf.DUMMYFUNCTION("""COMPUTED_VALUE"""),"")</f>
        <v/>
      </c>
      <c r="D127" s="109" t="str">
        <f>IFERROR(__xludf.DUMMYFUNCTION("""COMPUTED_VALUE"""),"When in the Treasure Area: Increase Normal Attack damage dealt by 5%.")</f>
        <v>When in the Treasure Area: Increase Normal Attack damage dealt by 5%.</v>
      </c>
      <c r="E127" s="110" t="str">
        <f>IFERROR(__xludf.DUMMYFUNCTION("""COMPUTED_VALUE"""),"ODYSSEY")</f>
        <v>ODYSSEY</v>
      </c>
      <c r="F127" s="111" t="str">
        <f>IFERROR(__xludf.DUMMYFUNCTION("""COMPUTED_VALUE"""),"Prometheus
(Land of Wano)")</f>
        <v>Prometheus
(Land of Wano)</v>
      </c>
      <c r="G127" s="111" t="str">
        <f>IFERROR(__xludf.DUMMYFUNCTION("""COMPUTED_VALUE"""),"")</f>
        <v/>
      </c>
      <c r="H127" s="111" t="str">
        <f>IFERROR(__xludf.DUMMYFUNCTION("""COMPUTED_VALUE"""),"When enemies are inflicted with Aflame: Recover HP by 2%.")</f>
        <v>When enemies are inflicted with Aflame: Recover HP by 2%.</v>
      </c>
      <c r="I127" s="112" t="str">
        <f>IFERROR(__xludf.DUMMYFUNCTION("""COMPUTED_VALUE"""),"Land of Wano
Big Mom Pirates
Homies")</f>
        <v>Land of Wano
Big Mom Pirates
Homies</v>
      </c>
      <c r="J127" s="101"/>
    </row>
    <row r="128" ht="75.0" customHeight="1">
      <c r="A128" s="101"/>
      <c r="B128" s="111" t="str">
        <f>IFERROR(__xludf.DUMMYFUNCTION("""COMPUTED_VALUE"""),"King")</f>
        <v>King</v>
      </c>
      <c r="C128" s="113" t="str">
        <f>IFERROR(__xludf.DUMMYFUNCTION("""COMPUTED_VALUE"""),"")</f>
        <v/>
      </c>
      <c r="D128" s="109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E128" s="110" t="str">
        <f>IFERROR(__xludf.DUMMYFUNCTION("""COMPUTED_VALUE"""),"Land of Wano
Animal Kingdom Pirates
Zoan
Lead Performer")</f>
        <v>Land of Wano
Animal Kingdom Pirates
Zoan
Lead Performer</v>
      </c>
      <c r="F128" s="111" t="str">
        <f>IFERROR(__xludf.DUMMYFUNCTION("""COMPUTED_VALUE"""),"Hera")</f>
        <v>Hera</v>
      </c>
      <c r="G128" s="111" t="str">
        <f>IFERROR(__xludf.DUMMYFUNCTION("""COMPUTED_VALUE"""),"")</f>
        <v/>
      </c>
      <c r="H128" s="111" t="str">
        <f>IFERROR(__xludf.DUMMYFUNCTION("""COMPUTED_VALUE"""),"When you are in your team`s Treasure Area and the Trasure Gauge is 80% or more: Boost the cooldown reduction speed of Skill 1 by 13%. and Reduce damage recieved by 5%.")</f>
        <v>When you are in your team`s Treasure Area and the Trasure Gauge is 80% or more: Boost the cooldown reduction speed of Skill 1 by 13%. and Reduce damage recieved by 5%.</v>
      </c>
      <c r="I128" s="112" t="str">
        <f>IFERROR(__xludf.DUMMYFUNCTION("""COMPUTED_VALUE"""),"Land of Wano
Big Mom Pirates
Homies")</f>
        <v>Land of Wano
Big Mom Pirates
Homies</v>
      </c>
      <c r="J128" s="101"/>
    </row>
    <row r="129" ht="75.0" customHeight="1">
      <c r="A129" s="101"/>
      <c r="B129" s="111" t="str">
        <f>IFERROR(__xludf.DUMMYFUNCTION("""COMPUTED_VALUE"""),"X Calibur")</f>
        <v>X Calibur</v>
      </c>
      <c r="C129" s="113" t="str">
        <f>IFERROR(__xludf.DUMMYFUNCTION("""COMPUTED_VALUE"""),"")</f>
        <v/>
      </c>
      <c r="D129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129" s="110" t="str">
        <f>IFERROR(__xludf.DUMMYFUNCTION("""COMPUTED_VALUE"""),"Land of Wano
Navy
Zoan
Worst Generation
``Sword``")</f>
        <v>Land of Wano
Navy
Zoan
Worst Generation
``Sword``</v>
      </c>
      <c r="F129" s="111" t="str">
        <f>IFERROR(__xludf.DUMMYFUNCTION("""COMPUTED_VALUE"""),"Arlong
(Sun Pirates)")</f>
        <v>Arlong
(Sun Pirates)</v>
      </c>
      <c r="G129" s="111" t="str">
        <f>IFERROR(__xludf.DUMMYFUNCTION("""COMPUTED_VALUE"""),"")</f>
        <v/>
      </c>
      <c r="H129" s="111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I129" s="112" t="str">
        <f>IFERROR(__xludf.DUMMYFUNCTION("""COMPUTED_VALUE"""),"Fish_Man
Sun Pirates")</f>
        <v>Fish_Man
Sun Pirates</v>
      </c>
      <c r="J129" s="101"/>
    </row>
    <row r="130" ht="75.0" customHeight="1">
      <c r="A130" s="101"/>
      <c r="B130" s="111" t="str">
        <f>IFERROR(__xludf.DUMMYFUNCTION("""COMPUTED_VALUE"""),"Hyogoro")</f>
        <v>Hyogoro</v>
      </c>
      <c r="C130" s="113" t="str">
        <f>IFERROR(__xludf.DUMMYFUNCTION("""COMPUTED_VALUE"""),"")</f>
        <v/>
      </c>
      <c r="D130" s="109" t="str">
        <f>IFERROR(__xludf.DUMMYFUNCTION("""COMPUTED_VALUE"""),"When you are Downed: Reduce the cooldown time of Skill 1 by 4%.")</f>
        <v>When you are Downed: Reduce the cooldown time of Skill 1 by 4%.</v>
      </c>
      <c r="E130" s="110" t="str">
        <f>IFERROR(__xludf.DUMMYFUNCTION("""COMPUTED_VALUE"""),"Land of Wano")</f>
        <v>Land of Wano</v>
      </c>
      <c r="F130" s="111" t="str">
        <f>IFERROR(__xludf.DUMMYFUNCTION("""COMPUTED_VALUE"""),"Fisher Tiger")</f>
        <v>Fisher Tiger</v>
      </c>
      <c r="G130" s="111" t="str">
        <f>IFERROR(__xludf.DUMMYFUNCTION("""COMPUTED_VALUE"""),"")</f>
        <v/>
      </c>
      <c r="H130" s="111" t="str">
        <f>IFERROR(__xludf.DUMMYFUNCTION("""COMPUTED_VALUE"""),"When attacked by an enemy whose ATK is boosted: Reduce damage recieved by 5%.")</f>
        <v>When attacked by an enemy whose ATK is boosted: Reduce damage recieved by 5%.</v>
      </c>
      <c r="I130" s="112" t="str">
        <f>IFERROR(__xludf.DUMMYFUNCTION("""COMPUTED_VALUE"""),"Captain
Fish_Man
Sun Pirates")</f>
        <v>Captain
Fish_Man
Sun Pirates</v>
      </c>
      <c r="J130" s="101"/>
    </row>
    <row r="131" ht="75.0" customHeight="1">
      <c r="A131" s="101"/>
      <c r="B131" s="111" t="str">
        <f>IFERROR(__xludf.DUMMYFUNCTION("""COMPUTED_VALUE"""),"Raizo")</f>
        <v>Raizo</v>
      </c>
      <c r="C131" s="113" t="str">
        <f>IFERROR(__xludf.DUMMYFUNCTION("""COMPUTED_VALUE"""),"")</f>
        <v/>
      </c>
      <c r="D131" s="109" t="str">
        <f>IFERROR(__xludf.DUMMYFUNCTION("""COMPUTED_VALUE"""),"When using Skill 2: SPD Boosted by 6% for 20 second(s).")</f>
        <v>When using Skill 2: SPD Boosted by 6% for 20 second(s).</v>
      </c>
      <c r="E131" s="110" t="str">
        <f>IFERROR(__xludf.DUMMYFUNCTION("""COMPUTED_VALUE"""),"Land of Wano
Paramecia
Kozuki Clan / Kozuki Clan Servant
Ninja")</f>
        <v>Land of Wano
Paramecia
Kozuki Clan / Kozuki Clan Servant
Ninja</v>
      </c>
      <c r="F131" s="111" t="str">
        <f>IFERROR(__xludf.DUMMYFUNCTION("""COMPUTED_VALUE"""),"Ankoro")</f>
        <v>Ankoro</v>
      </c>
      <c r="G131" s="111" t="str">
        <f>IFERROR(__xludf.DUMMYFUNCTION("""COMPUTED_VALUE"""),"")</f>
        <v/>
      </c>
      <c r="H131" s="111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I131" s="112" t="str">
        <f>IFERROR(__xludf.DUMMYFUNCTION("""COMPUTED_VALUE"""),"Fish_Man Island
Flying Pirates")</f>
        <v>Fish_Man Island
Flying Pirates</v>
      </c>
      <c r="J131" s="101"/>
    </row>
    <row r="132" ht="75.0" customHeight="1">
      <c r="A132" s="101"/>
      <c r="B132" s="111" t="str">
        <f>IFERROR(__xludf.DUMMYFUNCTION("""COMPUTED_VALUE"""),"Shinobu")</f>
        <v>Shinobu</v>
      </c>
      <c r="C132" s="113" t="str">
        <f>IFERROR(__xludf.DUMMYFUNCTION("""COMPUTED_VALUE"""),"")</f>
        <v/>
      </c>
      <c r="D132" s="109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E132" s="110" t="str">
        <f>IFERROR(__xludf.DUMMYFUNCTION("""COMPUTED_VALUE"""),"Land of Wano
Paramecia
Kozuki Clan / Kozuki Clan Servant
Ninja")</f>
        <v>Land of Wano
Paramecia
Kozuki Clan / Kozuki Clan Servant
Ninja</v>
      </c>
      <c r="F132" s="111" t="str">
        <f>IFERROR(__xludf.DUMMYFUNCTION("""COMPUTED_VALUE"""),"Wadatsumi")</f>
        <v>Wadatsumi</v>
      </c>
      <c r="G132" s="111" t="str">
        <f>IFERROR(__xludf.DUMMYFUNCTION("""COMPUTED_VALUE"""),"")</f>
        <v/>
      </c>
      <c r="H132" s="111" t="str">
        <f>IFERROR(__xludf.DUMMYFUNCTION("""COMPUTED_VALUE"""),"When attacking an enemy inflicted With Stun: Increase damage dealt by 5%.")</f>
        <v>When attacking an enemy inflicted With Stun: Increase damage dealt by 5%.</v>
      </c>
      <c r="I132" s="112" t="str">
        <f>IFERROR(__xludf.DUMMYFUNCTION("""COMPUTED_VALUE"""),"Fish_Man Island
Flying Pirates
Fish_Man")</f>
        <v>Fish_Man Island
Flying Pirates
Fish_Man</v>
      </c>
      <c r="J132" s="101"/>
    </row>
    <row r="133" ht="75.0" customHeight="1">
      <c r="A133" s="101"/>
      <c r="B133" s="111" t="str">
        <f>IFERROR(__xludf.DUMMYFUNCTION("""COMPUTED_VALUE"""),"Trebol")</f>
        <v>Trebol</v>
      </c>
      <c r="C133" s="113" t="str">
        <f>IFERROR(__xludf.DUMMYFUNCTION("""COMPUTED_VALUE"""),"")</f>
        <v/>
      </c>
      <c r="D133" s="109" t="str">
        <f>IFERROR(__xludf.DUMMYFUNCTION("""COMPUTED_VALUE"""),"When an ally is KO`d (not including you): Recover HP by 3%.")</f>
        <v>When an ally is KO`d (not including you): Recover HP by 3%.</v>
      </c>
      <c r="E133" s="110" t="str">
        <f>IFERROR(__xludf.DUMMYFUNCTION("""COMPUTED_VALUE"""),"Dressrosa
Paramecia
Trebol Army
Don Quixote Family")</f>
        <v>Dressrosa
Paramecia
Trebol Army
Don Quixote Family</v>
      </c>
      <c r="F133" s="111" t="str">
        <f>IFERROR(__xludf.DUMMYFUNCTION("""COMPUTED_VALUE"""),"Komachiyo")</f>
        <v>Komachiyo</v>
      </c>
      <c r="G133" s="111" t="str">
        <f>IFERROR(__xludf.DUMMYFUNCTION("""COMPUTED_VALUE"""),"")</f>
        <v/>
      </c>
      <c r="H133" s="111" t="str">
        <f>IFERROR(__xludf.DUMMYFUNCTION("""COMPUTED_VALUE"""),"When performing a Perfect Dodge: Reduce the cooldown time of Skill 2 by 4%.")</f>
        <v>When performing a Perfect Dodge: Reduce the cooldown time of Skill 2 by 4%.</v>
      </c>
      <c r="I133" s="112" t="str">
        <f>IFERROR(__xludf.DUMMYFUNCTION("""COMPUTED_VALUE"""),"Land of Wano")</f>
        <v>Land of Wano</v>
      </c>
      <c r="J133" s="101"/>
    </row>
    <row r="134" ht="75.0" customHeight="1">
      <c r="A134" s="101"/>
      <c r="B134" s="111" t="str">
        <f>IFERROR(__xludf.DUMMYFUNCTION("""COMPUTED_VALUE"""),"Ripple_Ripple")</f>
        <v>Ripple_Ripple</v>
      </c>
      <c r="C134" s="113" t="str">
        <f>IFERROR(__xludf.DUMMYFUNCTION("""COMPUTED_VALUE"""),"")</f>
        <v/>
      </c>
      <c r="D134" s="109" t="str">
        <f>IFERROR(__xludf.DUMMYFUNCTION("""COMPUTED_VALUE"""),"When hit with Knockback by enemy: Recover HP by 3%.")</f>
        <v>When hit with Knockback by enemy: Recover HP by 3%.</v>
      </c>
      <c r="E134" s="110" t="str">
        <f>IFERROR(__xludf.DUMMYFUNCTION("""COMPUTED_VALUE"""),"Dressrosa
Paramecia
Diamante Army
Don Quixote Family")</f>
        <v>Dressrosa
Paramecia
Diamante Army
Don Quixote Family</v>
      </c>
      <c r="F134" s="111" t="str">
        <f>IFERROR(__xludf.DUMMYFUNCTION("""COMPUTED_VALUE"""),"Lightning Blast")</f>
        <v>Lightning Blast</v>
      </c>
      <c r="G134" s="111" t="str">
        <f>IFERROR(__xludf.DUMMYFUNCTION("""COMPUTED_VALUE"""),"")</f>
        <v/>
      </c>
      <c r="H134" s="111" t="str">
        <f>IFERROR(__xludf.DUMMYFUNCTION("""COMPUTED_VALUE"""),"When enemies are inflicted with Shock: Recover HP by 3%.")</f>
        <v>When enemies are inflicted with Shock: Recover HP by 3%.</v>
      </c>
      <c r="I134" s="112" t="str">
        <f>IFERROR(__xludf.DUMMYFUNCTION("""COMPUTED_VALUE"""),"Land of Wano
Homies")</f>
        <v>Land of Wano
Homies</v>
      </c>
      <c r="J134" s="101"/>
    </row>
    <row r="135" ht="75.0" customHeight="1">
      <c r="A135" s="101"/>
      <c r="B135" s="111" t="str">
        <f>IFERROR(__xludf.DUMMYFUNCTION("""COMPUTED_VALUE"""),"Boing_Boing")</f>
        <v>Boing_Boing</v>
      </c>
      <c r="C135" s="113" t="str">
        <f>IFERROR(__xludf.DUMMYFUNCTION("""COMPUTED_VALUE"""),"")</f>
        <v/>
      </c>
      <c r="D135" s="109" t="str">
        <f>IFERROR(__xludf.DUMMYFUNCTION("""COMPUTED_VALUE"""),"When your HP is 50% or less: Boost capture speed by 8%.")</f>
        <v>When your HP is 50% or less: Boost capture speed by 8%.</v>
      </c>
      <c r="E135" s="110" t="str">
        <f>IFERROR(__xludf.DUMMYFUNCTION("""COMPUTED_VALUE"""),"Dressrosa
Paramecia")</f>
        <v>Dressrosa
Paramecia</v>
      </c>
      <c r="F135" s="111" t="str">
        <f>IFERROR(__xludf.DUMMYFUNCTION("""COMPUTED_VALUE"""),"Moomonosuke
(Dragon)")</f>
        <v>Moomonosuke
(Dragon)</v>
      </c>
      <c r="G135" s="111" t="str">
        <f>IFERROR(__xludf.DUMMYFUNCTION("""COMPUTED_VALUE"""),"")</f>
        <v/>
      </c>
      <c r="H135" s="111" t="str">
        <f>IFERROR(__xludf.DUMMYFUNCTION("""COMPUTED_VALUE"""),"When your HP is 70% or more: Boost capture speed by 6%.")</f>
        <v>When your HP is 70% or more: Boost capture speed by 6%.</v>
      </c>
      <c r="I135" s="112" t="str">
        <f>IFERROR(__xludf.DUMMYFUNCTION("""COMPUTED_VALUE"""),"Land of Wano
Zoan
Kozuki Clan / Kozuki Clan Servant")</f>
        <v>Land of Wano
Zoan
Kozuki Clan / Kozuki Clan Servant</v>
      </c>
      <c r="J135" s="101"/>
    </row>
    <row r="136" ht="75.0" customHeight="1">
      <c r="A136" s="101"/>
      <c r="B136" s="111" t="str">
        <f>IFERROR(__xludf.DUMMYFUNCTION("""COMPUTED_VALUE"""),"Usopp
(FILM RED)")</f>
        <v>Usopp
(FILM RED)</v>
      </c>
      <c r="C136" s="113" t="str">
        <f>IFERROR(__xludf.DUMMYFUNCTION("""COMPUTED_VALUE"""),"")</f>
        <v/>
      </c>
      <c r="D136" s="109" t="str">
        <f>IFERROR(__xludf.DUMMYFUNCTION("""COMPUTED_VALUE"""),"When hit with Knockback by enemy: Reduce the cooldown time of Skill 1 by 5%.")</f>
        <v>When hit with Knockback by enemy: Reduce the cooldown time of Skill 1 by 5%.</v>
      </c>
      <c r="E136" s="110" t="str">
        <f>IFERROR(__xludf.DUMMYFUNCTION("""COMPUTED_VALUE"""),"FILM RED
Straw Hat Pirates
Sharp Shooter")</f>
        <v>FILM RED
Straw Hat Pirates
Sharp Shooter</v>
      </c>
      <c r="F136" s="111" t="str">
        <f>IFERROR(__xludf.DUMMYFUNCTION("""COMPUTED_VALUE"""),"Ace
(Izayoizuki)")</f>
        <v>Ace
(Izayoizuki)</v>
      </c>
      <c r="G136" s="111" t="str">
        <f>IFERROR(__xludf.DUMMYFUNCTION("""COMPUTED_VALUE"""),"")</f>
        <v/>
      </c>
      <c r="H136" s="111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I136" s="112" t="str">
        <f>IFERROR(__xludf.DUMMYFUNCTION("""COMPUTED_VALUE"""),"Land of Wano
Logia
Captain
Blood Brothers")</f>
        <v>Land of Wano
Logia
Captain
Blood Brothers</v>
      </c>
      <c r="J136" s="101"/>
    </row>
    <row r="137" ht="75.0" customHeight="1">
      <c r="A137" s="101"/>
      <c r="B137" s="111" t="str">
        <f>IFERROR(__xludf.DUMMYFUNCTION("""COMPUTED_VALUE"""),"Yasopp
(FILM RED)")</f>
        <v>Yasopp
(FILM RED)</v>
      </c>
      <c r="C137" s="113" t="str">
        <f>IFERROR(__xludf.DUMMYFUNCTION("""COMPUTED_VALUE"""),"")</f>
        <v/>
      </c>
      <c r="D137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137" s="110" t="str">
        <f>IFERROR(__xludf.DUMMYFUNCTION("""COMPUTED_VALUE"""),"FILM RED
Red_Haired Pirates
Sharp Shooter")</f>
        <v>FILM RED
Red_Haired Pirates
Sharp Shooter</v>
      </c>
      <c r="F137" s="111" t="str">
        <f>IFERROR(__xludf.DUMMYFUNCTION("""COMPUTED_VALUE"""),"Baby Geezer Chopper")</f>
        <v>Baby Geezer Chopper</v>
      </c>
      <c r="G137" s="111" t="str">
        <f>IFERROR(__xludf.DUMMYFUNCTION("""COMPUTED_VALUE"""),"")</f>
        <v/>
      </c>
      <c r="H137" s="111" t="str">
        <f>IFERROR(__xludf.DUMMYFUNCTION("""COMPUTED_VALUE"""),"When you are in your Enemy`s Treasure Area and the Treasure Gauge is 50% or more: Boost capture speed by 6%.")</f>
        <v>When you are in your Enemy`s Treasure Area and the Treasure Gauge is 50% or more: Boost capture speed by 6%.</v>
      </c>
      <c r="I137" s="112" t="str">
        <f>IFERROR(__xludf.DUMMYFUNCTION("""COMPUTED_VALUE"""),"Land of Wano
Straw Hat Pirates
Zoan
Doctor")</f>
        <v>Land of Wano
Straw Hat Pirates
Zoan
Doctor</v>
      </c>
      <c r="J137" s="101"/>
    </row>
    <row r="138" ht="75.0" customHeight="1">
      <c r="A138" s="101"/>
      <c r="B138" s="111" t="str">
        <f>IFERROR(__xludf.DUMMYFUNCTION("""COMPUTED_VALUE"""),"Chopper
(FILM RED)")</f>
        <v>Chopper
(FILM RED)</v>
      </c>
      <c r="C138" s="113" t="str">
        <f>IFERROR(__xludf.DUMMYFUNCTION("""COMPUTED_VALUE"""),"")</f>
        <v/>
      </c>
      <c r="D138" s="109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E138" s="110" t="str">
        <f>IFERROR(__xludf.DUMMYFUNCTION("""COMPUTED_VALUE"""),"FILM RED
Straw Hat Pirates
Zoan
Doctor")</f>
        <v>FILM RED
Straw Hat Pirates
Zoan
Doctor</v>
      </c>
      <c r="F138" s="111" t="str">
        <f>IFERROR(__xludf.DUMMYFUNCTION("""COMPUTED_VALUE"""),"Zoro
(Bandages)")</f>
        <v>Zoro
(Bandages)</v>
      </c>
      <c r="G138" s="111" t="str">
        <f>IFERROR(__xludf.DUMMYFUNCTION("""COMPUTED_VALUE"""),"")</f>
        <v/>
      </c>
      <c r="H138" s="111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I138" s="112" t="str">
        <f>IFERROR(__xludf.DUMMYFUNCTION("""COMPUTED_VALUE"""),"Land of Wano
Straw Hat Pirates
Combatant
Worst Generation")</f>
        <v>Land of Wano
Straw Hat Pirates
Combatant
Worst Generation</v>
      </c>
      <c r="J138" s="101"/>
    </row>
    <row r="139" ht="75.0" customHeight="1">
      <c r="A139" s="101"/>
      <c r="B139" s="111" t="str">
        <f>IFERROR(__xludf.DUMMYFUNCTION("""COMPUTED_VALUE"""),"Nami
(FILM RED)")</f>
        <v>Nami
(FILM RED)</v>
      </c>
      <c r="C139" s="113" t="str">
        <f>IFERROR(__xludf.DUMMYFUNCTION("""COMPUTED_VALUE"""),"")</f>
        <v/>
      </c>
      <c r="D139" s="109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E139" s="110" t="str">
        <f>IFERROR(__xludf.DUMMYFUNCTION("""COMPUTED_VALUE"""),"FILM RED
Straw Hat Pirates
Navigator")</f>
        <v>FILM RED
Straw Hat Pirates
Navigator</v>
      </c>
      <c r="F139" s="111" t="str">
        <f>IFERROR(__xludf.DUMMYFUNCTION("""COMPUTED_VALUE"""),"Strike Back")</f>
        <v>Strike Back</v>
      </c>
      <c r="G139" s="111" t="str">
        <f>IFERROR(__xludf.DUMMYFUNCTION("""COMPUTED_VALUE"""),"")</f>
        <v/>
      </c>
      <c r="H139" s="111" t="str">
        <f>IFERROR(__xludf.DUMMYFUNCTION("""COMPUTED_VALUE"""),"After reciving damage from an enemy which is more than 30% of your max HP: Recover HP by 3%.")</f>
        <v>After reciving damage from an enemy which is more than 30% of your max HP: Recover HP by 3%.</v>
      </c>
      <c r="I139" s="112" t="str">
        <f>IFERROR(__xludf.DUMMYFUNCTION("""COMPUTED_VALUE"""),"Alabasta
Straw Hat Pirates
Sharp Shooter")</f>
        <v>Alabasta
Straw Hat Pirates
Sharp Shooter</v>
      </c>
      <c r="J139" s="101"/>
    </row>
    <row r="140" ht="75.0" customHeight="1">
      <c r="A140" s="101"/>
      <c r="B140" s="111" t="str">
        <f>IFERROR(__xludf.DUMMYFUNCTION("""COMPUTED_VALUE"""),"Beckman
(FILM RED)")</f>
        <v>Beckman
(FILM RED)</v>
      </c>
      <c r="C140" s="113" t="str">
        <f>IFERROR(__xludf.DUMMYFUNCTION("""COMPUTED_VALUE"""),"")</f>
        <v/>
      </c>
      <c r="D140" s="109" t="str">
        <f>IFERROR(__xludf.DUMMYFUNCTION("""COMPUTED_VALUE"""),"When you Knockback an enemy: Recover HP by 3%.")</f>
        <v>When you Knockback an enemy: Recover HP by 3%.</v>
      </c>
      <c r="E140" s="110" t="str">
        <f>IFERROR(__xludf.DUMMYFUNCTION("""COMPUTED_VALUE"""),"FILM RED
Red_Haired Pirates")</f>
        <v>FILM RED
Red_Haired Pirates</v>
      </c>
      <c r="F140" s="111" t="str">
        <f>IFERROR(__xludf.DUMMYFUNCTION("""COMPUTED_VALUE"""),"Hajrudin")</f>
        <v>Hajrudin</v>
      </c>
      <c r="G140" s="111" t="str">
        <f>IFERROR(__xludf.DUMMYFUNCTION("""COMPUTED_VALUE"""),"")</f>
        <v/>
      </c>
      <c r="H140" s="111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I140" s="112" t="str">
        <f>IFERROR(__xludf.DUMMYFUNCTION("""COMPUTED_VALUE"""),"Dressrosa
Captain
Straw Hat Fleet")</f>
        <v>Dressrosa
Captain
Straw Hat Fleet</v>
      </c>
      <c r="J140" s="101"/>
    </row>
    <row r="141" ht="75.0" customHeight="1">
      <c r="A141" s="101"/>
      <c r="B141" s="111" t="str">
        <f>IFERROR(__xludf.DUMMYFUNCTION("""COMPUTED_VALUE"""),"Shanks
(FILM RED)")</f>
        <v>Shanks
(FILM RED)</v>
      </c>
      <c r="C141" s="113" t="str">
        <f>IFERROR(__xludf.DUMMYFUNCTION("""COMPUTED_VALUE"""),"")</f>
        <v/>
      </c>
      <c r="D141" s="109" t="str">
        <f>IFERROR(__xludf.DUMMYFUNCTION("""COMPUTED_VALUE"""),"After KOing an enemy: Reduce the cooldown time of Skill 2 by 8%.")</f>
        <v>After KOing an enemy: Reduce the cooldown time of Skill 2 by 8%.</v>
      </c>
      <c r="E141" s="110" t="str">
        <f>IFERROR(__xludf.DUMMYFUNCTION("""COMPUTED_VALUE"""),"FILM RED
Red_Haired Pirates
Captain
The Four Emperors
Roger Pirates / Ex_Roger Pirates")</f>
        <v>FILM RED
Red_Haired Pirates
Captain
The Four Emperors
Roger Pirates / Ex_Roger Pirates</v>
      </c>
      <c r="F141" s="111" t="str">
        <f>IFERROR(__xludf.DUMMYFUNCTION("""COMPUTED_VALUE"""),"Barrier_Barrier")</f>
        <v>Barrier_Barrier</v>
      </c>
      <c r="G141" s="111" t="str">
        <f>IFERROR(__xludf.DUMMYFUNCTION("""COMPUTED_VALUE"""),"")</f>
        <v/>
      </c>
      <c r="H141" s="111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I141" s="112" t="str">
        <f>IFERROR(__xludf.DUMMYFUNCTION("""COMPUTED_VALUE"""),"Dressrosa
Barto Club
Paramecia
Captain
Straw Hat Fleet")</f>
        <v>Dressrosa
Barto Club
Paramecia
Captain
Straw Hat Fleet</v>
      </c>
      <c r="J141" s="101"/>
    </row>
    <row r="142" ht="75.0" customHeight="1">
      <c r="A142" s="101"/>
      <c r="B142" s="111" t="str">
        <f>IFERROR(__xludf.DUMMYFUNCTION("""COMPUTED_VALUE"""),"Luffy
(FILM RED)")</f>
        <v>Luffy
(FILM RED)</v>
      </c>
      <c r="C142" s="113" t="str">
        <f>IFERROR(__xludf.DUMMYFUNCTION("""COMPUTED_VALUE"""),"")</f>
        <v/>
      </c>
      <c r="D142" s="109" t="str">
        <f>IFERROR(__xludf.DUMMYFUNCTION("""COMPUTED_VALUE"""),"When Respawned: CRIT Boosted by 90% for 20 second(s).")</f>
        <v>When Respawned: CRIT Boosted by 90% for 20 second(s).</v>
      </c>
      <c r="E142" s="110" t="str">
        <f>IFERROR(__xludf.DUMMYFUNCTION("""COMPUTED_VALUE"""),"FILM RED
Straw Hat Pirates
Paramecia
Captain
Worst Generation
Blood Brothers")</f>
        <v>FILM RED
Straw Hat Pirates
Paramecia
Captain
Worst Generation
Blood Brothers</v>
      </c>
      <c r="F142" s="111" t="str">
        <f>IFERROR(__xludf.DUMMYFUNCTION("""COMPUTED_VALUE"""),"Mystoms")</f>
        <v>Mystoms</v>
      </c>
      <c r="G142" s="111" t="str">
        <f>IFERROR(__xludf.DUMMYFUNCTION("""COMPUTED_VALUE"""),"")</f>
        <v/>
      </c>
      <c r="H142" s="111" t="str">
        <f>IFERROR(__xludf.DUMMYFUNCTION("""COMPUTED_VALUE"""),"When a damage_dealing Shock infliction has been nullifed: Reduce the cooldown time of Skill 1 by 6%.")</f>
        <v>When a damage_dealing Shock infliction has been nullifed: Reduce the cooldown time of Skill 1 by 6%.</v>
      </c>
      <c r="I142" s="112" t="str">
        <f>IFERROR(__xludf.DUMMYFUNCTION("""COMPUTED_VALUE"""),"Zou / Whole Cake Island
Big Mom Pirates
Zoan
Combatant
Minks")</f>
        <v>Zou / Whole Cake Island
Big Mom Pirates
Zoan
Combatant
Minks</v>
      </c>
      <c r="J142" s="101"/>
    </row>
    <row r="143" ht="75.0" customHeight="1">
      <c r="A143" s="101"/>
      <c r="B143" s="111" t="str">
        <f>IFERROR(__xludf.DUMMYFUNCTION("""COMPUTED_VALUE"""),"Uta")</f>
        <v>Uta</v>
      </c>
      <c r="C143" s="113" t="str">
        <f>IFERROR(__xludf.DUMMYFUNCTION("""COMPUTED_VALUE"""),"")</f>
        <v/>
      </c>
      <c r="D143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143" s="110" t="str">
        <f>IFERROR(__xludf.DUMMYFUNCTION("""COMPUTED_VALUE"""),"FILM RED
Paramecia")</f>
        <v>FILM RED
Paramecia</v>
      </c>
      <c r="F143" s="111" t="str">
        <f>IFERROR(__xludf.DUMMYFUNCTION("""COMPUTED_VALUE"""),"Carrot
(Sulong)")</f>
        <v>Carrot
(Sulong)</v>
      </c>
      <c r="G143" s="111" t="str">
        <f>IFERROR(__xludf.DUMMYFUNCTION("""COMPUTED_VALUE"""),"")</f>
        <v/>
      </c>
      <c r="H143" s="111" t="str">
        <f>IFERROR(__xludf.DUMMYFUNCTION("""COMPUTED_VALUE"""),"When enemies are inflicted with Shock: Reduce the cooldown time of Skill 1 by 6%.")</f>
        <v>When enemies are inflicted with Shock: Reduce the cooldown time of Skill 1 by 6%.</v>
      </c>
      <c r="I143" s="112" t="str">
        <f>IFERROR(__xludf.DUMMYFUNCTION("""COMPUTED_VALUE"""),"Zou / Whole Cake Island
Mokomo Dukedom Musketeer
Kingsbird
Minks")</f>
        <v>Zou / Whole Cake Island
Mokomo Dukedom Musketeer
Kingsbird
Minks</v>
      </c>
      <c r="J143" s="101"/>
    </row>
    <row r="144" ht="75.0" customHeight="1">
      <c r="A144" s="101"/>
      <c r="B144" s="111" t="str">
        <f>IFERROR(__xludf.DUMMYFUNCTION("""COMPUTED_VALUE"""),"Zephyr")</f>
        <v>Zephyr</v>
      </c>
      <c r="C144" s="113" t="str">
        <f>IFERROR(__xludf.DUMMYFUNCTION("""COMPUTED_VALUE"""),"")</f>
        <v/>
      </c>
      <c r="D144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144" s="110" t="str">
        <f>IFERROR(__xludf.DUMMYFUNCTION("""COMPUTED_VALUE"""),"FILM Z")</f>
        <v>FILM Z</v>
      </c>
      <c r="F144" s="111" t="str">
        <f>IFERROR(__xludf.DUMMYFUNCTION("""COMPUTED_VALUE"""),"Montd``or")</f>
        <v>Montd``or</v>
      </c>
      <c r="G144" s="111" t="str">
        <f>IFERROR(__xludf.DUMMYFUNCTION("""COMPUTED_VALUE"""),"")</f>
        <v/>
      </c>
      <c r="H144" s="111" t="str">
        <f>IFERROR(__xludf.DUMMYFUNCTION("""COMPUTED_VALUE"""),"When you are in your team`s Treasure Area and the Trasure Gauge is 80% or more: Boost the cooldown reduction speed of Skill 1 by 10%. and Boost the cooldown reduction speed of Skill 2 by 10%.")</f>
        <v>When you are in your team`s Treasure Area and the Trasure Gauge is 80% or more: Boost the cooldown reduction speed of Skill 1 by 10%. and Boost the cooldown reduction speed of Skill 2 by 10%.</v>
      </c>
      <c r="I144" s="112" t="str">
        <f>IFERROR(__xludf.DUMMYFUNCTION("""COMPUTED_VALUE"""),"Zou / Whole Cake Island
Big Mom Pirates
Paramecia
Charlotte Family")</f>
        <v>Zou / Whole Cake Island
Big Mom Pirates
Paramecia
Charlotte Family</v>
      </c>
      <c r="J144" s="101"/>
    </row>
    <row r="145" ht="75.0" customHeight="1">
      <c r="A145" s="101"/>
      <c r="B145" s="111" t="str">
        <f>IFERROR(__xludf.DUMMYFUNCTION("""COMPUTED_VALUE"""),"Tesoro")</f>
        <v>Tesoro</v>
      </c>
      <c r="C145" s="113" t="str">
        <f>IFERROR(__xludf.DUMMYFUNCTION("""COMPUTED_VALUE"""),"")</f>
        <v/>
      </c>
      <c r="D145" s="109" t="str">
        <f>IFERROR(__xludf.DUMMYFUNCTION("""COMPUTED_VALUE"""),"When in the area around your captured Treasure: Increase damage dealt by 5%.")</f>
        <v>When in the area around your captured Treasure: Increase damage dealt by 5%.</v>
      </c>
      <c r="E145" s="110" t="str">
        <f>IFERROR(__xludf.DUMMYFUNCTION("""COMPUTED_VALUE"""),"FILM GOLD
Paramecia
Royalty / Former Royalty")</f>
        <v>FILM GOLD
Paramecia
Royalty / Former Royalty</v>
      </c>
      <c r="F145" s="111" t="str">
        <f>IFERROR(__xludf.DUMMYFUNCTION("""COMPUTED_VALUE"""),"Mochi_Mochi")</f>
        <v>Mochi_Mochi</v>
      </c>
      <c r="G145" s="111" t="str">
        <f>IFERROR(__xludf.DUMMYFUNCTION("""COMPUTED_VALUE"""),"")</f>
        <v/>
      </c>
      <c r="H145" s="111" t="str">
        <f>IFERROR(__xludf.DUMMYFUNCTION("""COMPUTED_VALUE"""),"When using Skill 2: Reduce the cooldown time of Skill 1 by 5%.")</f>
        <v>When using Skill 2: Reduce the cooldown time of Skill 1 by 5%.</v>
      </c>
      <c r="I145" s="112" t="str">
        <f>IFERROR(__xludf.DUMMYFUNCTION("""COMPUTED_VALUE"""),"Zou / Whole Cake Island
Big Mom Pirates
Paramecia
``Sweet 3`` General
Charlotte Family")</f>
        <v>Zou / Whole Cake Island
Big Mom Pirates
Paramecia
``Sweet 3`` General
Charlotte Family</v>
      </c>
      <c r="J145" s="101"/>
    </row>
    <row r="146" ht="75.0" customHeight="1">
      <c r="A146" s="101"/>
      <c r="B146" s="111" t="str">
        <f>IFERROR(__xludf.DUMMYFUNCTION("""COMPUTED_VALUE"""),"Shiki")</f>
        <v>Shiki</v>
      </c>
      <c r="C146" s="113" t="str">
        <f>IFERROR(__xludf.DUMMYFUNCTION("""COMPUTED_VALUE"""),"")</f>
        <v/>
      </c>
      <c r="D146" s="109" t="str">
        <f>IFERROR(__xludf.DUMMYFUNCTION("""COMPUTED_VALUE"""),"When your HP is 70% or more: Boost capture speed by 8%.")</f>
        <v>When your HP is 70% or more: Boost capture speed by 8%.</v>
      </c>
      <c r="E146" s="110" t="str">
        <f>IFERROR(__xludf.DUMMYFUNCTION("""COMPUTED_VALUE"""),"FILM STRONG WORLD
Paramecia
Captain
Former Rocks Pirates")</f>
        <v>FILM STRONG WORLD
Paramecia
Captain
Former Rocks Pirates</v>
      </c>
      <c r="F146" s="111" t="str">
        <f>IFERROR(__xludf.DUMMYFUNCTION("""COMPUTED_VALUE"""),"Gourmet Knight")</f>
        <v>Gourmet Knight</v>
      </c>
      <c r="G146" s="111" t="str">
        <f>IFERROR(__xludf.DUMMYFUNCTION("""COMPUTED_VALUE"""),"")</f>
        <v/>
      </c>
      <c r="H146" s="111" t="str">
        <f>IFERROR(__xludf.DUMMYFUNCTION("""COMPUTED_VALUE"""),"When your allies are not near the Treasure area where you are at: Boost the cooldown reduction speed of Skill 2 by 10%.")</f>
        <v>When your allies are not near the Treasure area where you are at: Boost the cooldown reduction speed of Skill 2 by 10%.</v>
      </c>
      <c r="I146" s="112" t="str">
        <f>IFERROR(__xludf.DUMMYFUNCTION("""COMPUTED_VALUE"""),"Zou / Whole Cake Island
Big Mom Pirates
Paramecia
Cook")</f>
        <v>Zou / Whole Cake Island
Big Mom Pirates
Paramecia
Cook</v>
      </c>
      <c r="J146" s="101"/>
    </row>
    <row r="147" ht="75.0" customHeight="1">
      <c r="A147" s="101"/>
      <c r="B147" s="111" t="str">
        <f>IFERROR(__xludf.DUMMYFUNCTION("""COMPUTED_VALUE"""),"Hancock
(STAMPEDE)")</f>
        <v>Hancock
(STAMPEDE)</v>
      </c>
      <c r="C147" s="113" t="str">
        <f>IFERROR(__xludf.DUMMYFUNCTION("""COMPUTED_VALUE"""),"")</f>
        <v/>
      </c>
      <c r="D147" s="109" t="str">
        <f>IFERROR(__xludf.DUMMYFUNCTION("""COMPUTED_VALUE"""),"When you capture the Treasure: SPD Boosted by 6% for 20 second(s).")</f>
        <v>When you capture the Treasure: SPD Boosted by 6% for 20 second(s).</v>
      </c>
      <c r="E147" s="110" t="str">
        <f>IFERROR(__xludf.DUMMYFUNCTION("""COMPUTED_VALUE"""),"STAMPEDE
The Seven Warlords of the Sea / Former Warlords of the Sea
Kuja Pirates
Paramecia
Captain
Gorgon Sisters")</f>
        <v>STAMPEDE
The Seven Warlords of the Sea / Former Warlords of the Sea
Kuja Pirates
Paramecia
Captain
Gorgon Sisters</v>
      </c>
      <c r="F147" s="111" t="str">
        <f>IFERROR(__xludf.DUMMYFUNCTION("""COMPUTED_VALUE"""),"Lucky Fellow?")</f>
        <v>Lucky Fellow?</v>
      </c>
      <c r="G147" s="111" t="str">
        <f>IFERROR(__xludf.DUMMYFUNCTION("""COMPUTED_VALUE"""),"")</f>
        <v/>
      </c>
      <c r="H147" s="111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I147" s="112" t="str">
        <f>IFERROR(__xludf.DUMMYFUNCTION("""COMPUTED_VALUE"""),"Zou / Whole Cake Island
Straw Hat Pirates
Cook")</f>
        <v>Zou / Whole Cake Island
Straw Hat Pirates
Cook</v>
      </c>
      <c r="J147" s="101"/>
    </row>
    <row r="148" ht="75.0" customHeight="1">
      <c r="A148" s="101"/>
      <c r="B148" s="111" t="str">
        <f>IFERROR(__xludf.DUMMYFUNCTION("""COMPUTED_VALUE"""),"Phoenix Brand")</f>
        <v>Phoenix Brand</v>
      </c>
      <c r="C148" s="113" t="str">
        <f>IFERROR(__xludf.DUMMYFUNCTION("""COMPUTED_VALUE"""),"")</f>
        <v/>
      </c>
      <c r="D148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148" s="110" t="str">
        <f>IFERROR(__xludf.DUMMYFUNCTION("""COMPUTED_VALUE"""),"Land of Wano
Whitebeard Pirates
Zoan
Doctor
Whitebeard Pirates Commander")</f>
        <v>Land of Wano
Whitebeard Pirates
Zoan
Doctor
Whitebeard Pirates Commander</v>
      </c>
      <c r="F148" s="111" t="str">
        <f>IFERROR(__xludf.DUMMYFUNCTION("""COMPUTED_VALUE"""),"Rostisserie Strike")</f>
        <v>Rostisserie Strike</v>
      </c>
      <c r="G148" s="111" t="str">
        <f>IFERROR(__xludf.DUMMYFUNCTION("""COMPUTED_VALUE"""),"")</f>
        <v/>
      </c>
      <c r="H148" s="111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I148" s="112" t="str">
        <f>IFERROR(__xludf.DUMMYFUNCTION("""COMPUTED_VALUE"""),"Land of Wano
Straw Hat Pirates
Cook")</f>
        <v>Land of Wano
Straw Hat Pirates
Cook</v>
      </c>
      <c r="J148" s="101"/>
    </row>
    <row r="149" ht="75.0" customHeight="1">
      <c r="A149" s="101"/>
      <c r="B149" s="111" t="str">
        <f>IFERROR(__xludf.DUMMYFUNCTION("""COMPUTED_VALUE"""),"Perospero")</f>
        <v>Perospero</v>
      </c>
      <c r="C149" s="113" t="str">
        <f>IFERROR(__xludf.DUMMYFUNCTION("""COMPUTED_VALUE"""),"")</f>
        <v/>
      </c>
      <c r="D149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149" s="110" t="str">
        <f>IFERROR(__xludf.DUMMYFUNCTION("""COMPUTED_VALUE"""),"Land of Wano
Big Mom Pirates
Paramecia
Royalty / Former Royalty
Charlotte Family")</f>
        <v>Land of Wano
Big Mom Pirates
Paramecia
Royalty / Former Royalty
Charlotte Family</v>
      </c>
      <c r="F149" s="111" t="str">
        <f>IFERROR(__xludf.DUMMYFUNCTION("""COMPUTED_VALUE"""),"Red Roc")</f>
        <v>Red Roc</v>
      </c>
      <c r="G149" s="111" t="str">
        <f>IFERROR(__xludf.DUMMYFUNCTION("""COMPUTED_VALUE"""),"")</f>
        <v/>
      </c>
      <c r="H149" s="111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I149" s="112" t="str">
        <f>IFERROR(__xludf.DUMMYFUNCTION("""COMPUTED_VALUE"""),"Land of Wano
Straw Hat Pirates
Paramecia
Captain
Worst Generation
Blood Brothers")</f>
        <v>Land of Wano
Straw Hat Pirates
Paramecia
Captain
Worst Generation
Blood Brothers</v>
      </c>
      <c r="J149" s="101"/>
    </row>
    <row r="150" ht="75.0" customHeight="1">
      <c r="A150" s="101"/>
      <c r="B150" s="111" t="str">
        <f>IFERROR(__xludf.DUMMYFUNCTION("""COMPUTED_VALUE"""),"Spinosaurus")</f>
        <v>Spinosaurus</v>
      </c>
      <c r="C150" s="113" t="str">
        <f>IFERROR(__xludf.DUMMYFUNCTION("""COMPUTED_VALUE"""),"")</f>
        <v/>
      </c>
      <c r="D150" s="109" t="str">
        <f>IFERROR(__xludf.DUMMYFUNCTION("""COMPUTED_VALUE"""),"When your HP is 70% or more: Reduce damage recieved by 5%.")</f>
        <v>When your HP is 70% or more: Reduce damage recieved by 5%.</v>
      </c>
      <c r="E150" s="110" t="str">
        <f>IFERROR(__xludf.DUMMYFUNCTION("""COMPUTED_VALUE"""),"Land of Wano
Animal Kingdom Pirates
Zoan
Tobi Roppo")</f>
        <v>Land of Wano
Animal Kingdom Pirates
Zoan
Tobi Roppo</v>
      </c>
      <c r="F150" s="111" t="str">
        <f>IFERROR(__xludf.DUMMYFUNCTION("""COMPUTED_VALUE"""),"Perospero
(Pirate Alliance)")</f>
        <v>Perospero
(Pirate Alliance)</v>
      </c>
      <c r="G150" s="111" t="str">
        <f>IFERROR(__xludf.DUMMYFUNCTION("""COMPUTED_VALUE"""),"")</f>
        <v/>
      </c>
      <c r="H150" s="111" t="str">
        <f>IFERROR(__xludf.DUMMYFUNCTION("""COMPUTED_VALUE"""),"When you are in your team`s Treasure Area and the Trasure Gauge is 80% or more: Increase damage dealt by 3%. and Reduce damage recieved by 3%.")</f>
        <v>When you are in your team`s Treasure Area and the Trasure Gauge is 80% or more: Increase damage dealt by 3%. and Reduce damage recieved by 3%.</v>
      </c>
      <c r="I150" s="112" t="str">
        <f>IFERROR(__xludf.DUMMYFUNCTION("""COMPUTED_VALUE"""),"Land of Wano
Big Mom Pirates
Paramecia
Charlotte Family")</f>
        <v>Land of Wano
Big Mom Pirates
Paramecia
Charlotte Family</v>
      </c>
      <c r="J150" s="101"/>
    </row>
    <row r="151" ht="75.0" customHeight="1">
      <c r="A151" s="101"/>
      <c r="B151" s="111" t="str">
        <f>IFERROR(__xludf.DUMMYFUNCTION("""COMPUTED_VALUE"""),"Pachycephalosaurus")</f>
        <v>Pachycephalosaurus</v>
      </c>
      <c r="C151" s="113" t="str">
        <f>IFERROR(__xludf.DUMMYFUNCTION("""COMPUTED_VALUE"""),"")</f>
        <v/>
      </c>
      <c r="D151" s="109" t="str">
        <f>IFERROR(__xludf.DUMMYFUNCTION("""COMPUTED_VALUE"""),"When you are Downed: Reduce the cooldown time of Skill 2 by 4%.")</f>
        <v>When you are Downed: Reduce the cooldown time of Skill 2 by 4%.</v>
      </c>
      <c r="E151" s="110" t="str">
        <f>IFERROR(__xludf.DUMMYFUNCTION("""COMPUTED_VALUE"""),"Land of Wano
Animal Kingdom Pirates
Zoan
Tobi Roppo")</f>
        <v>Land of Wano
Animal Kingdom Pirates
Zoan
Tobi Roppo</v>
      </c>
      <c r="F151" s="111" t="str">
        <f>IFERROR(__xludf.DUMMYFUNCTION("""COMPUTED_VALUE"""),"Smoothie
(Pirate Alliance)")</f>
        <v>Smoothie
(Pirate Alliance)</v>
      </c>
      <c r="G151" s="111" t="str">
        <f>IFERROR(__xludf.DUMMYFUNCTION("""COMPUTED_VALUE"""),"")</f>
        <v/>
      </c>
      <c r="H151" s="111" t="str">
        <f>IFERROR(__xludf.DUMMYFUNCTION("""COMPUTED_VALUE"""),"When enemies are inflicted with Aflame: Recover HP by 3%.")</f>
        <v>When enemies are inflicted with Aflame: Recover HP by 3%.</v>
      </c>
      <c r="I151" s="112" t="str">
        <f>IFERROR(__xludf.DUMMYFUNCTION("""COMPUTED_VALUE"""),"Land of Wano
Big Mom Pirates
Paramecia
``Sweet 3`` General
Charlotte Family")</f>
        <v>Land of Wano
Big Mom Pirates
Paramecia
``Sweet 3`` General
Charlotte Family</v>
      </c>
      <c r="J151" s="101"/>
    </row>
    <row r="152" ht="75.0" customHeight="1">
      <c r="A152" s="101"/>
      <c r="B152" s="111" t="str">
        <f>IFERROR(__xludf.DUMMYFUNCTION("""COMPUTED_VALUE"""),"Wyper")</f>
        <v>Wyper</v>
      </c>
      <c r="C152" s="113" t="str">
        <f>IFERROR(__xludf.DUMMYFUNCTION("""COMPUTED_VALUE"""),"")</f>
        <v/>
      </c>
      <c r="D152" s="109" t="str">
        <f>IFERROR(__xludf.DUMMYFUNCTION("""COMPUTED_VALUE"""),"When your HP is 70% or more: Increase damage dealt by 3%.")</f>
        <v>When your HP is 70% or more: Increase damage dealt by 3%.</v>
      </c>
      <c r="E152" s="110" t="str">
        <f>IFERROR(__xludf.DUMMYFUNCTION("""COMPUTED_VALUE"""),"Sky Island / LRLL")</f>
        <v>Sky Island / LRLL</v>
      </c>
      <c r="F152" s="111" t="str">
        <f>IFERROR(__xludf.DUMMYFUNCTION("""COMPUTED_VALUE"""),"Sasaki")</f>
        <v>Sasaki</v>
      </c>
      <c r="G152" s="111" t="str">
        <f>IFERROR(__xludf.DUMMYFUNCTION("""COMPUTED_VALUE"""),"")</f>
        <v/>
      </c>
      <c r="H152" s="111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I152" s="112" t="str">
        <f>IFERROR(__xludf.DUMMYFUNCTION("""COMPUTED_VALUE"""),"Land of Wano
Animal Kingdom Pirates
Zoan
Tobi Roppo")</f>
        <v>Land of Wano
Animal Kingdom Pirates
Zoan
Tobi Roppo</v>
      </c>
      <c r="J152" s="101"/>
    </row>
    <row r="153" ht="75.0" customHeight="1">
      <c r="A153" s="101"/>
      <c r="B153" s="111" t="str">
        <f>IFERROR(__xludf.DUMMYFUNCTION("""COMPUTED_VALUE"""),"Franosuke")</f>
        <v>Franosuke</v>
      </c>
      <c r="C153" s="113" t="str">
        <f>IFERROR(__xludf.DUMMYFUNCTION("""COMPUTED_VALUE"""),"")</f>
        <v/>
      </c>
      <c r="D153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153" s="110" t="str">
        <f>IFERROR(__xludf.DUMMYFUNCTION("""COMPUTED_VALUE"""),"Land of Wano
Straw Hat Pirates
Ship Carpenter")</f>
        <v>Land of Wano
Straw Hat Pirates
Ship Carpenter</v>
      </c>
      <c r="F153" s="111" t="str">
        <f>IFERROR(__xludf.DUMMYFUNCTION("""COMPUTED_VALUE"""),"Eleph_Eleph")</f>
        <v>Eleph_Eleph</v>
      </c>
      <c r="G153" s="111" t="str">
        <f>IFERROR(__xludf.DUMMYFUNCTION("""COMPUTED_VALUE"""),"")</f>
        <v/>
      </c>
      <c r="H153" s="111" t="str">
        <f>IFERROR(__xludf.DUMMYFUNCTION("""COMPUTED_VALUE"""),"When you capture the Treasure: Recover HP by 5%.")</f>
        <v>When you capture the Treasure: Recover HP by 5%.</v>
      </c>
      <c r="I153" s="112" t="str">
        <f>IFERROR(__xludf.DUMMYFUNCTION("""COMPUTED_VALUE"""),"Land of Wano
Animal Kingdom Pirates
Zoan
Lead Performer
Fish_Man")</f>
        <v>Land of Wano
Animal Kingdom Pirates
Zoan
Lead Performer
Fish_Man</v>
      </c>
      <c r="J153" s="101"/>
    </row>
    <row r="154" ht="75.0" customHeight="1">
      <c r="A154" s="101"/>
      <c r="B154" s="111" t="str">
        <f>IFERROR(__xludf.DUMMYFUNCTION("""COMPUTED_VALUE"""),"Usohachi")</f>
        <v>Usohachi</v>
      </c>
      <c r="C154" s="113" t="str">
        <f>IFERROR(__xludf.DUMMYFUNCTION("""COMPUTED_VALUE"""),"")</f>
        <v/>
      </c>
      <c r="D154" s="109" t="str">
        <f>IFERROR(__xludf.DUMMYFUNCTION("""COMPUTED_VALUE"""),"When you Knockback an enemy: Recover HP by 3%.")</f>
        <v>When you Knockback an enemy: Recover HP by 3%.</v>
      </c>
      <c r="E154" s="110" t="str">
        <f>IFERROR(__xludf.DUMMYFUNCTION("""COMPUTED_VALUE"""),"Land of Wano
Straw Hat Pirates
Sharp Shooter")</f>
        <v>Land of Wano
Straw Hat Pirates
Sharp Shooter</v>
      </c>
      <c r="F154" s="111" t="str">
        <f>IFERROR(__xludf.DUMMYFUNCTION("""COMPUTED_VALUE"""),"Dry Penguin")</f>
        <v>Dry Penguin</v>
      </c>
      <c r="G154" s="111" t="str">
        <f>IFERROR(__xludf.DUMMYFUNCTION("""COMPUTED_VALUE"""),"")</f>
        <v/>
      </c>
      <c r="H154" s="111" t="str">
        <f>IFERROR(__xludf.DUMMYFUNCTION("""COMPUTED_VALUE"""),"When your HP is 50% or more: Increase Normal Attack damage dealt by 3%.")</f>
        <v>When your HP is 50% or more: Increase Normal Attack damage dealt by 3%.</v>
      </c>
      <c r="I154" s="112" t="str">
        <f>IFERROR(__xludf.DUMMYFUNCTION("""COMPUTED_VALUE"""),"ODYSSEY")</f>
        <v>ODYSSEY</v>
      </c>
      <c r="J154" s="101"/>
    </row>
    <row r="155" ht="75.0" customHeight="1">
      <c r="A155" s="101"/>
      <c r="B155" s="111" t="str">
        <f>IFERROR(__xludf.DUMMYFUNCTION("""COMPUTED_VALUE"""),"Shiryu")</f>
        <v>Shiryu</v>
      </c>
      <c r="C155" s="113" t="str">
        <f>IFERROR(__xludf.DUMMYFUNCTION("""COMPUTED_VALUE"""),"")</f>
        <v/>
      </c>
      <c r="D155" s="109" t="str">
        <f>IFERROR(__xludf.DUMMYFUNCTION("""COMPUTED_VALUE"""),"After KOing an enemy: Reduce the cooldown time of Skill 1 by 8%.")</f>
        <v>After KOing an enemy: Reduce the cooldown time of Skill 1 by 8%.</v>
      </c>
      <c r="E155" s="110" t="str">
        <f>IFERROR(__xludf.DUMMYFUNCTION("""COMPUTED_VALUE"""),"The Paramount War at Marineford
Blackbeard Pirates")</f>
        <v>The Paramount War at Marineford
Blackbeard Pirates</v>
      </c>
      <c r="F155" s="111" t="str">
        <f>IFERROR(__xludf.DUMMYFUNCTION("""COMPUTED_VALUE"""),"Lim")</f>
        <v>Lim</v>
      </c>
      <c r="G155" s="111" t="str">
        <f>IFERROR(__xludf.DUMMYFUNCTION("""COMPUTED_VALUE"""),"")</f>
        <v/>
      </c>
      <c r="H155" s="111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I155" s="112" t="str">
        <f>IFERROR(__xludf.DUMMYFUNCTION("""COMPUTED_VALUE"""),"ODYSSEY")</f>
        <v>ODYSSEY</v>
      </c>
      <c r="J155" s="101"/>
    </row>
    <row r="156" ht="75.0" customHeight="1">
      <c r="A156" s="101"/>
      <c r="B156" s="111" t="str">
        <f>IFERROR(__xludf.DUMMYFUNCTION("""COMPUTED_VALUE"""),"Jozu")</f>
        <v>Jozu</v>
      </c>
      <c r="C156" s="113" t="str">
        <f>IFERROR(__xludf.DUMMYFUNCTION("""COMPUTED_VALUE"""),"")</f>
        <v/>
      </c>
      <c r="D156" s="109" t="str">
        <f>IFERROR(__xludf.DUMMYFUNCTION("""COMPUTED_VALUE"""),"When your HP is 70% or more: Reduce damage recieved by 5%.")</f>
        <v>When your HP is 70% or more: Reduce damage recieved by 5%.</v>
      </c>
      <c r="E156" s="110" t="str">
        <f>IFERROR(__xludf.DUMMYFUNCTION("""COMPUTED_VALUE"""),"The Paramount War at Marineford
Whitebeard Pirates
Paramecia
Whitebeard Pirates Commander")</f>
        <v>The Paramount War at Marineford
Whitebeard Pirates
Paramecia
Whitebeard Pirates Commander</v>
      </c>
      <c r="F156" s="111" t="str">
        <f>IFERROR(__xludf.DUMMYFUNCTION("""COMPUTED_VALUE"""),"Helmeppo
(``Sword``)")</f>
        <v>Helmeppo
(``Sword``)</v>
      </c>
      <c r="G156" s="111" t="str">
        <f>IFERROR(__xludf.DUMMYFUNCTION("""COMPUTED_VALUE"""),"")</f>
        <v/>
      </c>
      <c r="H156" s="111" t="str">
        <f>IFERROR(__xludf.DUMMYFUNCTION("""COMPUTED_VALUE"""),"When in the area around your enemy`s Treasure: Boost the cooldown reduction speed of Skill 2 by 10%.")</f>
        <v>When in the area around your enemy`s Treasure: Boost the cooldown reduction speed of Skill 2 by 10%.</v>
      </c>
      <c r="I156" s="112" t="str">
        <f>IFERROR(__xludf.DUMMYFUNCTION("""COMPUTED_VALUE"""),"Navy
``Sword``")</f>
        <v>Navy
``Sword``</v>
      </c>
      <c r="J156" s="101"/>
    </row>
    <row r="157" ht="75.0" customHeight="1">
      <c r="A157" s="101"/>
      <c r="B157" s="111" t="str">
        <f>IFERROR(__xludf.DUMMYFUNCTION("""COMPUTED_VALUE"""),"Vista")</f>
        <v>Vista</v>
      </c>
      <c r="C157" s="113" t="str">
        <f>IFERROR(__xludf.DUMMYFUNCTION("""COMPUTED_VALUE"""),"")</f>
        <v/>
      </c>
      <c r="D157" s="109" t="str">
        <f>IFERROR(__xludf.DUMMYFUNCTION("""COMPUTED_VALUE"""),"When your HP is 70% or more: Boost capture speed by 8%.")</f>
        <v>When your HP is 70% or more: Boost capture speed by 8%.</v>
      </c>
      <c r="E157" s="110" t="str">
        <f>IFERROR(__xludf.DUMMYFUNCTION("""COMPUTED_VALUE"""),"The Paramount War at Marineford
Whitebeard Pirates
Whitebeard Pirates Commander")</f>
        <v>The Paramount War at Marineford
Whitebeard Pirates
Whitebeard Pirates Commander</v>
      </c>
      <c r="F157" s="111" t="str">
        <f>IFERROR(__xludf.DUMMYFUNCTION("""COMPUTED_VALUE"""),"Koby
(``Sword``)")</f>
        <v>Koby
(``Sword``)</v>
      </c>
      <c r="G157" s="111" t="str">
        <f>IFERROR(__xludf.DUMMYFUNCTION("""COMPUTED_VALUE"""),"")</f>
        <v/>
      </c>
      <c r="H157" s="111" t="str">
        <f>IFERROR(__xludf.DUMMYFUNCTION("""COMPUTED_VALUE"""),"When you Down an enemy: Reduce the cooldown time of Skill 2 by 4%.")</f>
        <v>When you Down an enemy: Reduce the cooldown time of Skill 2 by 4%.</v>
      </c>
      <c r="I157" s="112" t="str">
        <f>IFERROR(__xludf.DUMMYFUNCTION("""COMPUTED_VALUE"""),"Navy
Navy Captain
``Sword``")</f>
        <v>Navy
Navy Captain
``Sword``</v>
      </c>
      <c r="J157" s="101"/>
    </row>
    <row r="158" ht="75.0" customHeight="1">
      <c r="A158" s="101"/>
      <c r="B158" s="111" t="str">
        <f>IFERROR(__xludf.DUMMYFUNCTION("""COMPUTED_VALUE"""),"Burgess")</f>
        <v>Burgess</v>
      </c>
      <c r="C158" s="113" t="str">
        <f>IFERROR(__xludf.DUMMYFUNCTION("""COMPUTED_VALUE"""),"")</f>
        <v/>
      </c>
      <c r="D158" s="109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E158" s="110" t="str">
        <f>IFERROR(__xludf.DUMMYFUNCTION("""COMPUTED_VALUE"""),"The Paramount War at Marineford
Helmsman
Blackbeard Pirates")</f>
        <v>The Paramount War at Marineford
Helmsman
Blackbeard Pirates</v>
      </c>
      <c r="F158" s="111" t="str">
        <f>IFERROR(__xludf.DUMMYFUNCTION("""COMPUTED_VALUE"""),"Denjiro
(The Akazaya Nine)")</f>
        <v>Denjiro
(The Akazaya Nine)</v>
      </c>
      <c r="G158" s="111" t="str">
        <f>IFERROR(__xludf.DUMMYFUNCTION("""COMPUTED_VALUE"""),"")</f>
        <v/>
      </c>
      <c r="H158" s="111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I158" s="112" t="str">
        <f>IFERROR(__xludf.DUMMYFUNCTION("""COMPUTED_VALUE"""),"Land of Wano
Kozuki Clan / Kozuki Clan Servant")</f>
        <v>Land of Wano
Kozuki Clan / Kozuki Clan Servant</v>
      </c>
      <c r="J158" s="101"/>
    </row>
    <row r="159" ht="75.0" customHeight="1">
      <c r="A159" s="101"/>
      <c r="B159" s="111" t="str">
        <f>IFERROR(__xludf.DUMMYFUNCTION("""COMPUTED_VALUE"""),"Soba Mask")</f>
        <v>Soba Mask</v>
      </c>
      <c r="C159" s="113" t="str">
        <f>IFERROR(__xludf.DUMMYFUNCTION("""COMPUTED_VALUE"""),"")</f>
        <v/>
      </c>
      <c r="D159" s="109" t="str">
        <f>IFERROR(__xludf.DUMMYFUNCTION("""COMPUTED_VALUE"""),"When you capture the Treasure: Reduce the cooldown time of Skill 1 by 8%.")</f>
        <v>When you capture the Treasure: Reduce the cooldown time of Skill 1 by 8%.</v>
      </c>
      <c r="E159" s="110" t="str">
        <f>IFERROR(__xludf.DUMMYFUNCTION("""COMPUTED_VALUE"""),"Land of Wano
Straw Hat Pirates
Cook
Royalty / Former Royalty
Germa 66")</f>
        <v>Land of Wano
Straw Hat Pirates
Cook
Royalty / Former Royalty
Germa 66</v>
      </c>
      <c r="F159" s="111" t="str">
        <f>IFERROR(__xludf.DUMMYFUNCTION("""COMPUTED_VALUE"""),"Kin``emon
(The Akazaya Nine)")</f>
        <v>Kin``emon
(The Akazaya Nine)</v>
      </c>
      <c r="G159" s="111" t="str">
        <f>IFERROR(__xludf.DUMMYFUNCTION("""COMPUTED_VALUE"""),"")</f>
        <v/>
      </c>
      <c r="H159" s="111" t="str">
        <f>IFERROR(__xludf.DUMMYFUNCTION("""COMPUTED_VALUE"""),"When you or an ally captures Treasure: Recover HP by 3%.")</f>
        <v>When you or an ally captures Treasure: Recover HP by 3%.</v>
      </c>
      <c r="I159" s="112" t="str">
        <f>IFERROR(__xludf.DUMMYFUNCTION("""COMPUTED_VALUE"""),"Land of Wano
Kozuki Clan / Kozuki Clan Servant")</f>
        <v>Land of Wano
Kozuki Clan / Kozuki Clan Servant</v>
      </c>
      <c r="J159" s="101"/>
    </row>
    <row r="160" ht="75.0" customHeight="1">
      <c r="A160" s="101"/>
      <c r="B160" s="111" t="str">
        <f>IFERROR(__xludf.DUMMYFUNCTION("""COMPUTED_VALUE"""),"Judge")</f>
        <v>Judge</v>
      </c>
      <c r="C160" s="113" t="str">
        <f>IFERROR(__xludf.DUMMYFUNCTION("""COMPUTED_VALUE"""),"")</f>
        <v/>
      </c>
      <c r="D160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160" s="110" t="str">
        <f>IFERROR(__xludf.DUMMYFUNCTION("""COMPUTED_VALUE"""),"Zou / Whole Cake Island
Royalty / Former Royalty
Germa 66")</f>
        <v>Zou / Whole Cake Island
Royalty / Former Royalty
Germa 66</v>
      </c>
      <c r="F160" s="111" t="str">
        <f>IFERROR(__xludf.DUMMYFUNCTION("""COMPUTED_VALUE"""),"Ton_Ton")</f>
        <v>Ton_Ton</v>
      </c>
      <c r="G160" s="111" t="str">
        <f>IFERROR(__xludf.DUMMYFUNCTION("""COMPUTED_VALUE"""),"")</f>
        <v/>
      </c>
      <c r="H160" s="111" t="str">
        <f>IFERROR(__xludf.DUMMYFUNCTION("""COMPUTED_VALUE"""),"When attacking an enemy whose ATK are boosted: Increase damage dealt by 3%.")</f>
        <v>When attacking an enemy whose ATK are boosted: Increase damage dealt by 3%.</v>
      </c>
      <c r="I160" s="112" t="str">
        <f>IFERROR(__xludf.DUMMYFUNCTION("""COMPUTED_VALUE"""),"Dressrosa
Paramecia
Diamante Army
Don Quixote Family")</f>
        <v>Dressrosa
Paramecia
Diamante Army
Don Quixote Family</v>
      </c>
      <c r="J160" s="101"/>
    </row>
    <row r="161" ht="75.0" customHeight="1">
      <c r="A161" s="101"/>
      <c r="B161" s="111" t="str">
        <f>IFERROR(__xludf.DUMMYFUNCTION("""COMPUTED_VALUE"""),"Straw Hat")</f>
        <v>Straw Hat</v>
      </c>
      <c r="C161" s="113" t="str">
        <f>IFERROR(__xludf.DUMMYFUNCTION("""COMPUTED_VALUE"""),"")</f>
        <v/>
      </c>
      <c r="D161" s="109" t="str">
        <f>IFERROR(__xludf.DUMMYFUNCTION("""COMPUTED_VALUE"""),"After KOing an enemy: Recover HP by 5%.")</f>
        <v>After KOing an enemy: Recover HP by 5%.</v>
      </c>
      <c r="E161" s="110" t="str">
        <f>IFERROR(__xludf.DUMMYFUNCTION("""COMPUTED_VALUE"""),"Straw Hat Pirates
Paramecia
Captain
Worst Generation
Blood Brothers")</f>
        <v>Straw Hat Pirates
Paramecia
Captain
Worst Generation
Blood Brothers</v>
      </c>
      <c r="F161" s="111" t="str">
        <f>IFERROR(__xludf.DUMMYFUNCTION("""COMPUTED_VALUE"""),"Glare_Glare")</f>
        <v>Glare_Glare</v>
      </c>
      <c r="G161" s="111" t="str">
        <f>IFERROR(__xludf.DUMMYFUNCTION("""COMPUTED_VALUE"""),"")</f>
        <v/>
      </c>
      <c r="H161" s="111" t="str">
        <f>IFERROR(__xludf.DUMMYFUNCTION("""COMPUTED_VALUE"""),"When attacked by an enemy whose ATK is boosted: Reduce damage recieved by 5%.")</f>
        <v>When attacked by an enemy whose ATK is boosted: Reduce damage recieved by 5%.</v>
      </c>
      <c r="I161" s="112" t="str">
        <f>IFERROR(__xludf.DUMMYFUNCTION("""COMPUTED_VALUE"""),"Dressrosa
Paramecia
Trebol Army
Don Quixote Family")</f>
        <v>Dressrosa
Paramecia
Trebol Army
Don Quixote Family</v>
      </c>
      <c r="J161" s="101"/>
    </row>
    <row r="162" ht="75.0" customHeight="1">
      <c r="A162" s="101"/>
      <c r="B162" s="111" t="str">
        <f>IFERROR(__xludf.DUMMYFUNCTION("""COMPUTED_VALUE"""),"Blast Breath")</f>
        <v>Blast Breath</v>
      </c>
      <c r="C162" s="113" t="str">
        <f>IFERROR(__xludf.DUMMYFUNCTION("""COMPUTED_VALUE"""),"")</f>
        <v/>
      </c>
      <c r="D162" s="109" t="str">
        <f>IFERROR(__xludf.DUMMYFUNCTION("""COMPUTED_VALUE"""),"When in the area around your captured Treasure: Increase damage dealt by 5%.")</f>
        <v>When in the area around your captured Treasure: Increase damage dealt by 5%.</v>
      </c>
      <c r="E162" s="110" t="str">
        <f>IFERROR(__xludf.DUMMYFUNCTION("""COMPUTED_VALUE"""),"Land of Wano
Animal Kingdom Pirates
Zoan
Captain
The Four Emperors
Former Rocks Pirates")</f>
        <v>Land of Wano
Animal Kingdom Pirates
Zoan
Captain
The Four Emperors
Former Rocks Pirates</v>
      </c>
      <c r="F162" s="111" t="str">
        <f>IFERROR(__xludf.DUMMYFUNCTION("""COMPUTED_VALUE"""),"Art_Art")</f>
        <v>Art_Art</v>
      </c>
      <c r="G162" s="111" t="str">
        <f>IFERROR(__xludf.DUMMYFUNCTION("""COMPUTED_VALUE"""),"")</f>
        <v/>
      </c>
      <c r="H162" s="111" t="str">
        <f>IFERROR(__xludf.DUMMYFUNCTION("""COMPUTED_VALUE"""),"When your team has more Treasure secured: Reduce damage recieved by 3%.")</f>
        <v>When your team has more Treasure secured: Reduce damage recieved by 3%.</v>
      </c>
      <c r="I162" s="112" t="str">
        <f>IFERROR(__xludf.DUMMYFUNCTION("""COMPUTED_VALUE"""),"Dressrosa
Paramecia
Trebol Army
Don Quixote Family")</f>
        <v>Dressrosa
Paramecia
Trebol Army
Don Quixote Family</v>
      </c>
      <c r="J162" s="101"/>
    </row>
    <row r="163" ht="75.0" customHeight="1">
      <c r="A163" s="101"/>
      <c r="B163" s="111" t="str">
        <f>IFERROR(__xludf.DUMMYFUNCTION("""COMPUTED_VALUE"""),"Queen")</f>
        <v>Queen</v>
      </c>
      <c r="C163" s="113" t="str">
        <f>IFERROR(__xludf.DUMMYFUNCTION("""COMPUTED_VALUE"""),"")</f>
        <v/>
      </c>
      <c r="D163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163" s="110" t="str">
        <f>IFERROR(__xludf.DUMMYFUNCTION("""COMPUTED_VALUE"""),"Land of Wano
Animal Kingdom Pirates
Zoan
Lead Performer")</f>
        <v>Land of Wano
Animal Kingdom Pirates
Zoan
Lead Performer</v>
      </c>
      <c r="F163" s="111" t="str">
        <f>IFERROR(__xludf.DUMMYFUNCTION("""COMPUTED_VALUE"""),"Pop_Pop")</f>
        <v>Pop_Pop</v>
      </c>
      <c r="G163" s="111" t="str">
        <f>IFERROR(__xludf.DUMMYFUNCTION("""COMPUTED_VALUE"""),"")</f>
        <v/>
      </c>
      <c r="H163" s="111" t="str">
        <f>IFERROR(__xludf.DUMMYFUNCTION("""COMPUTED_VALUE"""),"When your team loses the Treasure: Reduce the cooldown time of Skill 1 by 8%.")</f>
        <v>When your team loses the Treasure: Reduce the cooldown time of Skill 1 by 8%.</v>
      </c>
      <c r="I163" s="112" t="str">
        <f>IFERROR(__xludf.DUMMYFUNCTION("""COMPUTED_VALUE"""),"Dressrosa
Paramecia
Pica Army
Don Quixote Family")</f>
        <v>Dressrosa
Paramecia
Pica Army
Don Quixote Family</v>
      </c>
      <c r="J163" s="101"/>
    </row>
    <row r="164" ht="75.0" customHeight="1">
      <c r="A164" s="101"/>
      <c r="B164" s="111" t="str">
        <f>IFERROR(__xludf.DUMMYFUNCTION("""COMPUTED_VALUE"""),"Jack")</f>
        <v>Jack</v>
      </c>
      <c r="C164" s="113" t="str">
        <f>IFERROR(__xludf.DUMMYFUNCTION("""COMPUTED_VALUE"""),"")</f>
        <v/>
      </c>
      <c r="D164" s="109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E164" s="110" t="str">
        <f>IFERROR(__xludf.DUMMYFUNCTION("""COMPUTED_VALUE"""),"Land of Wano
Animal Kingdom Pirates
Zoan
Fish_Man
Lead Performer")</f>
        <v>Land of Wano
Animal Kingdom Pirates
Zoan
Fish_Man
Lead Performer</v>
      </c>
      <c r="F164" s="111" t="str">
        <f>IFERROR(__xludf.DUMMYFUNCTION("""COMPUTED_VALUE"""),"Rockstar
(FILM RED)")</f>
        <v>Rockstar
(FILM RED)</v>
      </c>
      <c r="G164" s="111" t="str">
        <f>IFERROR(__xludf.DUMMYFUNCTION("""COMPUTED_VALUE"""),"")</f>
        <v/>
      </c>
      <c r="H164" s="111" t="str">
        <f>IFERROR(__xludf.DUMMYFUNCTION("""COMPUTED_VALUE"""),"When performing a Perfect Dodge: Reduce the cooldown time of Skill 2 by 4%.")</f>
        <v>When performing a Perfect Dodge: Reduce the cooldown time of Skill 2 by 4%.</v>
      </c>
      <c r="I164" s="112" t="str">
        <f>IFERROR(__xludf.DUMMYFUNCTION("""COMPUTED_VALUE"""),"FILM RED
Red_Haired Pirates")</f>
        <v>FILM RED
Red_Haired Pirates</v>
      </c>
      <c r="J164" s="101"/>
    </row>
    <row r="165" ht="75.0" customHeight="1">
      <c r="A165" s="101"/>
      <c r="B165" s="111" t="str">
        <f>IFERROR(__xludf.DUMMYFUNCTION("""COMPUTED_VALUE"""),"Kaido`s Son")</f>
        <v>Kaido`s Son</v>
      </c>
      <c r="C165" s="113" t="str">
        <f>IFERROR(__xludf.DUMMYFUNCTION("""COMPUTED_VALUE"""),"")</f>
        <v/>
      </c>
      <c r="D165" s="109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E165" s="110" t="str">
        <f>IFERROR(__xludf.DUMMYFUNCTION("""COMPUTED_VALUE"""),"Land of Wano
Zoan")</f>
        <v>Land of Wano
Zoan</v>
      </c>
      <c r="F165" s="111" t="str">
        <f>IFERROR(__xludf.DUMMYFUNCTION("""COMPUTED_VALUE"""),"Sunny_Kun
(FILM RED)")</f>
        <v>Sunny_Kun
(FILM RED)</v>
      </c>
      <c r="G165" s="111" t="str">
        <f>IFERROR(__xludf.DUMMYFUNCTION("""COMPUTED_VALUE"""),"")</f>
        <v/>
      </c>
      <c r="H165" s="111" t="str">
        <f>IFERROR(__xludf.DUMMYFUNCTION("""COMPUTED_VALUE"""),"When the equipped character is character type ``Straw Hat Pirates``: Increase Normal Attack damage dealt by 5%.")</f>
        <v>When the equipped character is character type ``Straw Hat Pirates``: Increase Normal Attack damage dealt by 5%.</v>
      </c>
      <c r="I165" s="112" t="str">
        <f>IFERROR(__xludf.DUMMYFUNCTION("""COMPUTED_VALUE"""),"FILM RED")</f>
        <v>FILM RED</v>
      </c>
      <c r="J165" s="101"/>
    </row>
    <row r="166" ht="75.0" customHeight="1">
      <c r="A166" s="101"/>
      <c r="B166" s="111" t="str">
        <f>IFERROR(__xludf.DUMMYFUNCTION("""COMPUTED_VALUE"""),"Izo")</f>
        <v>Izo</v>
      </c>
      <c r="C166" s="113" t="str">
        <f>IFERROR(__xludf.DUMMYFUNCTION("""COMPUTED_VALUE"""),"")</f>
        <v/>
      </c>
      <c r="D166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166" s="110" t="str">
        <f>IFERROR(__xludf.DUMMYFUNCTION("""COMPUTED_VALUE"""),"Land of Wano
Whitebeard Pirates
Kozuki Clan / Kozuki Clan Servant
Whitebeard Pirates Commander")</f>
        <v>Land of Wano
Whitebeard Pirates
Kozuki Clan / Kozuki Clan Servant
Whitebeard Pirates Commander</v>
      </c>
      <c r="F166" s="111" t="str">
        <f>IFERROR(__xludf.DUMMYFUNCTION("""COMPUTED_VALUE"""),"Brook
(FILM RED)")</f>
        <v>Brook
(FILM RED)</v>
      </c>
      <c r="G166" s="111" t="str">
        <f>IFERROR(__xludf.DUMMYFUNCTION("""COMPUTED_VALUE"""),"")</f>
        <v/>
      </c>
      <c r="H166" s="111" t="str">
        <f>IFERROR(__xludf.DUMMYFUNCTION("""COMPUTED_VALUE"""),"When your allies are near the Treasure area where you are at: Boost the cooldown reduction speed of Skill 2 by 10%.")</f>
        <v>When your allies are near the Treasure area where you are at: Boost the cooldown reduction speed of Skill 2 by 10%.</v>
      </c>
      <c r="I166" s="112" t="str">
        <f>IFERROR(__xludf.DUMMYFUNCTION("""COMPUTED_VALUE"""),"FILM RED
Straw Hat Pirates
Paramecia
Musician")</f>
        <v>FILM RED
Straw Hat Pirates
Paramecia
Musician</v>
      </c>
      <c r="J166" s="101"/>
    </row>
    <row r="167" ht="75.0" customHeight="1">
      <c r="A167" s="101"/>
      <c r="B167" s="111" t="str">
        <f>IFERROR(__xludf.DUMMYFUNCTION("""COMPUTED_VALUE"""),"Kanjuro")</f>
        <v>Kanjuro</v>
      </c>
      <c r="C167" s="113" t="str">
        <f>IFERROR(__xludf.DUMMYFUNCTION("""COMPUTED_VALUE"""),"")</f>
        <v/>
      </c>
      <c r="D167" s="109" t="str">
        <f>IFERROR(__xludf.DUMMYFUNCTION("""COMPUTED_VALUE"""),"When you capture the Treasure: Recover HP by 5%.")</f>
        <v>When you capture the Treasure: Recover HP by 5%.</v>
      </c>
      <c r="E167" s="110" t="str">
        <f>IFERROR(__xludf.DUMMYFUNCTION("""COMPUTED_VALUE"""),"Land of Wano
Paramecia")</f>
        <v>Land of Wano
Paramecia</v>
      </c>
      <c r="F167" s="111" t="str">
        <f>IFERROR(__xludf.DUMMYFUNCTION("""COMPUTED_VALUE"""),"Franky
(FILM RED)")</f>
        <v>Franky
(FILM RED)</v>
      </c>
      <c r="G167" s="111" t="str">
        <f>IFERROR(__xludf.DUMMYFUNCTION("""COMPUTED_VALUE"""),"")</f>
        <v/>
      </c>
      <c r="H167" s="111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I167" s="112" t="str">
        <f>IFERROR(__xludf.DUMMYFUNCTION("""COMPUTED_VALUE"""),"FILM RED
Straw Hat Pirates
Ship Carpenter")</f>
        <v>FILM RED
Straw Hat Pirates
Ship Carpenter</v>
      </c>
      <c r="J167" s="101"/>
    </row>
    <row r="168" ht="75.0" customHeight="1">
      <c r="A168" s="101"/>
      <c r="B168" s="111" t="str">
        <f>IFERROR(__xludf.DUMMYFUNCTION("""COMPUTED_VALUE"""),"The Dark King")</f>
        <v>The Dark King</v>
      </c>
      <c r="C168" s="113" t="str">
        <f>IFERROR(__xludf.DUMMYFUNCTION("""COMPUTED_VALUE"""),"")</f>
        <v/>
      </c>
      <c r="D168" s="109" t="str">
        <f>IFERROR(__xludf.DUMMYFUNCTION("""COMPUTED_VALUE"""),"When you Knockback an enemy: Recover HP by 3%.")</f>
        <v>When you Knockback an enemy: Recover HP by 3%.</v>
      </c>
      <c r="E168" s="110" t="str">
        <f>IFERROR(__xludf.DUMMYFUNCTION("""COMPUTED_VALUE"""),"Roger Pirates / Ex_Roger Pirates")</f>
        <v>Roger Pirates / Ex_Roger Pirates</v>
      </c>
      <c r="F168" s="111" t="str">
        <f>IFERROR(__xludf.DUMMYFUNCTION("""COMPUTED_VALUE"""),"Limejuice
(FILM RED)")</f>
        <v>Limejuice
(FILM RED)</v>
      </c>
      <c r="G168" s="111" t="str">
        <f>IFERROR(__xludf.DUMMYFUNCTION("""COMPUTED_VALUE"""),"")</f>
        <v/>
      </c>
      <c r="H168" s="111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I168" s="112" t="str">
        <f>IFERROR(__xludf.DUMMYFUNCTION("""COMPUTED_VALUE"""),"FILM RED
Red_Haired Pirates")</f>
        <v>FILM RED
Red_Haired Pirates</v>
      </c>
      <c r="J168" s="101"/>
    </row>
    <row r="169" ht="75.0" customHeight="1">
      <c r="A169" s="101"/>
      <c r="B169" s="111" t="str">
        <f>IFERROR(__xludf.DUMMYFUNCTION("""COMPUTED_VALUE"""),"Boss")</f>
        <v>Boss</v>
      </c>
      <c r="C169" s="113" t="str">
        <f>IFERROR(__xludf.DUMMYFUNCTION("""COMPUTED_VALUE"""),"")</f>
        <v/>
      </c>
      <c r="D169" s="109" t="str">
        <f>IFERROR(__xludf.DUMMYFUNCTION("""COMPUTED_VALUE"""),"When using Skill 2: Reduce the cooldown time of Skill 1 by 5%.")</f>
        <v>When using Skill 2: Reduce the cooldown time of Skill 1 by 5%.</v>
      </c>
      <c r="E169" s="110" t="str">
        <f>IFERROR(__xludf.DUMMYFUNCTION("""COMPUTED_VALUE"""),"Zou / Whole Cake Island
Captain
Fish_Man
Fish_Man Karate
The Seven Warlords of the Sea / Former Warlords of the Sea
Sun Pirates")</f>
        <v>Zou / Whole Cake Island
Captain
Fish_Man
Fish_Man Karate
The Seven Warlords of the Sea / Former Warlords of the Sea
Sun Pirates</v>
      </c>
      <c r="F169" s="111" t="str">
        <f>IFERROR(__xludf.DUMMYFUNCTION("""COMPUTED_VALUE"""),"Lucky Roux
(FILM RED)")</f>
        <v>Lucky Roux
(FILM RED)</v>
      </c>
      <c r="G169" s="111" t="str">
        <f>IFERROR(__xludf.DUMMYFUNCTION("""COMPUTED_VALUE"""),"")</f>
        <v/>
      </c>
      <c r="H169" s="111" t="str">
        <f>IFERROR(__xludf.DUMMYFUNCTION("""COMPUTED_VALUE"""),"After KOing an enemy: Recover HP by 5%.")</f>
        <v>After KOing an enemy: Recover HP by 5%.</v>
      </c>
      <c r="I169" s="112" t="str">
        <f>IFERROR(__xludf.DUMMYFUNCTION("""COMPUTED_VALUE"""),"FILM RED
Red_Haired Pirates")</f>
        <v>FILM RED
Red_Haired Pirates</v>
      </c>
      <c r="J169" s="101"/>
    </row>
    <row r="170" ht="75.0" customHeight="1">
      <c r="A170" s="101"/>
      <c r="B170" s="111" t="str">
        <f>IFERROR(__xludf.DUMMYFUNCTION("""COMPUTED_VALUE"""),"Pudding")</f>
        <v>Pudding</v>
      </c>
      <c r="C170" s="113" t="str">
        <f>IFERROR(__xludf.DUMMYFUNCTION("""COMPUTED_VALUE"""),"")</f>
        <v/>
      </c>
      <c r="D170" s="109" t="str">
        <f>IFERROR(__xludf.DUMMYFUNCTION("""COMPUTED_VALUE"""),"When you are Downed: Reduce the cooldown time of Skill 2 by 4%.")</f>
        <v>When you are Downed: Reduce the cooldown time of Skill 2 by 4%.</v>
      </c>
      <c r="E170" s="110" t="str">
        <f>IFERROR(__xludf.DUMMYFUNCTION("""COMPUTED_VALUE"""),"Zou / Whole Cake Island
Big Mom Pirates
Paramecia
Royalty / Former Royalty
Charlotte Family")</f>
        <v>Zou / Whole Cake Island
Big Mom Pirates
Paramecia
Royalty / Former Royalty
Charlotte Family</v>
      </c>
      <c r="F170" s="111" t="str">
        <f>IFERROR(__xludf.DUMMYFUNCTION("""COMPUTED_VALUE"""),"Robin
(FILM RED)")</f>
        <v>Robin
(FILM RED)</v>
      </c>
      <c r="G170" s="111" t="str">
        <f>IFERROR(__xludf.DUMMYFUNCTION("""COMPUTED_VALUE"""),"")</f>
        <v/>
      </c>
      <c r="H170" s="111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I170" s="112" t="str">
        <f>IFERROR(__xludf.DUMMYFUNCTION("""COMPUTED_VALUE"""),"FILM RED
Straw Hat Pirates
Paramecia
Archaeologist")</f>
        <v>FILM RED
Straw Hat Pirates
Paramecia
Archaeologist</v>
      </c>
      <c r="J170" s="101"/>
    </row>
    <row r="171" ht="75.0" customHeight="1">
      <c r="A171" s="101"/>
      <c r="B171" s="111" t="str">
        <f>IFERROR(__xludf.DUMMYFUNCTION("""COMPUTED_VALUE"""),"Soul King")</f>
        <v>Soul King</v>
      </c>
      <c r="C171" s="113" t="str">
        <f>IFERROR(__xludf.DUMMYFUNCTION("""COMPUTED_VALUE"""),"")</f>
        <v/>
      </c>
      <c r="D171" s="109" t="str">
        <f>IFERROR(__xludf.DUMMYFUNCTION("""COMPUTED_VALUE"""),"When you capture the Treasure: Reduce the cooldown time of Skill 2 by 8%.")</f>
        <v>When you capture the Treasure: Reduce the cooldown time of Skill 2 by 8%.</v>
      </c>
      <c r="E171" s="110" t="str">
        <f>IFERROR(__xludf.DUMMYFUNCTION("""COMPUTED_VALUE"""),"Zou / Whole Cake Island
Straw Hat Pirates
Paramecia
Musician")</f>
        <v>Zou / Whole Cake Island
Straw Hat Pirates
Paramecia
Musician</v>
      </c>
      <c r="F171" s="111" t="str">
        <f>IFERROR(__xludf.DUMMYFUNCTION("""COMPUTED_VALUE"""),"Jinbe
(FILM RED)")</f>
        <v>Jinbe
(FILM RED)</v>
      </c>
      <c r="G171" s="111" t="str">
        <f>IFERROR(__xludf.DUMMYFUNCTION("""COMPUTED_VALUE"""),"")</f>
        <v/>
      </c>
      <c r="H171" s="111" t="str">
        <f>IFERROR(__xludf.DUMMYFUNCTION("""COMPUTED_VALUE"""),"When Critical occurs: Reduce the cooldown time of Skill 1 by 3%.")</f>
        <v>When Critical occurs: Reduce the cooldown time of Skill 1 by 3%.</v>
      </c>
      <c r="I171" s="112" t="str">
        <f>IFERROR(__xludf.DUMMYFUNCTION("""COMPUTED_VALUE"""),"FILM RED
Straw Hat Pirates
Helmsman
Fish_Man
Fish_Man Karate")</f>
        <v>FILM RED
Straw Hat Pirates
Helmsman
Fish_Man
Fish_Man Karate</v>
      </c>
      <c r="J171" s="101"/>
    </row>
    <row r="172" ht="75.0" customHeight="1">
      <c r="A172" s="101"/>
      <c r="B172" s="111" t="str">
        <f>IFERROR(__xludf.DUMMYFUNCTION("""COMPUTED_VALUE"""),"Sorcery Climate Baton")</f>
        <v>Sorcery Climate Baton</v>
      </c>
      <c r="C172" s="113" t="str">
        <f>IFERROR(__xludf.DUMMYFUNCTION("""COMPUTED_VALUE"""),"")</f>
        <v/>
      </c>
      <c r="D172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172" s="110" t="str">
        <f>IFERROR(__xludf.DUMMYFUNCTION("""COMPUTED_VALUE"""),"Zou / Whole Cake Island
Straw Hat Pirates
Navigator")</f>
        <v>Zou / Whole Cake Island
Straw Hat Pirates
Navigator</v>
      </c>
      <c r="F172" s="111" t="str">
        <f>IFERROR(__xludf.DUMMYFUNCTION("""COMPUTED_VALUE"""),"Chopper
(FILM Z)")</f>
        <v>Chopper
(FILM Z)</v>
      </c>
      <c r="G172" s="111" t="str">
        <f>IFERROR(__xludf.DUMMYFUNCTION("""COMPUTED_VALUE"""),"")</f>
        <v/>
      </c>
      <c r="H172" s="111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I172" s="112" t="str">
        <f>IFERROR(__xludf.DUMMYFUNCTION("""COMPUTED_VALUE"""),"FILM Z
Straw Hat Pirates
Zoan
Doctor")</f>
        <v>FILM Z
Straw Hat Pirates
Zoan
Doctor</v>
      </c>
      <c r="J172" s="101"/>
    </row>
    <row r="173" ht="75.0" customHeight="1">
      <c r="A173" s="101"/>
      <c r="B173" s="111" t="str">
        <f>IFERROR(__xludf.DUMMYFUNCTION("""COMPUTED_VALUE"""),"Monet")</f>
        <v>Monet</v>
      </c>
      <c r="C173" s="113" t="str">
        <f>IFERROR(__xludf.DUMMYFUNCTION("""COMPUTED_VALUE"""),"")</f>
        <v/>
      </c>
      <c r="D173" s="109" t="str">
        <f>IFERROR(__xludf.DUMMYFUNCTION("""COMPUTED_VALUE"""),"When attacked by an enemy: Reduce the cooldown time of Skill 1 by 2%.")</f>
        <v>When attacked by an enemy: Reduce the cooldown time of Skill 1 by 2%.</v>
      </c>
      <c r="E173" s="110" t="str">
        <f>IFERROR(__xludf.DUMMYFUNCTION("""COMPUTED_VALUE"""),"Punk Hazard
Logia
Don Quixote Family")</f>
        <v>Punk Hazard
Logia
Don Quixote Family</v>
      </c>
      <c r="F173" s="111" t="str">
        <f>IFERROR(__xludf.DUMMYFUNCTION("""COMPUTED_VALUE"""),"Zoro
(FILM Z)")</f>
        <v>Zoro
(FILM Z)</v>
      </c>
      <c r="G173" s="111" t="str">
        <f>IFERROR(__xludf.DUMMYFUNCTION("""COMPUTED_VALUE"""),"")</f>
        <v/>
      </c>
      <c r="H173" s="111" t="str">
        <f>IFERROR(__xludf.DUMMYFUNCTION("""COMPUTED_VALUE"""),"When you Knockback an enemy: Reduce the cooldown time of Skill 1 by 5%.")</f>
        <v>When you Knockback an enemy: Reduce the cooldown time of Skill 1 by 5%.</v>
      </c>
      <c r="I173" s="112" t="str">
        <f>IFERROR(__xludf.DUMMYFUNCTION("""COMPUTED_VALUE"""),"FILM Z
Straw Hat Pirates
Combatant
Worst Generation")</f>
        <v>FILM Z
Straw Hat Pirates
Combatant
Worst Generation</v>
      </c>
      <c r="J173" s="101"/>
    </row>
    <row r="174" ht="75.0" customHeight="1">
      <c r="A174" s="101"/>
      <c r="B174" s="111" t="str">
        <f>IFERROR(__xludf.DUMMYFUNCTION("""COMPUTED_VALUE"""),"Bamboo Demon")</f>
        <v>Bamboo Demon</v>
      </c>
      <c r="C174" s="113" t="str">
        <f>IFERROR(__xludf.DUMMYFUNCTION("""COMPUTED_VALUE"""),"")</f>
        <v/>
      </c>
      <c r="D174" s="109" t="str">
        <f>IFERROR(__xludf.DUMMYFUNCTION("""COMPUTED_VALUE"""),"When attacking a character type ``Logia`` enemy: Increase damage dealt by 5%.")</f>
        <v>When attacking a character type ``Logia`` enemy: Increase damage dealt by 5%.</v>
      </c>
      <c r="E174" s="110" t="str">
        <f>IFERROR(__xludf.DUMMYFUNCTION("""COMPUTED_VALUE"""),"Punk Hazard
Navy
Vice Admiral
Don Quixote Family")</f>
        <v>Punk Hazard
Navy
Vice Admiral
Don Quixote Family</v>
      </c>
      <c r="F174" s="111" t="str">
        <f>IFERROR(__xludf.DUMMYFUNCTION("""COMPUTED_VALUE"""),"Sanji
(FILM GOLD)")</f>
        <v>Sanji
(FILM GOLD)</v>
      </c>
      <c r="G174" s="111" t="str">
        <f>IFERROR(__xludf.DUMMYFUNCTION("""COMPUTED_VALUE"""),"")</f>
        <v/>
      </c>
      <c r="H174" s="111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I174" s="112" t="str">
        <f>IFERROR(__xludf.DUMMYFUNCTION("""COMPUTED_VALUE"""),"FILM GOLD
Straw Hat Pirates
Cook")</f>
        <v>FILM GOLD
Straw Hat Pirates
Cook</v>
      </c>
      <c r="J174" s="101"/>
    </row>
    <row r="175" ht="75.0" customHeight="1">
      <c r="A175" s="101"/>
      <c r="B175" s="111" t="str">
        <f>IFERROR(__xludf.DUMMYFUNCTION("""COMPUTED_VALUE"""),"Sugar")</f>
        <v>Sugar</v>
      </c>
      <c r="C175" s="113" t="str">
        <f>IFERROR(__xludf.DUMMYFUNCTION("""COMPUTED_VALUE"""),"")</f>
        <v/>
      </c>
      <c r="D175" s="109" t="str">
        <f>IFERROR(__xludf.DUMMYFUNCTION("""COMPUTED_VALUE"""),"When you Knockback an enemy: Recover HP by 3%.")</f>
        <v>When you Knockback an enemy: Recover HP by 3%.</v>
      </c>
      <c r="E175" s="110" t="str">
        <f>IFERROR(__xludf.DUMMYFUNCTION("""COMPUTED_VALUE"""),"Dressrosa
Paramecia
Trebol Army
Don Quixote Family")</f>
        <v>Dressrosa
Paramecia
Trebol Army
Don Quixote Family</v>
      </c>
      <c r="F175" s="111" t="str">
        <f>IFERROR(__xludf.DUMMYFUNCTION("""COMPUTED_VALUE"""),"Usopp
(FILM GOLD)")</f>
        <v>Usopp
(FILM GOLD)</v>
      </c>
      <c r="G175" s="111" t="str">
        <f>IFERROR(__xludf.DUMMYFUNCTION("""COMPUTED_VALUE"""),"")</f>
        <v/>
      </c>
      <c r="H175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175" s="112" t="str">
        <f>IFERROR(__xludf.DUMMYFUNCTION("""COMPUTED_VALUE"""),"FILM GOLD
Straw Hat Pirates
Sharp Shooter")</f>
        <v>FILM GOLD
Straw Hat Pirates
Sharp Shooter</v>
      </c>
      <c r="J175" s="101"/>
    </row>
    <row r="176" ht="75.0" customHeight="1">
      <c r="A176" s="101"/>
      <c r="B176" s="111" t="str">
        <f>IFERROR(__xludf.DUMMYFUNCTION("""COMPUTED_VALUE"""),"Young Master")</f>
        <v>Young Master</v>
      </c>
      <c r="C176" s="113" t="str">
        <f>IFERROR(__xludf.DUMMYFUNCTION("""COMPUTED_VALUE"""),"")</f>
        <v/>
      </c>
      <c r="D176" s="109" t="str">
        <f>IFERROR(__xludf.DUMMYFUNCTION("""COMPUTED_VALUE"""),"When your HP is 50% or less: Increase damage dealt by 5%.")</f>
        <v>When your HP is 50% or less: Increase damage dealt by 5%.</v>
      </c>
      <c r="E176" s="110" t="str">
        <f>IFERROR(__xludf.DUMMYFUNCTION("""COMPUTED_VALUE"""),"Paramecia
Captain
Don Quixote Family")</f>
        <v>Paramecia
Captain
Don Quixote Family</v>
      </c>
      <c r="F176" s="111" t="str">
        <f>IFERROR(__xludf.DUMMYFUNCTION("""COMPUTED_VALUE"""),"Nami
(FILM STRONG WORLD)")</f>
        <v>Nami
(FILM STRONG WORLD)</v>
      </c>
      <c r="G176" s="111" t="str">
        <f>IFERROR(__xludf.DUMMYFUNCTION("""COMPUTED_VALUE"""),"")</f>
        <v/>
      </c>
      <c r="H176" s="111" t="str">
        <f>IFERROR(__xludf.DUMMYFUNCTION("""COMPUTED_VALUE"""),"When you capture the Treasure: Reduce the cooldown time of Skill 1 by 6%.")</f>
        <v>When you capture the Treasure: Reduce the cooldown time of Skill 1 by 6%.</v>
      </c>
      <c r="I176" s="112" t="str">
        <f>IFERROR(__xludf.DUMMYFUNCTION("""COMPUTED_VALUE"""),"FILM STRONG WORLD
Straw Hat Pirates
Navigator")</f>
        <v>FILM STRONG WORLD
Straw Hat Pirates
Navigator</v>
      </c>
      <c r="J176" s="101"/>
    </row>
    <row r="177" ht="75.0" customHeight="1">
      <c r="A177" s="101"/>
      <c r="B177" s="111" t="str">
        <f>IFERROR(__xludf.DUMMYFUNCTION("""COMPUTED_VALUE"""),"Hard_Boiled")</f>
        <v>Hard_Boiled</v>
      </c>
      <c r="C177" s="113" t="str">
        <f>IFERROR(__xludf.DUMMYFUNCTION("""COMPUTED_VALUE"""),"")</f>
        <v/>
      </c>
      <c r="D177" s="109" t="str">
        <f>IFERROR(__xludf.DUMMYFUNCTION("""COMPUTED_VALUE"""),"When you capture the Treasure: Recover HP by 5%.")</f>
        <v>When you capture the Treasure: Recover HP by 5%.</v>
      </c>
      <c r="E177" s="110" t="str">
        <f>IFERROR(__xludf.DUMMYFUNCTION("""COMPUTED_VALUE"""),"Dressrosa
Paramecia
Diamante Army
Don Quixote Family")</f>
        <v>Dressrosa
Paramecia
Diamante Army
Don Quixote Family</v>
      </c>
      <c r="F177" s="111" t="str">
        <f>IFERROR(__xludf.DUMMYFUNCTION("""COMPUTED_VALUE"""),"Luffy
(FILM STRONG WORLD)")</f>
        <v>Luffy
(FILM STRONG WORLD)</v>
      </c>
      <c r="G177" s="111" t="str">
        <f>IFERROR(__xludf.DUMMYFUNCTION("""COMPUTED_VALUE"""),"")</f>
        <v/>
      </c>
      <c r="H177" s="111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I177" s="112" t="str">
        <f>IFERROR(__xludf.DUMMYFUNCTION("""COMPUTED_VALUE"""),"FILM STRONG WORLD
Straw Hat Pirates
Paramecia
Captain
Worst Generation
Blood Brothers")</f>
        <v>FILM STRONG WORLD
Straw Hat Pirates
Paramecia
Captain
Worst Generation
Blood Brothers</v>
      </c>
      <c r="J177" s="101"/>
    </row>
    <row r="178" ht="75.0" customHeight="1">
      <c r="A178" s="101"/>
      <c r="B178" s="111" t="str">
        <f>IFERROR(__xludf.DUMMYFUNCTION("""COMPUTED_VALUE"""),"Baby 5")</f>
        <v>Baby 5</v>
      </c>
      <c r="C178" s="113" t="str">
        <f>IFERROR(__xludf.DUMMYFUNCTION("""COMPUTED_VALUE"""),"")</f>
        <v/>
      </c>
      <c r="D178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178" s="110" t="str">
        <f>IFERROR(__xludf.DUMMYFUNCTION("""COMPUTED_VALUE"""),"Dressrosa
Paramecia
Pica Army
Don Quixote Family")</f>
        <v>Dressrosa
Paramecia
Pica Army
Don Quixote Family</v>
      </c>
      <c r="F178" s="111" t="str">
        <f>IFERROR(__xludf.DUMMYFUNCTION("""COMPUTED_VALUE"""),"Flampe
(Land of Wano)")</f>
        <v>Flampe
(Land of Wano)</v>
      </c>
      <c r="G178" s="111" t="str">
        <f>IFERROR(__xludf.DUMMYFUNCTION("""COMPUTED_VALUE"""),"")</f>
        <v/>
      </c>
      <c r="H178" s="111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I178" s="112" t="str">
        <f>IFERROR(__xludf.DUMMYFUNCTION("""COMPUTED_VALUE"""),"Land of Wano
Big Mom Pirates
Charlotte Family")</f>
        <v>Land of Wano
Big Mom Pirates
Charlotte Family</v>
      </c>
      <c r="J178" s="101"/>
    </row>
    <row r="179" ht="75.0" customHeight="1">
      <c r="A179" s="101"/>
      <c r="B179" s="111" t="str">
        <f>IFERROR(__xludf.DUMMYFUNCTION("""COMPUTED_VALUE"""),"Sentomaru")</f>
        <v>Sentomaru</v>
      </c>
      <c r="C179" s="113" t="str">
        <f>IFERROR(__xludf.DUMMYFUNCTION("""COMPUTED_VALUE"""),"")</f>
        <v/>
      </c>
      <c r="D179" s="109" t="str">
        <f>IFERROR(__xludf.DUMMYFUNCTION("""COMPUTED_VALUE"""),"When you Knockback an enemy: Recover HP by 3%.")</f>
        <v>When you Knockback an enemy: Recover HP by 3%.</v>
      </c>
      <c r="E179" s="110" t="str">
        <f>IFERROR(__xludf.DUMMYFUNCTION("""COMPUTED_VALUE"""),"Sabaody Archipelago / Island of Women
Navy")</f>
        <v>Sabaody Archipelago / Island of Women
Navy</v>
      </c>
      <c r="F179" s="111" t="str">
        <f>IFERROR(__xludf.DUMMYFUNCTION("""COMPUTED_VALUE"""),"Daifuku
(Land of Wano)")</f>
        <v>Daifuku
(Land of Wano)</v>
      </c>
      <c r="G179" s="111" t="str">
        <f>IFERROR(__xludf.DUMMYFUNCTION("""COMPUTED_VALUE"""),"")</f>
        <v/>
      </c>
      <c r="H179" s="111" t="str">
        <f>IFERROR(__xludf.DUMMYFUNCTION("""COMPUTED_VALUE"""),"When you Down an enemy: Reduce the cooldown time of Skill 1 by 4%.")</f>
        <v>When you Down an enemy: Reduce the cooldown time of Skill 1 by 4%.</v>
      </c>
      <c r="I179" s="112" t="str">
        <f>IFERROR(__xludf.DUMMYFUNCTION("""COMPUTED_VALUE"""),"Land of Wano
Big Mom Pirates
Paramecia
Charlotte Family")</f>
        <v>Land of Wano
Big Mom Pirates
Paramecia
Charlotte Family</v>
      </c>
      <c r="J179" s="101"/>
    </row>
    <row r="180" ht="75.0" customHeight="1">
      <c r="A180" s="101"/>
      <c r="B180" s="111" t="str">
        <f>IFERROR(__xludf.DUMMYFUNCTION("""COMPUTED_VALUE"""),"Koby
(Paramount War)")</f>
        <v>Koby
(Paramount War)</v>
      </c>
      <c r="C180" s="113" t="str">
        <f>IFERROR(__xludf.DUMMYFUNCTION("""COMPUTED_VALUE"""),"")</f>
        <v/>
      </c>
      <c r="D180" s="109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E180" s="110" t="str">
        <f>IFERROR(__xludf.DUMMYFUNCTION("""COMPUTED_VALUE"""),"The Paramount War at Marineford
Navy
Master Chief Petty Officer")</f>
        <v>The Paramount War at Marineford
Navy
Master Chief Petty Officer</v>
      </c>
      <c r="F180" s="111" t="str">
        <f>IFERROR(__xludf.DUMMYFUNCTION("""COMPUTED_VALUE"""),"Triceratops")</f>
        <v>Triceratops</v>
      </c>
      <c r="G180" s="111" t="str">
        <f>IFERROR(__xludf.DUMMYFUNCTION("""COMPUTED_VALUE"""),"")</f>
        <v/>
      </c>
      <c r="H180" s="111" t="str">
        <f>IFERROR(__xludf.DUMMYFUNCTION("""COMPUTED_VALUE"""),"When performing a Perfect Dodge: Reduce the cooldown time of Skill 1 by 4%.")</f>
        <v>When performing a Perfect Dodge: Reduce the cooldown time of Skill 1 by 4%.</v>
      </c>
      <c r="I180" s="112" t="str">
        <f>IFERROR(__xludf.DUMMYFUNCTION("""COMPUTED_VALUE"""),"Land of Wano
Animal Kingdom Pirates
Zoan
Tobi Roppo")</f>
        <v>Land of Wano
Animal Kingdom Pirates
Zoan
Tobi Roppo</v>
      </c>
      <c r="J180" s="101"/>
    </row>
    <row r="181" ht="75.0" customHeight="1">
      <c r="A181" s="101"/>
      <c r="B181" s="111" t="str">
        <f>IFERROR(__xludf.DUMMYFUNCTION("""COMPUTED_VALUE"""),"Fleet Admiral Akainu")</f>
        <v>Fleet Admiral Akainu</v>
      </c>
      <c r="C181" s="113" t="str">
        <f>IFERROR(__xludf.DUMMYFUNCTION("""COMPUTED_VALUE"""),"")</f>
        <v/>
      </c>
      <c r="D181" s="109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E181" s="110" t="str">
        <f>IFERROR(__xludf.DUMMYFUNCTION("""COMPUTED_VALUE"""),"Navy
Logia
Fleet Admiral
Navy Admiral / Former Navy Admiral")</f>
        <v>Navy
Logia
Fleet Admiral
Navy Admiral / Former Navy Admiral</v>
      </c>
      <c r="F181" s="111" t="str">
        <f>IFERROR(__xludf.DUMMYFUNCTION("""COMPUTED_VALUE"""),"Saber_Toothed Tiger")</f>
        <v>Saber_Toothed Tiger</v>
      </c>
      <c r="G181" s="111" t="str">
        <f>IFERROR(__xludf.DUMMYFUNCTION("""COMPUTED_VALUE"""),"")</f>
        <v/>
      </c>
      <c r="H181" s="111" t="str">
        <f>IFERROR(__xludf.DUMMYFUNCTION("""COMPUTED_VALUE"""),"When using Skill 1: Reduce the cooldown time of Skill 2 by 5%.")</f>
        <v>When using Skill 1: Reduce the cooldown time of Skill 2 by 5%.</v>
      </c>
      <c r="I181" s="112" t="str">
        <f>IFERROR(__xludf.DUMMYFUNCTION("""COMPUTED_VALUE"""),"Land of Wano
Animal Kingdom Pirates
Zoan
Tobi Roppo")</f>
        <v>Land of Wano
Animal Kingdom Pirates
Zoan
Tobi Roppo</v>
      </c>
      <c r="J181" s="101"/>
    </row>
    <row r="182" ht="75.0" customHeight="1">
      <c r="A182" s="101"/>
      <c r="B182" s="111" t="str">
        <f>IFERROR(__xludf.DUMMYFUNCTION("""COMPUTED_VALUE"""),"Ice_Burn")</f>
        <v>Ice_Burn</v>
      </c>
      <c r="C182" s="113" t="str">
        <f>IFERROR(__xludf.DUMMYFUNCTION("""COMPUTED_VALUE"""),"")</f>
        <v/>
      </c>
      <c r="D182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182" s="110" t="str">
        <f>IFERROR(__xludf.DUMMYFUNCTION("""COMPUTED_VALUE"""),"Land of Wano
Straw Hat Pirates
Paramecia
Musician")</f>
        <v>Land of Wano
Straw Hat Pirates
Paramecia
Musician</v>
      </c>
      <c r="F182" s="111" t="str">
        <f>IFERROR(__xludf.DUMMYFUNCTION("""COMPUTED_VALUE"""),"Kalgara")</f>
        <v>Kalgara</v>
      </c>
      <c r="G182" s="111" t="str">
        <f>IFERROR(__xludf.DUMMYFUNCTION("""COMPUTED_VALUE"""),"")</f>
        <v/>
      </c>
      <c r="H182" s="111" t="str">
        <f>IFERROR(__xludf.DUMMYFUNCTION("""COMPUTED_VALUE"""),"When inflicted with Shock by enemies: Reduce the cooldown time of Skill 1 by 6%.")</f>
        <v>When inflicted with Shock by enemies: Reduce the cooldown time of Skill 1 by 6%.</v>
      </c>
      <c r="I182" s="112" t="str">
        <f>IFERROR(__xludf.DUMMYFUNCTION("""COMPUTED_VALUE"""),"Sky Island / LRLL")</f>
        <v>Sky Island / LRLL</v>
      </c>
      <c r="J182" s="101"/>
    </row>
    <row r="183" ht="75.0" customHeight="1">
      <c r="A183" s="101"/>
      <c r="B183" s="111" t="str">
        <f>IFERROR(__xludf.DUMMYFUNCTION("""COMPUTED_VALUE"""),"Delphinium")</f>
        <v>Delphinium</v>
      </c>
      <c r="C183" s="113" t="str">
        <f>IFERROR(__xludf.DUMMYFUNCTION("""COMPUTED_VALUE"""),"")</f>
        <v/>
      </c>
      <c r="D183" s="109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E183" s="110" t="str">
        <f>IFERROR(__xludf.DUMMYFUNCTION("""COMPUTED_VALUE"""),"Land of Wano
Straw Hat Pirates
Paramecia
Archaeologist")</f>
        <v>Land of Wano
Straw Hat Pirates
Paramecia
Archaeologist</v>
      </c>
      <c r="F183" s="111" t="str">
        <f>IFERROR(__xludf.DUMMYFUNCTION("""COMPUTED_VALUE"""),"Noland")</f>
        <v>Noland</v>
      </c>
      <c r="G183" s="111" t="str">
        <f>IFERROR(__xludf.DUMMYFUNCTION("""COMPUTED_VALUE"""),"")</f>
        <v/>
      </c>
      <c r="H183" s="111" t="str">
        <f>IFERROR(__xludf.DUMMYFUNCTION("""COMPUTED_VALUE"""),"When inflicted with Shock by enemies: Recover HP by 3%.")</f>
        <v>When inflicted with Shock by enemies: Recover HP by 3%.</v>
      </c>
      <c r="I183" s="112" t="str">
        <f>IFERROR(__xludf.DUMMYFUNCTION("""COMPUTED_VALUE"""),"Sky Island / LRLL")</f>
        <v>Sky Island / LRLL</v>
      </c>
      <c r="J183" s="101"/>
    </row>
    <row r="184" ht="75.0" customHeight="1">
      <c r="A184" s="101"/>
      <c r="B184" s="111" t="str">
        <f>IFERROR(__xludf.DUMMYFUNCTION("""COMPUTED_VALUE"""),"Vivi &amp; Karoo")</f>
        <v>Vivi &amp; Karoo</v>
      </c>
      <c r="C184" s="113" t="str">
        <f>IFERROR(__xludf.DUMMYFUNCTION("""COMPUTED_VALUE"""),"")</f>
        <v/>
      </c>
      <c r="D184" s="109" t="str">
        <f>IFERROR(__xludf.DUMMYFUNCTION("""COMPUTED_VALUE"""),"When you capture the Treasure: Recover HP by 5%.")</f>
        <v>When you capture the Treasure: Recover HP by 5%.</v>
      </c>
      <c r="E184" s="110" t="str">
        <f>IFERROR(__xludf.DUMMYFUNCTION("""COMPUTED_VALUE"""),"Alabasta
Straw Hat Pirates
Royalty / Former Royalty
Alabasta Kingdom")</f>
        <v>Alabasta
Straw Hat Pirates
Royalty / Former Royalty
Alabasta Kingdom</v>
      </c>
      <c r="F184" s="111" t="str">
        <f>IFERROR(__xludf.DUMMYFUNCTION("""COMPUTED_VALUE"""),"Kami")</f>
        <v>Kami</v>
      </c>
      <c r="G184" s="111" t="str">
        <f>IFERROR(__xludf.DUMMYFUNCTION("""COMPUTED_VALUE"""),"")</f>
        <v/>
      </c>
      <c r="H184" s="111" t="str">
        <f>IFERROR(__xludf.DUMMYFUNCTION("""COMPUTED_VALUE"""),"When your allies are not near the Treasure area where you are at: Reduce damage recieved by 5%.")</f>
        <v>When your allies are not near the Treasure area where you are at: Reduce damage recieved by 5%.</v>
      </c>
      <c r="I184" s="112" t="str">
        <f>IFERROR(__xludf.DUMMYFUNCTION("""COMPUTED_VALUE"""),"Sky Island / LRLL
God`s Army
Logia
Mantra")</f>
        <v>Sky Island / LRLL
God`s Army
Logia
Mantra</v>
      </c>
      <c r="J184" s="101"/>
    </row>
    <row r="185" ht="75.0" customHeight="1">
      <c r="A185" s="101"/>
      <c r="B185" s="111" t="str">
        <f>IFERROR(__xludf.DUMMYFUNCTION("""COMPUTED_VALUE"""),"Pell")</f>
        <v>Pell</v>
      </c>
      <c r="C185" s="113" t="str">
        <f>IFERROR(__xludf.DUMMYFUNCTION("""COMPUTED_VALUE"""),"")</f>
        <v/>
      </c>
      <c r="D185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185" s="110" t="str">
        <f>IFERROR(__xludf.DUMMYFUNCTION("""COMPUTED_VALUE"""),"Alabasta
Zoan
Alabasta Kingdom")</f>
        <v>Alabasta
Zoan
Alabasta Kingdom</v>
      </c>
      <c r="F185" s="111" t="str">
        <f>IFERROR(__xludf.DUMMYFUNCTION("""COMPUTED_VALUE"""),"Savior")</f>
        <v>Savior</v>
      </c>
      <c r="G185" s="111" t="str">
        <f>IFERROR(__xludf.DUMMYFUNCTION("""COMPUTED_VALUE"""),"")</f>
        <v/>
      </c>
      <c r="H185" s="111" t="str">
        <f>IFERROR(__xludf.DUMMYFUNCTION("""COMPUTED_VALUE"""),"When the equipped character is character type ``Long_Range Normal Attacks``: Increase Normal Attack damage dealt by 5%.")</f>
        <v>When the equipped character is character type ``Long_Range Normal Attacks``: Increase Normal Attack damage dealt by 5%.</v>
      </c>
      <c r="I185" s="112" t="str">
        <f>IFERROR(__xludf.DUMMYFUNCTION("""COMPUTED_VALUE"""),"Dressrosa
Straw Hat Pirates
Sharp Shooter")</f>
        <v>Dressrosa
Straw Hat Pirates
Sharp Shooter</v>
      </c>
      <c r="J185" s="101"/>
    </row>
    <row r="186" ht="75.0" customHeight="1">
      <c r="A186" s="101"/>
      <c r="B186" s="111" t="str">
        <f>IFERROR(__xludf.DUMMYFUNCTION("""COMPUTED_VALUE"""),"Ms. Goldenweek")</f>
        <v>Ms. Goldenweek</v>
      </c>
      <c r="C186" s="113" t="str">
        <f>IFERROR(__xludf.DUMMYFUNCTION("""COMPUTED_VALUE"""),"")</f>
        <v/>
      </c>
      <c r="D186" s="109" t="str">
        <f>IFERROR(__xludf.DUMMYFUNCTION("""COMPUTED_VALUE"""),"When your HP is 70% or more: Boost capture speed by 8%.")</f>
        <v>When your HP is 70% or more: Boost capture speed by 8%.</v>
      </c>
      <c r="E186" s="110" t="str">
        <f>IFERROR(__xludf.DUMMYFUNCTION("""COMPUTED_VALUE"""),"The Grand Line
Baroque Works
Officer Agent")</f>
        <v>The Grand Line
Baroque Works
Officer Agent</v>
      </c>
      <c r="F186" s="111" t="str">
        <f>IFERROR(__xludf.DUMMYFUNCTION("""COMPUTED_VALUE"""),"Haruta")</f>
        <v>Haruta</v>
      </c>
      <c r="G186" s="111" t="str">
        <f>IFERROR(__xludf.DUMMYFUNCTION("""COMPUTED_VALUE"""),"")</f>
        <v/>
      </c>
      <c r="H186" s="111" t="str">
        <f>IFERROR(__xludf.DUMMYFUNCTION("""COMPUTED_VALUE"""),"When Critical occurs: Recover HP by 2%.")</f>
        <v>When Critical occurs: Recover HP by 2%.</v>
      </c>
      <c r="I186" s="112" t="str">
        <f>IFERROR(__xludf.DUMMYFUNCTION("""COMPUTED_VALUE"""),"The Paramount War at Marineford
Whitebeard Pirates
Whitebeard Pirates Commander")</f>
        <v>The Paramount War at Marineford
Whitebeard Pirates
Whitebeard Pirates Commander</v>
      </c>
      <c r="J186" s="101"/>
    </row>
    <row r="187" ht="75.0" customHeight="1">
      <c r="A187" s="101"/>
      <c r="B187" s="111" t="str">
        <f>IFERROR(__xludf.DUMMYFUNCTION("""COMPUTED_VALUE"""),"Galdino")</f>
        <v>Galdino</v>
      </c>
      <c r="C187" s="113" t="str">
        <f>IFERROR(__xludf.DUMMYFUNCTION("""COMPUTED_VALUE"""),"")</f>
        <v/>
      </c>
      <c r="D187" s="109" t="str">
        <f>IFERROR(__xludf.DUMMYFUNCTION("""COMPUTED_VALUE"""),"When using Skill 1: Reduce the cooldown time of Skill 2 by 5%.")</f>
        <v>When using Skill 1: Reduce the cooldown time of Skill 2 by 5%.</v>
      </c>
      <c r="E187" s="110" t="str">
        <f>IFERROR(__xludf.DUMMYFUNCTION("""COMPUTED_VALUE"""),"The Grand Line
Baroque Works
Paramecia
Officer Agent")</f>
        <v>The Grand Line
Baroque Works
Paramecia
Officer Agent</v>
      </c>
      <c r="F187" s="111" t="str">
        <f>IFERROR(__xludf.DUMMYFUNCTION("""COMPUTED_VALUE"""),"The Strongest Man in the World")</f>
        <v>The Strongest Man in the World</v>
      </c>
      <c r="G187" s="111" t="str">
        <f>IFERROR(__xludf.DUMMYFUNCTION("""COMPUTED_VALUE"""),"")</f>
        <v/>
      </c>
      <c r="H187" s="111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I187" s="112" t="str">
        <f>IFERROR(__xludf.DUMMYFUNCTION("""COMPUTED_VALUE"""),"The Paramount War at Marineford
Whitebeard Pirates
Paramecia
Captain
The Four Emperors")</f>
        <v>The Paramount War at Marineford
Whitebeard Pirates
Paramecia
Captain
The Four Emperors</v>
      </c>
      <c r="J187" s="101"/>
    </row>
    <row r="188" ht="75.0" customHeight="1">
      <c r="A188" s="101"/>
      <c r="B188" s="111" t="str">
        <f>IFERROR(__xludf.DUMMYFUNCTION("""COMPUTED_VALUE"""),"Raid Law")</f>
        <v>Raid Law</v>
      </c>
      <c r="C188" s="113" t="str">
        <f>IFERROR(__xludf.DUMMYFUNCTION("""COMPUTED_VALUE"""),"")</f>
        <v/>
      </c>
      <c r="D188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188" s="110" t="str">
        <f>IFERROR(__xludf.DUMMYFUNCTION("""COMPUTED_VALUE"""),"Land of Wano
Paramecia
Captain
The Seven Warlords of the Sea / Former Warlords of the Sea
Worst Generation
Heart Pirates")</f>
        <v>Land of Wano
Paramecia
Captain
The Seven Warlords of the Sea / Former Warlords of the Sea
Worst Generation
Heart Pirates</v>
      </c>
      <c r="F188" s="111" t="str">
        <f>IFERROR(__xludf.DUMMYFUNCTION("""COMPUTED_VALUE"""),"Doc Q")</f>
        <v>Doc Q</v>
      </c>
      <c r="G188" s="111" t="str">
        <f>IFERROR(__xludf.DUMMYFUNCTION("""COMPUTED_VALUE"""),"")</f>
        <v/>
      </c>
      <c r="H188" s="111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I188" s="112" t="str">
        <f>IFERROR(__xludf.DUMMYFUNCTION("""COMPUTED_VALUE"""),"The Paramount War at Marineford
Doctor
Blackbeard Pirates")</f>
        <v>The Paramount War at Marineford
Doctor
Blackbeard Pirates</v>
      </c>
      <c r="J188" s="101"/>
    </row>
    <row r="189" ht="75.0" customHeight="1">
      <c r="A189" s="101"/>
      <c r="B189" s="111" t="str">
        <f>IFERROR(__xludf.DUMMYFUNCTION("""COMPUTED_VALUE"""),"Raid Kid")</f>
        <v>Raid Kid</v>
      </c>
      <c r="C189" s="113" t="str">
        <f>IFERROR(__xludf.DUMMYFUNCTION("""COMPUTED_VALUE"""),"")</f>
        <v/>
      </c>
      <c r="D189" s="109" t="str">
        <f>IFERROR(__xludf.DUMMYFUNCTION("""COMPUTED_VALUE"""),"When hit with Knockback by enemy: Recover HP by 3%.")</f>
        <v>When hit with Knockback by enemy: Recover HP by 3%.</v>
      </c>
      <c r="E189" s="110" t="str">
        <f>IFERROR(__xludf.DUMMYFUNCTION("""COMPUTED_VALUE"""),"Land of Wano
Kid Pirates
Paramecia
Captain
Worst Generation")</f>
        <v>Land of Wano
Kid Pirates
Paramecia
Captain
Worst Generation</v>
      </c>
      <c r="F189" s="111" t="str">
        <f>IFERROR(__xludf.DUMMYFUNCTION("""COMPUTED_VALUE"""),"Van Ogre")</f>
        <v>Van Ogre</v>
      </c>
      <c r="G189" s="111" t="str">
        <f>IFERROR(__xludf.DUMMYFUNCTION("""COMPUTED_VALUE"""),"")</f>
        <v/>
      </c>
      <c r="H189" s="111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I189" s="112" t="str">
        <f>IFERROR(__xludf.DUMMYFUNCTION("""COMPUTED_VALUE"""),"The Paramount War at Marineford
Sharp Shooter
Blackbeard Pirates")</f>
        <v>The Paramount War at Marineford
Sharp Shooter
Blackbeard Pirates</v>
      </c>
      <c r="J189" s="101"/>
    </row>
    <row r="190" ht="75.0" customHeight="1">
      <c r="A190" s="101"/>
      <c r="B190" s="111" t="str">
        <f>IFERROR(__xludf.DUMMYFUNCTION("""COMPUTED_VALUE"""),"Memoir of that Summer Day")</f>
        <v>Memoir of that Summer Day</v>
      </c>
      <c r="C190" s="113" t="str">
        <f>IFERROR(__xludf.DUMMYFUNCTION("""COMPUTED_VALUE"""),"")</f>
        <v/>
      </c>
      <c r="D190" s="109" t="str">
        <f>IFERROR(__xludf.DUMMYFUNCTION("""COMPUTED_VALUE"""),"When your HP is 70% or more: Boost capture speed by 8%.")</f>
        <v>When your HP is 70% or more: Boost capture speed by 8%.</v>
      </c>
      <c r="E190" s="110" t="str">
        <f>IFERROR(__xludf.DUMMYFUNCTION("""COMPUTED_VALUE"""),"Impel Down
Paramecia
New Kama")</f>
        <v>Impel Down
Paramecia
New Kama</v>
      </c>
      <c r="F190" s="111" t="str">
        <f>IFERROR(__xludf.DUMMYFUNCTION("""COMPUTED_VALUE"""),"Sanji
(Child)")</f>
        <v>Sanji
(Child)</v>
      </c>
      <c r="G190" s="111" t="str">
        <f>IFERROR(__xludf.DUMMYFUNCTION("""COMPUTED_VALUE"""),"")</f>
        <v/>
      </c>
      <c r="H190" s="111" t="str">
        <f>IFERROR(__xludf.DUMMYFUNCTION("""COMPUTED_VALUE"""),"When your HP is 70% or more: Reduce damage recieved by 3%.")</f>
        <v>When your HP is 70% or more: Reduce damage recieved by 3%.</v>
      </c>
      <c r="I190" s="112" t="str">
        <f>IFERROR(__xludf.DUMMYFUNCTION("""COMPUTED_VALUE"""),"Royalty / Former Royalty
Germa 66
Child")</f>
        <v>Royalty / Former Royalty
Germa 66
Child</v>
      </c>
      <c r="J190" s="101"/>
    </row>
    <row r="191" ht="75.0" customHeight="1">
      <c r="A191" s="101"/>
      <c r="B191" s="111" t="str">
        <f>IFERROR(__xludf.DUMMYFUNCTION("""COMPUTED_VALUE"""),"Raid Luffy")</f>
        <v>Raid Luffy</v>
      </c>
      <c r="C191" s="113" t="str">
        <f>IFERROR(__xludf.DUMMYFUNCTION("""COMPUTED_VALUE"""),"")</f>
        <v/>
      </c>
      <c r="D191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191" s="110" t="str">
        <f>IFERROR(__xludf.DUMMYFUNCTION("""COMPUTED_VALUE"""),"Land of Wano
Straw Hat Pirates
Paramecia
Captain
Worst Generation
Blood Brothers")</f>
        <v>Land of Wano
Straw Hat Pirates
Paramecia
Captain
Worst Generation
Blood Brothers</v>
      </c>
      <c r="F191" s="111" t="str">
        <f>IFERROR(__xludf.DUMMYFUNCTION("""COMPUTED_VALUE"""),"Reiju
(Child)")</f>
        <v>Reiju
(Child)</v>
      </c>
      <c r="G191" s="111" t="str">
        <f>IFERROR(__xludf.DUMMYFUNCTION("""COMPUTED_VALUE"""),"")</f>
        <v/>
      </c>
      <c r="H191" s="111" t="str">
        <f>IFERROR(__xludf.DUMMYFUNCTION("""COMPUTED_VALUE"""),"When your team has less Treasure secured: Boost capture speed by 8%.")</f>
        <v>When your team has less Treasure secured: Boost capture speed by 8%.</v>
      </c>
      <c r="I191" s="112" t="str">
        <f>IFERROR(__xludf.DUMMYFUNCTION("""COMPUTED_VALUE"""),"Royalty / Former Royalty
Germa 66
Child")</f>
        <v>Royalty / Former Royalty
Germa 66
Child</v>
      </c>
      <c r="J191" s="101"/>
    </row>
    <row r="192" ht="75.0" customHeight="1">
      <c r="A192" s="101"/>
      <c r="B192" s="111" t="str">
        <f>IFERROR(__xludf.DUMMYFUNCTION("""COMPUTED_VALUE"""),"Candula")</f>
        <v>Candula</v>
      </c>
      <c r="C192" s="113" t="str">
        <f>IFERROR(__xludf.DUMMYFUNCTION("""COMPUTED_VALUE"""),"")</f>
        <v/>
      </c>
      <c r="D192" s="109" t="str">
        <f>IFERROR(__xludf.DUMMYFUNCTION("""COMPUTED_VALUE"""),"When attacked by an enemy: Reduce the cooldown time of Skill 1 by 2%.")</f>
        <v>When attacked by an enemy: Reduce the cooldown time of Skill 1 by 2%.</v>
      </c>
      <c r="E192" s="110" t="str">
        <f>IFERROR(__xludf.DUMMYFUNCTION("""COMPUTED_VALUE"""),"Water 7 / Enies Lobby
Straw Hat Pirates
Paramecia
Archaeologist")</f>
        <v>Water 7 / Enies Lobby
Straw Hat Pirates
Paramecia
Archaeologist</v>
      </c>
      <c r="F192" s="111" t="str">
        <f>IFERROR(__xludf.DUMMYFUNCTION("""COMPUTED_VALUE"""),"Cat Burglar")</f>
        <v>Cat Burglar</v>
      </c>
      <c r="G192" s="111" t="str">
        <f>IFERROR(__xludf.DUMMYFUNCTION("""COMPUTED_VALUE"""),"")</f>
        <v/>
      </c>
      <c r="H192" s="111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I192" s="112" t="str">
        <f>IFERROR(__xludf.DUMMYFUNCTION("""COMPUTED_VALUE"""),"Straw Hat Pirates
Navigator")</f>
        <v>Straw Hat Pirates
Navigator</v>
      </c>
      <c r="J192" s="101"/>
    </row>
    <row r="193" ht="75.0" customHeight="1">
      <c r="A193" s="101"/>
      <c r="B193" s="111" t="str">
        <f>IFERROR(__xludf.DUMMYFUNCTION("""COMPUTED_VALUE"""),"Palm")</f>
        <v>Palm</v>
      </c>
      <c r="C193" s="113" t="str">
        <f>IFERROR(__xludf.DUMMYFUNCTION("""COMPUTED_VALUE"""),"")</f>
        <v/>
      </c>
      <c r="D193" s="109" t="str">
        <f>IFERROR(__xludf.DUMMYFUNCTION("""COMPUTED_VALUE"""),"When using Skill 2: Reduce the cooldown time of Skill 1 by 5%.")</f>
        <v>When using Skill 2: Reduce the cooldown time of Skill 1 by 5%.</v>
      </c>
      <c r="E193" s="110" t="str">
        <f>IFERROR(__xludf.DUMMYFUNCTION("""COMPUTED_VALUE"""),"Fish_Man Island
Straw Hat Pirates
Zoan
Doctor")</f>
        <v>Fish_Man Island
Straw Hat Pirates
Zoan
Doctor</v>
      </c>
      <c r="F193" s="111" t="str">
        <f>IFERROR(__xludf.DUMMYFUNCTION("""COMPUTED_VALUE"""),"Pirate Hunter")</f>
        <v>Pirate Hunter</v>
      </c>
      <c r="G193" s="111" t="str">
        <f>IFERROR(__xludf.DUMMYFUNCTION("""COMPUTED_VALUE"""),"")</f>
        <v/>
      </c>
      <c r="H193" s="111" t="str">
        <f>IFERROR(__xludf.DUMMYFUNCTION("""COMPUTED_VALUE"""),"When your team loses the Treasure: Reduce the cooldown time of Skill 1 by 8%.")</f>
        <v>When your team loses the Treasure: Reduce the cooldown time of Skill 1 by 8%.</v>
      </c>
      <c r="I193" s="112" t="str">
        <f>IFERROR(__xludf.DUMMYFUNCTION("""COMPUTED_VALUE"""),"Straw Hat Pirates
Combatant
Worst Generation")</f>
        <v>Straw Hat Pirates
Combatant
Worst Generation</v>
      </c>
      <c r="J193" s="101"/>
    </row>
    <row r="194" ht="75.0" customHeight="1">
      <c r="A194" s="101"/>
      <c r="B194" s="111" t="str">
        <f>IFERROR(__xludf.DUMMYFUNCTION("""COMPUTED_VALUE"""),"Cat Viper")</f>
        <v>Cat Viper</v>
      </c>
      <c r="C194" s="113" t="str">
        <f>IFERROR(__xludf.DUMMYFUNCTION("""COMPUTED_VALUE"""),"")</f>
        <v/>
      </c>
      <c r="D194" s="109" t="str">
        <f>IFERROR(__xludf.DUMMYFUNCTION("""COMPUTED_VALUE"""),"When there are 90 seconds or less remaining: Reduce damage recieved by 3%.")</f>
        <v>When there are 90 seconds or less remaining: Reduce damage recieved by 3%.</v>
      </c>
      <c r="E194" s="110" t="str">
        <f>IFERROR(__xludf.DUMMYFUNCTION("""COMPUTED_VALUE"""),"Land of Wano
Kozuki Clan / Kozuki Clan Servant
Royalty / Former Royalty
Minks")</f>
        <v>Land of Wano
Kozuki Clan / Kozuki Clan Servant
Royalty / Former Royalty
Minks</v>
      </c>
      <c r="F194" s="111" t="str">
        <f>IFERROR(__xludf.DUMMYFUNCTION("""COMPUTED_VALUE"""),"Black Maria")</f>
        <v>Black Maria</v>
      </c>
      <c r="G194" s="111" t="str">
        <f>IFERROR(__xludf.DUMMYFUNCTION("""COMPUTED_VALUE"""),"")</f>
        <v/>
      </c>
      <c r="H194" s="111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I194" s="112" t="str">
        <f>IFERROR(__xludf.DUMMYFUNCTION("""COMPUTED_VALUE"""),"Land of Wano
Animal Kingdom Pirates
Zoan
Tobi Roppo")</f>
        <v>Land of Wano
Animal Kingdom Pirates
Zoan
Tobi Roppo</v>
      </c>
      <c r="J194" s="101"/>
    </row>
    <row r="195" ht="75.0" customHeight="1">
      <c r="A195" s="101"/>
      <c r="B195" s="111" t="str">
        <f>IFERROR(__xludf.DUMMYFUNCTION("""COMPUTED_VALUE"""),"Duke Dogstorm")</f>
        <v>Duke Dogstorm</v>
      </c>
      <c r="C195" s="113" t="str">
        <f>IFERROR(__xludf.DUMMYFUNCTION("""COMPUTED_VALUE"""),"")</f>
        <v/>
      </c>
      <c r="D195" s="109" t="str">
        <f>IFERROR(__xludf.DUMMYFUNCTION("""COMPUTED_VALUE"""),"For 90 seconds after the battle has started: Increase damage dealt by 3%.")</f>
        <v>For 90 seconds after the battle has started: Increase damage dealt by 3%.</v>
      </c>
      <c r="E195" s="110" t="str">
        <f>IFERROR(__xludf.DUMMYFUNCTION("""COMPUTED_VALUE"""),"Land of Wano
Kozuki Clan / Kozuki Clan Servant
Royalty / Former Royalty
Minks")</f>
        <v>Land of Wano
Kozuki Clan / Kozuki Clan Servant
Royalty / Former Royalty
Minks</v>
      </c>
      <c r="F195" s="111" t="str">
        <f>IFERROR(__xludf.DUMMYFUNCTION("""COMPUTED_VALUE"""),"Wildfire")</f>
        <v>Wildfire</v>
      </c>
      <c r="G195" s="111" t="str">
        <f>IFERROR(__xludf.DUMMYFUNCTION("""COMPUTED_VALUE"""),"")</f>
        <v/>
      </c>
      <c r="H195" s="111" t="str">
        <f>IFERROR(__xludf.DUMMYFUNCTION("""COMPUTED_VALUE"""),"When attacked by an enemy: Reduce the cooldown time of Skill 1 by 2%.")</f>
        <v>When attacked by an enemy: Reduce the cooldown time of Skill 1 by 2%.</v>
      </c>
      <c r="I195" s="112" t="str">
        <f>IFERROR(__xludf.DUMMYFUNCTION("""COMPUTED_VALUE"""),"Land of Wano
Animal Kingdom Pirates
Zoan
Lead Performer")</f>
        <v>Land of Wano
Animal Kingdom Pirates
Zoan
Lead Performer</v>
      </c>
      <c r="J195" s="101"/>
    </row>
    <row r="196" ht="75.0" customHeight="1">
      <c r="A196" s="101"/>
      <c r="B196" s="111" t="str">
        <f>IFERROR(__xludf.DUMMYFUNCTION("""COMPUTED_VALUE"""),"Gaimon")</f>
        <v>Gaimon</v>
      </c>
      <c r="C196" s="113" t="str">
        <f>IFERROR(__xludf.DUMMYFUNCTION("""COMPUTED_VALUE"""),"")</f>
        <v/>
      </c>
      <c r="D196" s="109" t="str">
        <f>IFERROR(__xludf.DUMMYFUNCTION("""COMPUTED_VALUE"""),"When in the area around your captured Treasure: Reduce damage recieved by 3%.")</f>
        <v>When in the area around your captured Treasure: Reduce damage recieved by 3%.</v>
      </c>
      <c r="E196" s="110" t="str">
        <f>IFERROR(__xludf.DUMMYFUNCTION("""COMPUTED_VALUE"""),"East Blue")</f>
        <v>East Blue</v>
      </c>
      <c r="F196" s="111" t="str">
        <f>IFERROR(__xludf.DUMMYFUNCTION("""COMPUTED_VALUE"""),"Page One")</f>
        <v>Page One</v>
      </c>
      <c r="G196" s="111" t="str">
        <f>IFERROR(__xludf.DUMMYFUNCTION("""COMPUTED_VALUE"""),"")</f>
        <v/>
      </c>
      <c r="H196" s="111" t="str">
        <f>IFERROR(__xludf.DUMMYFUNCTION("""COMPUTED_VALUE"""),"When Treasure Gauge is recovered to 100%: Reduce the cooldown time of Skill 1 by 6%.")</f>
        <v>When Treasure Gauge is recovered to 100%: Reduce the cooldown time of Skill 1 by 6%.</v>
      </c>
      <c r="I196" s="112" t="str">
        <f>IFERROR(__xludf.DUMMYFUNCTION("""COMPUTED_VALUE"""),"Land of Wano
Animal Kingdom Pirates
Zoan
Tobi Roppo")</f>
        <v>Land of Wano
Animal Kingdom Pirates
Zoan
Tobi Roppo</v>
      </c>
      <c r="J196" s="101"/>
    </row>
    <row r="197" ht="75.0" customHeight="1">
      <c r="A197" s="101"/>
      <c r="B197" s="111" t="str">
        <f>IFERROR(__xludf.DUMMYFUNCTION("""COMPUTED_VALUE"""),"General Franky")</f>
        <v>General Franky</v>
      </c>
      <c r="C197" s="113" t="str">
        <f>IFERROR(__xludf.DUMMYFUNCTION("""COMPUTED_VALUE"""),"")</f>
        <v/>
      </c>
      <c r="D197" s="109" t="str">
        <f>IFERROR(__xludf.DUMMYFUNCTION("""COMPUTED_VALUE"""),"When you are Downed: Reduce the cooldown time of Skill 1 by 4%.")</f>
        <v>When you are Downed: Reduce the cooldown time of Skill 1 by 4%.</v>
      </c>
      <c r="E197" s="110" t="str">
        <f>IFERROR(__xludf.DUMMYFUNCTION("""COMPUTED_VALUE"""),"Punk Hazard
Straw Hat Pirates
Ship Carpenter")</f>
        <v>Punk Hazard
Straw Hat Pirates
Ship Carpenter</v>
      </c>
      <c r="F197" s="111" t="str">
        <f>IFERROR(__xludf.DUMMYFUNCTION("""COMPUTED_VALUE"""),"Ulti")</f>
        <v>Ulti</v>
      </c>
      <c r="G197" s="111" t="str">
        <f>IFERROR(__xludf.DUMMYFUNCTION("""COMPUTED_VALUE"""),"")</f>
        <v/>
      </c>
      <c r="H197" s="111" t="str">
        <f>IFERROR(__xludf.DUMMYFUNCTION("""COMPUTED_VALUE"""),"When you Knockback an enemy: Reduce the cooldown time of Skill 1 by 5%.")</f>
        <v>When you Knockback an enemy: Reduce the cooldown time of Skill 1 by 5%.</v>
      </c>
      <c r="I197" s="112" t="str">
        <f>IFERROR(__xludf.DUMMYFUNCTION("""COMPUTED_VALUE"""),"Land of Wano
Animal Kingdom Pirates
Zoan
Tobi Roppo")</f>
        <v>Land of Wano
Animal Kingdom Pirates
Zoan
Tobi Roppo</v>
      </c>
      <c r="J197" s="101"/>
    </row>
    <row r="198" ht="75.0" customHeight="1">
      <c r="A198" s="101"/>
      <c r="B198" s="111" t="str">
        <f>IFERROR(__xludf.DUMMYFUNCTION("""COMPUTED_VALUE"""),"God Usopp")</f>
        <v>God Usopp</v>
      </c>
      <c r="C198" s="113" t="str">
        <f>IFERROR(__xludf.DUMMYFUNCTION("""COMPUTED_VALUE"""),"")</f>
        <v/>
      </c>
      <c r="D198" s="109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E198" s="110" t="str">
        <f>IFERROR(__xludf.DUMMYFUNCTION("""COMPUTED_VALUE"""),"Dressrosa
Straw Hat Pirates
Sharp Shooter")</f>
        <v>Dressrosa
Straw Hat Pirates
Sharp Shooter</v>
      </c>
      <c r="F198" s="111" t="str">
        <f>IFERROR(__xludf.DUMMYFUNCTION("""COMPUTED_VALUE"""),"Otama")</f>
        <v>Otama</v>
      </c>
      <c r="G198" s="111" t="str">
        <f>IFERROR(__xludf.DUMMYFUNCTION("""COMPUTED_VALUE"""),"")</f>
        <v/>
      </c>
      <c r="H198" s="111" t="str">
        <f>IFERROR(__xludf.DUMMYFUNCTION("""COMPUTED_VALUE"""),"When an ally is KO`d (not including you): Recover HP by 2%.")</f>
        <v>When an ally is KO`d (not including you): Recover HP by 2%.</v>
      </c>
      <c r="I198" s="112" t="str">
        <f>IFERROR(__xludf.DUMMYFUNCTION("""COMPUTED_VALUE"""),"Land of Wano
Paramecia")</f>
        <v>Land of Wano
Paramecia</v>
      </c>
      <c r="J198" s="101"/>
    </row>
    <row r="199" ht="75.0" customHeight="1">
      <c r="A199" s="101"/>
      <c r="B199" s="111" t="str">
        <f>IFERROR(__xludf.DUMMYFUNCTION("""COMPUTED_VALUE"""),"Assistant Fish_Man
Karate Master")</f>
        <v>Assistant Fish_Man
Karate Master</v>
      </c>
      <c r="C199" s="113" t="str">
        <f>IFERROR(__xludf.DUMMYFUNCTION("""COMPUTED_VALUE"""),"")</f>
        <v/>
      </c>
      <c r="D199" s="109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E199" s="110" t="str">
        <f>IFERROR(__xludf.DUMMYFUNCTION("""COMPUTED_VALUE"""),"Dressrosa
Revolutionary Army
Fish_Man Karate")</f>
        <v>Dressrosa
Revolutionary Army
Fish_Man Karate</v>
      </c>
      <c r="F199" s="111" t="str">
        <f>IFERROR(__xludf.DUMMYFUNCTION("""COMPUTED_VALUE"""),"Ace
(Land of Wano)")</f>
        <v>Ace
(Land of Wano)</v>
      </c>
      <c r="G199" s="111" t="str">
        <f>IFERROR(__xludf.DUMMYFUNCTION("""COMPUTED_VALUE"""),"")</f>
        <v/>
      </c>
      <c r="H199" s="111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I199" s="112" t="str">
        <f>IFERROR(__xludf.DUMMYFUNCTION("""COMPUTED_VALUE"""),"Land of Wano
Logia
Captain
Blood Brothers")</f>
        <v>Land of Wano
Logia
Captain
Blood Brothers</v>
      </c>
      <c r="J199" s="101"/>
    </row>
    <row r="200" ht="75.0" customHeight="1">
      <c r="A200" s="101"/>
      <c r="B200" s="111" t="str">
        <f>IFERROR(__xludf.DUMMYFUNCTION("""COMPUTED_VALUE"""),"Carrot")</f>
        <v>Carrot</v>
      </c>
      <c r="C200" s="113" t="str">
        <f>IFERROR(__xludf.DUMMYFUNCTION("""COMPUTED_VALUE"""),"")</f>
        <v/>
      </c>
      <c r="D200" s="109" t="str">
        <f>IFERROR(__xludf.DUMMYFUNCTION("""COMPUTED_VALUE"""),"When your HP is 70% or more: Boost capture speed by 8%.")</f>
        <v>When your HP is 70% or more: Boost capture speed by 8%.</v>
      </c>
      <c r="E200" s="110" t="str">
        <f>IFERROR(__xludf.DUMMYFUNCTION("""COMPUTED_VALUE"""),"Zou / Whole Cake Island
Mokomo Dukedom Musketeer
Kingsbird
Minks")</f>
        <v>Zou / Whole Cake Island
Mokomo Dukedom Musketeer
Kingsbird
Minks</v>
      </c>
      <c r="F200" s="111" t="str">
        <f>IFERROR(__xludf.DUMMYFUNCTION("""COMPUTED_VALUE"""),"Kikunojo
(Child)")</f>
        <v>Kikunojo
(Child)</v>
      </c>
      <c r="G200" s="111" t="str">
        <f>IFERROR(__xludf.DUMMYFUNCTION("""COMPUTED_VALUE"""),"")</f>
        <v/>
      </c>
      <c r="H200" s="111" t="str">
        <f>IFERROR(__xludf.DUMMYFUNCTION("""COMPUTED_VALUE"""),"When Critical occurs: Recover HP by 2%.")</f>
        <v>When Critical occurs: Recover HP by 2%.</v>
      </c>
      <c r="I200" s="112" t="str">
        <f>IFERROR(__xludf.DUMMYFUNCTION("""COMPUTED_VALUE"""),"Land of Wano
Kozuki Clan / Kozuki Clan Servant
Child")</f>
        <v>Land of Wano
Kozuki Clan / Kozuki Clan Servant
Child</v>
      </c>
      <c r="J200" s="101"/>
    </row>
    <row r="201" ht="75.0" customHeight="1">
      <c r="A201" s="101"/>
      <c r="B201" s="111" t="str">
        <f>IFERROR(__xludf.DUMMYFUNCTION("""COMPUTED_VALUE"""),"Tremor_Tremor")</f>
        <v>Tremor_Tremor</v>
      </c>
      <c r="C201" s="113" t="str">
        <f>IFERROR(__xludf.DUMMYFUNCTION("""COMPUTED_VALUE"""),"")</f>
        <v/>
      </c>
      <c r="D201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01" s="110" t="str">
        <f>IFERROR(__xludf.DUMMYFUNCTION("""COMPUTED_VALUE"""),"Whitebeard Pirates
Paramecia
Captain
Former Rocks Pirates")</f>
        <v>Whitebeard Pirates
Paramecia
Captain
Former Rocks Pirates</v>
      </c>
      <c r="F201" s="111" t="str">
        <f>IFERROR(__xludf.DUMMYFUNCTION("""COMPUTED_VALUE"""),"Izo
(Child)")</f>
        <v>Izo
(Child)</v>
      </c>
      <c r="G201" s="111" t="str">
        <f>IFERROR(__xludf.DUMMYFUNCTION("""COMPUTED_VALUE"""),"")</f>
        <v/>
      </c>
      <c r="H201" s="111" t="str">
        <f>IFERROR(__xludf.DUMMYFUNCTION("""COMPUTED_VALUE"""),"When Critical occurs: Reduce the cooldown time of Skill 1 by 3%.")</f>
        <v>When Critical occurs: Reduce the cooldown time of Skill 1 by 3%.</v>
      </c>
      <c r="I201" s="112" t="str">
        <f>IFERROR(__xludf.DUMMYFUNCTION("""COMPUTED_VALUE"""),"Land of Wano
Kozuki Clan / Kozuki Clan Servant
Child")</f>
        <v>Land of Wano
Kozuki Clan / Kozuki Clan Servant
Child</v>
      </c>
      <c r="J201" s="101"/>
    </row>
    <row r="202" ht="75.0" customHeight="1">
      <c r="A202" s="101"/>
      <c r="B202" s="111" t="str">
        <f>IFERROR(__xludf.DUMMYFUNCTION("""COMPUTED_VALUE"""),"Hero")</f>
        <v>Hero</v>
      </c>
      <c r="C202" s="113" t="str">
        <f>IFERROR(__xludf.DUMMYFUNCTION("""COMPUTED_VALUE"""),"")</f>
        <v/>
      </c>
      <c r="D202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02" s="110" t="str">
        <f>IFERROR(__xludf.DUMMYFUNCTION("""COMPUTED_VALUE"""),"Navy")</f>
        <v>Navy</v>
      </c>
      <c r="F202" s="111" t="str">
        <f>IFERROR(__xludf.DUMMYFUNCTION("""COMPUTED_VALUE"""),"Buggy
(Child)")</f>
        <v>Buggy
(Child)</v>
      </c>
      <c r="G202" s="111" t="str">
        <f>IFERROR(__xludf.DUMMYFUNCTION("""COMPUTED_VALUE"""),"")</f>
        <v/>
      </c>
      <c r="H202" s="111" t="str">
        <f>IFERROR(__xludf.DUMMYFUNCTION("""COMPUTED_VALUE"""),"When performing a Perfect Dodge: CRIT Boosted by 90% for 20 second(s).")</f>
        <v>When performing a Perfect Dodge: CRIT Boosted by 90% for 20 second(s).</v>
      </c>
      <c r="I202" s="112" t="str">
        <f>IFERROR(__xludf.DUMMYFUNCTION("""COMPUTED_VALUE"""),"Paramecia
Child
Roger Pirates / Ex_Roger Pirates")</f>
        <v>Paramecia
Child
Roger Pirates / Ex_Roger Pirates</v>
      </c>
      <c r="J202" s="101"/>
    </row>
    <row r="203" ht="75.0" customHeight="1">
      <c r="A203" s="101"/>
      <c r="B203" s="111" t="str">
        <f>IFERROR(__xludf.DUMMYFUNCTION("""COMPUTED_VALUE"""),"Ashura Doji")</f>
        <v>Ashura Doji</v>
      </c>
      <c r="C203" s="113" t="str">
        <f>IFERROR(__xludf.DUMMYFUNCTION("""COMPUTED_VALUE"""),"")</f>
        <v/>
      </c>
      <c r="D203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03" s="110" t="str">
        <f>IFERROR(__xludf.DUMMYFUNCTION("""COMPUTED_VALUE"""),"Land of Wano
Kozuki Clan / Kozuki Clan Servant")</f>
        <v>Land of Wano
Kozuki Clan / Kozuki Clan Servant</v>
      </c>
      <c r="F203" s="111" t="str">
        <f>IFERROR(__xludf.DUMMYFUNCTION("""COMPUTED_VALUE"""),"Shanks
(Child)")</f>
        <v>Shanks
(Child)</v>
      </c>
      <c r="G203" s="111" t="str">
        <f>IFERROR(__xludf.DUMMYFUNCTION("""COMPUTED_VALUE"""),"")</f>
        <v/>
      </c>
      <c r="H203" s="111" t="str">
        <f>IFERROR(__xludf.DUMMYFUNCTION("""COMPUTED_VALUE"""),"When in the area around your enemy`s Treasure: Reduce damage recieved by 5%.")</f>
        <v>When in the area around your enemy`s Treasure: Reduce damage recieved by 5%.</v>
      </c>
      <c r="I203" s="112" t="str">
        <f>IFERROR(__xludf.DUMMYFUNCTION("""COMPUTED_VALUE"""),"Child
Roger Pirates / Ex_Roger Pirates")</f>
        <v>Child
Roger Pirates / Ex_Roger Pirates</v>
      </c>
      <c r="J203" s="101"/>
    </row>
    <row r="204" ht="75.0" customHeight="1">
      <c r="A204" s="101"/>
      <c r="B204" s="111" t="str">
        <f>IFERROR(__xludf.DUMMYFUNCTION("""COMPUTED_VALUE"""),"Napping Kyoshiro")</f>
        <v>Napping Kyoshiro</v>
      </c>
      <c r="C204" s="113" t="str">
        <f>IFERROR(__xludf.DUMMYFUNCTION("""COMPUTED_VALUE"""),"")</f>
        <v/>
      </c>
      <c r="D204" s="109" t="str">
        <f>IFERROR(__xludf.DUMMYFUNCTION("""COMPUTED_VALUE"""),"When your HP is 70% or more: Boost capture speed by 8%.")</f>
        <v>When your HP is 70% or more: Boost capture speed by 8%.</v>
      </c>
      <c r="E204" s="110" t="str">
        <f>IFERROR(__xludf.DUMMYFUNCTION("""COMPUTED_VALUE"""),"Land of Wano")</f>
        <v>Land of Wano</v>
      </c>
      <c r="F204" s="111" t="str">
        <f>IFERROR(__xludf.DUMMYFUNCTION("""COMPUTED_VALUE"""),"Praline")</f>
        <v>Praline</v>
      </c>
      <c r="G204" s="111" t="str">
        <f>IFERROR(__xludf.DUMMYFUNCTION("""COMPUTED_VALUE"""),"")</f>
        <v/>
      </c>
      <c r="H204" s="111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I204" s="112" t="str">
        <f>IFERROR(__xludf.DUMMYFUNCTION("""COMPUTED_VALUE"""),"Zou / Whole Cake Island
Charlotte Family
Sun Pirates")</f>
        <v>Zou / Whole Cake Island
Charlotte Family
Sun Pirates</v>
      </c>
      <c r="J204" s="101"/>
    </row>
    <row r="205" ht="75.0" customHeight="1">
      <c r="A205" s="101"/>
      <c r="B205" s="111" t="str">
        <f>IFERROR(__xludf.DUMMYFUNCTION("""COMPUTED_VALUE"""),"Roger")</f>
        <v>Roger</v>
      </c>
      <c r="C205" s="113" t="str">
        <f>IFERROR(__xludf.DUMMYFUNCTION("""COMPUTED_VALUE"""),"")</f>
        <v/>
      </c>
      <c r="D205" s="109" t="str">
        <f>IFERROR(__xludf.DUMMYFUNCTION("""COMPUTED_VALUE"""),"After KOing an enemy: Reduce the cooldown time of Skill 1 by 8%.")</f>
        <v>After KOing an enemy: Reduce the cooldown time of Skill 1 by 8%.</v>
      </c>
      <c r="E205" s="110" t="str">
        <f>IFERROR(__xludf.DUMMYFUNCTION("""COMPUTED_VALUE"""),"Captain
Roger Pirates / Ex_Roger Pirates")</f>
        <v>Captain
Roger Pirates / Ex_Roger Pirates</v>
      </c>
      <c r="F205" s="111" t="str">
        <f>IFERROR(__xludf.DUMMYFUNCTION("""COMPUTED_VALUE"""),"Aladdin")</f>
        <v>Aladdin</v>
      </c>
      <c r="G205" s="111" t="str">
        <f>IFERROR(__xludf.DUMMYFUNCTION("""COMPUTED_VALUE"""),"")</f>
        <v/>
      </c>
      <c r="H205" s="111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I205" s="112" t="str">
        <f>IFERROR(__xludf.DUMMYFUNCTION("""COMPUTED_VALUE"""),"Zou / Whole Cake Island
Doctor
Sun Pirates")</f>
        <v>Zou / Whole Cake Island
Doctor
Sun Pirates</v>
      </c>
      <c r="J205" s="101"/>
    </row>
    <row r="206" ht="75.0" customHeight="1">
      <c r="A206" s="101"/>
      <c r="B206" s="111" t="str">
        <f>IFERROR(__xludf.DUMMYFUNCTION("""COMPUTED_VALUE"""),"Chopperemon")</f>
        <v>Chopperemon</v>
      </c>
      <c r="C206" s="113" t="str">
        <f>IFERROR(__xludf.DUMMYFUNCTION("""COMPUTED_VALUE"""),"")</f>
        <v/>
      </c>
      <c r="D206" s="109" t="str">
        <f>IFERROR(__xludf.DUMMYFUNCTION("""COMPUTED_VALUE"""),"When you capture the Treasure: Reduce the cooldown time of Skill 1 by 5%.")</f>
        <v>When you capture the Treasure: Reduce the cooldown time of Skill 1 by 5%.</v>
      </c>
      <c r="E206" s="110" t="str">
        <f>IFERROR(__xludf.DUMMYFUNCTION("""COMPUTED_VALUE"""),"Land of Wano
Straw Hat Pirates
Zoan
Doctor
Ninja")</f>
        <v>Land of Wano
Straw Hat Pirates
Zoan
Doctor
Ninja</v>
      </c>
      <c r="F206" s="111" t="str">
        <f>IFERROR(__xludf.DUMMYFUNCTION("""COMPUTED_VALUE"""),"Pedro
(Whole Cake Island)")</f>
        <v>Pedro
(Whole Cake Island)</v>
      </c>
      <c r="G206" s="111" t="str">
        <f>IFERROR(__xludf.DUMMYFUNCTION("""COMPUTED_VALUE"""),"")</f>
        <v/>
      </c>
      <c r="H206" s="111" t="str">
        <f>IFERROR(__xludf.DUMMYFUNCTION("""COMPUTED_VALUE"""),"When inflicted with Shock by enemies: Reduce the cooldown time of Skill 1 by 4%.")</f>
        <v>When inflicted with Shock by enemies: Reduce the cooldown time of Skill 1 by 4%.</v>
      </c>
      <c r="I206" s="112" t="str">
        <f>IFERROR(__xludf.DUMMYFUNCTION("""COMPUTED_VALUE"""),"Zou / Whole Cake Island
Minks")</f>
        <v>Zou / Whole Cake Island
Minks</v>
      </c>
      <c r="J206" s="101"/>
    </row>
    <row r="207" ht="75.0" customHeight="1">
      <c r="A207" s="101"/>
      <c r="B207" s="111" t="str">
        <f>IFERROR(__xludf.DUMMYFUNCTION("""COMPUTED_VALUE"""),"Kawamatsu")</f>
        <v>Kawamatsu</v>
      </c>
      <c r="C207" s="113" t="str">
        <f>IFERROR(__xludf.DUMMYFUNCTION("""COMPUTED_VALUE"""),"")</f>
        <v/>
      </c>
      <c r="D207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207" s="110" t="str">
        <f>IFERROR(__xludf.DUMMYFUNCTION("""COMPUTED_VALUE"""),"Land of Wano
Kozuki Clan / Kozuki Clan Servant
Fish_Man")</f>
        <v>Land of Wano
Kozuki Clan / Kozuki Clan Servant
Fish_Man</v>
      </c>
      <c r="F207" s="111" t="str">
        <f>IFERROR(__xludf.DUMMYFUNCTION("""COMPUTED_VALUE"""),"Chopper
(Whole Cake Island)")</f>
        <v>Chopper
(Whole Cake Island)</v>
      </c>
      <c r="G207" s="111" t="str">
        <f>IFERROR(__xludf.DUMMYFUNCTION("""COMPUTED_VALUE"""),"")</f>
        <v/>
      </c>
      <c r="H207" s="111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I207" s="112" t="str">
        <f>IFERROR(__xludf.DUMMYFUNCTION("""COMPUTED_VALUE"""),"Zou / Whole Cake Island
Straw Hat Pirates
Zoan
Doctor")</f>
        <v>Zou / Whole Cake Island
Straw Hat Pirates
Zoan
Doctor</v>
      </c>
      <c r="J207" s="101"/>
    </row>
    <row r="208" ht="75.0" customHeight="1">
      <c r="A208" s="101"/>
      <c r="B208" s="111" t="str">
        <f>IFERROR(__xludf.DUMMYFUNCTION("""COMPUTED_VALUE"""),"Kikunojo")</f>
        <v>Kikunojo</v>
      </c>
      <c r="C208" s="113" t="str">
        <f>IFERROR(__xludf.DUMMYFUNCTION("""COMPUTED_VALUE"""),"")</f>
        <v/>
      </c>
      <c r="D208" s="109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E208" s="110" t="str">
        <f>IFERROR(__xludf.DUMMYFUNCTION("""COMPUTED_VALUE"""),"Land of Wano
Kozuki Clan / Kozuki Clan Servant")</f>
        <v>Land of Wano
Kozuki Clan / Kozuki Clan Servant</v>
      </c>
      <c r="F208" s="111" t="str">
        <f>IFERROR(__xludf.DUMMYFUNCTION("""COMPUTED_VALUE"""),"Land of the Dead")</f>
        <v>Land of the Dead</v>
      </c>
      <c r="G208" s="111" t="str">
        <f>IFERROR(__xludf.DUMMYFUNCTION("""COMPUTED_VALUE"""),"")</f>
        <v/>
      </c>
      <c r="H208" s="111" t="str">
        <f>IFERROR(__xludf.DUMMYFUNCTION("""COMPUTED_VALUE"""),"When your team has more Treasure secured: Reduce damage recieved by 3%.")</f>
        <v>When your team has more Treasure secured: Reduce damage recieved by 3%.</v>
      </c>
      <c r="I208" s="112" t="str">
        <f>IFERROR(__xludf.DUMMYFUNCTION("""COMPUTED_VALUE"""),"Punk Hazard
Logia")</f>
        <v>Punk Hazard
Logia</v>
      </c>
      <c r="J208" s="101"/>
    </row>
    <row r="209" ht="75.0" customHeight="1">
      <c r="A209" s="101"/>
      <c r="B209" s="111" t="str">
        <f>IFERROR(__xludf.DUMMYFUNCTION("""COMPUTED_VALUE"""),"Kozuki Oden")</f>
        <v>Kozuki Oden</v>
      </c>
      <c r="C209" s="113" t="str">
        <f>IFERROR(__xludf.DUMMYFUNCTION("""COMPUTED_VALUE"""),"")</f>
        <v/>
      </c>
      <c r="D209" s="109" t="str">
        <f>IFERROR(__xludf.DUMMYFUNCTION("""COMPUTED_VALUE"""),"When your HP is 70% or more: Reduce damage recieved by 5%.")</f>
        <v>When your HP is 70% or more: Reduce damage recieved by 5%.</v>
      </c>
      <c r="E209" s="110" t="str">
        <f>IFERROR(__xludf.DUMMYFUNCTION("""COMPUTED_VALUE"""),"Whitebeard Pirates
Kozuki Clan / Kozuki Clan Servant
Whitebeard Pirates Commander
Roger Pirates / Ex_Roger Pirates")</f>
        <v>Whitebeard Pirates
Kozuki Clan / Kozuki Clan Servant
Whitebeard Pirates Commander
Roger Pirates / Ex_Roger Pirates</v>
      </c>
      <c r="F209" s="111" t="str">
        <f>IFERROR(__xludf.DUMMYFUNCTION("""COMPUTED_VALUE"""),"Counter_Shock")</f>
        <v>Counter_Shock</v>
      </c>
      <c r="G209" s="111" t="str">
        <f>IFERROR(__xludf.DUMMYFUNCTION("""COMPUTED_VALUE"""),"")</f>
        <v/>
      </c>
      <c r="H209" s="111" t="str">
        <f>IFERROR(__xludf.DUMMYFUNCTION("""COMPUTED_VALUE"""),"After KOing an enemy: Reduce the cooldown time of Skill 2 by 8%.")</f>
        <v>After KOing an enemy: Reduce the cooldown time of Skill 2 by 8%.</v>
      </c>
      <c r="I209" s="112" t="str">
        <f>IFERROR(__xludf.DUMMYFUNCTION("""COMPUTED_VALUE"""),"Punk Hazard
The Seven Warlords of the Sea / Former Warlords of the Sea
Paramecia
Captain
Worst Generation
Heart Pirates")</f>
        <v>Punk Hazard
The Seven Warlords of the Sea / Former Warlords of the Sea
Paramecia
Captain
Worst Generation
Heart Pirates</v>
      </c>
      <c r="J209" s="101"/>
    </row>
    <row r="210" ht="75.0" customHeight="1">
      <c r="A210" s="101"/>
      <c r="B210" s="111" t="str">
        <f>IFERROR(__xludf.DUMMYFUNCTION("""COMPUTED_VALUE"""),"Cross Fire")</f>
        <v>Cross Fire</v>
      </c>
      <c r="C210" s="113" t="str">
        <f>IFERROR(__xludf.DUMMYFUNCTION("""COMPUTED_VALUE"""),"")</f>
        <v/>
      </c>
      <c r="D210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10" s="110" t="str">
        <f>IFERROR(__xludf.DUMMYFUNCTION("""COMPUTED_VALUE"""),"Whitebeard Pirates
Logia
Whitebeard Pirates Commander
Blood Brothers")</f>
        <v>Whitebeard Pirates
Logia
Whitebeard Pirates Commander
Blood Brothers</v>
      </c>
      <c r="F210" s="111" t="str">
        <f>IFERROR(__xludf.DUMMYFUNCTION("""COMPUTED_VALUE"""),"Dellinger")</f>
        <v>Dellinger</v>
      </c>
      <c r="G210" s="111" t="str">
        <f>IFERROR(__xludf.DUMMYFUNCTION("""COMPUTED_VALUE"""),"")</f>
        <v/>
      </c>
      <c r="H210" s="111" t="str">
        <f>IFERROR(__xludf.DUMMYFUNCTION("""COMPUTED_VALUE"""),"When your team loses the Treasure: CRIT Boosted by 90% for 20 second(s).")</f>
        <v>When your team loses the Treasure: CRIT Boosted by 90% for 20 second(s).</v>
      </c>
      <c r="I210" s="112" t="str">
        <f>IFERROR(__xludf.DUMMYFUNCTION("""COMPUTED_VALUE"""),"Dressrosa
Diamante Army
Don Quixote Family")</f>
        <v>Dressrosa
Diamante Army
Don Quixote Family</v>
      </c>
      <c r="J210" s="101"/>
    </row>
    <row r="211" ht="75.0" customHeight="1">
      <c r="A211" s="101"/>
      <c r="B211" s="111" t="str">
        <f>IFERROR(__xludf.DUMMYFUNCTION("""COMPUTED_VALUE"""),"Sky Walk")</f>
        <v>Sky Walk</v>
      </c>
      <c r="C211" s="113" t="str">
        <f>IFERROR(__xludf.DUMMYFUNCTION("""COMPUTED_VALUE"""),"")</f>
        <v/>
      </c>
      <c r="D211" s="109" t="str">
        <f>IFERROR(__xludf.DUMMYFUNCTION("""COMPUTED_VALUE"""),"When your HP is 70% or more: Boost capture speed by 8%.")</f>
        <v>When your HP is 70% or more: Boost capture speed by 8%.</v>
      </c>
      <c r="E211" s="110" t="str">
        <f>IFERROR(__xludf.DUMMYFUNCTION("""COMPUTED_VALUE"""),"Zou / Whole Cake Island
Straw Hat Pirates
Cook
Royalty / Former Royalty")</f>
        <v>Zou / Whole Cake Island
Straw Hat Pirates
Cook
Royalty / Former Royalty</v>
      </c>
      <c r="F211" s="111" t="str">
        <f>IFERROR(__xludf.DUMMYFUNCTION("""COMPUTED_VALUE"""),"Diamante")</f>
        <v>Diamante</v>
      </c>
      <c r="G211" s="111" t="str">
        <f>IFERROR(__xludf.DUMMYFUNCTION("""COMPUTED_VALUE"""),"")</f>
        <v/>
      </c>
      <c r="H211" s="111" t="str">
        <f>IFERROR(__xludf.DUMMYFUNCTION("""COMPUTED_VALUE"""),"When Critical occurs: Reduce the cooldown time of Skill 2 by 3%.")</f>
        <v>When Critical occurs: Reduce the cooldown time of Skill 2 by 3%.</v>
      </c>
      <c r="I211" s="112" t="str">
        <f>IFERROR(__xludf.DUMMYFUNCTION("""COMPUTED_VALUE"""),"Dressrosa
Paramecia
Diamante Army
Don Quixote Family")</f>
        <v>Dressrosa
Paramecia
Diamante Army
Don Quixote Family</v>
      </c>
      <c r="J211" s="101"/>
    </row>
    <row r="212" ht="75.0" customHeight="1">
      <c r="A212" s="101"/>
      <c r="B212" s="111" t="str">
        <f>IFERROR(__xludf.DUMMYFUNCTION("""COMPUTED_VALUE"""),"The Billion_Fold World Trichiliocosm")</f>
        <v>The Billion_Fold World Trichiliocosm</v>
      </c>
      <c r="C212" s="113" t="str">
        <f>IFERROR(__xludf.DUMMYFUNCTION("""COMPUTED_VALUE"""),"")</f>
        <v/>
      </c>
      <c r="D212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12" s="110" t="str">
        <f>IFERROR(__xludf.DUMMYFUNCTION("""COMPUTED_VALUE"""),"Dressrosa
Straw Hat Pirates
Combatant
Worst Generation")</f>
        <v>Dressrosa
Straw Hat Pirates
Combatant
Worst Generation</v>
      </c>
      <c r="F212" s="111" t="str">
        <f>IFERROR(__xludf.DUMMYFUNCTION("""COMPUTED_VALUE"""),"Buffalo")</f>
        <v>Buffalo</v>
      </c>
      <c r="G212" s="111" t="str">
        <f>IFERROR(__xludf.DUMMYFUNCTION("""COMPUTED_VALUE"""),"")</f>
        <v/>
      </c>
      <c r="H212" s="111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I212" s="112" t="str">
        <f>IFERROR(__xludf.DUMMYFUNCTION("""COMPUTED_VALUE"""),"Dressrosa
Paramecia
Pica Army
Don Quixote Family")</f>
        <v>Dressrosa
Paramecia
Pica Army
Don Quixote Family</v>
      </c>
      <c r="J212" s="101"/>
    </row>
    <row r="213" ht="75.0" customHeight="1">
      <c r="A213" s="101"/>
      <c r="B213" s="111" t="str">
        <f>IFERROR(__xludf.DUMMYFUNCTION("""COMPUTED_VALUE"""),"Fire_Fist Pistol Red Hawk")</f>
        <v>Fire_Fist Pistol Red Hawk</v>
      </c>
      <c r="C213" s="113" t="str">
        <f>IFERROR(__xludf.DUMMYFUNCTION("""COMPUTED_VALUE"""),"")</f>
        <v/>
      </c>
      <c r="D213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13" s="110" t="str">
        <f>IFERROR(__xludf.DUMMYFUNCTION("""COMPUTED_VALUE"""),"Dressrosa
Straw Hat Pirates
Paramecia
Captain
Worst Generation
Blood Brothers")</f>
        <v>Dressrosa
Straw Hat Pirates
Paramecia
Captain
Worst Generation
Blood Brothers</v>
      </c>
      <c r="F213" s="111" t="str">
        <f>IFERROR(__xludf.DUMMYFUNCTION("""COMPUTED_VALUE"""),"Pica")</f>
        <v>Pica</v>
      </c>
      <c r="G213" s="111" t="str">
        <f>IFERROR(__xludf.DUMMYFUNCTION("""COMPUTED_VALUE"""),"")</f>
        <v/>
      </c>
      <c r="H213" s="111" t="str">
        <f>IFERROR(__xludf.DUMMYFUNCTION("""COMPUTED_VALUE"""),"When in the area around your captured Treasure: Increase damage dealt by 5%.")</f>
        <v>When in the area around your captured Treasure: Increase damage dealt by 5%.</v>
      </c>
      <c r="I213" s="112" t="str">
        <f>IFERROR(__xludf.DUMMYFUNCTION("""COMPUTED_VALUE"""),"Dressrosa
Paramecia
Pica Army
Don Quixote Family")</f>
        <v>Dressrosa
Paramecia
Pica Army
Don Quixote Family</v>
      </c>
      <c r="J213" s="101"/>
    </row>
    <row r="214" ht="75.0" customHeight="1">
      <c r="A214" s="101"/>
      <c r="B214" s="111" t="str">
        <f>IFERROR(__xludf.DUMMYFUNCTION("""COMPUTED_VALUE"""),"Kin``emon")</f>
        <v>Kin``emon</v>
      </c>
      <c r="C214" s="113" t="str">
        <f>IFERROR(__xludf.DUMMYFUNCTION("""COMPUTED_VALUE"""),"")</f>
        <v/>
      </c>
      <c r="D214" s="109" t="str">
        <f>IFERROR(__xludf.DUMMYFUNCTION("""COMPUTED_VALUE"""),"When your HP is 70% or more: Reduce damage recieved by 5%.")</f>
        <v>When your HP is 70% or more: Reduce damage recieved by 5%.</v>
      </c>
      <c r="E214" s="110" t="str">
        <f>IFERROR(__xludf.DUMMYFUNCTION("""COMPUTED_VALUE"""),"Land of Wano
Paramecia
Kozuki Clan / Kozuki Clan Servant")</f>
        <v>Land of Wano
Paramecia
Kozuki Clan / Kozuki Clan Servant</v>
      </c>
      <c r="F214" s="111" t="str">
        <f>IFERROR(__xludf.DUMMYFUNCTION("""COMPUTED_VALUE"""),"Izo
(Paramount War)")</f>
        <v>Izo
(Paramount War)</v>
      </c>
      <c r="G214" s="111" t="str">
        <f>IFERROR(__xludf.DUMMYFUNCTION("""COMPUTED_VALUE"""),"")</f>
        <v/>
      </c>
      <c r="H214" s="111" t="str">
        <f>IFERROR(__xludf.DUMMYFUNCTION("""COMPUTED_VALUE"""),"When Respawned: SPD Boosted by 4% for 20 second(s).")</f>
        <v>When Respawned: SPD Boosted by 4% for 20 second(s).</v>
      </c>
      <c r="I214" s="112" t="str">
        <f>IFERROR(__xludf.DUMMYFUNCTION("""COMPUTED_VALUE"""),"The Paramount War at Marineford
Whitebeard Pirates")</f>
        <v>The Paramount War at Marineford
Whitebeard Pirates</v>
      </c>
      <c r="J214" s="101"/>
    </row>
    <row r="215" ht="75.0" customHeight="1">
      <c r="A215" s="101"/>
      <c r="B215" s="111" t="str">
        <f>IFERROR(__xludf.DUMMYFUNCTION("""COMPUTED_VALUE"""),"Pheasant Peck")</f>
        <v>Pheasant Peck</v>
      </c>
      <c r="C215" s="113" t="str">
        <f>IFERROR(__xludf.DUMMYFUNCTION("""COMPUTED_VALUE"""),"")</f>
        <v/>
      </c>
      <c r="D215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15" s="110" t="str">
        <f>IFERROR(__xludf.DUMMYFUNCTION("""COMPUTED_VALUE"""),"Punk Hazard
Logia")</f>
        <v>Punk Hazard
Logia</v>
      </c>
      <c r="F215" s="111" t="str">
        <f>IFERROR(__xludf.DUMMYFUNCTION("""COMPUTED_VALUE"""),"Vista
(Paramount War)")</f>
        <v>Vista
(Paramount War)</v>
      </c>
      <c r="G215" s="111" t="str">
        <f>IFERROR(__xludf.DUMMYFUNCTION("""COMPUTED_VALUE"""),"")</f>
        <v/>
      </c>
      <c r="H215" s="111" t="str">
        <f>IFERROR(__xludf.DUMMYFUNCTION("""COMPUTED_VALUE"""),"After KOing an enemy: CRIT Boosted by 120% for 20 second(s).")</f>
        <v>After KOing an enemy: CRIT Boosted by 120% for 20 second(s).</v>
      </c>
      <c r="I215" s="112" t="str">
        <f>IFERROR(__xludf.DUMMYFUNCTION("""COMPUTED_VALUE"""),"The Paramount War at Marineford
Whitebeard Pirates")</f>
        <v>The Paramount War at Marineford
Whitebeard Pirates</v>
      </c>
      <c r="J215" s="101"/>
    </row>
    <row r="216" ht="75.0" customHeight="1">
      <c r="A216" s="101"/>
      <c r="B216" s="111" t="str">
        <f>IFERROR(__xludf.DUMMYFUNCTION("""COMPUTED_VALUE"""),"Smoker
(Chambres)")</f>
        <v>Smoker
(Chambres)</v>
      </c>
      <c r="C216" s="113" t="str">
        <f>IFERROR(__xludf.DUMMYFUNCTION("""COMPUTED_VALUE"""),"")</f>
        <v/>
      </c>
      <c r="D216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216" s="110" t="str">
        <f>IFERROR(__xludf.DUMMYFUNCTION("""COMPUTED_VALUE"""),"Punk Hazard
Navy
Vice Admiral
Chambres")</f>
        <v>Punk Hazard
Navy
Vice Admiral
Chambres</v>
      </c>
      <c r="F216" s="111" t="str">
        <f>IFERROR(__xludf.DUMMYFUNCTION("""COMPUTED_VALUE"""),"Ronin")</f>
        <v>Ronin</v>
      </c>
      <c r="G216" s="111" t="str">
        <f>IFERROR(__xludf.DUMMYFUNCTION("""COMPUTED_VALUE"""),"")</f>
        <v/>
      </c>
      <c r="H216" s="111" t="str">
        <f>IFERROR(__xludf.DUMMYFUNCTION("""COMPUTED_VALUE"""),"When an ally is KO`d (not including you): Reduce the cooldown time of Skill 1 by 4%.")</f>
        <v>When an ally is KO`d (not including you): Reduce the cooldown time of Skill 1 by 4%.</v>
      </c>
      <c r="I216" s="112" t="str">
        <f>IFERROR(__xludf.DUMMYFUNCTION("""COMPUTED_VALUE"""),"Land of Wano
Straw Hat Pirates
Combatant
Worst Generation")</f>
        <v>Land of Wano
Straw Hat Pirates
Combatant
Worst Generation</v>
      </c>
      <c r="J216" s="101"/>
    </row>
    <row r="217" ht="75.0" customHeight="1">
      <c r="A217" s="101"/>
      <c r="B217" s="111" t="str">
        <f>IFERROR(__xludf.DUMMYFUNCTION("""COMPUTED_VALUE"""),"Spiky Shadow Iizard")</f>
        <v>Spiky Shadow Iizard</v>
      </c>
      <c r="C217" s="113" t="str">
        <f>IFERROR(__xludf.DUMMYFUNCTION("""COMPUTED_VALUE"""),"")</f>
        <v/>
      </c>
      <c r="D217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217" s="110" t="str">
        <f>IFERROR(__xludf.DUMMYFUNCTION("""COMPUTED_VALUE"""),"The Paramount War at Marineford
The Seven Warlords of the Sea / Former Warlords of the Sea
Paramecia
Captain
Thriller Bark Pirates")</f>
        <v>The Paramount War at Marineford
The Seven Warlords of the Sea / Former Warlords of the Sea
Paramecia
Captain
Thriller Bark Pirates</v>
      </c>
      <c r="F217" s="111" t="str">
        <f>IFERROR(__xludf.DUMMYFUNCTION("""COMPUTED_VALUE"""),"Soba Cart Cook")</f>
        <v>Soba Cart Cook</v>
      </c>
      <c r="G217" s="111" t="str">
        <f>IFERROR(__xludf.DUMMYFUNCTION("""COMPUTED_VALUE"""),"")</f>
        <v/>
      </c>
      <c r="H217" s="111" t="str">
        <f>IFERROR(__xludf.DUMMYFUNCTION("""COMPUTED_VALUE"""),"When Critical occurs: Recover HP by 3%.")</f>
        <v>When Critical occurs: Recover HP by 3%.</v>
      </c>
      <c r="I217" s="112" t="str">
        <f>IFERROR(__xludf.DUMMYFUNCTION("""COMPUTED_VALUE"""),"Land of Wano
Straw Hat Pirates
Cook")</f>
        <v>Land of Wano
Straw Hat Pirates
Cook</v>
      </c>
      <c r="J217" s="101"/>
    </row>
    <row r="218" ht="75.0" customHeight="1">
      <c r="A218" s="101"/>
      <c r="B218" s="111" t="str">
        <f>IFERROR(__xludf.DUMMYFUNCTION("""COMPUTED_VALUE"""),"Crescent Cutlass")</f>
        <v>Crescent Cutlass</v>
      </c>
      <c r="C218" s="113" t="str">
        <f>IFERROR(__xludf.DUMMYFUNCTION("""COMPUTED_VALUE"""),"")</f>
        <v/>
      </c>
      <c r="D218" s="109" t="str">
        <f>IFERROR(__xludf.DUMMYFUNCTION("""COMPUTED_VALUE"""),"When your HP is 70% or more: Boost capture speed by 8%.")</f>
        <v>When your HP is 70% or more: Boost capture speed by 8%.</v>
      </c>
      <c r="E218" s="110" t="str">
        <f>IFERROR(__xludf.DUMMYFUNCTION("""COMPUTED_VALUE"""),"The Paramount War at Marineford
Logia
The Seven Warlords of the Sea / Former Warlords of the Sea")</f>
        <v>The Paramount War at Marineford
Logia
The Seven Warlords of the Sea / Former Warlords of the Sea</v>
      </c>
      <c r="F218" s="111" t="str">
        <f>IFERROR(__xludf.DUMMYFUNCTION("""COMPUTED_VALUE"""),"Chaka")</f>
        <v>Chaka</v>
      </c>
      <c r="G218" s="111" t="str">
        <f>IFERROR(__xludf.DUMMYFUNCTION("""COMPUTED_VALUE"""),"")</f>
        <v/>
      </c>
      <c r="H218" s="111" t="str">
        <f>IFERROR(__xludf.DUMMYFUNCTION("""COMPUTED_VALUE"""),"When Critical occurs: Reduce the cooldown time of Skill 1 by 2%.")</f>
        <v>When Critical occurs: Reduce the cooldown time of Skill 1 by 2%.</v>
      </c>
      <c r="I218" s="112" t="str">
        <f>IFERROR(__xludf.DUMMYFUNCTION("""COMPUTED_VALUE"""),"Alabasta
Zoan
Alabasta Kingdom")</f>
        <v>Alabasta
Zoan
Alabasta Kingdom</v>
      </c>
      <c r="J218" s="101"/>
    </row>
    <row r="219" ht="75.0" customHeight="1">
      <c r="A219" s="101"/>
      <c r="B219" s="111" t="str">
        <f>IFERROR(__xludf.DUMMYFUNCTION("""COMPUTED_VALUE"""),"Negative Ghost")</f>
        <v>Negative Ghost</v>
      </c>
      <c r="C219" s="113" t="str">
        <f>IFERROR(__xludf.DUMMYFUNCTION("""COMPUTED_VALUE"""),"")</f>
        <v/>
      </c>
      <c r="D219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219" s="110" t="str">
        <f>IFERROR(__xludf.DUMMYFUNCTION("""COMPUTED_VALUE"""),"Paramecia
Thriller Bark Pirates")</f>
        <v>Paramecia
Thriller Bark Pirates</v>
      </c>
      <c r="F219" s="111" t="str">
        <f>IFERROR(__xludf.DUMMYFUNCTION("""COMPUTED_VALUE"""),"Cobra")</f>
        <v>Cobra</v>
      </c>
      <c r="G219" s="111" t="str">
        <f>IFERROR(__xludf.DUMMYFUNCTION("""COMPUTED_VALUE"""),"")</f>
        <v/>
      </c>
      <c r="H219" s="111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I219" s="112" t="str">
        <f>IFERROR(__xludf.DUMMYFUNCTION("""COMPUTED_VALUE"""),"Alabasta
Royalty / Former Royalty
Alabasta Kingdom")</f>
        <v>Alabasta
Royalty / Former Royalty
Alabasta Kingdom</v>
      </c>
      <c r="J219" s="101"/>
    </row>
    <row r="220" ht="75.0" customHeight="1">
      <c r="A220" s="101"/>
      <c r="B220" s="111" t="str">
        <f>IFERROR(__xludf.DUMMYFUNCTION("""COMPUTED_VALUE"""),"Perfume Femur")</f>
        <v>Perfume Femur</v>
      </c>
      <c r="C220" s="113" t="str">
        <f>IFERROR(__xludf.DUMMYFUNCTION("""COMPUTED_VALUE"""),"")</f>
        <v/>
      </c>
      <c r="D220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20" s="110" t="str">
        <f>IFERROR(__xludf.DUMMYFUNCTION("""COMPUTED_VALUE"""),"Sabaody Archipelago / Island of Women
The Seven Warlords of the Sea / Former Warlords of the Sea
Kuja Pirates
Paramecia
Captain
Gorgon Sisters")</f>
        <v>Sabaody Archipelago / Island of Women
The Seven Warlords of the Sea / Former Warlords of the Sea
Kuja Pirates
Paramecia
Captain
Gorgon Sisters</v>
      </c>
      <c r="F220" s="111" t="str">
        <f>IFERROR(__xludf.DUMMYFUNCTION("""COMPUTED_VALUE"""),"Ms. Doublefinger")</f>
        <v>Ms. Doublefinger</v>
      </c>
      <c r="G220" s="111" t="str">
        <f>IFERROR(__xludf.DUMMYFUNCTION("""COMPUTED_VALUE"""),"")</f>
        <v/>
      </c>
      <c r="H220" s="111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I220" s="112" t="str">
        <f>IFERROR(__xludf.DUMMYFUNCTION("""COMPUTED_VALUE"""),"Alabasta
Baroque Works
Paramecia
Officer Agent")</f>
        <v>Alabasta
Baroque Works
Paramecia
Officer Agent</v>
      </c>
      <c r="J220" s="101"/>
    </row>
    <row r="221" ht="75.0" customHeight="1">
      <c r="A221" s="101"/>
      <c r="B221" s="111" t="str">
        <f>IFERROR(__xludf.DUMMYFUNCTION("""COMPUTED_VALUE"""),"The Master Swordman")</f>
        <v>The Master Swordman</v>
      </c>
      <c r="C221" s="113" t="str">
        <f>IFERROR(__xludf.DUMMYFUNCTION("""COMPUTED_VALUE"""),"")</f>
        <v/>
      </c>
      <c r="D221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221" s="110" t="str">
        <f>IFERROR(__xludf.DUMMYFUNCTION("""COMPUTED_VALUE"""),"The Seven Warlords of the Sea / Former Warlords of the Sea")</f>
        <v>The Seven Warlords of the Sea / Former Warlords of the Sea</v>
      </c>
      <c r="F221" s="111" t="str">
        <f>IFERROR(__xludf.DUMMYFUNCTION("""COMPUTED_VALUE"""),"Daz Bonez")</f>
        <v>Daz Bonez</v>
      </c>
      <c r="G221" s="111" t="str">
        <f>IFERROR(__xludf.DUMMYFUNCTION("""COMPUTED_VALUE"""),"")</f>
        <v/>
      </c>
      <c r="H221" s="111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I221" s="112" t="str">
        <f>IFERROR(__xludf.DUMMYFUNCTION("""COMPUTED_VALUE"""),"Alabasta
Baroque Works
Paramecia
Officer Agent
Bounty Hunter")</f>
        <v>Alabasta
Baroque Works
Paramecia
Officer Agent
Bounty Hunter</v>
      </c>
      <c r="J221" s="101"/>
    </row>
    <row r="222" ht="75.0" customHeight="1">
      <c r="A222" s="101"/>
      <c r="B222" s="111" t="str">
        <f>IFERROR(__xludf.DUMMYFUNCTION("""COMPUTED_VALUE"""),"Caesar")</f>
        <v>Caesar</v>
      </c>
      <c r="C222" s="113" t="str">
        <f>IFERROR(__xludf.DUMMYFUNCTION("""COMPUTED_VALUE"""),"")</f>
        <v/>
      </c>
      <c r="D222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22" s="110" t="str">
        <f>IFERROR(__xludf.DUMMYFUNCTION("""COMPUTED_VALUE"""),"Punk Hazard
Logia")</f>
        <v>Punk Hazard
Logia</v>
      </c>
      <c r="F222" s="111" t="str">
        <f>IFERROR(__xludf.DUMMYFUNCTION("""COMPUTED_VALUE"""),"Ms. Valentine")</f>
        <v>Ms. Valentine</v>
      </c>
      <c r="G222" s="111" t="str">
        <f>IFERROR(__xludf.DUMMYFUNCTION("""COMPUTED_VALUE"""),"")</f>
        <v/>
      </c>
      <c r="H222" s="111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I222" s="112" t="str">
        <f>IFERROR(__xludf.DUMMYFUNCTION("""COMPUTED_VALUE"""),"The Grand Line
Baroque Works
Paramecia
Officer Agent")</f>
        <v>The Grand Line
Baroque Works
Paramecia
Officer Agent</v>
      </c>
      <c r="J222" s="101"/>
    </row>
    <row r="223" ht="75.0" customHeight="1">
      <c r="A223" s="101"/>
      <c r="B223" s="111" t="str">
        <f>IFERROR(__xludf.DUMMYFUNCTION("""COMPUTED_VALUE"""),"Chop_Chop")</f>
        <v>Chop_Chop</v>
      </c>
      <c r="C223" s="113" t="str">
        <f>IFERROR(__xludf.DUMMYFUNCTION("""COMPUTED_VALUE"""),"")</f>
        <v/>
      </c>
      <c r="D223" s="109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E223" s="110" t="str">
        <f>IFERROR(__xludf.DUMMYFUNCTION("""COMPUTED_VALUE"""),"Buggy`s Delivery
The Seven Warlords of the Sea / Former Warlords of the Sea
Paramecia
Captain
Roger Pirates / Ex_Roger Pirates")</f>
        <v>Buggy`s Delivery
The Seven Warlords of the Sea / Former Warlords of the Sea
Paramecia
Captain
Roger Pirates / Ex_Roger Pirates</v>
      </c>
      <c r="F223" s="111" t="str">
        <f>IFERROR(__xludf.DUMMYFUNCTION("""COMPUTED_VALUE"""),"Mr. 5")</f>
        <v>Mr. 5</v>
      </c>
      <c r="G223" s="111" t="str">
        <f>IFERROR(__xludf.DUMMYFUNCTION("""COMPUTED_VALUE"""),"")</f>
        <v/>
      </c>
      <c r="H223" s="111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I223" s="112" t="str">
        <f>IFERROR(__xludf.DUMMYFUNCTION("""COMPUTED_VALUE"""),"The Grand Line
Baroque Works
Paramecia
Officer Agent")</f>
        <v>The Grand Line
Baroque Works
Paramecia
Officer Agent</v>
      </c>
      <c r="J223" s="101"/>
    </row>
    <row r="224" ht="75.0" customHeight="1">
      <c r="A224" s="101"/>
      <c r="B224" s="111" t="str">
        <f>IFERROR(__xludf.DUMMYFUNCTION("""COMPUTED_VALUE"""),"Buzz Cut Mochi")</f>
        <v>Buzz Cut Mochi</v>
      </c>
      <c r="C224" s="113" t="str">
        <f>IFERROR(__xludf.DUMMYFUNCTION("""COMPUTED_VALUE"""),"")</f>
        <v/>
      </c>
      <c r="D224" s="109" t="str">
        <f>IFERROR(__xludf.DUMMYFUNCTION("""COMPUTED_VALUE"""),"When your HP is 70% or more: Reduce damage recieved by 5%.")</f>
        <v>When your HP is 70% or more: Reduce damage recieved by 5%.</v>
      </c>
      <c r="E224" s="110" t="str">
        <f>IFERROR(__xludf.DUMMYFUNCTION("""COMPUTED_VALUE"""),"Zou / Whole Cake Island
Big Mom Pirates
Paramecia
Royalty / Former Royalty
``Sweet 3`` General
Charlotte Family")</f>
        <v>Zou / Whole Cake Island
Big Mom Pirates
Paramecia
Royalty / Former Royalty
``Sweet 3`` General
Charlotte Family</v>
      </c>
      <c r="F224" s="111" t="str">
        <f>IFERROR(__xludf.DUMMYFUNCTION("""COMPUTED_VALUE"""),"Bepo")</f>
        <v>Bepo</v>
      </c>
      <c r="G224" s="111" t="str">
        <f>IFERROR(__xludf.DUMMYFUNCTION("""COMPUTED_VALUE"""),"")</f>
        <v/>
      </c>
      <c r="H224" s="111" t="str">
        <f>IFERROR(__xludf.DUMMYFUNCTION("""COMPUTED_VALUE"""),"After KOing an enemy: Reduce the cooldown time of Skill 2 by 6%.")</f>
        <v>After KOing an enemy: Reduce the cooldown time of Skill 2 by 6%.</v>
      </c>
      <c r="I224" s="112" t="str">
        <f>IFERROR(__xludf.DUMMYFUNCTION("""COMPUTED_VALUE"""),"Land of Wano
Navigator
Minks
Heart Pirates")</f>
        <v>Land of Wano
Navigator
Minks
Heart Pirates</v>
      </c>
      <c r="J224" s="101"/>
    </row>
    <row r="225" ht="75.0" customHeight="1">
      <c r="A225" s="101"/>
      <c r="B225" s="111" t="str">
        <f>IFERROR(__xludf.DUMMYFUNCTION("""COMPUTED_VALUE"""),"Ikoku Sovereignty")</f>
        <v>Ikoku Sovereignty</v>
      </c>
      <c r="C225" s="113" t="str">
        <f>IFERROR(__xludf.DUMMYFUNCTION("""COMPUTED_VALUE"""),"")</f>
        <v/>
      </c>
      <c r="D225" s="109" t="str">
        <f>IFERROR(__xludf.DUMMYFUNCTION("""COMPUTED_VALUE"""),"When your HP is 70% or more: Boost capture speed by 8%.")</f>
        <v>When your HP is 70% or more: Boost capture speed by 8%.</v>
      </c>
      <c r="E225" s="110" t="str">
        <f>IFERROR(__xludf.DUMMYFUNCTION("""COMPUTED_VALUE"""),"Zou / Whole Cake Island
Big Mom Pirates
Paramecia
Captain
Royalty / Former Royalty
The Four Emperors
Charlotte Family
Former Rocks Pirates")</f>
        <v>Zou / Whole Cake Island
Big Mom Pirates
Paramecia
Captain
Royalty / Former Royalty
The Four Emperors
Charlotte Family
Former Rocks Pirates</v>
      </c>
      <c r="F225" s="111" t="str">
        <f>IFERROR(__xludf.DUMMYFUNCTION("""COMPUTED_VALUE"""),"Kid`s Partner")</f>
        <v>Kid`s Partner</v>
      </c>
      <c r="G225" s="111" t="str">
        <f>IFERROR(__xludf.DUMMYFUNCTION("""COMPUTED_VALUE"""),"")</f>
        <v/>
      </c>
      <c r="H225" s="111" t="str">
        <f>IFERROR(__xludf.DUMMYFUNCTION("""COMPUTED_VALUE"""),"When your HP is 70% or more: Reduce damage recieved by 5%.")</f>
        <v>When your HP is 70% or more: Reduce damage recieved by 5%.</v>
      </c>
      <c r="I225" s="112" t="str">
        <f>IFERROR(__xludf.DUMMYFUNCTION("""COMPUTED_VALUE"""),"Land of Wano
Kid Pirates
Combatant
Worst Generation")</f>
        <v>Land of Wano
Kid Pirates
Combatant
Worst Generation</v>
      </c>
      <c r="J225" s="101"/>
    </row>
    <row r="226" ht="75.0" customHeight="1">
      <c r="A226" s="101"/>
      <c r="B226" s="111" t="str">
        <f>IFERROR(__xludf.DUMMYFUNCTION("""COMPUTED_VALUE"""),"Corazon")</f>
        <v>Corazon</v>
      </c>
      <c r="C226" s="113" t="str">
        <f>IFERROR(__xludf.DUMMYFUNCTION("""COMPUTED_VALUE"""),"")</f>
        <v/>
      </c>
      <c r="D226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26" s="110" t="str">
        <f>IFERROR(__xludf.DUMMYFUNCTION("""COMPUTED_VALUE"""),"Navy
Paramecia
Don Quixote Family")</f>
        <v>Navy
Paramecia
Don Quixote Family</v>
      </c>
      <c r="F226" s="111" t="str">
        <f>IFERROR(__xludf.DUMMYFUNCTION("""COMPUTED_VALUE"""),"Heat_Heat")</f>
        <v>Heat_Heat</v>
      </c>
      <c r="G226" s="111" t="str">
        <f>IFERROR(__xludf.DUMMYFUNCTION("""COMPUTED_VALUE"""),"")</f>
        <v/>
      </c>
      <c r="H226" s="111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I226" s="112" t="str">
        <f>IFERROR(__xludf.DUMMYFUNCTION("""COMPUTED_VALUE"""),"Zou / Whole Cake Island
Big Mom Pirates
Paramecia
Charlotte Family")</f>
        <v>Zou / Whole Cake Island
Big Mom Pirates
Paramecia
Charlotte Family</v>
      </c>
      <c r="J226" s="101"/>
    </row>
    <row r="227" ht="75.0" customHeight="1">
      <c r="A227" s="101"/>
      <c r="B227" s="111" t="str">
        <f>IFERROR(__xludf.DUMMYFUNCTION("""COMPUTED_VALUE"""),"Rebecca")</f>
        <v>Rebecca</v>
      </c>
      <c r="C227" s="113" t="str">
        <f>IFERROR(__xludf.DUMMYFUNCTION("""COMPUTED_VALUE"""),"")</f>
        <v/>
      </c>
      <c r="D227" s="109" t="str">
        <f>IFERROR(__xludf.DUMMYFUNCTION("""COMPUTED_VALUE"""),"When performing a Perfect Dodge: Reduce the cooldown time of Skill 2 by 3%.")</f>
        <v>When performing a Perfect Dodge: Reduce the cooldown time of Skill 2 by 3%.</v>
      </c>
      <c r="E227" s="110" t="str">
        <f>IFERROR(__xludf.DUMMYFUNCTION("""COMPUTED_VALUE"""),"Dressrosa
Royalty / Former Royalty")</f>
        <v>Dressrosa
Royalty / Former Royalty</v>
      </c>
      <c r="F227" s="111" t="str">
        <f>IFERROR(__xludf.DUMMYFUNCTION("""COMPUTED_VALUE"""),"Puff_Puff")</f>
        <v>Puff_Puff</v>
      </c>
      <c r="G227" s="111" t="str">
        <f>IFERROR(__xludf.DUMMYFUNCTION("""COMPUTED_VALUE"""),"")</f>
        <v/>
      </c>
      <c r="H227" s="111" t="str">
        <f>IFERROR(__xludf.DUMMYFUNCTION("""COMPUTED_VALUE"""),"When your HP is 70% or more: Increase damage dealt by 5%.")</f>
        <v>When your HP is 70% or more: Increase damage dealt by 5%.</v>
      </c>
      <c r="I227" s="112" t="str">
        <f>IFERROR(__xludf.DUMMYFUNCTION("""COMPUTED_VALUE"""),"Zou / Whole Cake Island
Big Mom Pirates
Paramecia
Charlotte Family")</f>
        <v>Zou / Whole Cake Island
Big Mom Pirates
Paramecia
Charlotte Family</v>
      </c>
      <c r="J227" s="101"/>
    </row>
    <row r="228" ht="75.0" customHeight="1">
      <c r="A228" s="101"/>
      <c r="B228" s="111" t="str">
        <f>IFERROR(__xludf.DUMMYFUNCTION("""COMPUTED_VALUE"""),"Scalpel")</f>
        <v>Scalpel</v>
      </c>
      <c r="C228" s="113" t="str">
        <f>IFERROR(__xludf.DUMMYFUNCTION("""COMPUTED_VALUE"""),"")</f>
        <v/>
      </c>
      <c r="D228" s="109" t="str">
        <f>IFERROR(__xludf.DUMMYFUNCTION("""COMPUTED_VALUE"""),"When your HP is 70% or more: Boost capture speed by 8%.")</f>
        <v>When your HP is 70% or more: Boost capture speed by 8%.</v>
      </c>
      <c r="E228" s="110" t="str">
        <f>IFERROR(__xludf.DUMMYFUNCTION("""COMPUTED_VALUE"""),"Dressrosa
The Seven Warlords of the Sea / Former Warlords of the Sea
Paramecia
Captain
Worst Generation
Heart Pirates")</f>
        <v>Dressrosa
The Seven Warlords of the Sea / Former Warlords of the Sea
Paramecia
Captain
Worst Generation
Heart Pirates</v>
      </c>
      <c r="F228" s="111" t="str">
        <f>IFERROR(__xludf.DUMMYFUNCTION("""COMPUTED_VALUE"""),"Wanda")</f>
        <v>Wanda</v>
      </c>
      <c r="G228" s="111" t="str">
        <f>IFERROR(__xludf.DUMMYFUNCTION("""COMPUTED_VALUE"""),"")</f>
        <v/>
      </c>
      <c r="H228" s="111" t="str">
        <f>IFERROR(__xludf.DUMMYFUNCTION("""COMPUTED_VALUE"""),"When enemies are inflicted with Shock: SPD Boosted by 6% for 20 second(s).")</f>
        <v>When enemies are inflicted with Shock: SPD Boosted by 6% for 20 second(s).</v>
      </c>
      <c r="I228" s="112" t="str">
        <f>IFERROR(__xludf.DUMMYFUNCTION("""COMPUTED_VALUE"""),"Zou / Whole Cake Island
Mokomo Dukedom Musketeer
Kingsbird
Minks")</f>
        <v>Zou / Whole Cake Island
Mokomo Dukedom Musketeer
Kingsbird
Minks</v>
      </c>
      <c r="J228" s="101"/>
    </row>
    <row r="229" ht="75.0" customHeight="1">
      <c r="A229" s="101"/>
      <c r="B229" s="111" t="str">
        <f>IFERROR(__xludf.DUMMYFUNCTION("""COMPUTED_VALUE"""),"Mamaragan")</f>
        <v>Mamaragan</v>
      </c>
      <c r="C229" s="113" t="str">
        <f>IFERROR(__xludf.DUMMYFUNCTION("""COMPUTED_VALUE"""),"")</f>
        <v/>
      </c>
      <c r="D229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29" s="110" t="str">
        <f>IFERROR(__xludf.DUMMYFUNCTION("""COMPUTED_VALUE"""),"Sky Island / LRLL
God`s Army
Logia
Mantra")</f>
        <v>Sky Island / LRLL
God`s Army
Logia
Mantra</v>
      </c>
      <c r="F229" s="111" t="str">
        <f>IFERROR(__xludf.DUMMYFUNCTION("""COMPUTED_VALUE"""),"Shishilian")</f>
        <v>Shishilian</v>
      </c>
      <c r="G229" s="111" t="str">
        <f>IFERROR(__xludf.DUMMYFUNCTION("""COMPUTED_VALUE"""),"")</f>
        <v/>
      </c>
      <c r="H229" s="111" t="str">
        <f>IFERROR(__xludf.DUMMYFUNCTION("""COMPUTED_VALUE"""),"When attacking an enemy inflicted With Shock: Increase damage dealt by 5%.")</f>
        <v>When attacking an enemy inflicted With Shock: Increase damage dealt by 5%.</v>
      </c>
      <c r="I229" s="112" t="str">
        <f>IFERROR(__xludf.DUMMYFUNCTION("""COMPUTED_VALUE"""),"Zou / Whole Cake Island
Mokomo Dukedom Musketeer
Minks")</f>
        <v>Zou / Whole Cake Island
Mokomo Dukedom Musketeer
Minks</v>
      </c>
      <c r="J229" s="101"/>
    </row>
    <row r="230" ht="75.0" customHeight="1">
      <c r="A230" s="101"/>
      <c r="B230" s="111" t="str">
        <f>IFERROR(__xludf.DUMMYFUNCTION("""COMPUTED_VALUE"""),"Six King Pistol")</f>
        <v>Six King Pistol</v>
      </c>
      <c r="C230" s="113" t="str">
        <f>IFERROR(__xludf.DUMMYFUNCTION("""COMPUTED_VALUE"""),"")</f>
        <v/>
      </c>
      <c r="D230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30" s="110" t="str">
        <f>IFERROR(__xludf.DUMMYFUNCTION("""COMPUTED_VALUE"""),"Reverie
Cipher Pol
Zoan
Intelligence Agent
Six Powers")</f>
        <v>Reverie
Cipher Pol
Zoan
Intelligence Agent
Six Powers</v>
      </c>
      <c r="F230" s="111" t="str">
        <f>IFERROR(__xludf.DUMMYFUNCTION("""COMPUTED_VALUE"""),"Robiland")</f>
        <v>Robiland</v>
      </c>
      <c r="G230" s="111" t="str">
        <f>IFERROR(__xludf.DUMMYFUNCTION("""COMPUTED_VALUE"""),"")</f>
        <v/>
      </c>
      <c r="H230" s="111" t="str">
        <f>IFERROR(__xludf.DUMMYFUNCTION("""COMPUTED_VALUE"""),"When there are 60 seconds or less remaining: Boost the cooldown reduction speed of Skill 2 by 10%.")</f>
        <v>When there are 60 seconds or less remaining: Boost the cooldown reduction speed of Skill 2 by 10%.</v>
      </c>
      <c r="I230" s="112" t="str">
        <f>IFERROR(__xludf.DUMMYFUNCTION("""COMPUTED_VALUE"""),"Dressrosa
Straw Hat Pirates
Paramecia
Archaeologist")</f>
        <v>Dressrosa
Straw Hat Pirates
Paramecia
Archaeologist</v>
      </c>
      <c r="J230" s="101"/>
    </row>
    <row r="231" ht="75.0" customHeight="1">
      <c r="A231" s="101"/>
      <c r="B231" s="111" t="str">
        <f>IFERROR(__xludf.DUMMYFUNCTION("""COMPUTED_VALUE"""),"Sumo Slap")</f>
        <v>Sumo Slap</v>
      </c>
      <c r="C231" s="113" t="str">
        <f>IFERROR(__xludf.DUMMYFUNCTION("""COMPUTED_VALUE"""),"")</f>
        <v/>
      </c>
      <c r="D231" s="109" t="str">
        <f>IFERROR(__xludf.DUMMYFUNCTION("""COMPUTED_VALUE"""),"When in the Treasure Area: Increase damage dealt to Defenders by 5%.")</f>
        <v>When in the Treasure Area: Increase damage dealt to Defenders by 5%.</v>
      </c>
      <c r="E231" s="110" t="str">
        <f>IFERROR(__xludf.DUMMYFUNCTION("""COMPUTED_VALUE"""),"Land of Wano
Straw Hat Pirates
Paramecia
Captain
Worst Generation
Blood Brothers")</f>
        <v>Land of Wano
Straw Hat Pirates
Paramecia
Captain
Worst Generation
Blood Brothers</v>
      </c>
      <c r="F231" s="111" t="str">
        <f>IFERROR(__xludf.DUMMYFUNCTION("""COMPUTED_VALUE"""),"Lucy
(Luffy)")</f>
        <v>Lucy
(Luffy)</v>
      </c>
      <c r="G231" s="111" t="str">
        <f>IFERROR(__xludf.DUMMYFUNCTION("""COMPUTED_VALUE"""),"")</f>
        <v/>
      </c>
      <c r="H231" s="111" t="str">
        <f>IFERROR(__xludf.DUMMYFUNCTION("""COMPUTED_VALUE"""),"When you capture the Treasure: Recover HP by 5%.")</f>
        <v>When you capture the Treasure: Recover HP by 5%.</v>
      </c>
      <c r="I231" s="112" t="str">
        <f>IFERROR(__xludf.DUMMYFUNCTION("""COMPUTED_VALUE"""),"Dressrosa
Straw Hat Pirates
Paramecia
Captain
Worst Generation
Blood Brothers")</f>
        <v>Dressrosa
Straw Hat Pirates
Paramecia
Captain
Worst Generation
Blood Brothers</v>
      </c>
      <c r="J231" s="101"/>
    </row>
    <row r="232" ht="75.0" customHeight="1">
      <c r="A232" s="101"/>
      <c r="B232" s="111" t="str">
        <f>IFERROR(__xludf.DUMMYFUNCTION("""COMPUTED_VALUE"""),"Ninpo Iightning Blast")</f>
        <v>Ninpo Iightning Blast</v>
      </c>
      <c r="C232" s="113" t="str">
        <f>IFERROR(__xludf.DUMMYFUNCTION("""COMPUTED_VALUE"""),"")</f>
        <v/>
      </c>
      <c r="D232" s="109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E232" s="110" t="str">
        <f>IFERROR(__xludf.DUMMYFUNCTION("""COMPUTED_VALUE"""),"Land of Wano
Straw Hat Pirates
Navigator")</f>
        <v>Land of Wano
Straw Hat Pirates
Navigator</v>
      </c>
      <c r="F232" s="111" t="str">
        <f>IFERROR(__xludf.DUMMYFUNCTION("""COMPUTED_VALUE"""),"Pedro")</f>
        <v>Pedro</v>
      </c>
      <c r="G232" s="111" t="str">
        <f>IFERROR(__xludf.DUMMYFUNCTION("""COMPUTED_VALUE"""),"")</f>
        <v/>
      </c>
      <c r="H232" s="111" t="str">
        <f>IFERROR(__xludf.DUMMYFUNCTION("""COMPUTED_VALUE"""),"When you capture the Treasure: Reduce the cooldown time of Skill 1 by 5%.")</f>
        <v>When you capture the Treasure: Reduce the cooldown time of Skill 1 by 5%.</v>
      </c>
      <c r="I232" s="112" t="str">
        <f>IFERROR(__xludf.DUMMYFUNCTION("""COMPUTED_VALUE"""),"Zou / Whole Cake Island
Minks")</f>
        <v>Zou / Whole Cake Island
Minks</v>
      </c>
      <c r="J232" s="101"/>
    </row>
    <row r="233" ht="75.0" customHeight="1">
      <c r="A233" s="101"/>
      <c r="B233" s="111" t="str">
        <f>IFERROR(__xludf.DUMMYFUNCTION("""COMPUTED_VALUE"""),"Drake")</f>
        <v>Drake</v>
      </c>
      <c r="C233" s="113" t="str">
        <f>IFERROR(__xludf.DUMMYFUNCTION("""COMPUTED_VALUE"""),"")</f>
        <v/>
      </c>
      <c r="D233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33" s="110" t="str">
        <f>IFERROR(__xludf.DUMMYFUNCTION("""COMPUTED_VALUE"""),"Land of Wano
Animal Kingdom Pirates
Zoan
Tobi Roppo
Worst Generation")</f>
        <v>Land of Wano
Animal Kingdom Pirates
Zoan
Tobi Roppo
Worst Generation</v>
      </c>
      <c r="F233" s="111" t="str">
        <f>IFERROR(__xludf.DUMMYFUNCTION("""COMPUTED_VALUE"""),"Pekoms")</f>
        <v>Pekoms</v>
      </c>
      <c r="G233" s="111" t="str">
        <f>IFERROR(__xludf.DUMMYFUNCTION("""COMPUTED_VALUE"""),"")</f>
        <v/>
      </c>
      <c r="H233" s="111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I233" s="112" t="str">
        <f>IFERROR(__xludf.DUMMYFUNCTION("""COMPUTED_VALUE"""),"Zou / Whole Cake Island
Big Mom Pirates
Zoan
Combatant
Minks")</f>
        <v>Zou / Whole Cake Island
Big Mom Pirates
Zoan
Combatant
Minks</v>
      </c>
      <c r="J233" s="101"/>
    </row>
    <row r="234" ht="75.0" customHeight="1">
      <c r="A234" s="101"/>
      <c r="B234" s="111" t="str">
        <f>IFERROR(__xludf.DUMMYFUNCTION("""COMPUTED_VALUE"""),"Repel")</f>
        <v>Repel</v>
      </c>
      <c r="C234" s="113" t="str">
        <f>IFERROR(__xludf.DUMMYFUNCTION("""COMPUTED_VALUE"""),"")</f>
        <v/>
      </c>
      <c r="D234" s="109" t="str">
        <f>IFERROR(__xludf.DUMMYFUNCTION("""COMPUTED_VALUE"""),"When in the area around your captured Treasure: Increase damage dealt by 5%.")</f>
        <v>When in the area around your captured Treasure: Increase damage dealt by 5%.</v>
      </c>
      <c r="E234" s="110" t="str">
        <f>IFERROR(__xludf.DUMMYFUNCTION("""COMPUTED_VALUE"""),"Kid Pirates
Paramecia
Captain
Worst Generation")</f>
        <v>Kid Pirates
Paramecia
Captain
Worst Generation</v>
      </c>
      <c r="F234" s="111" t="str">
        <f>IFERROR(__xludf.DUMMYFUNCTION("""COMPUTED_VALUE"""),"Vice Admiral Tsuru")</f>
        <v>Vice Admiral Tsuru</v>
      </c>
      <c r="G234" s="111" t="str">
        <f>IFERROR(__xludf.DUMMYFUNCTION("""COMPUTED_VALUE"""),"")</f>
        <v/>
      </c>
      <c r="H234" s="111" t="str">
        <f>IFERROR(__xludf.DUMMYFUNCTION("""COMPUTED_VALUE"""),"When in the area around your enemy`s Treasure: Increase damage dealt by 3%.")</f>
        <v>When in the area around your enemy`s Treasure: Increase damage dealt by 3%.</v>
      </c>
      <c r="I234" s="112" t="str">
        <f>IFERROR(__xludf.DUMMYFUNCTION("""COMPUTED_VALUE"""),"Navy
Paramecia
Vice Admiral")</f>
        <v>Navy
Paramecia
Vice Admiral</v>
      </c>
      <c r="J234" s="101"/>
    </row>
    <row r="235" ht="75.0" customHeight="1">
      <c r="A235" s="101"/>
      <c r="B235" s="111" t="str">
        <f>IFERROR(__xludf.DUMMYFUNCTION("""COMPUTED_VALUE"""),"Killer")</f>
        <v>Killer</v>
      </c>
      <c r="C235" s="113" t="str">
        <f>IFERROR(__xludf.DUMMYFUNCTION("""COMPUTED_VALUE"""),"")</f>
        <v/>
      </c>
      <c r="D235" s="109" t="str">
        <f>IFERROR(__xludf.DUMMYFUNCTION("""COMPUTED_VALUE"""),"When your HP is 50% or less: Increase damage dealt by 3%.")</f>
        <v>When your HP is 50% or less: Increase damage dealt by 3%.</v>
      </c>
      <c r="E235" s="110" t="str">
        <f>IFERROR(__xludf.DUMMYFUNCTION("""COMPUTED_VALUE"""),"Kid Pirates
Combatant
Worst Generation")</f>
        <v>Kid Pirates
Combatant
Worst Generation</v>
      </c>
      <c r="F235" s="111" t="str">
        <f>IFERROR(__xludf.DUMMYFUNCTION("""COMPUTED_VALUE"""),"Admiral Sengoku")</f>
        <v>Admiral Sengoku</v>
      </c>
      <c r="G235" s="111" t="str">
        <f>IFERROR(__xludf.DUMMYFUNCTION("""COMPUTED_VALUE"""),"")</f>
        <v/>
      </c>
      <c r="H235" s="111" t="str">
        <f>IFERROR(__xludf.DUMMYFUNCTION("""COMPUTED_VALUE"""),"When performing a Perfect Dodge: Reduce the cooldown time of Skill 1 by 6%.")</f>
        <v>When performing a Perfect Dodge: Reduce the cooldown time of Skill 1 by 6%.</v>
      </c>
      <c r="I235" s="112" t="str">
        <f>IFERROR(__xludf.DUMMYFUNCTION("""COMPUTED_VALUE"""),"Navy
Zoan
Navy Admiral / Former Navy Admiral")</f>
        <v>Navy
Zoan
Navy Admiral / Former Navy Admiral</v>
      </c>
      <c r="J235" s="101"/>
    </row>
    <row r="236" ht="75.0" customHeight="1">
      <c r="A236" s="101"/>
      <c r="B236" s="111" t="str">
        <f>IFERROR(__xludf.DUMMYFUNCTION("""COMPUTED_VALUE"""),"Apoo")</f>
        <v>Apoo</v>
      </c>
      <c r="C236" s="113" t="str">
        <f>IFERROR(__xludf.DUMMYFUNCTION("""COMPUTED_VALUE"""),"")</f>
        <v/>
      </c>
      <c r="D236" s="109" t="str">
        <f>IFERROR(__xludf.DUMMYFUNCTION("""COMPUTED_VALUE"""),"When you capture the Treasure: Reduce the cooldown time of Skill 2 by 8%.")</f>
        <v>When you capture the Treasure: Reduce the cooldown time of Skill 2 by 8%.</v>
      </c>
      <c r="E236" s="110" t="str">
        <f>IFERROR(__xludf.DUMMYFUNCTION("""COMPUTED_VALUE"""),"Paramecia
Captain
Worst Generation")</f>
        <v>Paramecia
Captain
Worst Generation</v>
      </c>
      <c r="F236" s="111" t="str">
        <f>IFERROR(__xludf.DUMMYFUNCTION("""COMPUTED_VALUE"""),"Veteran Kunoichi")</f>
        <v>Veteran Kunoichi</v>
      </c>
      <c r="G236" s="111" t="str">
        <f>IFERROR(__xludf.DUMMYFUNCTION("""COMPUTED_VALUE"""),"")</f>
        <v/>
      </c>
      <c r="H236" s="111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I236" s="112" t="str">
        <f>IFERROR(__xludf.DUMMYFUNCTION("""COMPUTED_VALUE"""),"Land of Wano
Kozuki Clan / Kozuki Clan Servant
Ninja")</f>
        <v>Land of Wano
Kozuki Clan / Kozuki Clan Servant
Ninja</v>
      </c>
      <c r="J236" s="101"/>
    </row>
    <row r="237" ht="75.0" customHeight="1">
      <c r="A237" s="101"/>
      <c r="B237" s="111" t="str">
        <f>IFERROR(__xludf.DUMMYFUNCTION("""COMPUTED_VALUE"""),"Urouge")</f>
        <v>Urouge</v>
      </c>
      <c r="C237" s="113" t="str">
        <f>IFERROR(__xludf.DUMMYFUNCTION("""COMPUTED_VALUE"""),"")</f>
        <v/>
      </c>
      <c r="D237" s="109" t="str">
        <f>IFERROR(__xludf.DUMMYFUNCTION("""COMPUTED_VALUE"""),"When attacked by an enemy: Reduce the cooldown time of Skill 1 by 2%.")</f>
        <v>When attacked by an enemy: Reduce the cooldown time of Skill 1 by 2%.</v>
      </c>
      <c r="E237" s="110" t="str">
        <f>IFERROR(__xludf.DUMMYFUNCTION("""COMPUTED_VALUE"""),"Captain
Worst Generation")</f>
        <v>Captain
Worst Generation</v>
      </c>
      <c r="F237" s="111" t="str">
        <f>IFERROR(__xludf.DUMMYFUNCTION("""COMPUTED_VALUE"""),"Raizo of the Mist")</f>
        <v>Raizo of the Mist</v>
      </c>
      <c r="G237" s="111" t="str">
        <f>IFERROR(__xludf.DUMMYFUNCTION("""COMPUTED_VALUE"""),"")</f>
        <v/>
      </c>
      <c r="H237" s="111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I237" s="112" t="str">
        <f>IFERROR(__xludf.DUMMYFUNCTION("""COMPUTED_VALUE"""),"Land of Wano
Kozuki Clan / Kozuki Clan Servant
Ninja")</f>
        <v>Land of Wano
Kozuki Clan / Kozuki Clan Servant
Ninja</v>
      </c>
      <c r="J237" s="101"/>
    </row>
    <row r="238" ht="75.0" customHeight="1">
      <c r="A238" s="101"/>
      <c r="B238" s="111" t="str">
        <f>IFERROR(__xludf.DUMMYFUNCTION("""COMPUTED_VALUE"""),"Sengoku")</f>
        <v>Sengoku</v>
      </c>
      <c r="C238" s="113" t="str">
        <f>IFERROR(__xludf.DUMMYFUNCTION("""COMPUTED_VALUE"""),"")</f>
        <v/>
      </c>
      <c r="D238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38" s="110" t="str">
        <f>IFERROR(__xludf.DUMMYFUNCTION("""COMPUTED_VALUE"""),"The Paramount War at Marineford
Navy
Zoan
Fleet Admiral
Navy Admiral / Former Navy Admiral")</f>
        <v>The Paramount War at Marineford
Navy
Zoan
Fleet Admiral
Navy Admiral / Former Navy Admiral</v>
      </c>
      <c r="F238" s="111" t="str">
        <f>IFERROR(__xludf.DUMMYFUNCTION("""COMPUTED_VALUE"""),"The Strongest Creature")</f>
        <v>The Strongest Creature</v>
      </c>
      <c r="G238" s="111" t="str">
        <f>IFERROR(__xludf.DUMMYFUNCTION("""COMPUTED_VALUE"""),"")</f>
        <v/>
      </c>
      <c r="H238" s="111" t="str">
        <f>IFERROR(__xludf.DUMMYFUNCTION("""COMPUTED_VALUE"""),"When in the area around your enemy`s Treasure: Increase damage dealt by 5%.")</f>
        <v>When in the area around your enemy`s Treasure: Increase damage dealt by 5%.</v>
      </c>
      <c r="I238" s="112" t="str">
        <f>IFERROR(__xludf.DUMMYFUNCTION("""COMPUTED_VALUE"""),"Land of Wano
Animal Kingdom Pirates
Captain
The Four Emperors")</f>
        <v>Land of Wano
Animal Kingdom Pirates
Captain
The Four Emperors</v>
      </c>
      <c r="J238" s="101"/>
    </row>
    <row r="239" ht="75.0" customHeight="1">
      <c r="A239" s="101"/>
      <c r="B239" s="111" t="str">
        <f>IFERROR(__xludf.DUMMYFUNCTION("""COMPUTED_VALUE"""),"Rayleigh")</f>
        <v>Rayleigh</v>
      </c>
      <c r="C239" s="113" t="str">
        <f>IFERROR(__xludf.DUMMYFUNCTION("""COMPUTED_VALUE"""),"")</f>
        <v/>
      </c>
      <c r="D239" s="109" t="str">
        <f>IFERROR(__xludf.DUMMYFUNCTION("""COMPUTED_VALUE"""),"After KOing an enemy: Reduce the cooldown time of Skill 1 by 8%.")</f>
        <v>After KOing an enemy: Reduce the cooldown time of Skill 1 by 8%.</v>
      </c>
      <c r="E239" s="110" t="str">
        <f>IFERROR(__xludf.DUMMYFUNCTION("""COMPUTED_VALUE"""),"Sabaody Archipelago / Island of Women
Roger Pirates / Ex_Roger Pirates")</f>
        <v>Sabaody Archipelago / Island of Women
Roger Pirates / Ex_Roger Pirates</v>
      </c>
      <c r="F239" s="111" t="str">
        <f>IFERROR(__xludf.DUMMYFUNCTION("""COMPUTED_VALUE"""),"Hiyori")</f>
        <v>Hiyori</v>
      </c>
      <c r="G239" s="111" t="str">
        <f>IFERROR(__xludf.DUMMYFUNCTION("""COMPUTED_VALUE"""),"")</f>
        <v/>
      </c>
      <c r="H239" s="111" t="str">
        <f>IFERROR(__xludf.DUMMYFUNCTION("""COMPUTED_VALUE"""),"When you capture the Treasure: Reduce the cooldown time of Skill 2 by 5%.")</f>
        <v>When you capture the Treasure: Reduce the cooldown time of Skill 2 by 5%.</v>
      </c>
      <c r="I239" s="112" t="str">
        <f>IFERROR(__xludf.DUMMYFUNCTION("""COMPUTED_VALUE"""),"Land of Wano
Kozuki Clan / Kozuki Clan Servant")</f>
        <v>Land of Wano
Kozuki Clan / Kozuki Clan Servant</v>
      </c>
      <c r="J239" s="101"/>
    </row>
    <row r="240" ht="75.0" customHeight="1">
      <c r="A240" s="101"/>
      <c r="B240" s="111" t="str">
        <f>IFERROR(__xludf.DUMMYFUNCTION("""COMPUTED_VALUE"""),"King Cobra")</f>
        <v>King Cobra</v>
      </c>
      <c r="C240" s="113" t="str">
        <f>IFERROR(__xludf.DUMMYFUNCTION("""COMPUTED_VALUE"""),"")</f>
        <v/>
      </c>
      <c r="D240" s="109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E240" s="110" t="str">
        <f>IFERROR(__xludf.DUMMYFUNCTION("""COMPUTED_VALUE"""),"Zou / Whole Cake Island
Straw Hat Pirates
Paramecia
Captain
Worst Generation
Blood Brothers")</f>
        <v>Zou / Whole Cake Island
Straw Hat Pirates
Paramecia
Captain
Worst Generation
Blood Brothers</v>
      </c>
      <c r="F240" s="111" t="str">
        <f>IFERROR(__xludf.DUMMYFUNCTION("""COMPUTED_VALUE"""),"Momonosuke")</f>
        <v>Momonosuke</v>
      </c>
      <c r="G240" s="111" t="str">
        <f>IFERROR(__xludf.DUMMYFUNCTION("""COMPUTED_VALUE"""),"")</f>
        <v/>
      </c>
      <c r="H240" s="111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I240" s="112" t="str">
        <f>IFERROR(__xludf.DUMMYFUNCTION("""COMPUTED_VALUE"""),"Land of Wano
Kozuki Clan / Kozuki Clan Servant")</f>
        <v>Land of Wano
Kozuki Clan / Kozuki Clan Servant</v>
      </c>
      <c r="J240" s="101"/>
    </row>
    <row r="241" ht="75.0" customHeight="1">
      <c r="A241" s="101"/>
      <c r="B241" s="111" t="str">
        <f>IFERROR(__xludf.DUMMYFUNCTION("""COMPUTED_VALUE"""),"Ivankov")</f>
        <v>Ivankov</v>
      </c>
      <c r="C241" s="113" t="str">
        <f>IFERROR(__xludf.DUMMYFUNCTION("""COMPUTED_VALUE"""),"")</f>
        <v/>
      </c>
      <c r="D241" s="109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E241" s="110" t="str">
        <f>IFERROR(__xludf.DUMMYFUNCTION("""COMPUTED_VALUE"""),"Impel Down
Revolutionary Army
Paramecia
Royalty / Former Royalty
New Kama")</f>
        <v>Impel Down
Revolutionary Army
Paramecia
Royalty / Former Royalty
New Kama</v>
      </c>
      <c r="F241" s="111" t="str">
        <f>IFERROR(__xludf.DUMMYFUNCTION("""COMPUTED_VALUE"""),"Toad_Oil Salesman")</f>
        <v>Toad_Oil Salesman</v>
      </c>
      <c r="G241" s="111" t="str">
        <f>IFERROR(__xludf.DUMMYFUNCTION("""COMPUTED_VALUE"""),"")</f>
        <v/>
      </c>
      <c r="H241" s="111" t="str">
        <f>IFERROR(__xludf.DUMMYFUNCTION("""COMPUTED_VALUE"""),"When Critical occurs: Reduce the cooldown time of Skill 2 by 3%.")</f>
        <v>When Critical occurs: Reduce the cooldown time of Skill 2 by 3%.</v>
      </c>
      <c r="I241" s="112" t="str">
        <f>IFERROR(__xludf.DUMMYFUNCTION("""COMPUTED_VALUE"""),"Land of Wano
Straw Hat Pirates
Sharp Shooter")</f>
        <v>Land of Wano
Straw Hat Pirates
Sharp Shooter</v>
      </c>
      <c r="J241" s="101"/>
    </row>
    <row r="242" ht="75.0" customHeight="1">
      <c r="A242" s="101"/>
      <c r="B242" s="111" t="str">
        <f>IFERROR(__xludf.DUMMYFUNCTION("""COMPUTED_VALUE"""),"Magellan")</f>
        <v>Magellan</v>
      </c>
      <c r="C242" s="113" t="str">
        <f>IFERROR(__xludf.DUMMYFUNCTION("""COMPUTED_VALUE"""),"")</f>
        <v/>
      </c>
      <c r="D242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42" s="110" t="str">
        <f>IFERROR(__xludf.DUMMYFUNCTION("""COMPUTED_VALUE"""),"Impel Down
Paramecia")</f>
        <v>Impel Down
Paramecia</v>
      </c>
      <c r="F242" s="111" t="str">
        <f>IFERROR(__xludf.DUMMYFUNCTION("""COMPUTED_VALUE"""),"Carpenter")</f>
        <v>Carpenter</v>
      </c>
      <c r="G242" s="111" t="str">
        <f>IFERROR(__xludf.DUMMYFUNCTION("""COMPUTED_VALUE"""),"")</f>
        <v/>
      </c>
      <c r="H242" s="111" t="str">
        <f>IFERROR(__xludf.DUMMYFUNCTION("""COMPUTED_VALUE"""),"When performing a Perfect Dodge: CRIT Boosted by 80% for 20 second(s).")</f>
        <v>When performing a Perfect Dodge: CRIT Boosted by 80% for 20 second(s).</v>
      </c>
      <c r="I242" s="112" t="str">
        <f>IFERROR(__xludf.DUMMYFUNCTION("""COMPUTED_VALUE"""),"Land of Wano
Straw Hat Pirates
Ship Carpenter")</f>
        <v>Land of Wano
Straw Hat Pirates
Ship Carpenter</v>
      </c>
      <c r="J242" s="101"/>
    </row>
    <row r="243" ht="75.0" customHeight="1">
      <c r="A243" s="101"/>
      <c r="B243" s="111" t="str">
        <f>IFERROR(__xludf.DUMMYFUNCTION("""COMPUTED_VALUE"""),"Mad Dog of the Navy")</f>
        <v>Mad Dog of the Navy</v>
      </c>
      <c r="C243" s="113" t="str">
        <f>IFERROR(__xludf.DUMMYFUNCTION("""COMPUTED_VALUE"""),"")</f>
        <v/>
      </c>
      <c r="D243" s="109" t="str">
        <f>IFERROR(__xludf.DUMMYFUNCTION("""COMPUTED_VALUE"""),"When there are 60 seconds or less remaining: Increase damage dealt by 5%.")</f>
        <v>When there are 60 seconds or less remaining: Increase damage dealt by 5%.</v>
      </c>
      <c r="E243" s="110" t="str">
        <f>IFERROR(__xludf.DUMMYFUNCTION("""COMPUTED_VALUE"""),"Punk Hazard
Navy
Logia
Vice Admiral")</f>
        <v>Punk Hazard
Navy
Logia
Vice Admiral</v>
      </c>
      <c r="F243" s="111" t="str">
        <f>IFERROR(__xludf.DUMMYFUNCTION("""COMPUTED_VALUE"""),"Sanji
(Chambres)")</f>
        <v>Sanji
(Chambres)</v>
      </c>
      <c r="G243" s="111" t="str">
        <f>IFERROR(__xludf.DUMMYFUNCTION("""COMPUTED_VALUE"""),"")</f>
        <v/>
      </c>
      <c r="H243" s="111" t="str">
        <f>IFERROR(__xludf.DUMMYFUNCTION("""COMPUTED_VALUE"""),"When Critical occurs: Recover HP by 1%.")</f>
        <v>When Critical occurs: Recover HP by 1%.</v>
      </c>
      <c r="I243" s="112" t="str">
        <f>IFERROR(__xludf.DUMMYFUNCTION("""COMPUTED_VALUE"""),"Punk Hazard
Straw Hat Pirates
Cook
Chambres")</f>
        <v>Punk Hazard
Straw Hat Pirates
Cook
Chambres</v>
      </c>
      <c r="J243" s="101"/>
    </row>
    <row r="244" ht="75.0" customHeight="1">
      <c r="A244" s="101"/>
      <c r="B244" s="111" t="str">
        <f>IFERROR(__xludf.DUMMYFUNCTION("""COMPUTED_VALUE"""),"Cutting Mist")</f>
        <v>Cutting Mist</v>
      </c>
      <c r="C244" s="113" t="str">
        <f>IFERROR(__xludf.DUMMYFUNCTION("""COMPUTED_VALUE"""),"")</f>
        <v/>
      </c>
      <c r="D244" s="109" t="str">
        <f>IFERROR(__xludf.DUMMYFUNCTION("""COMPUTED_VALUE"""),"When your team has less Treasure secured: Boost the cooldown reduction speed of Skill 1 by 10%.")</f>
        <v>When your team has less Treasure secured: Boost the cooldown reduction speed of Skill 1 by 10%.</v>
      </c>
      <c r="E244" s="110" t="str">
        <f>IFERROR(__xludf.DUMMYFUNCTION("""COMPUTED_VALUE"""),"Punk Hazard
Navy
Navy Captain")</f>
        <v>Punk Hazard
Navy
Navy Captain</v>
      </c>
      <c r="F244" s="111" t="str">
        <f>IFERROR(__xludf.DUMMYFUNCTION("""COMPUTED_VALUE"""),"Tashigi
(Chambres)")</f>
        <v>Tashigi
(Chambres)</v>
      </c>
      <c r="G244" s="111" t="str">
        <f>IFERROR(__xludf.DUMMYFUNCTION("""COMPUTED_VALUE"""),"")</f>
        <v/>
      </c>
      <c r="H244" s="111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I244" s="112" t="str">
        <f>IFERROR(__xludf.DUMMYFUNCTION("""COMPUTED_VALUE"""),"Punk Hazard
Navy
Logia
Navy Captain
Chambres")</f>
        <v>Punk Hazard
Navy
Logia
Navy Captain
Chambres</v>
      </c>
      <c r="J244" s="101"/>
    </row>
    <row r="245" ht="75.0" customHeight="1">
      <c r="A245" s="101"/>
      <c r="B245" s="111" t="str">
        <f>IFERROR(__xludf.DUMMYFUNCTION("""COMPUTED_VALUE"""),"Hina")</f>
        <v>Hina</v>
      </c>
      <c r="C245" s="113" t="str">
        <f>IFERROR(__xludf.DUMMYFUNCTION("""COMPUTED_VALUE"""),"")</f>
        <v/>
      </c>
      <c r="D245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245" s="110" t="str">
        <f>IFERROR(__xludf.DUMMYFUNCTION("""COMPUTED_VALUE"""),"Reverie
Navy
Paramecia")</f>
        <v>Reverie
Navy
Paramecia</v>
      </c>
      <c r="F245" s="111" t="str">
        <f>IFERROR(__xludf.DUMMYFUNCTION("""COMPUTED_VALUE"""),"Marigold")</f>
        <v>Marigold</v>
      </c>
      <c r="G245" s="111" t="str">
        <f>IFERROR(__xludf.DUMMYFUNCTION("""COMPUTED_VALUE"""),"")</f>
        <v/>
      </c>
      <c r="H245" s="111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I245" s="112" t="str">
        <f>IFERROR(__xludf.DUMMYFUNCTION("""COMPUTED_VALUE"""),"Sabaody Archipelago / Island of Women
Kuja Pirates
Zoan
Gorgon Sisters")</f>
        <v>Sabaody Archipelago / Island of Women
Kuja Pirates
Zoan
Gorgon Sisters</v>
      </c>
      <c r="J245" s="101"/>
    </row>
    <row r="246" ht="75.0" customHeight="1">
      <c r="A246" s="101"/>
      <c r="B246" s="111" t="str">
        <f>IFERROR(__xludf.DUMMYFUNCTION("""COMPUTED_VALUE"""),"The Demon Heir")</f>
        <v>The Demon Heir</v>
      </c>
      <c r="C246" s="113" t="str">
        <f>IFERROR(__xludf.DUMMYFUNCTION("""COMPUTED_VALUE"""),"")</f>
        <v/>
      </c>
      <c r="D246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246" s="110" t="str">
        <f>IFERROR(__xludf.DUMMYFUNCTION("""COMPUTED_VALUE"""),"STAMPEDE
Paramecia
Roger Pirates / Ex_Roger Pirates")</f>
        <v>STAMPEDE
Paramecia
Roger Pirates / Ex_Roger Pirates</v>
      </c>
      <c r="F246" s="111" t="str">
        <f>IFERROR(__xludf.DUMMYFUNCTION("""COMPUTED_VALUE"""),"Sandersonia")</f>
        <v>Sandersonia</v>
      </c>
      <c r="G246" s="111" t="str">
        <f>IFERROR(__xludf.DUMMYFUNCTION("""COMPUTED_VALUE"""),"")</f>
        <v/>
      </c>
      <c r="H246" s="111" t="str">
        <f>IFERROR(__xludf.DUMMYFUNCTION("""COMPUTED_VALUE"""),"After KOing an enemy: Reduce the cooldown time of Skill 2 by 8%.")</f>
        <v>After KOing an enemy: Reduce the cooldown time of Skill 2 by 8%.</v>
      </c>
      <c r="I246" s="112" t="str">
        <f>IFERROR(__xludf.DUMMYFUNCTION("""COMPUTED_VALUE"""),"Sabaody Archipelago / Island of Women
Kuja Pirates
Zoan
Gorgon Sisters")</f>
        <v>Sabaody Archipelago / Island of Women
Kuja Pirates
Zoan
Gorgon Sisters</v>
      </c>
      <c r="J246" s="101"/>
    </row>
    <row r="247" ht="75.0" customHeight="1">
      <c r="A247" s="101"/>
      <c r="B247" s="111" t="str">
        <f>IFERROR(__xludf.DUMMYFUNCTION("""COMPUTED_VALUE"""),"Fire Bird")</f>
        <v>Fire Bird</v>
      </c>
      <c r="C247" s="113" t="str">
        <f>IFERROR(__xludf.DUMMYFUNCTION("""COMPUTED_VALUE"""),"")</f>
        <v/>
      </c>
      <c r="D247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47" s="110" t="str">
        <f>IFERROR(__xludf.DUMMYFUNCTION("""COMPUTED_VALUE"""),"Water 7 / Enies Lobby
Straw Hat Pirates
Sharp Shooter")</f>
        <v>Water 7 / Enies Lobby
Straw Hat Pirates
Sharp Shooter</v>
      </c>
      <c r="F247" s="111" t="str">
        <f>IFERROR(__xludf.DUMMYFUNCTION("""COMPUTED_VALUE"""),"Iron Mace")</f>
        <v>Iron Mace</v>
      </c>
      <c r="G247" s="111" t="str">
        <f>IFERROR(__xludf.DUMMYFUNCTION("""COMPUTED_VALUE"""),"")</f>
        <v/>
      </c>
      <c r="H247" s="111" t="str">
        <f>IFERROR(__xludf.DUMMYFUNCTION("""COMPUTED_VALUE"""),"After KOing an enemy: Reduce the cooldown time of Skill 1 by 6%.")</f>
        <v>After KOing an enemy: Reduce the cooldown time of Skill 1 by 6%.</v>
      </c>
      <c r="I247" s="112" t="str">
        <f>IFERROR(__xludf.DUMMYFUNCTION("""COMPUTED_VALUE"""),"Buggy`s Delivery
Paramecia")</f>
        <v>Buggy`s Delivery
Paramecia</v>
      </c>
      <c r="J247" s="101"/>
    </row>
    <row r="248" ht="75.0" customHeight="1">
      <c r="A248" s="101"/>
      <c r="B248" s="111" t="str">
        <f>IFERROR(__xludf.DUMMYFUNCTION("""COMPUTED_VALUE"""),"Kaku")</f>
        <v>Kaku</v>
      </c>
      <c r="C248" s="113" t="str">
        <f>IFERROR(__xludf.DUMMYFUNCTION("""COMPUTED_VALUE"""),"")</f>
        <v/>
      </c>
      <c r="D248" s="109" t="str">
        <f>IFERROR(__xludf.DUMMYFUNCTION("""COMPUTED_VALUE"""),"When using Skill 1: SPD Boosted by 6% for 20 second(s).")</f>
        <v>When using Skill 1: SPD Boosted by 6% for 20 second(s).</v>
      </c>
      <c r="E248" s="110" t="str">
        <f>IFERROR(__xludf.DUMMYFUNCTION("""COMPUTED_VALUE"""),"Water 7 / Enies Lobby
Cipher Pol
Zoan
Intelligence Agent
Six Powers")</f>
        <v>Water 7 / Enies Lobby
Cipher Pol
Zoan
Intelligence Agent
Six Powers</v>
      </c>
      <c r="F248" s="111" t="str">
        <f>IFERROR(__xludf.DUMMYFUNCTION("""COMPUTED_VALUE"""),"Loan Shark")</f>
        <v>Loan Shark</v>
      </c>
      <c r="G248" s="111" t="str">
        <f>IFERROR(__xludf.DUMMYFUNCTION("""COMPUTED_VALUE"""),"")</f>
        <v/>
      </c>
      <c r="H248" s="111" t="str">
        <f>IFERROR(__xludf.DUMMYFUNCTION("""COMPUTED_VALUE"""),"When in the area around your enemy`s Treasure: Increase damage dealt by 5%.")</f>
        <v>When in the area around your enemy`s Treasure: Increase damage dealt by 5%.</v>
      </c>
      <c r="I248" s="112" t="str">
        <f>IFERROR(__xludf.DUMMYFUNCTION("""COMPUTED_VALUE"""),"Buggy`s Delivery
Paramecia")</f>
        <v>Buggy`s Delivery
Paramecia</v>
      </c>
      <c r="J248" s="101"/>
    </row>
    <row r="249" ht="75.0" customHeight="1">
      <c r="A249" s="101"/>
      <c r="B249" s="111" t="str">
        <f>IFERROR(__xludf.DUMMYFUNCTION("""COMPUTED_VALUE"""),"Lucci")</f>
        <v>Lucci</v>
      </c>
      <c r="C249" s="113" t="str">
        <f>IFERROR(__xludf.DUMMYFUNCTION("""COMPUTED_VALUE"""),"")</f>
        <v/>
      </c>
      <c r="D249" s="109" t="str">
        <f>IFERROR(__xludf.DUMMYFUNCTION("""COMPUTED_VALUE"""),"When Critical occurs: Reduce the cooldown time of Skill 2 by 3%.")</f>
        <v>When Critical occurs: Reduce the cooldown time of Skill 2 by 3%.</v>
      </c>
      <c r="E249" s="110" t="str">
        <f>IFERROR(__xludf.DUMMYFUNCTION("""COMPUTED_VALUE"""),"Water 7 / Enies Lobby
Cipher Pol
Zoan
Intelligence Agent
Six Powers")</f>
        <v>Water 7 / Enies Lobby
Cipher Pol
Zoan
Intelligence Agent
Six Powers</v>
      </c>
      <c r="F249" s="111" t="str">
        <f>IFERROR(__xludf.DUMMYFUNCTION("""COMPUTED_VALUE"""),"Truly Favored Sister")</f>
        <v>Truly Favored Sister</v>
      </c>
      <c r="G249" s="111" t="str">
        <f>IFERROR(__xludf.DUMMYFUNCTION("""COMPUTED_VALUE"""),"")</f>
        <v/>
      </c>
      <c r="H249" s="111" t="str">
        <f>IFERROR(__xludf.DUMMYFUNCTION("""COMPUTED_VALUE"""),"When you capture the Treasure: Reduce the cooldown time of Skill 2 by 5%.")</f>
        <v>When you capture the Treasure: Reduce the cooldown time of Skill 2 by 5%.</v>
      </c>
      <c r="I249" s="112" t="str">
        <f>IFERROR(__xludf.DUMMYFUNCTION("""COMPUTED_VALUE"""),"Zou / Whole Cake Island
Big Mom Pirates
Charlotte Family")</f>
        <v>Zou / Whole Cake Island
Big Mom Pirates
Charlotte Family</v>
      </c>
      <c r="J249" s="101"/>
    </row>
    <row r="250" ht="75.0" customHeight="1">
      <c r="A250" s="101"/>
      <c r="B250" s="111" t="str">
        <f>IFERROR(__xludf.DUMMYFUNCTION("""COMPUTED_VALUE"""),"Flame Dragon King")</f>
        <v>Flame Dragon King</v>
      </c>
      <c r="C250" s="113" t="str">
        <f>IFERROR(__xludf.DUMMYFUNCTION("""COMPUTED_VALUE"""),"")</f>
        <v/>
      </c>
      <c r="D250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50" s="110" t="str">
        <f>IFERROR(__xludf.DUMMYFUNCTION("""COMPUTED_VALUE"""),"Dressrosa
Revolutionary Army
Logia
Chief of Staff
Blood Brothers")</f>
        <v>Dressrosa
Revolutionary Army
Logia
Chief of Staff
Blood Brothers</v>
      </c>
      <c r="F250" s="111" t="str">
        <f>IFERROR(__xludf.DUMMYFUNCTION("""COMPUTED_VALUE"""),"Mirror_Mirror")</f>
        <v>Mirror_Mirror</v>
      </c>
      <c r="G250" s="111" t="str">
        <f>IFERROR(__xludf.DUMMYFUNCTION("""COMPUTED_VALUE"""),"")</f>
        <v/>
      </c>
      <c r="H250" s="111" t="str">
        <f>IFERROR(__xludf.DUMMYFUNCTION("""COMPUTED_VALUE"""),"When performing a Perfect Dodge: Reduce the cooldown time of Skill 1 by 6%.")</f>
        <v>When performing a Perfect Dodge: Reduce the cooldown time of Skill 1 by 6%.</v>
      </c>
      <c r="I250" s="112" t="str">
        <f>IFERROR(__xludf.DUMMYFUNCTION("""COMPUTED_VALUE"""),"Zou / Whole Cake Island
Big Mom Pirates
Paramecia
Charlotte Family")</f>
        <v>Zou / Whole Cake Island
Big Mom Pirates
Paramecia
Charlotte Family</v>
      </c>
      <c r="J250" s="101"/>
    </row>
    <row r="251" ht="75.0" customHeight="1">
      <c r="A251" s="101"/>
      <c r="B251" s="111" t="str">
        <f>IFERROR(__xludf.DUMMYFUNCTION("""COMPUTED_VALUE"""),"Fujitora")</f>
        <v>Fujitora</v>
      </c>
      <c r="C251" s="113" t="str">
        <f>IFERROR(__xludf.DUMMYFUNCTION("""COMPUTED_VALUE"""),"")</f>
        <v/>
      </c>
      <c r="D251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51" s="110" t="str">
        <f>IFERROR(__xludf.DUMMYFUNCTION("""COMPUTED_VALUE"""),"Dressrosa
Navy
Paramecia
Navy Admiral / Former Navy Admiral")</f>
        <v>Dressrosa
Navy
Paramecia
Navy Admiral / Former Navy Admiral</v>
      </c>
      <c r="F251" s="111" t="str">
        <f>IFERROR(__xludf.DUMMYFUNCTION("""COMPUTED_VALUE"""),"Hobby_Hobby")</f>
        <v>Hobby_Hobby</v>
      </c>
      <c r="G251" s="111" t="str">
        <f>IFERROR(__xludf.DUMMYFUNCTION("""COMPUTED_VALUE"""),"")</f>
        <v/>
      </c>
      <c r="H251" s="111" t="str">
        <f>IFERROR(__xludf.DUMMYFUNCTION("""COMPUTED_VALUE"""),"When your HP is 70% or more: Reduce damage recieved by 3%.")</f>
        <v>When your HP is 70% or more: Reduce damage recieved by 3%.</v>
      </c>
      <c r="I251" s="112" t="str">
        <f>IFERROR(__xludf.DUMMYFUNCTION("""COMPUTED_VALUE"""),"Dressrosa
Paramecia
Don Quixote Family")</f>
        <v>Dressrosa
Paramecia
Don Quixote Family</v>
      </c>
      <c r="J251" s="101"/>
    </row>
    <row r="252" ht="75.0" customHeight="1">
      <c r="A252" s="101"/>
      <c r="B252" s="111" t="str">
        <f>IFERROR(__xludf.DUMMYFUNCTION("""COMPUTED_VALUE"""),"Cavendish")</f>
        <v>Cavendish</v>
      </c>
      <c r="C252" s="113" t="str">
        <f>IFERROR(__xludf.DUMMYFUNCTION("""COMPUTED_VALUE"""),"")</f>
        <v/>
      </c>
      <c r="D252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52" s="110" t="str">
        <f>IFERROR(__xludf.DUMMYFUNCTION("""COMPUTED_VALUE"""),"Dressrosa
Beautiful Pirates
Captain
Royalty / Former Royalty
Straw Hat Fleet")</f>
        <v>Dressrosa
Beautiful Pirates
Captain
Royalty / Former Royalty
Straw Hat Fleet</v>
      </c>
      <c r="F252" s="111" t="str">
        <f>IFERROR(__xludf.DUMMYFUNCTION("""COMPUTED_VALUE"""),"Stick_Stick")</f>
        <v>Stick_Stick</v>
      </c>
      <c r="G252" s="111" t="str">
        <f>IFERROR(__xludf.DUMMYFUNCTION("""COMPUTED_VALUE"""),"")</f>
        <v/>
      </c>
      <c r="H252" s="111" t="str">
        <f>IFERROR(__xludf.DUMMYFUNCTION("""COMPUTED_VALUE"""),"When an ally is KO`d (not including you): Reduce the cooldown time of Skill 2 by 8%.")</f>
        <v>When an ally is KO`d (not including you): Reduce the cooldown time of Skill 2 by 8%.</v>
      </c>
      <c r="I252" s="112" t="str">
        <f>IFERROR(__xludf.DUMMYFUNCTION("""COMPUTED_VALUE"""),"Dressrosa
Paramecia
Don Quixote Family")</f>
        <v>Dressrosa
Paramecia
Don Quixote Family</v>
      </c>
      <c r="J252" s="101"/>
    </row>
    <row r="253" ht="75.0" customHeight="1">
      <c r="A253" s="101"/>
      <c r="B253" s="111" t="str">
        <f>IFERROR(__xludf.DUMMYFUNCTION("""COMPUTED_VALUE"""),"Bartolomeo")</f>
        <v>Bartolomeo</v>
      </c>
      <c r="C253" s="113" t="str">
        <f>IFERROR(__xludf.DUMMYFUNCTION("""COMPUTED_VALUE"""),"")</f>
        <v/>
      </c>
      <c r="D253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253" s="110" t="str">
        <f>IFERROR(__xludf.DUMMYFUNCTION("""COMPUTED_VALUE"""),"Dressrosa
Barto Club
Paramecia
Captain
Straw Hat Fleet")</f>
        <v>Dressrosa
Barto Club
Paramecia
Captain
Straw Hat Fleet</v>
      </c>
      <c r="F253" s="111" t="str">
        <f>IFERROR(__xludf.DUMMYFUNCTION("""COMPUTED_VALUE"""),"Former CP9 Director")</f>
        <v>Former CP9 Director</v>
      </c>
      <c r="G253" s="111" t="str">
        <f>IFERROR(__xludf.DUMMYFUNCTION("""COMPUTED_VALUE"""),"")</f>
        <v/>
      </c>
      <c r="H253" s="111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I253" s="112" t="str">
        <f>IFERROR(__xludf.DUMMYFUNCTION("""COMPUTED_VALUE"""),"Dressrosa
Cipher Pol
Intelligence Agent")</f>
        <v>Dressrosa
Cipher Pol
Intelligence Agent</v>
      </c>
      <c r="J253" s="101"/>
    </row>
    <row r="254" ht="75.0" customHeight="1">
      <c r="A254" s="101"/>
      <c r="B254" s="111" t="str">
        <f>IFERROR(__xludf.DUMMYFUNCTION("""COMPUTED_VALUE"""),"Jet Rocket")</f>
        <v>Jet Rocket</v>
      </c>
      <c r="C254" s="113" t="str">
        <f>IFERROR(__xludf.DUMMYFUNCTION("""COMPUTED_VALUE"""),"")</f>
        <v/>
      </c>
      <c r="D254" s="109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E254" s="110" t="str">
        <f>IFERROR(__xludf.DUMMYFUNCTION("""COMPUTED_VALUE"""),"The Paramount War at Marineford
Straw Hat Pirates
Paramecia
Captain
Worst Generation
Blood Brothers")</f>
        <v>The Paramount War at Marineford
Straw Hat Pirates
Paramecia
Captain
Worst Generation
Blood Brothers</v>
      </c>
      <c r="F254" s="111" t="str">
        <f>IFERROR(__xludf.DUMMYFUNCTION("""COMPUTED_VALUE"""),"Queen of the Pleasure District")</f>
        <v>Queen of the Pleasure District</v>
      </c>
      <c r="G254" s="111" t="str">
        <f>IFERROR(__xludf.DUMMYFUNCTION("""COMPUTED_VALUE"""),"")</f>
        <v/>
      </c>
      <c r="H254" s="111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I254" s="112" t="str">
        <f>IFERROR(__xludf.DUMMYFUNCTION("""COMPUTED_VALUE"""),"Zou / Whole Cake Island
Cipher Pol
Intelligence Agent
Six Powers")</f>
        <v>Zou / Whole Cake Island
Cipher Pol
Intelligence Agent
Six Powers</v>
      </c>
      <c r="J254" s="101"/>
    </row>
    <row r="255" ht="75.0" customHeight="1">
      <c r="A255" s="101"/>
      <c r="B255" s="111" t="str">
        <f>IFERROR(__xludf.DUMMYFUNCTION("""COMPUTED_VALUE"""),"Griffon")</f>
        <v>Griffon</v>
      </c>
      <c r="C255" s="113" t="str">
        <f>IFERROR(__xludf.DUMMYFUNCTION("""COMPUTED_VALUE"""),"")</f>
        <v/>
      </c>
      <c r="D255" s="109" t="str">
        <f>IFERROR(__xludf.DUMMYFUNCTION("""COMPUTED_VALUE"""),"After KOing an enemy: Reduce the cooldown time of Skill 1 by 8%.")</f>
        <v>After KOing an enemy: Reduce the cooldown time of Skill 1 by 8%.</v>
      </c>
      <c r="E255" s="110" t="str">
        <f>IFERROR(__xludf.DUMMYFUNCTION("""COMPUTED_VALUE"""),"The Paramount War at Marineford
Red_Haired Pirates
Captain
The Four Emperors
Roger Pirates / Ex_Roger Pirates")</f>
        <v>The Paramount War at Marineford
Red_Haired Pirates
Captain
The Four Emperors
Roger Pirates / Ex_Roger Pirates</v>
      </c>
      <c r="F255" s="111" t="str">
        <f>IFERROR(__xludf.DUMMYFUNCTION("""COMPUTED_VALUE"""),"Geisha")</f>
        <v>Geisha</v>
      </c>
      <c r="G255" s="111" t="str">
        <f>IFERROR(__xludf.DUMMYFUNCTION("""COMPUTED_VALUE"""),"")</f>
        <v/>
      </c>
      <c r="H255" s="111" t="str">
        <f>IFERROR(__xludf.DUMMYFUNCTION("""COMPUTED_VALUE"""),"When in the area around your enemy`s Treasure: Reduce damage recieved by 3%.")</f>
        <v>When in the area around your enemy`s Treasure: Reduce damage recieved by 3%.</v>
      </c>
      <c r="I255" s="112" t="str">
        <f>IFERROR(__xludf.DUMMYFUNCTION("""COMPUTED_VALUE"""),"Land of Wano
Straw Hat Pirates
Paramecia
Archaeologist")</f>
        <v>Land of Wano
Straw Hat Pirates
Paramecia
Archaeologist</v>
      </c>
      <c r="J255" s="101"/>
    </row>
    <row r="256" ht="75.0" customHeight="1">
      <c r="A256" s="101"/>
      <c r="B256" s="111" t="str">
        <f>IFERROR(__xludf.DUMMYFUNCTION("""COMPUTED_VALUE"""),"Teech")</f>
        <v>Teech</v>
      </c>
      <c r="C256" s="113" t="str">
        <f>IFERROR(__xludf.DUMMYFUNCTION("""COMPUTED_VALUE"""),"")</f>
        <v/>
      </c>
      <c r="D256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256" s="110" t="str">
        <f>IFERROR(__xludf.DUMMYFUNCTION("""COMPUTED_VALUE"""),"The Paramount War at Marineford
The Seven Warlords of the Sea / Former Warlords of the Sea
Logia
Captain
Worst Generation
Blackbeard Pirates")</f>
        <v>The Paramount War at Marineford
The Seven Warlords of the Sea / Former Warlords of the Sea
Logia
Captain
Worst Generation
Blackbeard Pirates</v>
      </c>
      <c r="F256" s="111" t="str">
        <f>IFERROR(__xludf.DUMMYFUNCTION("""COMPUTED_VALUE"""),"Starving Skeleton")</f>
        <v>Starving Skeleton</v>
      </c>
      <c r="G256" s="111" t="str">
        <f>IFERROR(__xludf.DUMMYFUNCTION("""COMPUTED_VALUE"""),"")</f>
        <v/>
      </c>
      <c r="H256" s="111" t="str">
        <f>IFERROR(__xludf.DUMMYFUNCTION("""COMPUTED_VALUE"""),"When your HP is 70% or more: Boost capture speed by 8%.")</f>
        <v>When your HP is 70% or more: Boost capture speed by 8%.</v>
      </c>
      <c r="I256" s="112" t="str">
        <f>IFERROR(__xludf.DUMMYFUNCTION("""COMPUTED_VALUE"""),"Land of Wano
Straw Hat Pirates
Paramecia
Musician")</f>
        <v>Land of Wano
Straw Hat Pirates
Paramecia
Musician</v>
      </c>
      <c r="J256" s="101"/>
    </row>
    <row r="257" ht="75.0" customHeight="1">
      <c r="A257" s="101"/>
      <c r="B257" s="111" t="str">
        <f>IFERROR(__xludf.DUMMYFUNCTION("""COMPUTED_VALUE"""),"Garp")</f>
        <v>Garp</v>
      </c>
      <c r="C257" s="113" t="str">
        <f>IFERROR(__xludf.DUMMYFUNCTION("""COMPUTED_VALUE"""),"")</f>
        <v/>
      </c>
      <c r="D257" s="109" t="str">
        <f>IFERROR(__xludf.DUMMYFUNCTION("""COMPUTED_VALUE"""),"When in the area around your captured Treasure: Reduce damage recieved by 3%.")</f>
        <v>When in the area around your captured Treasure: Reduce damage recieved by 3%.</v>
      </c>
      <c r="E257" s="110" t="str">
        <f>IFERROR(__xludf.DUMMYFUNCTION("""COMPUTED_VALUE"""),"The Paramount War at Marineford
Navy
Vice Admiral")</f>
        <v>The Paramount War at Marineford
Navy
Vice Admiral</v>
      </c>
      <c r="F257" s="111" t="str">
        <f>IFERROR(__xludf.DUMMYFUNCTION("""COMPUTED_VALUE"""),"Conney")</f>
        <v>Conney</v>
      </c>
      <c r="G257" s="111" t="str">
        <f>IFERROR(__xludf.DUMMYFUNCTION("""COMPUTED_VALUE"""),"")</f>
        <v/>
      </c>
      <c r="H257" s="111" t="str">
        <f>IFERROR(__xludf.DUMMYFUNCTION("""COMPUTED_VALUE"""),"When your HP is 30% or less: CRIT Boosted by 60% for 20 second(s).")</f>
        <v>When your HP is 30% or less: CRIT Boosted by 60% for 20 second(s).</v>
      </c>
      <c r="I257" s="112" t="str">
        <f>IFERROR(__xludf.DUMMYFUNCTION("""COMPUTED_VALUE"""),"Reverie
Bonney Pirates
Paramecia
Captain
Worst Generation")</f>
        <v>Reverie
Bonney Pirates
Paramecia
Captain
Worst Generation</v>
      </c>
      <c r="J257" s="101"/>
    </row>
    <row r="258" ht="75.0" customHeight="1">
      <c r="A258" s="101"/>
      <c r="B258" s="111" t="str">
        <f>IFERROR(__xludf.DUMMYFUNCTION("""COMPUTED_VALUE"""),"Marco")</f>
        <v>Marco</v>
      </c>
      <c r="C258" s="113" t="str">
        <f>IFERROR(__xludf.DUMMYFUNCTION("""COMPUTED_VALUE"""),"")</f>
        <v/>
      </c>
      <c r="D258" s="109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E258" s="110" t="str">
        <f>IFERROR(__xludf.DUMMYFUNCTION("""COMPUTED_VALUE"""),"The Paramount War at Marineford
Whitebeard Pirates
Zoan
Doctor
Whitebeard Pirates Commander")</f>
        <v>The Paramount War at Marineford
Whitebeard Pirates
Zoan
Doctor
Whitebeard Pirates Commander</v>
      </c>
      <c r="F258" s="111" t="str">
        <f>IFERROR(__xludf.DUMMYFUNCTION("""COMPUTED_VALUE"""),"Straw_Straw")</f>
        <v>Straw_Straw</v>
      </c>
      <c r="G258" s="111" t="str">
        <f>IFERROR(__xludf.DUMMYFUNCTION("""COMPUTED_VALUE"""),"")</f>
        <v/>
      </c>
      <c r="H258" s="111" t="str">
        <f>IFERROR(__xludf.DUMMYFUNCTION("""COMPUTED_VALUE"""),"When in the area around your captured Treasure: Increase damage dealt by 5%.")</f>
        <v>When in the area around your captured Treasure: Increase damage dealt by 5%.</v>
      </c>
      <c r="I258" s="112" t="str">
        <f>IFERROR(__xludf.DUMMYFUNCTION("""COMPUTED_VALUE"""),"Land of Wano
Paramecia
Captain
Worst Generation")</f>
        <v>Land of Wano
Paramecia
Captain
Worst Generation</v>
      </c>
      <c r="J258" s="101"/>
    </row>
    <row r="259" ht="75.0" customHeight="1">
      <c r="A259" s="101"/>
      <c r="B259" s="111" t="str">
        <f>IFERROR(__xludf.DUMMYFUNCTION("""COMPUTED_VALUE"""),"Flame Emperor")</f>
        <v>Flame Emperor</v>
      </c>
      <c r="C259" s="113" t="str">
        <f>IFERROR(__xludf.DUMMYFUNCTION("""COMPUTED_VALUE"""),"")</f>
        <v/>
      </c>
      <c r="D259" s="109" t="str">
        <f>IFERROR(__xludf.DUMMYFUNCTION("""COMPUTED_VALUE"""),"When attacked by an enemy: 30% chance to, Nullify Aflame.")</f>
        <v>When attacked by an enemy: 30% chance to, Nullify Aflame.</v>
      </c>
      <c r="E259" s="110" t="str">
        <f>IFERROR(__xludf.DUMMYFUNCTION("""COMPUTED_VALUE"""),"The Paramount War at Marineford
Whitebeard Pirates
Logia
Whitebeard Pirates Commander
Blood Brothers")</f>
        <v>The Paramount War at Marineford
Whitebeard Pirates
Logia
Whitebeard Pirates Commander
Blood Brothers</v>
      </c>
      <c r="F259" s="111" t="str">
        <f>IFERROR(__xludf.DUMMYFUNCTION("""COMPUTED_VALUE"""),"Napoleon")</f>
        <v>Napoleon</v>
      </c>
      <c r="G259" s="111" t="str">
        <f>IFERROR(__xludf.DUMMYFUNCTION("""COMPUTED_VALUE"""),"")</f>
        <v/>
      </c>
      <c r="H259" s="111" t="str">
        <f>IFERROR(__xludf.DUMMYFUNCTION("""COMPUTED_VALUE"""),"When your team has more Treasure secured: Increase damage dealt by 5%.")</f>
        <v>When your team has more Treasure secured: Increase damage dealt by 5%.</v>
      </c>
      <c r="I259" s="112" t="str">
        <f>IFERROR(__xludf.DUMMYFUNCTION("""COMPUTED_VALUE"""),"Zou / Whole Cake Island
Big Mom Pirates
Homies")</f>
        <v>Zou / Whole Cake Island
Big Mom Pirates
Homies</v>
      </c>
      <c r="J259" s="101"/>
    </row>
    <row r="260" ht="75.0" customHeight="1">
      <c r="A260" s="101"/>
      <c r="B260" s="111" t="str">
        <f>IFERROR(__xludf.DUMMYFUNCTION("""COMPUTED_VALUE"""),"Kaido")</f>
        <v>Kaido</v>
      </c>
      <c r="C260" s="113" t="str">
        <f>IFERROR(__xludf.DUMMYFUNCTION("""COMPUTED_VALUE"""),"")</f>
        <v/>
      </c>
      <c r="D260" s="109" t="str">
        <f>IFERROR(__xludf.DUMMYFUNCTION("""COMPUTED_VALUE"""),"When attacked by an enemy: Reduce the cooldown time of Skill 1 by 2%.")</f>
        <v>When attacked by an enemy: Reduce the cooldown time of Skill 1 by 2%.</v>
      </c>
      <c r="E260" s="110" t="str">
        <f>IFERROR(__xludf.DUMMYFUNCTION("""COMPUTED_VALUE"""),"Land of Wano
Animal Kingdom Pirates
Zoan
Captain
The Four Emperors
Former Rocks Pirates")</f>
        <v>Land of Wano
Animal Kingdom Pirates
Zoan
Captain
The Four Emperors
Former Rocks Pirates</v>
      </c>
      <c r="F260" s="111" t="str">
        <f>IFERROR(__xludf.DUMMYFUNCTION("""COMPUTED_VALUE"""),"Prometheus")</f>
        <v>Prometheus</v>
      </c>
      <c r="G260" s="111" t="str">
        <f>IFERROR(__xludf.DUMMYFUNCTION("""COMPUTED_VALUE"""),"")</f>
        <v/>
      </c>
      <c r="H260" s="111" t="str">
        <f>IFERROR(__xludf.DUMMYFUNCTION("""COMPUTED_VALUE"""),"When attacked by an enemy: 30% chance to, Nullify Aflame.")</f>
        <v>When attacked by an enemy: 30% chance to, Nullify Aflame.</v>
      </c>
      <c r="I260" s="112" t="str">
        <f>IFERROR(__xludf.DUMMYFUNCTION("""COMPUTED_VALUE"""),"Zou / Whole Cake Island
Big Mom Pirates
Homies")</f>
        <v>Zou / Whole Cake Island
Big Mom Pirates
Homies</v>
      </c>
      <c r="J260" s="101"/>
    </row>
    <row r="261" ht="75.0" customHeight="1">
      <c r="A261" s="101"/>
      <c r="B261" s="111" t="str">
        <f>IFERROR(__xludf.DUMMYFUNCTION("""COMPUTED_VALUE"""),"Cuerpo Fleurs")</f>
        <v>Cuerpo Fleurs</v>
      </c>
      <c r="C261" s="113" t="str">
        <f>IFERROR(__xludf.DUMMYFUNCTION("""COMPUTED_VALUE"""),"")</f>
        <v/>
      </c>
      <c r="D261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61" s="110" t="str">
        <f>IFERROR(__xludf.DUMMYFUNCTION("""COMPUTED_VALUE"""),"Holy Night
Straw Hat Pirates
Paramecia
Archaeologist")</f>
        <v>Holy Night
Straw Hat Pirates
Paramecia
Archaeologist</v>
      </c>
      <c r="F261" s="111" t="str">
        <f>IFERROR(__xludf.DUMMYFUNCTION("""COMPUTED_VALUE"""),"Zeus")</f>
        <v>Zeus</v>
      </c>
      <c r="G261" s="111" t="str">
        <f>IFERROR(__xludf.DUMMYFUNCTION("""COMPUTED_VALUE"""),"")</f>
        <v/>
      </c>
      <c r="H261" s="111" t="str">
        <f>IFERROR(__xludf.DUMMYFUNCTION("""COMPUTED_VALUE"""),"When attacked by an enemy: 30% chance to, Nullify Shock.")</f>
        <v>When attacked by an enemy: 30% chance to, Nullify Shock.</v>
      </c>
      <c r="I261" s="112" t="str">
        <f>IFERROR(__xludf.DUMMYFUNCTION("""COMPUTED_VALUE"""),"Zou / Whole Cake Island
Big Mom Pirates
Homies")</f>
        <v>Zou / Whole Cake Island
Big Mom Pirates
Homies</v>
      </c>
      <c r="J261" s="101"/>
    </row>
    <row r="262" ht="75.0" customHeight="1">
      <c r="A262" s="101"/>
      <c r="B262" s="111" t="str">
        <f>IFERROR(__xludf.DUMMYFUNCTION("""COMPUTED_VALUE"""),"Nipple Iight")</f>
        <v>Nipple Iight</v>
      </c>
      <c r="C262" s="113" t="str">
        <f>IFERROR(__xludf.DUMMYFUNCTION("""COMPUTED_VALUE"""),"")</f>
        <v/>
      </c>
      <c r="D262" s="109" t="str">
        <f>IFERROR(__xludf.DUMMYFUNCTION("""COMPUTED_VALUE"""),"When using Skill 2: Reduce the cooldown time of Skill 1 by 3%.")</f>
        <v>When using Skill 2: Reduce the cooldown time of Skill 1 by 3%.</v>
      </c>
      <c r="E262" s="110" t="str">
        <f>IFERROR(__xludf.DUMMYFUNCTION("""COMPUTED_VALUE"""),"Holy Night
Straw Hat Pirates
Ship Carpenter")</f>
        <v>Holy Night
Straw Hat Pirates
Ship Carpenter</v>
      </c>
      <c r="F262" s="111" t="str">
        <f>IFERROR(__xludf.DUMMYFUNCTION("""COMPUTED_VALUE"""),"Clank_Clank")</f>
        <v>Clank_Clank</v>
      </c>
      <c r="G262" s="111" t="str">
        <f>IFERROR(__xludf.DUMMYFUNCTION("""COMPUTED_VALUE"""),"")</f>
        <v/>
      </c>
      <c r="H262" s="111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I262" s="112" t="str">
        <f>IFERROR(__xludf.DUMMYFUNCTION("""COMPUTED_VALUE"""),"STAMPEDE
Paramecia
Roger Pirates / Ex_Roger Pirates")</f>
        <v>STAMPEDE
Paramecia
Roger Pirates / Ex_Roger Pirates</v>
      </c>
      <c r="J262" s="101"/>
    </row>
    <row r="263" ht="75.0" customHeight="1">
      <c r="A263" s="101"/>
      <c r="B263" s="111" t="str">
        <f>IFERROR(__xludf.DUMMYFUNCTION("""COMPUTED_VALUE"""),"Snow Creature")</f>
        <v>Snow Creature</v>
      </c>
      <c r="C263" s="113" t="str">
        <f>IFERROR(__xludf.DUMMYFUNCTION("""COMPUTED_VALUE"""),"")</f>
        <v/>
      </c>
      <c r="D263" s="109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E263" s="110" t="str">
        <f>IFERROR(__xludf.DUMMYFUNCTION("""COMPUTED_VALUE"""),"Holy Night
Straw Hat Pirates
Zoan
Doctor")</f>
        <v>Holy Night
Straw Hat Pirates
Zoan
Doctor</v>
      </c>
      <c r="F263" s="111" t="str">
        <f>IFERROR(__xludf.DUMMYFUNCTION("""COMPUTED_VALUE"""),"Law
(STAMPEDE)")</f>
        <v>Law
(STAMPEDE)</v>
      </c>
      <c r="G263" s="111" t="str">
        <f>IFERROR(__xludf.DUMMYFUNCTION("""COMPUTED_VALUE"""),"")</f>
        <v/>
      </c>
      <c r="H263" s="111" t="str">
        <f>IFERROR(__xludf.DUMMYFUNCTION("""COMPUTED_VALUE"""),"When inflicted with Tremor by enemies: Reduce the cooldown time of Skill 2 by 6%.")</f>
        <v>When inflicted with Tremor by enemies: Reduce the cooldown time of Skill 2 by 6%.</v>
      </c>
      <c r="I263" s="112" t="str">
        <f>IFERROR(__xludf.DUMMYFUNCTION("""COMPUTED_VALUE"""),"STAMPEDE
Paramecia
Captain
Worst Generation
Heart Pirates")</f>
        <v>STAMPEDE
Paramecia
Captain
Worst Generation
Heart Pirates</v>
      </c>
      <c r="J263" s="101"/>
    </row>
    <row r="264" ht="75.0" customHeight="1">
      <c r="A264" s="101"/>
      <c r="B264" s="111" t="str">
        <f>IFERROR(__xludf.DUMMYFUNCTION("""COMPUTED_VALUE"""),"Kuma")</f>
        <v>Kuma</v>
      </c>
      <c r="C264" s="113" t="str">
        <f>IFERROR(__xludf.DUMMYFUNCTION("""COMPUTED_VALUE"""),"")</f>
        <v/>
      </c>
      <c r="D264" s="109" t="str">
        <f>IFERROR(__xludf.DUMMYFUNCTION("""COMPUTED_VALUE"""),"When you Knockback an enemy: Recover HP by 3%.")</f>
        <v>When you Knockback an enemy: Recover HP by 3%.</v>
      </c>
      <c r="E264" s="110" t="str">
        <f>IFERROR(__xludf.DUMMYFUNCTION("""COMPUTED_VALUE"""),"Thriller Bark
The Seven Warlords of the Sea / Former Warlords of the Sea
Revolutionary Army
Paramecia
Royalty / Former Royalty")</f>
        <v>Thriller Bark
The Seven Warlords of the Sea / Former Warlords of the Sea
Revolutionary Army
Paramecia
Royalty / Former Royalty</v>
      </c>
      <c r="F264" s="111" t="str">
        <f>IFERROR(__xludf.DUMMYFUNCTION("""COMPUTED_VALUE"""),"Usopp
(STAMPEDE)")</f>
        <v>Usopp
(STAMPEDE)</v>
      </c>
      <c r="G264" s="111" t="str">
        <f>IFERROR(__xludf.DUMMYFUNCTION("""COMPUTED_VALUE"""),"")</f>
        <v/>
      </c>
      <c r="H264" s="111" t="str">
        <f>IFERROR(__xludf.DUMMYFUNCTION("""COMPUTED_VALUE"""),"When there are 60 seconds or less remaining: Boost capture speed by 8%.")</f>
        <v>When there are 60 seconds or less remaining: Boost capture speed by 8%.</v>
      </c>
      <c r="I264" s="112" t="str">
        <f>IFERROR(__xludf.DUMMYFUNCTION("""COMPUTED_VALUE"""),"STAMPEDE
Straw Hat Pirates
Sharp Shooter")</f>
        <v>STAMPEDE
Straw Hat Pirates
Sharp Shooter</v>
      </c>
      <c r="J264" s="101"/>
    </row>
    <row r="265" ht="75.0" customHeight="1">
      <c r="A265" s="101"/>
      <c r="B265" s="111" t="str">
        <f>IFERROR(__xludf.DUMMYFUNCTION("""COMPUTED_VALUE"""),"Reiju")</f>
        <v>Reiju</v>
      </c>
      <c r="C265" s="113" t="str">
        <f>IFERROR(__xludf.DUMMYFUNCTION("""COMPUTED_VALUE"""),"")</f>
        <v/>
      </c>
      <c r="D265" s="109" t="str">
        <f>IFERROR(__xludf.DUMMYFUNCTION("""COMPUTED_VALUE"""),"When your HP is 70% or more: Boost capture speed by 8%.")</f>
        <v>When your HP is 70% or more: Boost capture speed by 8%.</v>
      </c>
      <c r="E265" s="110" t="str">
        <f>IFERROR(__xludf.DUMMYFUNCTION("""COMPUTED_VALUE"""),"Zou / Whole Cake Island
Royalty / Former Royalty
Germa 66")</f>
        <v>Zou / Whole Cake Island
Royalty / Former Royalty
Germa 66</v>
      </c>
      <c r="F265" s="111" t="str">
        <f>IFERROR(__xludf.DUMMYFUNCTION("""COMPUTED_VALUE"""),"Bubble_Bubble")</f>
        <v>Bubble_Bubble</v>
      </c>
      <c r="G265" s="111" t="str">
        <f>IFERROR(__xludf.DUMMYFUNCTION("""COMPUTED_VALUE"""),"")</f>
        <v/>
      </c>
      <c r="H265" s="111" t="str">
        <f>IFERROR(__xludf.DUMMYFUNCTION("""COMPUTED_VALUE"""),"When in the area around your enemy`s Treasure: Increase damage dealt by 3%.")</f>
        <v>When in the area around your enemy`s Treasure: Increase damage dealt by 3%.</v>
      </c>
      <c r="I265" s="112" t="str">
        <f>IFERROR(__xludf.DUMMYFUNCTION("""COMPUTED_VALUE"""),"Water 7 / Enies Lobby
Cipher Pol
Paramecia
Intelligence Agent
Six Powers")</f>
        <v>Water 7 / Enies Lobby
Cipher Pol
Paramecia
Intelligence Agent
Six Powers</v>
      </c>
      <c r="J265" s="101"/>
    </row>
    <row r="266" ht="75.0" customHeight="1">
      <c r="A266" s="101"/>
      <c r="B266" s="111" t="str">
        <f>IFERROR(__xludf.DUMMYFUNCTION("""COMPUTED_VALUE"""),"Bege")</f>
        <v>Bege</v>
      </c>
      <c r="C266" s="113" t="str">
        <f>IFERROR(__xludf.DUMMYFUNCTION("""COMPUTED_VALUE"""),"")</f>
        <v/>
      </c>
      <c r="D266" s="109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E266" s="110" t="str">
        <f>IFERROR(__xludf.DUMMYFUNCTION("""COMPUTED_VALUE"""),"Zou / Whole Cake Island
Firetank Pirates
Paramecia
Captain
Worst Generation")</f>
        <v>Zou / Whole Cake Island
Firetank Pirates
Paramecia
Captain
Worst Generation</v>
      </c>
      <c r="F266" s="111" t="str">
        <f>IFERROR(__xludf.DUMMYFUNCTION("""COMPUTED_VALUE"""),"Wolf")</f>
        <v>Wolf</v>
      </c>
      <c r="G266" s="111" t="str">
        <f>IFERROR(__xludf.DUMMYFUNCTION("""COMPUTED_VALUE"""),"")</f>
        <v/>
      </c>
      <c r="H266" s="111" t="str">
        <f>IFERROR(__xludf.DUMMYFUNCTION("""COMPUTED_VALUE"""),"When Critical occurs: Recover HP by 3%.")</f>
        <v>When Critical occurs: Recover HP by 3%.</v>
      </c>
      <c r="I266" s="112" t="str">
        <f>IFERROR(__xludf.DUMMYFUNCTION("""COMPUTED_VALUE"""),"Water 7 / Enies Lobby
Cipher Pol
Zoan
Intelligence Agent
Six Powers")</f>
        <v>Water 7 / Enies Lobby
Cipher Pol
Zoan
Intelligence Agent
Six Powers</v>
      </c>
      <c r="J266" s="101"/>
    </row>
    <row r="267" ht="75.0" customHeight="1">
      <c r="A267" s="101"/>
      <c r="B267" s="111" t="str">
        <f>IFERROR(__xludf.DUMMYFUNCTION("""COMPUTED_VALUE"""),"Boeuf Jarret Jarrer")</f>
        <v>Boeuf Jarret Jarrer</v>
      </c>
      <c r="C267" s="113" t="str">
        <f>IFERROR(__xludf.DUMMYFUNCTION("""COMPUTED_VALUE"""),"")</f>
        <v/>
      </c>
      <c r="D267" s="109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E267" s="110" t="str">
        <f>IFERROR(__xludf.DUMMYFUNCTION("""COMPUTED_VALUE"""),"Zou / Whole Cake Island
Straw Hat Pirates
Cook
Royalty / Former Royalty")</f>
        <v>Zou / Whole Cake Island
Straw Hat Pirates
Cook
Royalty / Former Royalty</v>
      </c>
      <c r="F267" s="111" t="str">
        <f>IFERROR(__xludf.DUMMYFUNCTION("""COMPUTED_VALUE"""),"Happosui Army")</f>
        <v>Happosui Army</v>
      </c>
      <c r="G267" s="111" t="str">
        <f>IFERROR(__xludf.DUMMYFUNCTION("""COMPUTED_VALUE"""),"")</f>
        <v/>
      </c>
      <c r="H267" s="111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I267" s="112" t="str">
        <f>IFERROR(__xludf.DUMMYFUNCTION("""COMPUTED_VALUE"""),"Dressrosa
Captain
Straw Hat Fleet")</f>
        <v>Dressrosa
Captain
Straw Hat Fleet</v>
      </c>
      <c r="J267" s="101"/>
    </row>
    <row r="268" ht="75.0" customHeight="1">
      <c r="A268" s="101"/>
      <c r="B268" s="111" t="str">
        <f>IFERROR(__xludf.DUMMYFUNCTION("""COMPUTED_VALUE"""),"Jinbe")</f>
        <v>Jinbe</v>
      </c>
      <c r="C268" s="113" t="str">
        <f>IFERROR(__xludf.DUMMYFUNCTION("""COMPUTED_VALUE"""),"")</f>
        <v/>
      </c>
      <c r="D268" s="109" t="str">
        <f>IFERROR(__xludf.DUMMYFUNCTION("""COMPUTED_VALUE"""),"When your team has less Treasure secured: Increase damage dealt by 5%.")</f>
        <v>When your team has less Treasure secured: Increase damage dealt by 5%.</v>
      </c>
      <c r="E268" s="110" t="str">
        <f>IFERROR(__xludf.DUMMYFUNCTION("""COMPUTED_VALUE"""),"The Paramount War at Marineford
The Seven Warlords of the Sea / Former Warlords of the Sea
Captain
Fish_Man
Fish_Man Karate
Sun Pirates")</f>
        <v>The Paramount War at Marineford
The Seven Warlords of the Sea / Former Warlords of the Sea
Captain
Fish_Man
Fish_Man Karate
Sun Pirates</v>
      </c>
      <c r="F268" s="111" t="str">
        <f>IFERROR(__xludf.DUMMYFUNCTION("""COMPUTED_VALUE"""),"Warrior")</f>
        <v>Warrior</v>
      </c>
      <c r="G268" s="111" t="str">
        <f>IFERROR(__xludf.DUMMYFUNCTION("""COMPUTED_VALUE"""),"")</f>
        <v/>
      </c>
      <c r="H268" s="111" t="str">
        <f>IFERROR(__xludf.DUMMYFUNCTION("""COMPUTED_VALUE"""),"When your HP is 30% or less: Boost the cooldown reduction speed of Skill 1 by 13%.")</f>
        <v>When your HP is 30% or less: Boost the cooldown reduction speed of Skill 1 by 13%.</v>
      </c>
      <c r="I268" s="112" t="str">
        <f>IFERROR(__xludf.DUMMYFUNCTION("""COMPUTED_VALUE"""),"Dressrosa
Paramecia
Captain
Straw Hat Fleet")</f>
        <v>Dressrosa
Paramecia
Captain
Straw Hat Fleet</v>
      </c>
      <c r="J268" s="101"/>
    </row>
    <row r="269" ht="75.0" customHeight="1">
      <c r="A269" s="101"/>
      <c r="B269" s="111" t="str">
        <f>IFERROR(__xludf.DUMMYFUNCTION("""COMPUTED_VALUE"""),"Bride")</f>
        <v>Bride</v>
      </c>
      <c r="C269" s="113" t="str">
        <f>IFERROR(__xludf.DUMMYFUNCTION("""COMPUTED_VALUE"""),"")</f>
        <v/>
      </c>
      <c r="D269" s="109" t="str">
        <f>IFERROR(__xludf.DUMMYFUNCTION("""COMPUTED_VALUE"""),"When attacking an enemy: 1% chance to, Inflict Shock for 5 second(s).")</f>
        <v>When attacking an enemy: 1% chance to, Inflict Shock for 5 second(s).</v>
      </c>
      <c r="E269" s="110" t="str">
        <f>IFERROR(__xludf.DUMMYFUNCTION("""COMPUTED_VALUE"""),"Thriller Bark
Straw Hat Pirates
Navigator")</f>
        <v>Thriller Bark
Straw Hat Pirates
Navigator</v>
      </c>
      <c r="F269" s="111" t="str">
        <f>IFERROR(__xludf.DUMMYFUNCTION("""COMPUTED_VALUE"""),"Champion")</f>
        <v>Champion</v>
      </c>
      <c r="G269" s="111" t="str">
        <f>IFERROR(__xludf.DUMMYFUNCTION("""COMPUTED_VALUE"""),"")</f>
        <v/>
      </c>
      <c r="H269" s="111" t="str">
        <f>IFERROR(__xludf.DUMMYFUNCTION("""COMPUTED_VALUE"""),"When there are 60 seconds or less remaining: Reduce damage recieved by 5%.")</f>
        <v>When there are 60 seconds or less remaining: Reduce damage recieved by 5%.</v>
      </c>
      <c r="I269" s="112" t="str">
        <f>IFERROR(__xludf.DUMMYFUNCTION("""COMPUTED_VALUE"""),"The Paramount War at Marineford
Blackbeard Pirates")</f>
        <v>The Paramount War at Marineford
Blackbeard Pirates</v>
      </c>
      <c r="J269" s="101"/>
    </row>
    <row r="270" ht="75.0" customHeight="1">
      <c r="A270" s="101"/>
      <c r="B270" s="111" t="str">
        <f>IFERROR(__xludf.DUMMYFUNCTION("""COMPUTED_VALUE"""),"Perona")</f>
        <v>Perona</v>
      </c>
      <c r="C270" s="113" t="str">
        <f>IFERROR(__xludf.DUMMYFUNCTION("""COMPUTED_VALUE"""),"")</f>
        <v/>
      </c>
      <c r="D270" s="109" t="str">
        <f>IFERROR(__xludf.DUMMYFUNCTION("""COMPUTED_VALUE"""),"When your HP is 70% or more: Boost capture speed by 8%.")</f>
        <v>When your HP is 70% or more: Boost capture speed by 8%.</v>
      </c>
      <c r="E270" s="110" t="str">
        <f>IFERROR(__xludf.DUMMYFUNCTION("""COMPUTED_VALUE"""),"Thriller Bark
Paramecia
Thriller Bark Pirates")</f>
        <v>Thriller Bark
Paramecia
Thriller Bark Pirates</v>
      </c>
      <c r="F270" s="111" t="str">
        <f>IFERROR(__xludf.DUMMYFUNCTION("""COMPUTED_VALUE"""),"Rain")</f>
        <v>Rain</v>
      </c>
      <c r="G270" s="111" t="str">
        <f>IFERROR(__xludf.DUMMYFUNCTION("""COMPUTED_VALUE"""),"")</f>
        <v/>
      </c>
      <c r="H270" s="111" t="str">
        <f>IFERROR(__xludf.DUMMYFUNCTION("""COMPUTED_VALUE"""),"When Critical occurs: Reduce the cooldown time of Skill 1 by 5%.")</f>
        <v>When Critical occurs: Reduce the cooldown time of Skill 1 by 5%.</v>
      </c>
      <c r="I270" s="112" t="str">
        <f>IFERROR(__xludf.DUMMYFUNCTION("""COMPUTED_VALUE"""),"The Paramount War at Marineford
Blackbeard Pirates")</f>
        <v>The Paramount War at Marineford
Blackbeard Pirates</v>
      </c>
      <c r="J270" s="101"/>
    </row>
    <row r="271" ht="75.0" customHeight="1">
      <c r="A271" s="101"/>
      <c r="B271" s="111" t="str">
        <f>IFERROR(__xludf.DUMMYFUNCTION("""COMPUTED_VALUE"""),"Ryuma")</f>
        <v>Ryuma</v>
      </c>
      <c r="C271" s="113" t="str">
        <f>IFERROR(__xludf.DUMMYFUNCTION("""COMPUTED_VALUE"""),"")</f>
        <v/>
      </c>
      <c r="D271" s="109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E271" s="110" t="str">
        <f>IFERROR(__xludf.DUMMYFUNCTION("""COMPUTED_VALUE"""),"Thriller Bark
Zombie
Thriller Bark Pirates")</f>
        <v>Thriller Bark
Zombie
Thriller Bark Pirates</v>
      </c>
      <c r="F271" s="111" t="str">
        <f>IFERROR(__xludf.DUMMYFUNCTION("""COMPUTED_VALUE"""),"Pursuer")</f>
        <v>Pursuer</v>
      </c>
      <c r="G271" s="111" t="str">
        <f>IFERROR(__xludf.DUMMYFUNCTION("""COMPUTED_VALUE"""),"")</f>
        <v/>
      </c>
      <c r="H271" s="111" t="str">
        <f>IFERROR(__xludf.DUMMYFUNCTION("""COMPUTED_VALUE"""),"When inflicted with Aflame by enemies: Reduce the cooldown time of Skill 1 by 6%.")</f>
        <v>When inflicted with Aflame by enemies: Reduce the cooldown time of Skill 1 by 6%.</v>
      </c>
      <c r="I271" s="112" t="str">
        <f>IFERROR(__xludf.DUMMYFUNCTION("""COMPUTED_VALUE"""),"The Paramount War at Marineford
Red_Haired Pirates
Sharp Shooter")</f>
        <v>The Paramount War at Marineford
Red_Haired Pirates
Sharp Shooter</v>
      </c>
      <c r="J271" s="101"/>
    </row>
    <row r="272" ht="75.0" customHeight="1">
      <c r="A272" s="101"/>
      <c r="B272" s="111" t="str">
        <f>IFERROR(__xludf.DUMMYFUNCTION("""COMPUTED_VALUE"""),"Nightmare")</f>
        <v>Nightmare</v>
      </c>
      <c r="C272" s="113" t="str">
        <f>IFERROR(__xludf.DUMMYFUNCTION("""COMPUTED_VALUE"""),"")</f>
        <v/>
      </c>
      <c r="D272" s="109" t="str">
        <f>IFERROR(__xludf.DUMMYFUNCTION("""COMPUTED_VALUE"""),"When in the area around your captured Treasure: Increase damage dealt by 5%.")</f>
        <v>When in the area around your captured Treasure: Increase damage dealt by 5%.</v>
      </c>
      <c r="E272" s="110" t="str">
        <f>IFERROR(__xludf.DUMMYFUNCTION("""COMPUTED_VALUE"""),"Thriller Bark
Straw Hat Pirates
Paramecia
Captain
Blood Brothers")</f>
        <v>Thriller Bark
Straw Hat Pirates
Paramecia
Captain
Blood Brothers</v>
      </c>
      <c r="F272" s="111" t="str">
        <f>IFERROR(__xludf.DUMMYFUNCTION("""COMPUTED_VALUE"""),"Beckman")</f>
        <v>Beckman</v>
      </c>
      <c r="G272" s="111" t="str">
        <f>IFERROR(__xludf.DUMMYFUNCTION("""COMPUTED_VALUE"""),"")</f>
        <v/>
      </c>
      <c r="H272" s="111" t="str">
        <f>IFERROR(__xludf.DUMMYFUNCTION("""COMPUTED_VALUE"""),"When inflicted with Freeze by enemies: Recover HP by 5%.")</f>
        <v>When inflicted with Freeze by enemies: Recover HP by 5%.</v>
      </c>
      <c r="I272" s="112" t="str">
        <f>IFERROR(__xludf.DUMMYFUNCTION("""COMPUTED_VALUE"""),"The Paramount War at Marineford
Red_Haired Pirates")</f>
        <v>The Paramount War at Marineford
Red_Haired Pirates</v>
      </c>
      <c r="J272" s="101"/>
    </row>
    <row r="273" ht="75.0" customHeight="1">
      <c r="A273" s="101"/>
      <c r="B273" s="111" t="str">
        <f>IFERROR(__xludf.DUMMYFUNCTION("""COMPUTED_VALUE"""),"Katakuri")</f>
        <v>Katakuri</v>
      </c>
      <c r="C273" s="113" t="str">
        <f>IFERROR(__xludf.DUMMYFUNCTION("""COMPUTED_VALUE"""),"")</f>
        <v/>
      </c>
      <c r="D273" s="109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E273" s="110" t="str">
        <f>IFERROR(__xludf.DUMMYFUNCTION("""COMPUTED_VALUE"""),"Zou / Whole Cake Island
Big Mom Pirates
Paramecia
Royalty / Former Royalty
``Sweet 3`` General
Charlotte Family")</f>
        <v>Zou / Whole Cake Island
Big Mom Pirates
Paramecia
Royalty / Former Royalty
``Sweet 3`` General
Charlotte Family</v>
      </c>
      <c r="F273" s="111" t="str">
        <f>IFERROR(__xludf.DUMMYFUNCTION("""COMPUTED_VALUE"""),"Drought")</f>
        <v>Drought</v>
      </c>
      <c r="G273" s="111" t="str">
        <f>IFERROR(__xludf.DUMMYFUNCTION("""COMPUTED_VALUE"""),"")</f>
        <v/>
      </c>
      <c r="H273" s="111" t="str">
        <f>IFERROR(__xludf.DUMMYFUNCTION("""COMPUTED_VALUE"""),"When in the area around your captured Treasure: Increase damage dealt by 3%.")</f>
        <v>When in the area around your captured Treasure: Increase damage dealt by 3%.</v>
      </c>
      <c r="I273" s="112" t="str">
        <f>IFERROR(__xludf.DUMMYFUNCTION("""COMPUTED_VALUE"""),"Land of Wano
Animal Kingdom Pirates
Zoan
Fish_Man
Lead Performer")</f>
        <v>Land of Wano
Animal Kingdom Pirates
Zoan
Fish_Man
Lead Performer</v>
      </c>
      <c r="J273" s="101"/>
    </row>
    <row r="274" ht="75.0" customHeight="1">
      <c r="A274" s="101"/>
      <c r="B274" s="111" t="str">
        <f>IFERROR(__xludf.DUMMYFUNCTION("""COMPUTED_VALUE"""),"Big Mom")</f>
        <v>Big Mom</v>
      </c>
      <c r="C274" s="113" t="str">
        <f>IFERROR(__xludf.DUMMYFUNCTION("""COMPUTED_VALUE"""),"")</f>
        <v/>
      </c>
      <c r="D274" s="109" t="str">
        <f>IFERROR(__xludf.DUMMYFUNCTION("""COMPUTED_VALUE"""),"After KOing an enemy: Recover HP by 5%.")</f>
        <v>After KOing an enemy: Recover HP by 5%.</v>
      </c>
      <c r="E274" s="110" t="str">
        <f>IFERROR(__xludf.DUMMYFUNCTION("""COMPUTED_VALUE"""),"Zou / Whole Cake Island
Big Mom Pirates
Paramecia
Captain
Royalty / Former Royalty
The Four Emperors
Charlotte Family
Former Rocks Pirates")</f>
        <v>Zou / Whole Cake Island
Big Mom Pirates
Paramecia
Captain
Royalty / Former Royalty
The Four Emperors
Charlotte Family
Former Rocks Pirates</v>
      </c>
      <c r="F274" s="111" t="str">
        <f>IFERROR(__xludf.DUMMYFUNCTION("""COMPUTED_VALUE"""),"Plague")</f>
        <v>Plague</v>
      </c>
      <c r="G274" s="111" t="str">
        <f>IFERROR(__xludf.DUMMYFUNCTION("""COMPUTED_VALUE"""),"")</f>
        <v/>
      </c>
      <c r="H274" s="111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I274" s="112" t="str">
        <f>IFERROR(__xludf.DUMMYFUNCTION("""COMPUTED_VALUE"""),"Land of Wano
Animal Kingdom Pirates
Zoan
Lead Performer")</f>
        <v>Land of Wano
Animal Kingdom Pirates
Zoan
Lead Performer</v>
      </c>
      <c r="J274" s="101"/>
    </row>
    <row r="275" ht="75.0" customHeight="1">
      <c r="A275" s="101"/>
      <c r="B275" s="111" t="str">
        <f>IFERROR(__xludf.DUMMYFUNCTION("""COMPUTED_VALUE"""),"Ultra Tiger Hunt")</f>
        <v>Ultra Tiger Hunt</v>
      </c>
      <c r="C275" s="113" t="str">
        <f>IFERROR(__xludf.DUMMYFUNCTION("""COMPUTED_VALUE"""),"")</f>
        <v/>
      </c>
      <c r="D275" s="109" t="str">
        <f>IFERROR(__xludf.DUMMYFUNCTION("""COMPUTED_VALUE"""),"When your team has more Treasure secured: Increase damage dealt by 5%.")</f>
        <v>When your team has more Treasure secured: Increase damage dealt by 5%.</v>
      </c>
      <c r="E275" s="110" t="str">
        <f>IFERROR(__xludf.DUMMYFUNCTION("""COMPUTED_VALUE"""),"Land of Wano
Straw Hat Pirates
Combatant
Worst Generation")</f>
        <v>Land of Wano
Straw Hat Pirates
Combatant
Worst Generation</v>
      </c>
      <c r="F275" s="111" t="str">
        <f>IFERROR(__xludf.DUMMYFUNCTION("""COMPUTED_VALUE"""),"Koala")</f>
        <v>Koala</v>
      </c>
      <c r="G275" s="111" t="str">
        <f>IFERROR(__xludf.DUMMYFUNCTION("""COMPUTED_VALUE"""),"")</f>
        <v/>
      </c>
      <c r="H275" s="111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I275" s="112" t="str">
        <f>IFERROR(__xludf.DUMMYFUNCTION("""COMPUTED_VALUE"""),"Revolutionary Army
Fish_Man Karate")</f>
        <v>Revolutionary Army
Fish_Man Karate</v>
      </c>
      <c r="J275" s="101"/>
    </row>
    <row r="276" ht="75.0" customHeight="1">
      <c r="A276" s="101"/>
      <c r="B276" s="111" t="str">
        <f>IFERROR(__xludf.DUMMYFUNCTION("""COMPUTED_VALUE"""),"Hawkins")</f>
        <v>Hawkins</v>
      </c>
      <c r="C276" s="113" t="str">
        <f>IFERROR(__xludf.DUMMYFUNCTION("""COMPUTED_VALUE"""),"")</f>
        <v/>
      </c>
      <c r="D276" s="109" t="str">
        <f>IFERROR(__xludf.DUMMYFUNCTION("""COMPUTED_VALUE"""),"When using Skill 2: Reduce the cooldown time of Skill 1 by 3%.")</f>
        <v>When using Skill 2: Reduce the cooldown time of Skill 1 by 3%.</v>
      </c>
      <c r="E276" s="110" t="str">
        <f>IFERROR(__xludf.DUMMYFUNCTION("""COMPUTED_VALUE"""),"Land of Wano
Animal Kingdom Pirates
Paramecia
Headliner
Worst Generation")</f>
        <v>Land of Wano
Animal Kingdom Pirates
Paramecia
Headliner
Worst Generation</v>
      </c>
      <c r="F276" s="111" t="str">
        <f>IFERROR(__xludf.DUMMYFUNCTION("""COMPUTED_VALUE"""),"Miracle Worker")</f>
        <v>Miracle Worker</v>
      </c>
      <c r="G276" s="111" t="str">
        <f>IFERROR(__xludf.DUMMYFUNCTION("""COMPUTED_VALUE"""),"")</f>
        <v/>
      </c>
      <c r="H276" s="111" t="str">
        <f>IFERROR(__xludf.DUMMYFUNCTION("""COMPUTED_VALUE"""),"When in the area around your captured Treasure: Reduce damage recieved by 5%.")</f>
        <v>When in the area around your captured Treasure: Reduce damage recieved by 5%.</v>
      </c>
      <c r="I276" s="112" t="str">
        <f>IFERROR(__xludf.DUMMYFUNCTION("""COMPUTED_VALUE"""),"Revolutionary Army
Paramecia
New Kama")</f>
        <v>Revolutionary Army
Paramecia
New Kama</v>
      </c>
      <c r="J276" s="101"/>
    </row>
    <row r="277" ht="75.0" customHeight="1">
      <c r="A277" s="101"/>
      <c r="B277" s="111" t="str">
        <f>IFERROR(__xludf.DUMMYFUNCTION("""COMPUTED_VALUE"""),"ROOM")</f>
        <v>ROOM</v>
      </c>
      <c r="C277" s="113" t="str">
        <f>IFERROR(__xludf.DUMMYFUNCTION("""COMPUTED_VALUE"""),"")</f>
        <v/>
      </c>
      <c r="D277" s="109" t="str">
        <f>IFERROR(__xludf.DUMMYFUNCTION("""COMPUTED_VALUE"""),"After KOing an enemy: Recover HP by 5%.")</f>
        <v>After KOing an enemy: Recover HP by 5%.</v>
      </c>
      <c r="E277" s="110" t="str">
        <f>IFERROR(__xludf.DUMMYFUNCTION("""COMPUTED_VALUE"""),"Land of Wano
Paramecia
Captain
The Seven Warlords of the Sea / Former Warlords of the Sea
Worst Generation
Heart Pirates")</f>
        <v>Land of Wano
Paramecia
Captain
The Seven Warlords of the Sea / Former Warlords of the Sea
Worst Generation
Heart Pirates</v>
      </c>
      <c r="F277" s="111" t="str">
        <f>IFERROR(__xludf.DUMMYFUNCTION("""COMPUTED_VALUE"""),"Chiffon")</f>
        <v>Chiffon</v>
      </c>
      <c r="G277" s="111" t="str">
        <f>IFERROR(__xludf.DUMMYFUNCTION("""COMPUTED_VALUE"""),"")</f>
        <v/>
      </c>
      <c r="H277" s="111" t="str">
        <f>IFERROR(__xludf.DUMMYFUNCTION("""COMPUTED_VALUE"""),"When your team has more Treasure secured: Boost the cooldown reduction speed of Skill 2 by 10%.")</f>
        <v>When your team has more Treasure secured: Boost the cooldown reduction speed of Skill 2 by 10%.</v>
      </c>
      <c r="I277" s="112" t="str">
        <f>IFERROR(__xludf.DUMMYFUNCTION("""COMPUTED_VALUE"""),"Zou / Whole Cake Island
Firetank Pirates
Charlotte Family")</f>
        <v>Zou / Whole Cake Island
Firetank Pirates
Charlotte Family</v>
      </c>
      <c r="J277" s="101"/>
    </row>
    <row r="278" ht="75.0" customHeight="1">
      <c r="A278" s="101"/>
      <c r="B278" s="111" t="str">
        <f>IFERROR(__xludf.DUMMYFUNCTION("""COMPUTED_VALUE"""),"Billow_White")</f>
        <v>Billow_White</v>
      </c>
      <c r="C278" s="113" t="str">
        <f>IFERROR(__xludf.DUMMYFUNCTION("""COMPUTED_VALUE"""),"")</f>
        <v/>
      </c>
      <c r="D278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278" s="110" t="str">
        <f>IFERROR(__xludf.DUMMYFUNCTION("""COMPUTED_VALUE"""),"Dressrosa
The Seven Warlords of the Sea / Former Warlords of the Sea
Paramecia
Captain
Royalty / Former Royalty
Don Quixote Family")</f>
        <v>Dressrosa
The Seven Warlords of the Sea / Former Warlords of the Sea
Paramecia
Captain
Royalty / Former Royalty
Don Quixote Family</v>
      </c>
      <c r="F278" s="111" t="str">
        <f>IFERROR(__xludf.DUMMYFUNCTION("""COMPUTED_VALUE"""),"Memo_Memo")</f>
        <v>Memo_Memo</v>
      </c>
      <c r="G278" s="111" t="str">
        <f>IFERROR(__xludf.DUMMYFUNCTION("""COMPUTED_VALUE"""),"")</f>
        <v/>
      </c>
      <c r="H278" s="111" t="str">
        <f>IFERROR(__xludf.DUMMYFUNCTION("""COMPUTED_VALUE"""),"When Critical occurs: Reduce the cooldown time of Skill 1 by 3%.")</f>
        <v>When Critical occurs: Reduce the cooldown time of Skill 1 by 3%.</v>
      </c>
      <c r="I278" s="112" t="str">
        <f>IFERROR(__xludf.DUMMYFUNCTION("""COMPUTED_VALUE"""),"Zou / Whole Cake Island
Big Mom Pirates
Paramecia
Charlotte Family")</f>
        <v>Zou / Whole Cake Island
Big Mom Pirates
Paramecia
Charlotte Family</v>
      </c>
      <c r="J278" s="101"/>
    </row>
    <row r="279" ht="75.0" customHeight="1">
      <c r="A279" s="101"/>
      <c r="B279" s="111" t="str">
        <f>IFERROR(__xludf.DUMMYFUNCTION("""COMPUTED_VALUE"""),"King Kong Gun")</f>
        <v>King Kong Gun</v>
      </c>
      <c r="C279" s="113" t="str">
        <f>IFERROR(__xludf.DUMMYFUNCTION("""COMPUTED_VALUE"""),"")</f>
        <v/>
      </c>
      <c r="D279" s="109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E279" s="110" t="str">
        <f>IFERROR(__xludf.DUMMYFUNCTION("""COMPUTED_VALUE"""),"Dressrosa
Straw Hat Pirates
Paramecia
Captain
Worst Generation
Blood Brothers")</f>
        <v>Dressrosa
Straw Hat Pirates
Paramecia
Captain
Worst Generation
Blood Brothers</v>
      </c>
      <c r="F279" s="111" t="str">
        <f>IFERROR(__xludf.DUMMYFUNCTION("""COMPUTED_VALUE"""),"Mark_Mark")</f>
        <v>Mark_Mark</v>
      </c>
      <c r="G279" s="111" t="str">
        <f>IFERROR(__xludf.DUMMYFUNCTION("""COMPUTED_VALUE"""),"")</f>
        <v/>
      </c>
      <c r="H279" s="111" t="str">
        <f>IFERROR(__xludf.DUMMYFUNCTION("""COMPUTED_VALUE"""),"When performing a Perfect Dodge: Reduce the cooldown time of Skill 2 by 3%.")</f>
        <v>When performing a Perfect Dodge: Reduce the cooldown time of Skill 2 by 3%.</v>
      </c>
      <c r="I279" s="112" t="str">
        <f>IFERROR(__xludf.DUMMYFUNCTION("""COMPUTED_VALUE"""),"Fish_Man Island
Paramecia
Captain
Fish_Man")</f>
        <v>Fish_Man Island
Paramecia
Captain
Fish_Man</v>
      </c>
      <c r="J279" s="101"/>
    </row>
    <row r="280" ht="75.0" customHeight="1">
      <c r="A280" s="101"/>
      <c r="B280" s="111" t="str">
        <f>IFERROR(__xludf.DUMMYFUNCTION("""COMPUTED_VALUE"""),"Sabo
(STAMPEDE)")</f>
        <v>Sabo
(STAMPEDE)</v>
      </c>
      <c r="C280" s="113" t="str">
        <f>IFERROR(__xludf.DUMMYFUNCTION("""COMPUTED_VALUE"""),"")</f>
        <v/>
      </c>
      <c r="D280" s="109" t="str">
        <f>IFERROR(__xludf.DUMMYFUNCTION("""COMPUTED_VALUE"""),"When attacking an enemy inflicted With Aflame: Increase damage dealt by 5%.")</f>
        <v>When attacking an enemy inflicted With Aflame: Increase damage dealt by 5%.</v>
      </c>
      <c r="E280" s="110" t="str">
        <f>IFERROR(__xludf.DUMMYFUNCTION("""COMPUTED_VALUE"""),"STAMPEDE
Revolutionary Army
Logia
Chief of Staff
Blood Brothers")</f>
        <v>STAMPEDE
Revolutionary Army
Logia
Chief of Staff
Blood Brothers</v>
      </c>
      <c r="F280" s="111" t="str">
        <f>IFERROR(__xludf.DUMMYFUNCTION("""COMPUTED_VALUE"""),"Hody")</f>
        <v>Hody</v>
      </c>
      <c r="G280" s="111" t="str">
        <f>IFERROR(__xludf.DUMMYFUNCTION("""COMPUTED_VALUE"""),"")</f>
        <v/>
      </c>
      <c r="H280" s="111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I280" s="112" t="str">
        <f>IFERROR(__xludf.DUMMYFUNCTION("""COMPUTED_VALUE"""),"Fish_Man Island
Captain
Fish_Man")</f>
        <v>Fish_Man Island
Captain
Fish_Man</v>
      </c>
      <c r="J280" s="101"/>
    </row>
    <row r="281" ht="75.0" customHeight="1">
      <c r="A281" s="101"/>
      <c r="B281" s="111" t="str">
        <f>IFERROR(__xludf.DUMMYFUNCTION("""COMPUTED_VALUE"""),"Luffy
(STAMPEDE)")</f>
        <v>Luffy
(STAMPEDE)</v>
      </c>
      <c r="C281" s="113" t="str">
        <f>IFERROR(__xludf.DUMMYFUNCTION("""COMPUTED_VALUE"""),"")</f>
        <v/>
      </c>
      <c r="D281" s="109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E281" s="110" t="str">
        <f>IFERROR(__xludf.DUMMYFUNCTION("""COMPUTED_VALUE"""),"STAMPEDE
Straw Hat Pirates
Paramecia
Captain
Worst Generation
Blood Brothers")</f>
        <v>STAMPEDE
Straw Hat Pirates
Paramecia
Captain
Worst Generation
Blood Brothers</v>
      </c>
      <c r="F281" s="111" t="str">
        <f>IFERROR(__xludf.DUMMYFUNCTION("""COMPUTED_VALUE"""),"Wild Zombie")</f>
        <v>Wild Zombie</v>
      </c>
      <c r="G281" s="111" t="str">
        <f>IFERROR(__xludf.DUMMYFUNCTION("""COMPUTED_VALUE"""),"")</f>
        <v/>
      </c>
      <c r="H281" s="111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I281" s="112" t="str">
        <f>IFERROR(__xludf.DUMMYFUNCTION("""COMPUTED_VALUE"""),"Thriller Bark
Zombie
Thriller Bark Pirates")</f>
        <v>Thriller Bark
Zombie
Thriller Bark Pirates</v>
      </c>
      <c r="J281" s="101"/>
    </row>
    <row r="282" ht="75.0" customHeight="1">
      <c r="A282" s="101"/>
      <c r="B282" s="111" t="str">
        <f>IFERROR(__xludf.DUMMYFUNCTION("""COMPUTED_VALUE"""),"Smoker
(STAMPEDE)")</f>
        <v>Smoker
(STAMPEDE)</v>
      </c>
      <c r="C282" s="113" t="str">
        <f>IFERROR(__xludf.DUMMYFUNCTION("""COMPUTED_VALUE"""),"")</f>
        <v/>
      </c>
      <c r="D282" s="109" t="str">
        <f>IFERROR(__xludf.DUMMYFUNCTION("""COMPUTED_VALUE"""),"When attacking an enemy inflicted With Stun: Increase damage dealt by 5%.")</f>
        <v>When attacking an enemy inflicted With Stun: Increase damage dealt by 5%.</v>
      </c>
      <c r="E282" s="110" t="str">
        <f>IFERROR(__xludf.DUMMYFUNCTION("""COMPUTED_VALUE"""),"STAMPEDE
Navy
Logia")</f>
        <v>STAMPEDE
Navy
Logia</v>
      </c>
      <c r="F282" s="111" t="str">
        <f>IFERROR(__xludf.DUMMYFUNCTION("""COMPUTED_VALUE"""),"Genie")</f>
        <v>Genie</v>
      </c>
      <c r="G282" s="111" t="str">
        <f>IFERROR(__xludf.DUMMYFUNCTION("""COMPUTED_VALUE"""),"")</f>
        <v/>
      </c>
      <c r="H282" s="111" t="str">
        <f>IFERROR(__xludf.DUMMYFUNCTION("""COMPUTED_VALUE"""),"When you capture the Treasure: Recover HP by 5%.")</f>
        <v>When you capture the Treasure: Recover HP by 5%.</v>
      </c>
      <c r="I282" s="112" t="str">
        <f>IFERROR(__xludf.DUMMYFUNCTION("""COMPUTED_VALUE"""),"Thriller Bark
Zombie
Thriller Bark Pirates")</f>
        <v>Thriller Bark
Zombie
Thriller Bark Pirates</v>
      </c>
      <c r="J282" s="101"/>
    </row>
    <row r="283" ht="75.0" customHeight="1">
      <c r="A283" s="101"/>
      <c r="B283" s="111" t="str">
        <f>IFERROR(__xludf.DUMMYFUNCTION("""COMPUTED_VALUE"""),"Fire Pillar")</f>
        <v>Fire Pillar</v>
      </c>
      <c r="C283" s="113" t="str">
        <f>IFERROR(__xludf.DUMMYFUNCTION("""COMPUTED_VALUE"""),"")</f>
        <v/>
      </c>
      <c r="D283" s="109" t="str">
        <f>IFERROR(__xludf.DUMMYFUNCTION("""COMPUTED_VALUE"""),"When attacked by an enemy: 30% chance to, Nullify Aflame.")</f>
        <v>When attacked by an enemy: 30% chance to, Nullify Aflame.</v>
      </c>
      <c r="E283" s="110" t="str">
        <f>IFERROR(__xludf.DUMMYFUNCTION("""COMPUTED_VALUE"""),"Whitebeard Pirates
Logia
Whitebeard Pirates Commander
Blood Brothers")</f>
        <v>Whitebeard Pirates
Logia
Whitebeard Pirates Commander
Blood Brothers</v>
      </c>
      <c r="F283" s="111" t="str">
        <f>IFERROR(__xludf.DUMMYFUNCTION("""COMPUTED_VALUE"""),"Bis_Bis")</f>
        <v>Bis_Bis</v>
      </c>
      <c r="G283" s="111" t="str">
        <f>IFERROR(__xludf.DUMMYFUNCTION("""COMPUTED_VALUE"""),"")</f>
        <v/>
      </c>
      <c r="H283" s="111" t="str">
        <f>IFERROR(__xludf.DUMMYFUNCTION("""COMPUTED_VALUE"""),"When your HP is 30% or less: CRIT Boosted by 60% for 20 second(s).")</f>
        <v>When your HP is 30% or less: CRIT Boosted by 60% for 20 second(s).</v>
      </c>
      <c r="I283" s="112" t="str">
        <f>IFERROR(__xludf.DUMMYFUNCTION("""COMPUTED_VALUE"""),"Zou / Whole Cake Island
Big Mom Pirates
Paramecia
``Sweet 3`` General
Charlotte Family")</f>
        <v>Zou / Whole Cake Island
Big Mom Pirates
Paramecia
``Sweet 3`` General
Charlotte Family</v>
      </c>
      <c r="J283" s="101"/>
    </row>
    <row r="284" ht="75.0" customHeight="1">
      <c r="A284" s="101"/>
      <c r="B284" s="111" t="str">
        <f>IFERROR(__xludf.DUMMYFUNCTION("""COMPUTED_VALUE"""),"Sables")</f>
        <v>Sables</v>
      </c>
      <c r="C284" s="113" t="str">
        <f>IFERROR(__xludf.DUMMYFUNCTION("""COMPUTED_VALUE"""),"")</f>
        <v/>
      </c>
      <c r="D284" s="109" t="str">
        <f>IFERROR(__xludf.DUMMYFUNCTION("""COMPUTED_VALUE"""),"When attacking an enemy: 1% chance to, Inflict Poison for 14 second(s).")</f>
        <v>When attacking an enemy: 1% chance to, Inflict Poison for 14 second(s).</v>
      </c>
      <c r="E284" s="110" t="str">
        <f>IFERROR(__xludf.DUMMYFUNCTION("""COMPUTED_VALUE"""),"Impel Down
Logia
The Seven Warlords of the Sea / Former Warlords of the Sea")</f>
        <v>Impel Down
Logia
The Seven Warlords of the Sea / Former Warlords of the Sea</v>
      </c>
      <c r="F284" s="111" t="str">
        <f>IFERROR(__xludf.DUMMYFUNCTION("""COMPUTED_VALUE"""),"Wring_Wring")</f>
        <v>Wring_Wring</v>
      </c>
      <c r="G284" s="111" t="str">
        <f>IFERROR(__xludf.DUMMYFUNCTION("""COMPUTED_VALUE"""),"")</f>
        <v/>
      </c>
      <c r="H284" s="111" t="str">
        <f>IFERROR(__xludf.DUMMYFUNCTION("""COMPUTED_VALUE"""),"After KOing an enemy: Reduce the cooldown time of Skill 2 by 8%.")</f>
        <v>After KOing an enemy: Reduce the cooldown time of Skill 2 by 8%.</v>
      </c>
      <c r="I284" s="112" t="str">
        <f>IFERROR(__xludf.DUMMYFUNCTION("""COMPUTED_VALUE"""),"Zou / Whole Cake Island
Big Mom Pirates
Paramecia
``Sweet 3`` General
Charlotte Family")</f>
        <v>Zou / Whole Cake Island
Big Mom Pirates
Paramecia
``Sweet 3`` General
Charlotte Family</v>
      </c>
      <c r="J284" s="101"/>
    </row>
    <row r="285" ht="75.0" customHeight="1">
      <c r="A285" s="101"/>
      <c r="B285" s="111" t="str">
        <f>IFERROR(__xludf.DUMMYFUNCTION("""COMPUTED_VALUE"""),"Bikini Hancock")</f>
        <v>Bikini Hancock</v>
      </c>
      <c r="C285" s="113" t="str">
        <f>IFERROR(__xludf.DUMMYFUNCTION("""COMPUTED_VALUE"""),"")</f>
        <v/>
      </c>
      <c r="D285" s="109" t="str">
        <f>IFERROR(__xludf.DUMMYFUNCTION("""COMPUTED_VALUE"""),"When your team has less Treasure secured: Increase damage dealt by 5%.")</f>
        <v>When your team has less Treasure secured: Increase damage dealt by 5%.</v>
      </c>
      <c r="E285" s="110" t="str">
        <f>IFERROR(__xludf.DUMMYFUNCTION("""COMPUTED_VALUE"""),"Bikini
The Seven Warlords of the Sea / Former Warlords of the Sea
Kuja Pirates
Paramecia
Captain
Gorgon Sisters")</f>
        <v>Bikini
The Seven Warlords of the Sea / Former Warlords of the Sea
Kuja Pirates
Paramecia
Captain
Gorgon Sisters</v>
      </c>
      <c r="F285" s="111" t="str">
        <f>IFERROR(__xludf.DUMMYFUNCTION("""COMPUTED_VALUE"""),"Evening Shower")</f>
        <v>Evening Shower</v>
      </c>
      <c r="G285" s="111" t="str">
        <f>IFERROR(__xludf.DUMMYFUNCTION("""COMPUTED_VALUE"""),"")</f>
        <v/>
      </c>
      <c r="H285" s="111" t="str">
        <f>IFERROR(__xludf.DUMMYFUNCTION("""COMPUTED_VALUE"""),"When in the area around your enemy`s Treasure: Boost the cooldown reduction speed of dodge by 13%.")</f>
        <v>When in the area around your enemy`s Treasure: Boost the cooldown reduction speed of dodge by 13%.</v>
      </c>
      <c r="I285" s="112" t="str">
        <f>IFERROR(__xludf.DUMMYFUNCTION("""COMPUTED_VALUE"""),"Land of Wano
Paramecia
Kozuki Clan / Kozuki Clan Servant")</f>
        <v>Land of Wano
Paramecia
Kozuki Clan / Kozuki Clan Servant</v>
      </c>
      <c r="J285" s="101"/>
    </row>
    <row r="286" ht="75.0" customHeight="1">
      <c r="A286" s="101"/>
      <c r="B286" s="111" t="str">
        <f>IFERROR(__xludf.DUMMYFUNCTION("""COMPUTED_VALUE"""),"Bikini Nami")</f>
        <v>Bikini Nami</v>
      </c>
      <c r="C286" s="113" t="str">
        <f>IFERROR(__xludf.DUMMYFUNCTION("""COMPUTED_VALUE"""),"")</f>
        <v/>
      </c>
      <c r="D286" s="109" t="str">
        <f>IFERROR(__xludf.DUMMYFUNCTION("""COMPUTED_VALUE"""),"When your HP is 70% or more: Boost capture speed by 8%.")</f>
        <v>When your HP is 70% or more: Boost capture speed by 8%.</v>
      </c>
      <c r="E286" s="110" t="str">
        <f>IFERROR(__xludf.DUMMYFUNCTION("""COMPUTED_VALUE"""),"Bikini
Straw Hat Pirates
Navigator")</f>
        <v>Bikini
Straw Hat Pirates
Navigator</v>
      </c>
      <c r="F286" s="111" t="str">
        <f>IFERROR(__xludf.DUMMYFUNCTION("""COMPUTED_VALUE"""),"Foxfire")</f>
        <v>Foxfire</v>
      </c>
      <c r="G286" s="111" t="str">
        <f>IFERROR(__xludf.DUMMYFUNCTION("""COMPUTED_VALUE"""),"")</f>
        <v/>
      </c>
      <c r="H286" s="111" t="str">
        <f>IFERROR(__xludf.DUMMYFUNCTION("""COMPUTED_VALUE"""),"When performing a Perfect Dodge: Reduce the cooldown time of Skill 2 by 6%.")</f>
        <v>When performing a Perfect Dodge: Reduce the cooldown time of Skill 2 by 6%.</v>
      </c>
      <c r="I286" s="112" t="str">
        <f>IFERROR(__xludf.DUMMYFUNCTION("""COMPUTED_VALUE"""),"Land of Wano
Paramecia
Kozuki Clan / Kozuki Clan Servant")</f>
        <v>Land of Wano
Paramecia
Kozuki Clan / Kozuki Clan Servant</v>
      </c>
      <c r="J286" s="101"/>
    </row>
    <row r="287" ht="75.0" customHeight="1">
      <c r="A287" s="101"/>
      <c r="B287" s="111" t="str">
        <f>IFERROR(__xludf.DUMMYFUNCTION("""COMPUTED_VALUE"""),"Radical")</f>
        <v>Radical</v>
      </c>
      <c r="C287" s="113" t="str">
        <f>IFERROR(__xludf.DUMMYFUNCTION("""COMPUTED_VALUE"""),"")</f>
        <v/>
      </c>
      <c r="D287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87" s="110" t="str">
        <f>IFERROR(__xludf.DUMMYFUNCTION("""COMPUTED_VALUE"""),"2 Years Later
Straw Hat Pirates
Ship Carpenter")</f>
        <v>2 Years Later
Straw Hat Pirates
Ship Carpenter</v>
      </c>
      <c r="F287" s="111" t="str">
        <f>IFERROR(__xludf.DUMMYFUNCTION("""COMPUTED_VALUE"""),"Gas_Gas")</f>
        <v>Gas_Gas</v>
      </c>
      <c r="G287" s="111" t="str">
        <f>IFERROR(__xludf.DUMMYFUNCTION("""COMPUTED_VALUE"""),"")</f>
        <v/>
      </c>
      <c r="H287" s="111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I287" s="112" t="str">
        <f>IFERROR(__xludf.DUMMYFUNCTION("""COMPUTED_VALUE"""),"Dressrosa
Logia")</f>
        <v>Dressrosa
Logia</v>
      </c>
      <c r="J287" s="101"/>
    </row>
    <row r="288" ht="75.0" customHeight="1">
      <c r="A288" s="101"/>
      <c r="B288" s="111" t="str">
        <f>IFERROR(__xludf.DUMMYFUNCTION("""COMPUTED_VALUE"""),"Blizzard Slice")</f>
        <v>Blizzard Slice</v>
      </c>
      <c r="C288" s="113" t="str">
        <f>IFERROR(__xludf.DUMMYFUNCTION("""COMPUTED_VALUE"""),"")</f>
        <v/>
      </c>
      <c r="D288" s="109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E288" s="110" t="str">
        <f>IFERROR(__xludf.DUMMYFUNCTION("""COMPUTED_VALUE"""),"2 Years Later
Straw Hat Pirates
Paramecia
Musician")</f>
        <v>2 Years Later
Straw Hat Pirates
Paramecia
Musician</v>
      </c>
      <c r="F288" s="111" t="str">
        <f>IFERROR(__xludf.DUMMYFUNCTION("""COMPUTED_VALUE"""),"Vergo")</f>
        <v>Vergo</v>
      </c>
      <c r="G288" s="111" t="str">
        <f>IFERROR(__xludf.DUMMYFUNCTION("""COMPUTED_VALUE"""),"")</f>
        <v/>
      </c>
      <c r="H288" s="111" t="str">
        <f>IFERROR(__xludf.DUMMYFUNCTION("""COMPUTED_VALUE"""),"When you capture the Treasure: Reduce the cooldown time of Skill 2 by 8%.")</f>
        <v>When you capture the Treasure: Reduce the cooldown time of Skill 2 by 8%.</v>
      </c>
      <c r="I288" s="112" t="str">
        <f>IFERROR(__xludf.DUMMYFUNCTION("""COMPUTED_VALUE"""),"Dressrosa
Navy
Don Quixote Family")</f>
        <v>Dressrosa
Navy
Don Quixote Family</v>
      </c>
      <c r="J288" s="101"/>
    </row>
    <row r="289" ht="75.0" customHeight="1">
      <c r="A289" s="101"/>
      <c r="B289" s="111" t="str">
        <f>IFERROR(__xludf.DUMMYFUNCTION("""COMPUTED_VALUE"""),"Mille Fleurs")</f>
        <v>Mille Fleurs</v>
      </c>
      <c r="C289" s="113" t="str">
        <f>IFERROR(__xludf.DUMMYFUNCTION("""COMPUTED_VALUE"""),"")</f>
        <v/>
      </c>
      <c r="D289" s="109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E289" s="110" t="str">
        <f>IFERROR(__xludf.DUMMYFUNCTION("""COMPUTED_VALUE"""),"2 Years Later
Straw Hat Pirates
Paramecia
Archaeologist")</f>
        <v>2 Years Later
Straw Hat Pirates
Paramecia
Archaeologist</v>
      </c>
      <c r="F289" s="111" t="str">
        <f>IFERROR(__xludf.DUMMYFUNCTION("""COMPUTED_VALUE"""),"Ann")</f>
        <v>Ann</v>
      </c>
      <c r="G289" s="111" t="str">
        <f>IFERROR(__xludf.DUMMYFUNCTION("""COMPUTED_VALUE"""),"")</f>
        <v/>
      </c>
      <c r="H289" s="111" t="str">
        <f>IFERROR(__xludf.DUMMYFUNCTION("""COMPUTED_VALUE"""),"When there are 90 seconds or more remaining: Increase damage dealt by 3%.")</f>
        <v>When there are 90 seconds or more remaining: Increase damage dealt by 3%.</v>
      </c>
      <c r="I289" s="112" t="str">
        <f>IFERROR(__xludf.DUMMYFUNCTION("""COMPUTED_VALUE"""),"STAMPEDE
Paramecia")</f>
        <v>STAMPEDE
Paramecia</v>
      </c>
      <c r="J289" s="101"/>
    </row>
    <row r="290" ht="75.0" customHeight="1">
      <c r="A290" s="101"/>
      <c r="B290" s="111" t="str">
        <f>IFERROR(__xludf.DUMMYFUNCTION("""COMPUTED_VALUE"""),"Bed Rest")</f>
        <v>Bed Rest</v>
      </c>
      <c r="C290" s="113" t="str">
        <f>IFERROR(__xludf.DUMMYFUNCTION("""COMPUTED_VALUE"""),"")</f>
        <v/>
      </c>
      <c r="D290" s="109" t="str">
        <f>IFERROR(__xludf.DUMMYFUNCTION("""COMPUTED_VALUE"""),"When your team has less Treasure secured: Reduce damage recieved by 5%.")</f>
        <v>When your team has less Treasure secured: Reduce damage recieved by 5%.</v>
      </c>
      <c r="E290" s="110" t="str">
        <f>IFERROR(__xludf.DUMMYFUNCTION("""COMPUTED_VALUE"""),"2 Years Later
Straw Hat Pirates
Zoan
Doctor")</f>
        <v>2 Years Later
Straw Hat Pirates
Zoan
Doctor</v>
      </c>
      <c r="F290" s="111" t="str">
        <f>IFERROR(__xludf.DUMMYFUNCTION("""COMPUTED_VALUE"""),"Lucci
(STAMPEDE)")</f>
        <v>Lucci
(STAMPEDE)</v>
      </c>
      <c r="G290" s="111" t="str">
        <f>IFERROR(__xludf.DUMMYFUNCTION("""COMPUTED_VALUE"""),"")</f>
        <v/>
      </c>
      <c r="H290" s="111" t="str">
        <f>IFERROR(__xludf.DUMMYFUNCTION("""COMPUTED_VALUE"""),"When an ally is KO`d (not including you): Recover HP by 3%.")</f>
        <v>When an ally is KO`d (not including you): Recover HP by 3%.</v>
      </c>
      <c r="I290" s="112" t="str">
        <f>IFERROR(__xludf.DUMMYFUNCTION("""COMPUTED_VALUE"""),"STAMPEDE
Zoan")</f>
        <v>STAMPEDE
Zoan</v>
      </c>
      <c r="J290" s="101"/>
    </row>
    <row r="291" ht="75.0" customHeight="1">
      <c r="A291" s="101"/>
      <c r="B291" s="111" t="str">
        <f>IFERROR(__xludf.DUMMYFUNCTION("""COMPUTED_VALUE"""),"Kizaru")</f>
        <v>Kizaru</v>
      </c>
      <c r="C291" s="113" t="str">
        <f>IFERROR(__xludf.DUMMYFUNCTION("""COMPUTED_VALUE"""),"")</f>
        <v/>
      </c>
      <c r="D291" s="109" t="str">
        <f>IFERROR(__xludf.DUMMYFUNCTION("""COMPUTED_VALUE"""),"When attacked by an enemy: 30% chance to, Nullify Stun.")</f>
        <v>When attacked by an enemy: 30% chance to, Nullify Stun.</v>
      </c>
      <c r="E291" s="110" t="str">
        <f>IFERROR(__xludf.DUMMYFUNCTION("""COMPUTED_VALUE"""),"The Paramount War at Marineford
Navy
Logia
Navy Admiral / Former Navy Admiral")</f>
        <v>The Paramount War at Marineford
Navy
Logia
Navy Admiral / Former Navy Admiral</v>
      </c>
      <c r="F291" s="111" t="str">
        <f>IFERROR(__xludf.DUMMYFUNCTION("""COMPUTED_VALUE"""),"Tashigi
(STAMPEDE)")</f>
        <v>Tashigi
(STAMPEDE)</v>
      </c>
      <c r="G291" s="111" t="str">
        <f>IFERROR(__xludf.DUMMYFUNCTION("""COMPUTED_VALUE"""),"")</f>
        <v/>
      </c>
      <c r="H291" s="111" t="str">
        <f>IFERROR(__xludf.DUMMYFUNCTION("""COMPUTED_VALUE"""),"When your HP is 30% or less: Reduce damage recieved by 3%.")</f>
        <v>When your HP is 30% or less: Reduce damage recieved by 3%.</v>
      </c>
      <c r="I291" s="112" t="str">
        <f>IFERROR(__xludf.DUMMYFUNCTION("""COMPUTED_VALUE"""),"STAMPEDE
Navy
Navy Captain")</f>
        <v>STAMPEDE
Navy
Navy Captain</v>
      </c>
      <c r="J291" s="101"/>
    </row>
    <row r="292" ht="75.0" customHeight="1">
      <c r="A292" s="101"/>
      <c r="B292" s="111" t="str">
        <f>IFERROR(__xludf.DUMMYFUNCTION("""COMPUTED_VALUE"""),"Bonney")</f>
        <v>Bonney</v>
      </c>
      <c r="C292" s="113" t="str">
        <f>IFERROR(__xludf.DUMMYFUNCTION("""COMPUTED_VALUE"""),"")</f>
        <v/>
      </c>
      <c r="D292" s="109" t="str">
        <f>IFERROR(__xludf.DUMMYFUNCTION("""COMPUTED_VALUE"""),"When in the area around your captured Treasure: Reduce damage recieved by 3%.")</f>
        <v>When in the area around your captured Treasure: Reduce damage recieved by 3%.</v>
      </c>
      <c r="E292" s="110" t="str">
        <f>IFERROR(__xludf.DUMMYFUNCTION("""COMPUTED_VALUE"""),"Sabaody Archipelago / Island of Women
Bonney Pirates
Paramecia
Captain
Worst Generation")</f>
        <v>Sabaody Archipelago / Island of Women
Bonney Pirates
Paramecia
Captain
Worst Generation</v>
      </c>
      <c r="F292" s="111" t="str">
        <f>IFERROR(__xludf.DUMMYFUNCTION("""COMPUTED_VALUE"""),"Festa")</f>
        <v>Festa</v>
      </c>
      <c r="G292" s="111" t="str">
        <f>IFERROR(__xludf.DUMMYFUNCTION("""COMPUTED_VALUE"""),"")</f>
        <v/>
      </c>
      <c r="H292" s="111" t="str">
        <f>IFERROR(__xludf.DUMMYFUNCTION("""COMPUTED_VALUE"""),"When Respawned: CRIT Boosted by 80% for 20 second(s).")</f>
        <v>When Respawned: CRIT Boosted by 80% for 20 second(s).</v>
      </c>
      <c r="I292" s="112" t="str">
        <f>IFERROR(__xludf.DUMMYFUNCTION("""COMPUTED_VALUE"""),"STAMPEDE
")</f>
        <v>STAMPEDE
</v>
      </c>
      <c r="J292" s="101"/>
    </row>
    <row r="293" ht="75.0" customHeight="1">
      <c r="A293" s="101"/>
      <c r="B293" s="111" t="str">
        <f>IFERROR(__xludf.DUMMYFUNCTION("""COMPUTED_VALUE"""),"Green Star")</f>
        <v>Green Star</v>
      </c>
      <c r="C293" s="113" t="str">
        <f>IFERROR(__xludf.DUMMYFUNCTION("""COMPUTED_VALUE"""),"")</f>
        <v/>
      </c>
      <c r="D293" s="109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E293" s="110" t="str">
        <f>IFERROR(__xludf.DUMMYFUNCTION("""COMPUTED_VALUE"""),"2 Years Later
Straw Hat Pirates
Sharp Shooter")</f>
        <v>2 Years Later
Straw Hat Pirates
Sharp Shooter</v>
      </c>
      <c r="F293" s="111" t="str">
        <f>IFERROR(__xludf.DUMMYFUNCTION("""COMPUTED_VALUE"""),"Bullet
(STAMPEDE)")</f>
        <v>Bullet
(STAMPEDE)</v>
      </c>
      <c r="G293" s="111" t="str">
        <f>IFERROR(__xludf.DUMMYFUNCTION("""COMPUTED_VALUE"""),"")</f>
        <v/>
      </c>
      <c r="H293" s="111" t="str">
        <f>IFERROR(__xludf.DUMMYFUNCTION("""COMPUTED_VALUE"""),"When attacked by an enemy: 30% chance to, Nullify Tremor.")</f>
        <v>When attacked by an enemy: 30% chance to, Nullify Tremor.</v>
      </c>
      <c r="I293" s="112" t="str">
        <f>IFERROR(__xludf.DUMMYFUNCTION("""COMPUTED_VALUE"""),"STAMPEDE
Paramecia
Roger Pirates / Ex_Roger Pirates")</f>
        <v>STAMPEDE
Paramecia
Roger Pirates / Ex_Roger Pirates</v>
      </c>
      <c r="J293" s="101"/>
    </row>
    <row r="294" ht="75.0" customHeight="1">
      <c r="A294" s="101"/>
      <c r="B294" s="111" t="str">
        <f>IFERROR(__xludf.DUMMYFUNCTION("""COMPUTED_VALUE"""),"Concasser")</f>
        <v>Concasser</v>
      </c>
      <c r="C294" s="113" t="str">
        <f>IFERROR(__xludf.DUMMYFUNCTION("""COMPUTED_VALUE"""),"")</f>
        <v/>
      </c>
      <c r="D294" s="109" t="str">
        <f>IFERROR(__xludf.DUMMYFUNCTION("""COMPUTED_VALUE"""),"When your team loses the Treasure: SPD Boosted by 6% for 20 second(s).")</f>
        <v>When your team loses the Treasure: SPD Boosted by 6% for 20 second(s).</v>
      </c>
      <c r="E294" s="110" t="str">
        <f>IFERROR(__xludf.DUMMYFUNCTION("""COMPUTED_VALUE"""),"2 Years Later
Straw Hat Pirates
Cook")</f>
        <v>2 Years Later
Straw Hat Pirates
Cook</v>
      </c>
      <c r="F294" s="111" t="str">
        <f>IFERROR(__xludf.DUMMYFUNCTION("""COMPUTED_VALUE"""),"Genius Jester")</f>
        <v>Genius Jester</v>
      </c>
      <c r="G294" s="111" t="str">
        <f>IFERROR(__xludf.DUMMYFUNCTION("""COMPUTED_VALUE"""),"")</f>
        <v/>
      </c>
      <c r="H294" s="111" t="str">
        <f>IFERROR(__xludf.DUMMYFUNCTION("""COMPUTED_VALUE"""),"When an ally is KO`d (not including you): Reduce the cooldown time of Skill 2 by 3%.")</f>
        <v>When an ally is KO`d (not including you): Reduce the cooldown time of Skill 2 by 3%.</v>
      </c>
      <c r="I294" s="112" t="str">
        <f>IFERROR(__xludf.DUMMYFUNCTION("""COMPUTED_VALUE"""),"The Seven Warlords of the Sea / Former Warlords of the Sea
Paramecia
Roger Pirates / Ex_Roger Pirates")</f>
        <v>The Seven Warlords of the Sea / Former Warlords of the Sea
Paramecia
Roger Pirates / Ex_Roger Pirates</v>
      </c>
      <c r="J294" s="101"/>
    </row>
    <row r="295" ht="75.0" customHeight="1">
      <c r="A295" s="101"/>
      <c r="B295" s="111" t="str">
        <f>IFERROR(__xludf.DUMMYFUNCTION("""COMPUTED_VALUE"""),"Sabo")</f>
        <v>Sabo</v>
      </c>
      <c r="C295" s="113" t="str">
        <f>IFERROR(__xludf.DUMMYFUNCTION("""COMPUTED_VALUE"""),"")</f>
        <v/>
      </c>
      <c r="D295" s="109" t="str">
        <f>IFERROR(__xludf.DUMMYFUNCTION("""COMPUTED_VALUE"""),"When in the area around your captured Treasure: Reduce damage recieved by 5%.")</f>
        <v>When in the area around your captured Treasure: Reduce damage recieved by 5%.</v>
      </c>
      <c r="E295" s="110" t="str">
        <f>IFERROR(__xludf.DUMMYFUNCTION("""COMPUTED_VALUE"""),"Dressrosa
Revolutionary Army
Chief of Staff
Blood Brothers")</f>
        <v>Dressrosa
Revolutionary Army
Chief of Staff
Blood Brothers</v>
      </c>
      <c r="F295" s="111" t="str">
        <f>IFERROR(__xludf.DUMMYFUNCTION("""COMPUTED_VALUE"""),"Red Hair")</f>
        <v>Red Hair</v>
      </c>
      <c r="G295" s="111" t="str">
        <f>IFERROR(__xludf.DUMMYFUNCTION("""COMPUTED_VALUE"""),"")</f>
        <v/>
      </c>
      <c r="H295" s="111" t="str">
        <f>IFERROR(__xludf.DUMMYFUNCTION("""COMPUTED_VALUE"""),"When performing a Perfect Dodge: Reduce the cooldown time of Skill 1 by 6%.")</f>
        <v>When performing a Perfect Dodge: Reduce the cooldown time of Skill 1 by 6%.</v>
      </c>
      <c r="I295" s="112" t="str">
        <f>IFERROR(__xludf.DUMMYFUNCTION("""COMPUTED_VALUE"""),"Captain
The Four Emperors
Roger Pirates / Ex_Roger Pirates")</f>
        <v>Captain
The Four Emperors
Roger Pirates / Ex_Roger Pirates</v>
      </c>
      <c r="J295" s="101"/>
    </row>
    <row r="296" ht="75.0" customHeight="1">
      <c r="A296" s="101"/>
      <c r="B296" s="111" t="str">
        <f>IFERROR(__xludf.DUMMYFUNCTION("""COMPUTED_VALUE"""),"Thunder")</f>
        <v>Thunder</v>
      </c>
      <c r="C296" s="113" t="str">
        <f>IFERROR(__xludf.DUMMYFUNCTION("""COMPUTED_VALUE"""),"")</f>
        <v/>
      </c>
      <c r="D296" s="109" t="str">
        <f>IFERROR(__xludf.DUMMYFUNCTION("""COMPUTED_VALUE"""),"When you capture the Treasure: SPD Boosted by 6% for 20 second(s).")</f>
        <v>When you capture the Treasure: SPD Boosted by 6% for 20 second(s).</v>
      </c>
      <c r="E296" s="110" t="str">
        <f>IFERROR(__xludf.DUMMYFUNCTION("""COMPUTED_VALUE"""),"2 Years Later
Straw Hat Pirates
Navigator")</f>
        <v>2 Years Later
Straw Hat Pirates
Navigator</v>
      </c>
      <c r="F296" s="111" t="str">
        <f>IFERROR(__xludf.DUMMYFUNCTION("""COMPUTED_VALUE"""),"Magician")</f>
        <v>Magician</v>
      </c>
      <c r="G296" s="111" t="str">
        <f>IFERROR(__xludf.DUMMYFUNCTION("""COMPUTED_VALUE"""),"")</f>
        <v/>
      </c>
      <c r="H296" s="111" t="str">
        <f>IFERROR(__xludf.DUMMYFUNCTION("""COMPUTED_VALUE"""),"After KOing an enemy: Reduce the cooldown time of Skill 1 by 6%.")</f>
        <v>After KOing an enemy: Reduce the cooldown time of Skill 1 by 6%.</v>
      </c>
      <c r="I296" s="112" t="str">
        <f>IFERROR(__xludf.DUMMYFUNCTION("""COMPUTED_VALUE"""),"Sabaody Archipelago / Island of Women
Paramecia
Captain
Worst Generation")</f>
        <v>Sabaody Archipelago / Island of Women
Paramecia
Captain
Worst Generation</v>
      </c>
      <c r="J296" s="101"/>
    </row>
    <row r="297" ht="75.0" customHeight="1">
      <c r="A297" s="101"/>
      <c r="B297" s="111" t="str">
        <f>IFERROR(__xludf.DUMMYFUNCTION("""COMPUTED_VALUE"""),"Dragon Quake")</f>
        <v>Dragon Quake</v>
      </c>
      <c r="C297" s="113" t="str">
        <f>IFERROR(__xludf.DUMMYFUNCTION("""COMPUTED_VALUE"""),"")</f>
        <v/>
      </c>
      <c r="D297" s="109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E297" s="110" t="str">
        <f>IFERROR(__xludf.DUMMYFUNCTION("""COMPUTED_VALUE"""),"2 Years Later
Straw Hat Pirates
Combatant
Worst Generation")</f>
        <v>2 Years Later
Straw Hat Pirates
Combatant
Worst Generation</v>
      </c>
      <c r="F297" s="111" t="str">
        <f>IFERROR(__xludf.DUMMYFUNCTION("""COMPUTED_VALUE"""),"Gang")</f>
        <v>Gang</v>
      </c>
      <c r="G297" s="111" t="str">
        <f>IFERROR(__xludf.DUMMYFUNCTION("""COMPUTED_VALUE"""),"")</f>
        <v/>
      </c>
      <c r="H297" s="111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I297" s="112" t="str">
        <f>IFERROR(__xludf.DUMMYFUNCTION("""COMPUTED_VALUE"""),"Sabaody Archipelago / Island of Women
Paramecia
Captain
Worst Generation")</f>
        <v>Sabaody Archipelago / Island of Women
Paramecia
Captain
Worst Generation</v>
      </c>
      <c r="J297" s="101"/>
    </row>
    <row r="298" ht="75.0" customHeight="1">
      <c r="A298" s="101"/>
      <c r="B298" s="111" t="str">
        <f>IFERROR(__xludf.DUMMYFUNCTION("""COMPUTED_VALUE"""),"Vivi")</f>
        <v>Vivi</v>
      </c>
      <c r="C298" s="113" t="str">
        <f>IFERROR(__xludf.DUMMYFUNCTION("""COMPUTED_VALUE"""),"")</f>
        <v/>
      </c>
      <c r="D298" s="109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E298" s="110" t="str">
        <f>IFERROR(__xludf.DUMMYFUNCTION("""COMPUTED_VALUE"""),"Reverie
Royalty / Former Royalty
Alabasta Kingdom")</f>
        <v>Reverie
Royalty / Former Royalty
Alabasta Kingdom</v>
      </c>
      <c r="F298" s="111" t="str">
        <f>IFERROR(__xludf.DUMMYFUNCTION("""COMPUTED_VALUE"""),"Helmeppo Chief Petty Officer")</f>
        <v>Helmeppo Chief Petty Officer</v>
      </c>
      <c r="G298" s="111" t="str">
        <f>IFERROR(__xludf.DUMMYFUNCTION("""COMPUTED_VALUE"""),"")</f>
        <v/>
      </c>
      <c r="H298" s="111" t="str">
        <f>IFERROR(__xludf.DUMMYFUNCTION("""COMPUTED_VALUE"""),"When using Skill 1: Reduce the cooldown time of Skill 2 by 3%.")</f>
        <v>When using Skill 1: Reduce the cooldown time of Skill 2 by 3%.</v>
      </c>
      <c r="I298" s="112" t="str">
        <f>IFERROR(__xludf.DUMMYFUNCTION("""COMPUTED_VALUE"""),"The Paramount War at Marineford
Navy")</f>
        <v>The Paramount War at Marineford
Navy</v>
      </c>
      <c r="J298" s="101"/>
    </row>
    <row r="299" ht="75.0" customHeight="1">
      <c r="A299" s="101"/>
      <c r="B299" s="111" t="str">
        <f>IFERROR(__xludf.DUMMYFUNCTION("""COMPUTED_VALUE"""),"Elephant Gatling")</f>
        <v>Elephant Gatling</v>
      </c>
      <c r="C299" s="113" t="str">
        <f>IFERROR(__xludf.DUMMYFUNCTION("""COMPUTED_VALUE"""),"")</f>
        <v/>
      </c>
      <c r="D299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299" s="110" t="str">
        <f>IFERROR(__xludf.DUMMYFUNCTION("""COMPUTED_VALUE"""),"2 Years Later
Straw Hat Pirates
Paramecia
Captain
Worst Generation
Blood Brothers")</f>
        <v>2 Years Later
Straw Hat Pirates
Paramecia
Captain
Worst Generation
Blood Brothers</v>
      </c>
      <c r="F299" s="111" t="str">
        <f>IFERROR(__xludf.DUMMYFUNCTION("""COMPUTED_VALUE"""),"Koby Master Chief Petty Officer")</f>
        <v>Koby Master Chief Petty Officer</v>
      </c>
      <c r="G299" s="111" t="str">
        <f>IFERROR(__xludf.DUMMYFUNCTION("""COMPUTED_VALUE"""),"")</f>
        <v/>
      </c>
      <c r="H299" s="111" t="str">
        <f>IFERROR(__xludf.DUMMYFUNCTION("""COMPUTED_VALUE"""),"When your HP is 30% or less: Boost the cooldown reduction speed of dodge by 13%.")</f>
        <v>When your HP is 30% or less: Boost the cooldown reduction speed of dodge by 13%.</v>
      </c>
      <c r="I299" s="112" t="str">
        <f>IFERROR(__xludf.DUMMYFUNCTION("""COMPUTED_VALUE"""),"The Paramount War at Marineford
Navy
Master Chief Petty Officer")</f>
        <v>The Paramount War at Marineford
Navy
Master Chief Petty Officer</v>
      </c>
      <c r="J299" s="101"/>
    </row>
    <row r="300" ht="75.0" customHeight="1">
      <c r="A300" s="101"/>
      <c r="B300" s="111" t="str">
        <f>IFERROR(__xludf.DUMMYFUNCTION("""COMPUTED_VALUE"""),"Law")</f>
        <v>Law</v>
      </c>
      <c r="C300" s="113" t="str">
        <f>IFERROR(__xludf.DUMMYFUNCTION("""COMPUTED_VALUE"""),"")</f>
        <v/>
      </c>
      <c r="D300" s="109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E300" s="110" t="str">
        <f>IFERROR(__xludf.DUMMYFUNCTION("""COMPUTED_VALUE"""),"Sabaody Archipelago / Island of Women
Paramecia
Captain
Worst Generation
Heart Pirates")</f>
        <v>Sabaody Archipelago / Island of Women
Paramecia
Captain
Worst Generation
Heart Pirates</v>
      </c>
      <c r="F300" s="111" t="str">
        <f>IFERROR(__xludf.DUMMYFUNCTION("""COMPUTED_VALUE"""),"Roar of the Sea")</f>
        <v>Roar of the Sea</v>
      </c>
      <c r="G300" s="111" t="str">
        <f>IFERROR(__xludf.DUMMYFUNCTION("""COMPUTED_VALUE"""),"")</f>
        <v/>
      </c>
      <c r="H300" s="111" t="str">
        <f>IFERROR(__xludf.DUMMYFUNCTION("""COMPUTED_VALUE"""),"When your HP is 70% or more: Boost capture speed by 6%.")</f>
        <v>When your HP is 70% or more: Boost capture speed by 6%.</v>
      </c>
      <c r="I300" s="112" t="str">
        <f>IFERROR(__xludf.DUMMYFUNCTION("""COMPUTED_VALUE"""),"Sabaody Archipelago / Island of Women
Captain
Worst Generation")</f>
        <v>Sabaody Archipelago / Island of Women
Captain
Worst Generation</v>
      </c>
      <c r="J300" s="101"/>
    </row>
    <row r="301" ht="75.0" customHeight="1">
      <c r="A301" s="101"/>
      <c r="B301" s="111" t="str">
        <f>IFERROR(__xludf.DUMMYFUNCTION("""COMPUTED_VALUE"""),"Kid")</f>
        <v>Kid</v>
      </c>
      <c r="C301" s="113" t="str">
        <f>IFERROR(__xludf.DUMMYFUNCTION("""COMPUTED_VALUE"""),"")</f>
        <v/>
      </c>
      <c r="D301" s="109" t="str">
        <f>IFERROR(__xludf.DUMMYFUNCTION("""COMPUTED_VALUE"""),"When your HP is 70% or more: Reduce damage recieved by 5%.")</f>
        <v>When your HP is 70% or more: Reduce damage recieved by 5%.</v>
      </c>
      <c r="E301" s="110" t="str">
        <f>IFERROR(__xludf.DUMMYFUNCTION("""COMPUTED_VALUE"""),"Sabaody Archipelago / Island of Women
Kid Pirates
Paramecia
Captain
Worst Generation")</f>
        <v>Sabaody Archipelago / Island of Women
Kid Pirates
Paramecia
Captain
Worst Generation</v>
      </c>
      <c r="F301" s="111" t="str">
        <f>IFERROR(__xludf.DUMMYFUNCTION("""COMPUTED_VALUE"""),"Red Flag")</f>
        <v>Red Flag</v>
      </c>
      <c r="G301" s="111" t="str">
        <f>IFERROR(__xludf.DUMMYFUNCTION("""COMPUTED_VALUE"""),"")</f>
        <v/>
      </c>
      <c r="H301" s="111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I301" s="112" t="str">
        <f>IFERROR(__xludf.DUMMYFUNCTION("""COMPUTED_VALUE"""),"Sabaody Archipelago / Island of Women
Zoan
Captain
Worst Generation")</f>
        <v>Sabaody Archipelago / Island of Women
Zoan
Captain
Worst Generation</v>
      </c>
      <c r="J301" s="101"/>
    </row>
    <row r="302" ht="75.0" customHeight="1">
      <c r="A302" s="101"/>
      <c r="B302" s="111" t="str">
        <f>IFERROR(__xludf.DUMMYFUNCTION("""COMPUTED_VALUE"""),"Bellamy")</f>
        <v>Bellamy</v>
      </c>
      <c r="C302" s="113" t="str">
        <f>IFERROR(__xludf.DUMMYFUNCTION("""COMPUTED_VALUE"""),"")</f>
        <v/>
      </c>
      <c r="D302" s="109" t="str">
        <f>IFERROR(__xludf.DUMMYFUNCTION("""COMPUTED_VALUE"""),"When in the area around your captured Treasure: Reduce damage recieved by 3%.")</f>
        <v>When in the area around your captured Treasure: Reduce damage recieved by 3%.</v>
      </c>
      <c r="E302" s="110" t="str">
        <f>IFERROR(__xludf.DUMMYFUNCTION("""COMPUTED_VALUE"""),"Sky Island / LRLL
Paramecia
Captain")</f>
        <v>Sky Island / LRLL
Paramecia
Captain</v>
      </c>
      <c r="F302" s="111" t="str">
        <f>IFERROR(__xludf.DUMMYFUNCTION("""COMPUTED_VALUE"""),"Ace
(Child)")</f>
        <v>Ace
(Child)</v>
      </c>
      <c r="G302" s="111" t="str">
        <f>IFERROR(__xludf.DUMMYFUNCTION("""COMPUTED_VALUE"""),"")</f>
        <v/>
      </c>
      <c r="H302" s="111" t="str">
        <f>IFERROR(__xludf.DUMMYFUNCTION("""COMPUTED_VALUE"""),"When Critical occurs: Recover HP by 1%.")</f>
        <v>When Critical occurs: Recover HP by 1%.</v>
      </c>
      <c r="I302" s="112" t="str">
        <f>IFERROR(__xludf.DUMMYFUNCTION("""COMPUTED_VALUE"""),"East Blue
Blood Brothers
Child")</f>
        <v>East Blue
Blood Brothers
Child</v>
      </c>
      <c r="J302" s="101"/>
    </row>
    <row r="303" ht="75.0" customHeight="1">
      <c r="A303" s="101"/>
      <c r="B303" s="111" t="str">
        <f>IFERROR(__xludf.DUMMYFUNCTION("""COMPUTED_VALUE"""),"Arm Point")</f>
        <v>Arm Point</v>
      </c>
      <c r="C303" s="113" t="str">
        <f>IFERROR(__xludf.DUMMYFUNCTION("""COMPUTED_VALUE"""),"")</f>
        <v/>
      </c>
      <c r="D303" s="109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E303" s="110" t="str">
        <f>IFERROR(__xludf.DUMMYFUNCTION("""COMPUTED_VALUE"""),"Sky Island / LRLL
Straw Hat Pirates
Zoan
Doctor")</f>
        <v>Sky Island / LRLL
Straw Hat Pirates
Zoan
Doctor</v>
      </c>
      <c r="F303" s="111" t="str">
        <f>IFERROR(__xludf.DUMMYFUNCTION("""COMPUTED_VALUE"""),"Sabo
(Child)")</f>
        <v>Sabo
(Child)</v>
      </c>
      <c r="G303" s="111" t="str">
        <f>IFERROR(__xludf.DUMMYFUNCTION("""COMPUTED_VALUE"""),"")</f>
        <v/>
      </c>
      <c r="H303" s="111" t="str">
        <f>IFERROR(__xludf.DUMMYFUNCTION("""COMPUTED_VALUE"""),"When performing a Perfect Dodge: CRIT Boosted by 80% for 6 second(s).")</f>
        <v>When performing a Perfect Dodge: CRIT Boosted by 80% for 6 second(s).</v>
      </c>
      <c r="I303" s="112" t="str">
        <f>IFERROR(__xludf.DUMMYFUNCTION("""COMPUTED_VALUE"""),"East Blue
Blood Brothers
Child")</f>
        <v>East Blue
Blood Brothers
Child</v>
      </c>
      <c r="J303" s="101"/>
    </row>
    <row r="304" ht="75.0" customHeight="1">
      <c r="A304" s="101"/>
      <c r="B304" s="111" t="str">
        <f>IFERROR(__xludf.DUMMYFUNCTION("""COMPUTED_VALUE"""),"108 Pound Phoenix")</f>
        <v>108 Pound Phoenix</v>
      </c>
      <c r="C304" s="113" t="str">
        <f>IFERROR(__xludf.DUMMYFUNCTION("""COMPUTED_VALUE"""),"")</f>
        <v/>
      </c>
      <c r="D304" s="109" t="str">
        <f>IFERROR(__xludf.DUMMYFUNCTION("""COMPUTED_VALUE"""),"When Respawned: SPD Boosted by 6% for 20 second(s).")</f>
        <v>When Respawned: SPD Boosted by 6% for 20 second(s).</v>
      </c>
      <c r="E304" s="110" t="str">
        <f>IFERROR(__xludf.DUMMYFUNCTION("""COMPUTED_VALUE"""),"Sky Island / LRLL
Straw Hat Pirates
Combatant")</f>
        <v>Sky Island / LRLL
Straw Hat Pirates
Combatant</v>
      </c>
      <c r="F304" s="111" t="str">
        <f>IFERROR(__xludf.DUMMYFUNCTION("""COMPUTED_VALUE"""),"Attendant of Dressrosa")</f>
        <v>Attendant of Dressrosa</v>
      </c>
      <c r="G304" s="111" t="str">
        <f>IFERROR(__xludf.DUMMYFUNCTION("""COMPUTED_VALUE"""),"")</f>
        <v/>
      </c>
      <c r="H304" s="111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I304" s="112" t="str">
        <f>IFERROR(__xludf.DUMMYFUNCTION("""COMPUTED_VALUE"""),"Reverie
Royalty / Former Royalty")</f>
        <v>Reverie
Royalty / Former Royalty</v>
      </c>
      <c r="J304" s="101"/>
    </row>
    <row r="305" ht="75.0" customHeight="1">
      <c r="A305" s="101"/>
      <c r="B305" s="111" t="str">
        <f>IFERROR(__xludf.DUMMYFUNCTION("""COMPUTED_VALUE"""),"Moria")</f>
        <v>Moria</v>
      </c>
      <c r="C305" s="113" t="str">
        <f>IFERROR(__xludf.DUMMYFUNCTION("""COMPUTED_VALUE"""),"")</f>
        <v/>
      </c>
      <c r="D305" s="109" t="str">
        <f>IFERROR(__xludf.DUMMYFUNCTION("""COMPUTED_VALUE"""),"When an ally is KO`d (not including you): Recover HP by 3%.")</f>
        <v>When an ally is KO`d (not including you): Recover HP by 3%.</v>
      </c>
      <c r="E305" s="110" t="str">
        <f>IFERROR(__xludf.DUMMYFUNCTION("""COMPUTED_VALUE"""),"Thriller Bark
The Seven Warlords of the Sea / Former Warlords of the Sea
Paramecia
Captain
Thriller Bark Pirates")</f>
        <v>Thriller Bark
The Seven Warlords of the Sea / Former Warlords of the Sea
Paramecia
Captain
Thriller Bark Pirates</v>
      </c>
      <c r="F305" s="111" t="str">
        <f>IFERROR(__xludf.DUMMYFUNCTION("""COMPUTED_VALUE"""),"Mermaid Princess")</f>
        <v>Mermaid Princess</v>
      </c>
      <c r="G305" s="111" t="str">
        <f>IFERROR(__xludf.DUMMYFUNCTION("""COMPUTED_VALUE"""),"")</f>
        <v/>
      </c>
      <c r="H305" s="111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I305" s="112" t="str">
        <f>IFERROR(__xludf.DUMMYFUNCTION("""COMPUTED_VALUE"""),"Reverie
Royalty / Former Royalty")</f>
        <v>Reverie
Royalty / Former Royalty</v>
      </c>
      <c r="J305" s="101"/>
    </row>
    <row r="306" ht="75.0" customHeight="1">
      <c r="A306" s="101"/>
      <c r="B306" s="111" t="str">
        <f>IFERROR(__xludf.DUMMYFUNCTION("""COMPUTED_VALUE"""),"Hancock")</f>
        <v>Hancock</v>
      </c>
      <c r="C306" s="113" t="str">
        <f>IFERROR(__xludf.DUMMYFUNCTION("""COMPUTED_VALUE"""),"")</f>
        <v/>
      </c>
      <c r="D306" s="109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E306" s="110" t="str">
        <f>IFERROR(__xludf.DUMMYFUNCTION("""COMPUTED_VALUE"""),"Sabaody Archipelago / Island of Women
The Seven Warlords of the Sea / Former Warlords of the Sea
Kuja Pirates
Paramecia
Captain
Gorgon Sisters")</f>
        <v>Sabaody Archipelago / Island of Women
The Seven Warlords of the Sea / Former Warlords of the Sea
Kuja Pirates
Paramecia
Captain
Gorgon Sisters</v>
      </c>
      <c r="F306" s="111" t="str">
        <f>IFERROR(__xludf.DUMMYFUNCTION("""COMPUTED_VALUE"""),"Mad Monk")</f>
        <v>Mad Monk</v>
      </c>
      <c r="G306" s="111" t="str">
        <f>IFERROR(__xludf.DUMMYFUNCTION("""COMPUTED_VALUE"""),"")</f>
        <v/>
      </c>
      <c r="H306" s="111" t="str">
        <f>IFERROR(__xludf.DUMMYFUNCTION("""COMPUTED_VALUE"""),"When you capture the Treasure: Reduce the cooldown time of Skill 2 by 5%.")</f>
        <v>When you capture the Treasure: Reduce the cooldown time of Skill 2 by 5%.</v>
      </c>
      <c r="I306" s="112" t="str">
        <f>IFERROR(__xludf.DUMMYFUNCTION("""COMPUTED_VALUE"""),"Sabaody Archipelago / Island of Women
Captain
Worst Generation")</f>
        <v>Sabaody Archipelago / Island of Women
Captain
Worst Generation</v>
      </c>
      <c r="J306" s="101"/>
    </row>
    <row r="307" ht="75.0" customHeight="1">
      <c r="A307" s="101"/>
      <c r="B307" s="111" t="str">
        <f>IFERROR(__xludf.DUMMYFUNCTION("""COMPUTED_VALUE"""),"Ms. All Sunday")</f>
        <v>Ms. All Sunday</v>
      </c>
      <c r="C307" s="113" t="str">
        <f>IFERROR(__xludf.DUMMYFUNCTION("""COMPUTED_VALUE"""),"")</f>
        <v/>
      </c>
      <c r="D307" s="109" t="str">
        <f>IFERROR(__xludf.DUMMYFUNCTION("""COMPUTED_VALUE"""),"When your team has less Treasure secured: Boost capture speed by 8%.")</f>
        <v>When your team has less Treasure secured: Boost capture speed by 8%.</v>
      </c>
      <c r="E307" s="110" t="str">
        <f>IFERROR(__xludf.DUMMYFUNCTION("""COMPUTED_VALUE"""),"Alabasta
Baroque Works
Paramecia")</f>
        <v>Alabasta
Baroque Works
Paramecia</v>
      </c>
      <c r="F307" s="111" t="str">
        <f>IFERROR(__xludf.DUMMYFUNCTION("""COMPUTED_VALUE"""),"Murder Machine")</f>
        <v>Murder Machine</v>
      </c>
      <c r="G307" s="111" t="str">
        <f>IFERROR(__xludf.DUMMYFUNCTION("""COMPUTED_VALUE"""),"")</f>
        <v/>
      </c>
      <c r="H307" s="111" t="str">
        <f>IFERROR(__xludf.DUMMYFUNCTION("""COMPUTED_VALUE"""),"When in the area around your enemy`s Treasure: Reduce damage recieved by 5%.")</f>
        <v>When in the area around your enemy`s Treasure: Reduce damage recieved by 5%.</v>
      </c>
      <c r="I307" s="112" t="str">
        <f>IFERROR(__xludf.DUMMYFUNCTION("""COMPUTED_VALUE"""),"Sabaody Archipelago / Island of Women
Kid Pirates
Combatant
Worst Generation")</f>
        <v>Sabaody Archipelago / Island of Women
Kid Pirates
Combatant
Worst Generation</v>
      </c>
      <c r="J307" s="101"/>
    </row>
    <row r="308" ht="75.0" customHeight="1">
      <c r="A308" s="101"/>
      <c r="B308" s="111" t="str">
        <f>IFERROR(__xludf.DUMMYFUNCTION("""COMPUTED_VALUE"""),"Mr. 2")</f>
        <v>Mr. 2</v>
      </c>
      <c r="C308" s="113" t="str">
        <f>IFERROR(__xludf.DUMMYFUNCTION("""COMPUTED_VALUE"""),"")</f>
        <v/>
      </c>
      <c r="D308" s="109" t="str">
        <f>IFERROR(__xludf.DUMMYFUNCTION("""COMPUTED_VALUE"""),"When in the area around your enemy`s Treasure: Increase damage dealt by 5%.")</f>
        <v>When in the area around your enemy`s Treasure: Increase damage dealt by 5%.</v>
      </c>
      <c r="E308" s="110" t="str">
        <f>IFERROR(__xludf.DUMMYFUNCTION("""COMPUTED_VALUE"""),"Alabasta
Baroque Works
Paramecia
Officer Agent
New Kama")</f>
        <v>Alabasta
Baroque Works
Paramecia
Officer Agent
New Kama</v>
      </c>
      <c r="F308" s="111" t="str">
        <f>IFERROR(__xludf.DUMMYFUNCTION("""COMPUTED_VALUE"""),"Swamp Challenge")</f>
        <v>Swamp Challenge</v>
      </c>
      <c r="G308" s="111" t="str">
        <f>IFERROR(__xludf.DUMMYFUNCTION("""COMPUTED_VALUE"""),"")</f>
        <v/>
      </c>
      <c r="H308" s="111" t="str">
        <f>IFERROR(__xludf.DUMMYFUNCTION("""COMPUTED_VALUE"""),"When your HP is 90% or more: Increase damage dealt by 5%.")</f>
        <v>When your HP is 90% or more: Increase damage dealt by 5%.</v>
      </c>
      <c r="I308" s="112" t="str">
        <f>IFERROR(__xludf.DUMMYFUNCTION("""COMPUTED_VALUE"""),"Sky Island / LRLL
God`s Army
Mantra")</f>
        <v>Sky Island / LRLL
God`s Army
Mantra</v>
      </c>
      <c r="J308" s="101"/>
    </row>
    <row r="309" ht="75.0" customHeight="1">
      <c r="A309" s="101"/>
      <c r="B309" s="111" t="str">
        <f>IFERROR(__xludf.DUMMYFUNCTION("""COMPUTED_VALUE"""),"Aokiji")</f>
        <v>Aokiji</v>
      </c>
      <c r="C309" s="113" t="str">
        <f>IFERROR(__xludf.DUMMYFUNCTION("""COMPUTED_VALUE"""),"")</f>
        <v/>
      </c>
      <c r="D309" s="109" t="str">
        <f>IFERROR(__xludf.DUMMYFUNCTION("""COMPUTED_VALUE"""),"When attacked by an enemy: 30% chance to, Nullify Freeze.")</f>
        <v>When attacked by an enemy: 30% chance to, Nullify Freeze.</v>
      </c>
      <c r="E309" s="110" t="str">
        <f>IFERROR(__xludf.DUMMYFUNCTION("""COMPUTED_VALUE"""),"The Paramount War at Marineford
Navy
Logia
Navy Admiral / Former Navy Admiral")</f>
        <v>The Paramount War at Marineford
Navy
Logia
Navy Admiral / Former Navy Admiral</v>
      </c>
      <c r="F309" s="111" t="str">
        <f>IFERROR(__xludf.DUMMYFUNCTION("""COMPUTED_VALUE"""),"Iron Challenge")</f>
        <v>Iron Challenge</v>
      </c>
      <c r="G309" s="111" t="str">
        <f>IFERROR(__xludf.DUMMYFUNCTION("""COMPUTED_VALUE"""),"")</f>
        <v/>
      </c>
      <c r="H309" s="111" t="str">
        <f>IFERROR(__xludf.DUMMYFUNCTION("""COMPUTED_VALUE"""),"When Critical occurs: Reduce the cooldown time of Skill 2 by 3%.")</f>
        <v>When Critical occurs: Reduce the cooldown time of Skill 2 by 3%.</v>
      </c>
      <c r="I309" s="112" t="str">
        <f>IFERROR(__xludf.DUMMYFUNCTION("""COMPUTED_VALUE"""),"Sky Island / LRLL
God`s Army
Mantra")</f>
        <v>Sky Island / LRLL
God`s Army
Mantra</v>
      </c>
      <c r="J309" s="101"/>
    </row>
    <row r="310" ht="75.0" customHeight="1">
      <c r="A310" s="101"/>
      <c r="B310" s="111" t="str">
        <f>IFERROR(__xludf.DUMMYFUNCTION("""COMPUTED_VALUE"""),"Akainu")</f>
        <v>Akainu</v>
      </c>
      <c r="C310" s="113" t="str">
        <f>IFERROR(__xludf.DUMMYFUNCTION("""COMPUTED_VALUE"""),"")</f>
        <v/>
      </c>
      <c r="D310" s="109" t="str">
        <f>IFERROR(__xludf.DUMMYFUNCTION("""COMPUTED_VALUE"""),"When attacked by an enemy: 30% chance to, Nullify Aflame.")</f>
        <v>When attacked by an enemy: 30% chance to, Nullify Aflame.</v>
      </c>
      <c r="E310" s="110" t="str">
        <f>IFERROR(__xludf.DUMMYFUNCTION("""COMPUTED_VALUE"""),"The Paramount War at Marineford
Navy
Logia
Navy Admiral / Former Navy Admiral")</f>
        <v>The Paramount War at Marineford
Navy
Logia
Navy Admiral / Former Navy Admiral</v>
      </c>
      <c r="F310" s="111" t="str">
        <f>IFERROR(__xludf.DUMMYFUNCTION("""COMPUTED_VALUE"""),"First Son of the Sea")</f>
        <v>First Son of the Sea</v>
      </c>
      <c r="G310" s="111" t="str">
        <f>IFERROR(__xludf.DUMMYFUNCTION("""COMPUTED_VALUE"""),"")</f>
        <v/>
      </c>
      <c r="H310" s="111" t="str">
        <f>IFERROR(__xludf.DUMMYFUNCTION("""COMPUTED_VALUE"""),"When using Skill 2: Reduce the cooldown time of Skill 1 by 3%.")</f>
        <v>When using Skill 2: Reduce the cooldown time of Skill 1 by 3%.</v>
      </c>
      <c r="I310" s="112" t="str">
        <f>IFERROR(__xludf.DUMMYFUNCTION("""COMPUTED_VALUE"""),"The Paramount War at Marineford
The Seven Warlords of the Sea / Former Warlords of the Sea
Captain
Fish_Man")</f>
        <v>The Paramount War at Marineford
The Seven Warlords of the Sea / Former Warlords of the Sea
Captain
Fish_Man</v>
      </c>
      <c r="J310" s="101"/>
    </row>
    <row r="311" ht="75.0" customHeight="1">
      <c r="A311" s="101"/>
      <c r="B311" s="111" t="str">
        <f>IFERROR(__xludf.DUMMYFUNCTION("""COMPUTED_VALUE"""),"Fire Fist")</f>
        <v>Fire Fist</v>
      </c>
      <c r="C311" s="113" t="str">
        <f>IFERROR(__xludf.DUMMYFUNCTION("""COMPUTED_VALUE"""),"")</f>
        <v/>
      </c>
      <c r="D311" s="109" t="str">
        <f>IFERROR(__xludf.DUMMYFUNCTION("""COMPUTED_VALUE"""),"When there are 60 seconds or less remaining: CRIT Boosted by 120% for 20 second(s).")</f>
        <v>When there are 60 seconds or less remaining: CRIT Boosted by 120% for 20 second(s).</v>
      </c>
      <c r="E311" s="110" t="str">
        <f>IFERROR(__xludf.DUMMYFUNCTION("""COMPUTED_VALUE"""),"Alabasta
Whitebeard Pirates
Logia
Whitebeard Pirates Commander
Blood Brothers")</f>
        <v>Alabasta
Whitebeard Pirates
Logia
Whitebeard Pirates Commander
Blood Brothers</v>
      </c>
      <c r="F311" s="111" t="str">
        <f>IFERROR(__xludf.DUMMYFUNCTION("""COMPUTED_VALUE"""),"Heavenly Demon")</f>
        <v>Heavenly Demon</v>
      </c>
      <c r="G311" s="111" t="str">
        <f>IFERROR(__xludf.DUMMYFUNCTION("""COMPUTED_VALUE"""),"")</f>
        <v/>
      </c>
      <c r="H311" s="111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I311" s="112" t="str">
        <f>IFERROR(__xludf.DUMMYFUNCTION("""COMPUTED_VALUE"""),"The Paramount War at Marineford
The Seven Warlords of the Sea / Former Warlords of the Sea
Paramecia
Captain")</f>
        <v>The Paramount War at Marineford
The Seven Warlords of the Sea / Former Warlords of the Sea
Paramecia
Captain</v>
      </c>
      <c r="J311" s="101"/>
    </row>
    <row r="312" ht="75.0" customHeight="1">
      <c r="A312" s="101"/>
      <c r="B312" s="111" t="str">
        <f>IFERROR(__xludf.DUMMYFUNCTION("""COMPUTED_VALUE"""),"Whitebeard")</f>
        <v>Whitebeard</v>
      </c>
      <c r="C312" s="113" t="str">
        <f>IFERROR(__xludf.DUMMYFUNCTION("""COMPUTED_VALUE"""),"")</f>
        <v/>
      </c>
      <c r="D312" s="109" t="str">
        <f>IFERROR(__xludf.DUMMYFUNCTION("""COMPUTED_VALUE"""),"When attacked by an enemy: 30% chance to, Nullify Tremor.")</f>
        <v>When attacked by an enemy: 30% chance to, Nullify Tremor.</v>
      </c>
      <c r="E312" s="110" t="str">
        <f>IFERROR(__xludf.DUMMYFUNCTION("""COMPUTED_VALUE"""),"The Paramount War at Marineford
Whitebeard Pirates
Paramecia
Captain
The Four Emperors
Former Rocks Pirates")</f>
        <v>The Paramount War at Marineford
Whitebeard Pirates
Paramecia
Captain
The Four Emperors
Former Rocks Pirates</v>
      </c>
      <c r="F312" s="111" t="str">
        <f>IFERROR(__xludf.DUMMYFUNCTION("""COMPUTED_VALUE"""),"Mr. 3")</f>
        <v>Mr. 3</v>
      </c>
      <c r="G312" s="111" t="str">
        <f>IFERROR(__xludf.DUMMYFUNCTION("""COMPUTED_VALUE"""),"")</f>
        <v/>
      </c>
      <c r="H312" s="111" t="str">
        <f>IFERROR(__xludf.DUMMYFUNCTION("""COMPUTED_VALUE"""),"When your allies are not near the Treasure area where you are at: Reduce damage recieved by 6%.")</f>
        <v>When your allies are not near the Treasure area where you are at: Reduce damage recieved by 6%.</v>
      </c>
      <c r="I312" s="112" t="str">
        <f>IFERROR(__xludf.DUMMYFUNCTION("""COMPUTED_VALUE"""),"Alabasta
Baroque Works
Paramecia")</f>
        <v>Alabasta
Baroque Works
Paramecia</v>
      </c>
      <c r="J312" s="101"/>
    </row>
    <row r="313" ht="75.0" customHeight="1">
      <c r="A313" s="101"/>
      <c r="B313" s="111" t="str">
        <f>IFERROR(__xludf.DUMMYFUNCTION("""COMPUTED_VALUE"""),"Eneru")</f>
        <v>Eneru</v>
      </c>
      <c r="C313" s="113" t="str">
        <f>IFERROR(__xludf.DUMMYFUNCTION("""COMPUTED_VALUE"""),"")</f>
        <v/>
      </c>
      <c r="D313" s="109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E313" s="110" t="str">
        <f>IFERROR(__xludf.DUMMYFUNCTION("""COMPUTED_VALUE"""),"Sky Island / LRLL
God`s Army
Logia
Mantra")</f>
        <v>Sky Island / LRLL
God`s Army
Logia
Mantra</v>
      </c>
      <c r="F313" s="111" t="str">
        <f>IFERROR(__xludf.DUMMYFUNCTION("""COMPUTED_VALUE"""),"Mr. 1")</f>
        <v>Mr. 1</v>
      </c>
      <c r="G313" s="111" t="str">
        <f>IFERROR(__xludf.DUMMYFUNCTION("""COMPUTED_VALUE"""),"")</f>
        <v/>
      </c>
      <c r="H313" s="111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I313" s="112" t="str">
        <f>IFERROR(__xludf.DUMMYFUNCTION("""COMPUTED_VALUE"""),"Alabasta
Baroque Works
Paramecia
Bounty Hunter")</f>
        <v>Alabasta
Baroque Works
Paramecia
Bounty Hunter</v>
      </c>
      <c r="J313" s="101"/>
    </row>
    <row r="314" ht="75.0" customHeight="1">
      <c r="A314" s="101"/>
      <c r="B314" s="111" t="str">
        <f>IFERROR(__xludf.DUMMYFUNCTION("""COMPUTED_VALUE"""),"Mr. Zero")</f>
        <v>Mr. Zero</v>
      </c>
      <c r="C314" s="113" t="str">
        <f>IFERROR(__xludf.DUMMYFUNCTION("""COMPUTED_VALUE"""),"")</f>
        <v/>
      </c>
      <c r="D314" s="109" t="str">
        <f>IFERROR(__xludf.DUMMYFUNCTION("""COMPUTED_VALUE"""),"After KOing an enemy: Recover HP by 5%.")</f>
        <v>After KOing an enemy: Recover HP by 5%.</v>
      </c>
      <c r="E314" s="110" t="str">
        <f>IFERROR(__xludf.DUMMYFUNCTION("""COMPUTED_VALUE"""),"Alabasta
The Seven Warlords of the Sea / Former Warlords of the Sea
Baroque Works
Logia")</f>
        <v>Alabasta
The Seven Warlords of the Sea / Former Warlords of the Sea
Baroque Works
Logia</v>
      </c>
      <c r="F314" s="111" t="str">
        <f>IFERROR(__xludf.DUMMYFUNCTION("""COMPUTED_VALUE"""),"Tsuru")</f>
        <v>Tsuru</v>
      </c>
      <c r="G314" s="111" t="str">
        <f>IFERROR(__xludf.DUMMYFUNCTION("""COMPUTED_VALUE"""),"")</f>
        <v/>
      </c>
      <c r="H314" s="111" t="str">
        <f>IFERROR(__xludf.DUMMYFUNCTION("""COMPUTED_VALUE"""),"When your team loses the Treasure: Reduce the cooldown time of Skill 2 by 9%.")</f>
        <v>When your team loses the Treasure: Reduce the cooldown time of Skill 2 by 9%.</v>
      </c>
      <c r="I314" s="112" t="str">
        <f>IFERROR(__xludf.DUMMYFUNCTION("""COMPUTED_VALUE"""),"The Paramount War at Marineford
Navy
Paramecia")</f>
        <v>The Paramount War at Marineford
Navy
Paramecia</v>
      </c>
      <c r="J314" s="101"/>
    </row>
    <row r="315" ht="75.0" customHeight="1">
      <c r="A315" s="101"/>
      <c r="B315" s="111" t="str">
        <f>IFERROR(__xludf.DUMMYFUNCTION("""COMPUTED_VALUE"""),"Peacock")</f>
        <v>Peacock</v>
      </c>
      <c r="C315" s="113" t="str">
        <f>IFERROR(__xludf.DUMMYFUNCTION("""COMPUTED_VALUE"""),"")</f>
        <v/>
      </c>
      <c r="D315" s="109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E315" s="110" t="str">
        <f>IFERROR(__xludf.DUMMYFUNCTION("""COMPUTED_VALUE"""),"Alabasta
Straw Hat Pirates
Royalty / Former Royalty
Alabasta Kingdom")</f>
        <v>Alabasta
Straw Hat Pirates
Royalty / Former Royalty
Alabasta Kingdom</v>
      </c>
      <c r="F315" s="111" t="str">
        <f>IFERROR(__xludf.DUMMYFUNCTION("""COMPUTED_VALUE"""),"Glint_Glint")</f>
        <v>Glint_Glint</v>
      </c>
      <c r="G315" s="111" t="str">
        <f>IFERROR(__xludf.DUMMYFUNCTION("""COMPUTED_VALUE"""),"")</f>
        <v/>
      </c>
      <c r="H315" s="111" t="str">
        <f>IFERROR(__xludf.DUMMYFUNCTION("""COMPUTED_VALUE"""),"When an ally is KO`d (not including you): SPD Boosted by 4% for 20 second(s).")</f>
        <v>When an ally is KO`d (not including you): SPD Boosted by 4% for 20 second(s).</v>
      </c>
      <c r="I315" s="112" t="str">
        <f>IFERROR(__xludf.DUMMYFUNCTION("""COMPUTED_VALUE"""),"The Paramount War at Marineford
Navy
Logia
Navy Admiral / Former Navy Admiral")</f>
        <v>The Paramount War at Marineford
Navy
Logia
Navy Admiral / Former Navy Admiral</v>
      </c>
      <c r="J315" s="101"/>
    </row>
    <row r="316" ht="75.0" customHeight="1">
      <c r="A316" s="101"/>
      <c r="B316" s="111" t="str">
        <f>IFERROR(__xludf.DUMMYFUNCTION("""COMPUTED_VALUE"""),"Storm")</f>
        <v>Storm</v>
      </c>
      <c r="C316" s="113" t="str">
        <f>IFERROR(__xludf.DUMMYFUNCTION("""COMPUTED_VALUE"""),"")</f>
        <v/>
      </c>
      <c r="D316" s="109" t="str">
        <f>IFERROR(__xludf.DUMMYFUNCTION("""COMPUTED_VALUE"""),"When attacked by an enemy: 30% chance to, Nullify Shock.")</f>
        <v>When attacked by an enemy: 30% chance to, Nullify Shock.</v>
      </c>
      <c r="E316" s="110" t="str">
        <f>IFERROR(__xludf.DUMMYFUNCTION("""COMPUTED_VALUE"""),"Alabasta
Straw Hat Pirates
Paramecia
Captain
Blood Brothers")</f>
        <v>Alabasta
Straw Hat Pirates
Paramecia
Captain
Blood Brothers</v>
      </c>
      <c r="F316" s="111" t="str">
        <f>IFERROR(__xludf.DUMMYFUNCTION("""COMPUTED_VALUE"""),"Jackal")</f>
        <v>Jackal</v>
      </c>
      <c r="G316" s="111" t="str">
        <f>IFERROR(__xludf.DUMMYFUNCTION("""COMPUTED_VALUE"""),"")</f>
        <v/>
      </c>
      <c r="H316" s="111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I316" s="112" t="str">
        <f>IFERROR(__xludf.DUMMYFUNCTION("""COMPUTED_VALUE"""),"Alabasta
Zoan")</f>
        <v>Alabasta
Zoan</v>
      </c>
      <c r="J316" s="101"/>
    </row>
    <row r="317" ht="75.0" customHeight="1">
      <c r="A317" s="101"/>
      <c r="B317" s="111" t="str">
        <f>IFERROR(__xludf.DUMMYFUNCTION("""COMPUTED_VALUE"""),"Wapol")</f>
        <v>Wapol</v>
      </c>
      <c r="C317" s="113" t="str">
        <f>IFERROR(__xludf.DUMMYFUNCTION("""COMPUTED_VALUE"""),"")</f>
        <v/>
      </c>
      <c r="D317" s="109" t="str">
        <f>IFERROR(__xludf.DUMMYFUNCTION("""COMPUTED_VALUE"""),"When your team has more Treasure secured: Boost capture speed by 12%.")</f>
        <v>When your team has more Treasure secured: Boost capture speed by 12%.</v>
      </c>
      <c r="E317" s="110" t="str">
        <f>IFERROR(__xludf.DUMMYFUNCTION("""COMPUTED_VALUE"""),"The Grand Line
Paramecia
Captain
Royalty / Former Royalty")</f>
        <v>The Grand Line
Paramecia
Captain
Royalty / Former Royalty</v>
      </c>
      <c r="F317" s="111" t="str">
        <f>IFERROR(__xludf.DUMMYFUNCTION("""COMPUTED_VALUE"""),"Falcon")</f>
        <v>Falcon</v>
      </c>
      <c r="G317" s="111" t="str">
        <f>IFERROR(__xludf.DUMMYFUNCTION("""COMPUTED_VALUE"""),"")</f>
        <v/>
      </c>
      <c r="H317" s="111" t="str">
        <f>IFERROR(__xludf.DUMMYFUNCTION("""COMPUTED_VALUE"""),"When there are 45 seconds or less remaining: Boost capture speed by 18%.")</f>
        <v>When there are 45 seconds or less remaining: Boost capture speed by 18%.</v>
      </c>
      <c r="I317" s="112" t="str">
        <f>IFERROR(__xludf.DUMMYFUNCTION("""COMPUTED_VALUE"""),"Alabasta
Zoan")</f>
        <v>Alabasta
Zoan</v>
      </c>
      <c r="J317" s="101"/>
    </row>
    <row r="318" ht="75.0" customHeight="1">
      <c r="A318" s="101"/>
      <c r="B318" s="111" t="str">
        <f>IFERROR(__xludf.DUMMYFUNCTION("""COMPUTED_VALUE"""),"Smoker")</f>
        <v>Smoker</v>
      </c>
      <c r="C318" s="113" t="str">
        <f>IFERROR(__xludf.DUMMYFUNCTION("""COMPUTED_VALUE"""),"")</f>
        <v/>
      </c>
      <c r="D318" s="109" t="str">
        <f>IFERROR(__xludf.DUMMYFUNCTION("""COMPUTED_VALUE"""),"When Respawned: SPD Boosted by 6% for 20 second(s).")</f>
        <v>When Respawned: SPD Boosted by 6% for 20 second(s).</v>
      </c>
      <c r="E318" s="110" t="str">
        <f>IFERROR(__xludf.DUMMYFUNCTION("""COMPUTED_VALUE"""),"The Grand Line
Navy
Logia
Navy Captain")</f>
        <v>The Grand Line
Navy
Logia
Navy Captain</v>
      </c>
      <c r="F318" s="111" t="str">
        <f>IFERROR(__xludf.DUMMYFUNCTION("""COMPUTED_VALUE"""),"Diamond")</f>
        <v>Diamond</v>
      </c>
      <c r="G318" s="111" t="str">
        <f>IFERROR(__xludf.DUMMYFUNCTION("""COMPUTED_VALUE"""),"")</f>
        <v/>
      </c>
      <c r="H318" s="111" t="str">
        <f>IFERROR(__xludf.DUMMYFUNCTION("""COMPUTED_VALUE"""),"When your HP is 15% or less: Reduce damage recieved by 6%.")</f>
        <v>When your HP is 15% or less: Reduce damage recieved by 6%.</v>
      </c>
      <c r="I318" s="112" t="str">
        <f>IFERROR(__xludf.DUMMYFUNCTION("""COMPUTED_VALUE"""),"The Paramount War at Marineford
Whitebeard Pirates
Paramecia")</f>
        <v>The Paramount War at Marineford
Whitebeard Pirates
Paramecia</v>
      </c>
      <c r="J318" s="101"/>
    </row>
    <row r="319" ht="75.0" customHeight="1">
      <c r="A319" s="101"/>
      <c r="B319" s="111" t="str">
        <f>IFERROR(__xludf.DUMMYFUNCTION("""COMPUTED_VALUE"""),"Battle_Ax")</f>
        <v>Battle_Ax</v>
      </c>
      <c r="C319" s="113" t="str">
        <f>IFERROR(__xludf.DUMMYFUNCTION("""COMPUTED_VALUE"""),"")</f>
        <v/>
      </c>
      <c r="D319" s="109" t="str">
        <f>IFERROR(__xludf.DUMMYFUNCTION("""COMPUTED_VALUE"""),"After KOing an enemy: Reduce the cooldown time of Skill 2 by 8%.")</f>
        <v>After KOing an enemy: Reduce the cooldown time of Skill 2 by 8%.</v>
      </c>
      <c r="E319" s="110" t="str">
        <f>IFERROR(__xludf.DUMMYFUNCTION("""COMPUTED_VALUE"""),"The Grand Line
Straw Hat Pirates
Paramecia
Captain
Blood Brothers")</f>
        <v>The Grand Line
Straw Hat Pirates
Paramecia
Captain
Blood Brothers</v>
      </c>
      <c r="F319" s="111" t="str">
        <f>IFERROR(__xludf.DUMMYFUNCTION("""COMPUTED_VALUE"""),"Phoenix")</f>
        <v>Phoenix</v>
      </c>
      <c r="G319" s="111" t="str">
        <f>IFERROR(__xludf.DUMMYFUNCTION("""COMPUTED_VALUE"""),"")</f>
        <v/>
      </c>
      <c r="H319" s="111" t="str">
        <f>IFERROR(__xludf.DUMMYFUNCTION("""COMPUTED_VALUE"""),"When you capture the Treasure: Recover HP by 5%.")</f>
        <v>When you capture the Treasure: Recover HP by 5%.</v>
      </c>
      <c r="I319" s="112" t="str">
        <f>IFERROR(__xludf.DUMMYFUNCTION("""COMPUTED_VALUE"""),"The Paramount War at Marineford
Whitebeard Pirates
Zoan
Doctor")</f>
        <v>The Paramount War at Marineford
Whitebeard Pirates
Zoan
Doctor</v>
      </c>
      <c r="J319" s="101"/>
    </row>
    <row r="320" ht="75.0" customHeight="1">
      <c r="A320" s="101"/>
      <c r="B320" s="111" t="str">
        <f>IFERROR(__xludf.DUMMYFUNCTION("""COMPUTED_VALUE"""),"Saw")</f>
        <v>Saw</v>
      </c>
      <c r="C320" s="113" t="str">
        <f>IFERROR(__xludf.DUMMYFUNCTION("""COMPUTED_VALUE"""),"")</f>
        <v/>
      </c>
      <c r="D320" s="109" t="str">
        <f>IFERROR(__xludf.DUMMYFUNCTION("""COMPUTED_VALUE"""),"After KOing an enemy: CRIT Boosted by 120% for 20 second(s).")</f>
        <v>After KOing an enemy: CRIT Boosted by 120% for 20 second(s).</v>
      </c>
      <c r="E320" s="110" t="str">
        <f>IFERROR(__xludf.DUMMYFUNCTION("""COMPUTED_VALUE"""),"East Blue
Arlong Pirates
Captain
Fish_Man")</f>
        <v>East Blue
Arlong Pirates
Captain
Fish_Man</v>
      </c>
      <c r="F320" s="111" t="str">
        <f>IFERROR(__xludf.DUMMYFUNCTION("""COMPUTED_VALUE"""),"Rumble_Rumble")</f>
        <v>Rumble_Rumble</v>
      </c>
      <c r="G320" s="111" t="str">
        <f>IFERROR(__xludf.DUMMYFUNCTION("""COMPUTED_VALUE"""),"")</f>
        <v/>
      </c>
      <c r="H320" s="111" t="str">
        <f>IFERROR(__xludf.DUMMYFUNCTION("""COMPUTED_VALUE"""),"When attacked by an enemy: 3% chance to, Inflict Shock for 5 second(s).(Excludes some attacks)")</f>
        <v>When attacked by an enemy: 3% chance to, Inflict Shock for 5 second(s).(Excludes some attacks)</v>
      </c>
      <c r="I320" s="112" t="str">
        <f>IFERROR(__xludf.DUMMYFUNCTION("""COMPUTED_VALUE"""),"Sky Island / LRLL
God`s Army
Logia
Mantra")</f>
        <v>Sky Island / LRLL
God`s Army
Logia
Mantra</v>
      </c>
      <c r="J320" s="101"/>
    </row>
    <row r="321" ht="75.0" customHeight="1">
      <c r="A321" s="101"/>
      <c r="B321" s="111" t="str">
        <f>IFERROR(__xludf.DUMMYFUNCTION("""COMPUTED_VALUE"""),"Hawk_Eye")</f>
        <v>Hawk_Eye</v>
      </c>
      <c r="C321" s="113" t="str">
        <f>IFERROR(__xludf.DUMMYFUNCTION("""COMPUTED_VALUE"""),"")</f>
        <v/>
      </c>
      <c r="D321" s="109" t="str">
        <f>IFERROR(__xludf.DUMMYFUNCTION("""COMPUTED_VALUE"""),"After KOing an enemy: Reduce the cooldown time of Skill 1 by 8%.")</f>
        <v>After KOing an enemy: Reduce the cooldown time of Skill 1 by 8%.</v>
      </c>
      <c r="E321" s="110" t="str">
        <f>IFERROR(__xludf.DUMMYFUNCTION("""COMPUTED_VALUE"""),"East Blue
The Seven Warlords of the Sea / Former Warlords of the Sea")</f>
        <v>East Blue
The Seven Warlords of the Sea / Former Warlords of the Sea</v>
      </c>
      <c r="F321" s="111" t="str">
        <f>IFERROR(__xludf.DUMMYFUNCTION("""COMPUTED_VALUE"""),"Zoro
(Child)")</f>
        <v>Zoro
(Child)</v>
      </c>
      <c r="G321" s="111" t="str">
        <f>IFERROR(__xludf.DUMMYFUNCTION("""COMPUTED_VALUE"""),"")</f>
        <v/>
      </c>
      <c r="H321" s="111" t="str">
        <f>IFERROR(__xludf.DUMMYFUNCTION("""COMPUTED_VALUE"""),"Increase CRIT by 8%.")</f>
        <v>Increase CRIT by 8%.</v>
      </c>
      <c r="I321" s="112" t="str">
        <f>IFERROR(__xludf.DUMMYFUNCTION("""COMPUTED_VALUE"""),"East Blue
Child")</f>
        <v>East Blue
Child</v>
      </c>
      <c r="J321" s="101"/>
    </row>
    <row r="322" ht="75.0" customHeight="1">
      <c r="A322" s="101"/>
      <c r="B322" s="111" t="str">
        <f>IFERROR(__xludf.DUMMYFUNCTION("""COMPUTED_VALUE"""),"Kaya")</f>
        <v>Kaya</v>
      </c>
      <c r="C322" s="113" t="str">
        <f>IFERROR(__xludf.DUMMYFUNCTION("""COMPUTED_VALUE"""),"")</f>
        <v/>
      </c>
      <c r="D322" s="109" t="str">
        <f>IFERROR(__xludf.DUMMYFUNCTION("""COMPUTED_VALUE"""),"When there are 60 seconds or less remaining: Boost the cooldown reduction speed of Skill 2 by 13%.")</f>
        <v>When there are 60 seconds or less remaining: Boost the cooldown reduction speed of Skill 2 by 13%.</v>
      </c>
      <c r="E322" s="110" t="str">
        <f>IFERROR(__xludf.DUMMYFUNCTION("""COMPUTED_VALUE"""),"East Blue")</f>
        <v>East Blue</v>
      </c>
      <c r="F322" s="111" t="str">
        <f>IFERROR(__xludf.DUMMYFUNCTION("""COMPUTED_VALUE"""),"Luffy
(Child)")</f>
        <v>Luffy
(Child)</v>
      </c>
      <c r="G322" s="111" t="str">
        <f>IFERROR(__xludf.DUMMYFUNCTION("""COMPUTED_VALUE"""),"")</f>
        <v/>
      </c>
      <c r="H322" s="111" t="str">
        <f>IFERROR(__xludf.DUMMYFUNCTION("""COMPUTED_VALUE"""),"Increase HP by 8%.")</f>
        <v>Increase HP by 8%.</v>
      </c>
      <c r="I322" s="112" t="str">
        <f>IFERROR(__xludf.DUMMYFUNCTION("""COMPUTED_VALUE"""),"East Blue
Blood Brothers
Child")</f>
        <v>East Blue
Blood Brothers
Child</v>
      </c>
      <c r="J322" s="101"/>
    </row>
    <row r="323" ht="75.0" customHeight="1">
      <c r="A323" s="101"/>
      <c r="B323" s="111" t="str">
        <f>IFERROR(__xludf.DUMMYFUNCTION("""COMPUTED_VALUE"""),"Yasopp")</f>
        <v>Yasopp</v>
      </c>
      <c r="C323" s="113" t="str">
        <f>IFERROR(__xludf.DUMMYFUNCTION("""COMPUTED_VALUE"""),"")</f>
        <v/>
      </c>
      <c r="D323" s="109" t="str">
        <f>IFERROR(__xludf.DUMMYFUNCTION("""COMPUTED_VALUE"""),"When you capture the Treasure: Reduce the cooldown time of Skill 1 by 8%.")</f>
        <v>When you capture the Treasure: Reduce the cooldown time of Skill 1 by 8%.</v>
      </c>
      <c r="E323" s="110" t="str">
        <f>IFERROR(__xludf.DUMMYFUNCTION("""COMPUTED_VALUE"""),"East Blue
Red_Haired Pirates
Sharp Shooter")</f>
        <v>East Blue
Red_Haired Pirates
Sharp Shooter</v>
      </c>
      <c r="F323" s="111" t="str">
        <f>IFERROR(__xludf.DUMMYFUNCTION("""COMPUTED_VALUE"""),"Patty")</f>
        <v>Patty</v>
      </c>
      <c r="G323" s="111" t="str">
        <f>IFERROR(__xludf.DUMMYFUNCTION("""COMPUTED_VALUE"""),"")</f>
        <v/>
      </c>
      <c r="H323" s="111" t="str">
        <f>IFERROR(__xludf.DUMMYFUNCTION("""COMPUTED_VALUE"""),"Increase ATK by 4%.")</f>
        <v>Increase ATK by 4%.</v>
      </c>
      <c r="I323" s="112" t="str">
        <f>IFERROR(__xludf.DUMMYFUNCTION("""COMPUTED_VALUE"""),"East Blue
Cook")</f>
        <v>East Blue
Cook</v>
      </c>
      <c r="J323" s="101"/>
    </row>
    <row r="324" ht="75.0" customHeight="1">
      <c r="A324" s="101"/>
      <c r="B324" s="111" t="str">
        <f>IFERROR(__xludf.DUMMYFUNCTION("""COMPUTED_VALUE"""),"Shanks")</f>
        <v>Shanks</v>
      </c>
      <c r="C324" s="113" t="str">
        <f>IFERROR(__xludf.DUMMYFUNCTION("""COMPUTED_VALUE"""),"")</f>
        <v/>
      </c>
      <c r="D324" s="109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E324" s="110" t="str">
        <f>IFERROR(__xludf.DUMMYFUNCTION("""COMPUTED_VALUE"""),"East Blue
Red_Haired Pirates
Captain
Roger Pirates / Ex_Roger Pirates")</f>
        <v>East Blue
Red_Haired Pirates
Captain
Roger Pirates / Ex_Roger Pirates</v>
      </c>
      <c r="F324" s="111" t="str">
        <f>IFERROR(__xludf.DUMMYFUNCTION("""COMPUTED_VALUE"""),"Mohji")</f>
        <v>Mohji</v>
      </c>
      <c r="G324" s="111" t="str">
        <f>IFERROR(__xludf.DUMMYFUNCTION("""COMPUTED_VALUE"""),"")</f>
        <v/>
      </c>
      <c r="H324" s="111" t="str">
        <f>IFERROR(__xludf.DUMMYFUNCTION("""COMPUTED_VALUE"""),"Increase HP by 4%.")</f>
        <v>Increase HP by 4%.</v>
      </c>
      <c r="I324" s="112" t="str">
        <f>IFERROR(__xludf.DUMMYFUNCTION("""COMPUTED_VALUE"""),"East Blue
Buggy Pirates")</f>
        <v>East Blue
Buggy Pirates</v>
      </c>
      <c r="J324" s="101"/>
    </row>
    <row r="325" ht="75.0" customHeight="1">
      <c r="A325" s="101"/>
      <c r="B325" s="111" t="str">
        <f>IFERROR(__xludf.DUMMYFUNCTION("""COMPUTED_VALUE"""),"Lion Song")</f>
        <v>Lion Song</v>
      </c>
      <c r="C325" s="113" t="str">
        <f>IFERROR(__xludf.DUMMYFUNCTION("""COMPUTED_VALUE"""),"")</f>
        <v/>
      </c>
      <c r="D325" s="109" t="str">
        <f>IFERROR(__xludf.DUMMYFUNCTION("""COMPUTED_VALUE"""),"When your HP is 50% or less: CRIT Boosted by 90% for 20 second(s).")</f>
        <v>When your HP is 50% or less: CRIT Boosted by 90% for 20 second(s).</v>
      </c>
      <c r="E325" s="110" t="str">
        <f>IFERROR(__xludf.DUMMYFUNCTION("""COMPUTED_VALUE"""),"Alabasta
Straw Hat Pirates
Combatant")</f>
        <v>Alabasta
Straw Hat Pirates
Combatant</v>
      </c>
      <c r="F325" s="111"/>
      <c r="G325" s="111"/>
      <c r="H325" s="111"/>
      <c r="I325" s="112"/>
      <c r="J325" s="101"/>
    </row>
    <row r="326" ht="75.0" customHeight="1">
      <c r="A326" s="101"/>
      <c r="B326" s="111" t="str">
        <f>IFERROR(__xludf.DUMMYFUNCTION("""COMPUTED_VALUE"""),"Veau")</f>
        <v>Veau</v>
      </c>
      <c r="C326" s="113" t="str">
        <f>IFERROR(__xludf.DUMMYFUNCTION("""COMPUTED_VALUE"""),"")</f>
        <v/>
      </c>
      <c r="D326" s="109" t="str">
        <f>IFERROR(__xludf.DUMMYFUNCTION("""COMPUTED_VALUE"""),"When your HP is 10% or less: Increase Treasure Gauge recovery amount.")</f>
        <v>When your HP is 10% or less: Increase Treasure Gauge recovery amount.</v>
      </c>
      <c r="E326" s="110" t="str">
        <f>IFERROR(__xludf.DUMMYFUNCTION("""COMPUTED_VALUE"""),"Alabasta
Straw Hat Pirates
Cook")</f>
        <v>Alabasta
Straw Hat Pirates
Cook</v>
      </c>
      <c r="F326" s="111"/>
      <c r="G326" s="111"/>
      <c r="H326" s="111"/>
      <c r="I326" s="112"/>
      <c r="J326" s="101"/>
    </row>
    <row r="327" ht="75.0" customHeight="1">
      <c r="A327" s="101"/>
      <c r="B327" s="111" t="str">
        <f>IFERROR(__xludf.DUMMYFUNCTION("""COMPUTED_VALUE"""),"Pound")</f>
        <v>Pound</v>
      </c>
      <c r="C327" s="113" t="str">
        <f>IFERROR(__xludf.DUMMYFUNCTION("""COMPUTED_VALUE"""),"")</f>
        <v/>
      </c>
      <c r="D327" s="109" t="str">
        <f>IFERROR(__xludf.DUMMYFUNCTION("""COMPUTED_VALUE"""),"When attacking an enemy inflicted With Stun: Increase damage dealt by 3%.")</f>
        <v>When attacking an enemy inflicted With Stun: Increase damage dealt by 3%.</v>
      </c>
      <c r="E327" s="110" t="str">
        <f>IFERROR(__xludf.DUMMYFUNCTION("""COMPUTED_VALUE"""),"Alabasta
Straw Hat Pirates
Sharp Shooter")</f>
        <v>Alabasta
Straw Hat Pirates
Sharp Shooter</v>
      </c>
      <c r="F327" s="111"/>
      <c r="G327" s="111"/>
      <c r="H327" s="111"/>
      <c r="I327" s="112"/>
      <c r="J327" s="101"/>
    </row>
    <row r="328" ht="75.0" customHeight="1">
      <c r="A328" s="101"/>
      <c r="B328" s="111" t="str">
        <f>IFERROR(__xludf.DUMMYFUNCTION("""COMPUTED_VALUE"""),"Climate Baton")</f>
        <v>Climate Baton</v>
      </c>
      <c r="C328" s="113" t="str">
        <f>IFERROR(__xludf.DUMMYFUNCTION("""COMPUTED_VALUE"""),"")</f>
        <v/>
      </c>
      <c r="D328" s="109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E328" s="110" t="str">
        <f>IFERROR(__xludf.DUMMYFUNCTION("""COMPUTED_VALUE"""),"Alabasta
Straw Hat Pirates
Navigator")</f>
        <v>Alabasta
Straw Hat Pirates
Navigator</v>
      </c>
      <c r="F328" s="111"/>
      <c r="G328" s="111"/>
      <c r="H328" s="111"/>
      <c r="I328" s="112"/>
      <c r="J328" s="101"/>
    </row>
    <row r="329" ht="75.0" customHeight="1">
      <c r="A329" s="101"/>
      <c r="B329" s="111" t="str">
        <f>IFERROR(__xludf.DUMMYFUNCTION("""COMPUTED_VALUE"""),"Ms. Wednesday")</f>
        <v>Ms. Wednesday</v>
      </c>
      <c r="C329" s="113" t="str">
        <f>IFERROR(__xludf.DUMMYFUNCTION("""COMPUTED_VALUE"""),"")</f>
        <v/>
      </c>
      <c r="D329" s="109" t="str">
        <f>IFERROR(__xludf.DUMMYFUNCTION("""COMPUTED_VALUE"""),"When you capture the Treasure: Reduce the cooldown time of Skill 1 by 6%.")</f>
        <v>When you capture the Treasure: Reduce the cooldown time of Skill 1 by 6%.</v>
      </c>
      <c r="E329" s="110" t="str">
        <f>IFERROR(__xludf.DUMMYFUNCTION("""COMPUTED_VALUE"""),"The Grand Line
Baroque Works")</f>
        <v>The Grand Line
Baroque Works</v>
      </c>
      <c r="F329" s="111"/>
      <c r="G329" s="111"/>
      <c r="H329" s="111"/>
      <c r="I329" s="112"/>
      <c r="J329" s="101"/>
    </row>
    <row r="330" ht="75.0" customHeight="1">
      <c r="A330" s="101"/>
      <c r="B330" s="113" t="str">
        <f>IFERROR(__xludf.DUMMYFUNCTION("""COMPUTED_VALUE"""),"Slip_Slip")</f>
        <v>Slip_Slip</v>
      </c>
      <c r="C330" s="113" t="str">
        <f>IFERROR(__xludf.DUMMYFUNCTION("""COMPUTED_VALUE"""),"")</f>
        <v/>
      </c>
      <c r="D330" s="109" t="str">
        <f>IFERROR(__xludf.DUMMYFUNCTION("""COMPUTED_VALUE"""),"When there are 60 seconds or less remaining: Boost the cooldown reduction speed of Skill 1 by 10%.")</f>
        <v>When there are 60 seconds or less remaining: Boost the cooldown reduction speed of Skill 1 by 10%.</v>
      </c>
      <c r="E330" s="110" t="str">
        <f>IFERROR(__xludf.DUMMYFUNCTION("""COMPUTED_VALUE"""),"The Grand Line
The Alvida Pirates
Paramecia
Captain")</f>
        <v>The Grand Line
The Alvida Pirates
Paramecia
Captain</v>
      </c>
      <c r="F330" s="111"/>
      <c r="G330" s="111"/>
      <c r="H330" s="111"/>
      <c r="I330" s="112"/>
      <c r="J330" s="101"/>
    </row>
    <row r="331" ht="75.0" customHeight="1">
      <c r="A331" s="101"/>
      <c r="B331" s="113" t="str">
        <f>IFERROR(__xludf.DUMMYFUNCTION("""COMPUTED_VALUE"""),"Tashigi")</f>
        <v>Tashigi</v>
      </c>
      <c r="C331" s="113" t="str">
        <f>IFERROR(__xludf.DUMMYFUNCTION("""COMPUTED_VALUE"""),"")</f>
        <v/>
      </c>
      <c r="D331" s="109" t="str">
        <f>IFERROR(__xludf.DUMMYFUNCTION("""COMPUTED_VALUE"""),"When you capture the Treasure: SPD Boosted by 4% for 20 second(s).")</f>
        <v>When you capture the Treasure: SPD Boosted by 4% for 20 second(s).</v>
      </c>
      <c r="E331" s="110" t="str">
        <f>IFERROR(__xludf.DUMMYFUNCTION("""COMPUTED_VALUE"""),"The Grand Line
Navy
Master Chief Petty Officer")</f>
        <v>The Grand Line
Navy
Master Chief Petty Officer</v>
      </c>
      <c r="F331" s="111"/>
      <c r="G331" s="111"/>
      <c r="H331" s="111"/>
      <c r="I331" s="112"/>
      <c r="J331" s="101"/>
    </row>
    <row r="332" ht="75.0" customHeight="1">
      <c r="A332" s="101"/>
      <c r="B332" s="113" t="str">
        <f>IFERROR(__xludf.DUMMYFUNCTION("""COMPUTED_VALUE"""),"Choo")</f>
        <v>Choo</v>
      </c>
      <c r="C332" s="113" t="str">
        <f>IFERROR(__xludf.DUMMYFUNCTION("""COMPUTED_VALUE"""),"")</f>
        <v/>
      </c>
      <c r="D332" s="109" t="str">
        <f>IFERROR(__xludf.DUMMYFUNCTION("""COMPUTED_VALUE"""),"After KOing an enemy: CRIT Boosted by 90% for 20 second(s).")</f>
        <v>After KOing an enemy: CRIT Boosted by 90% for 20 second(s).</v>
      </c>
      <c r="E332" s="110" t="str">
        <f>IFERROR(__xludf.DUMMYFUNCTION("""COMPUTED_VALUE"""),"East Blue
Arlong Pirates
Fish_Man")</f>
        <v>East Blue
Arlong Pirates
Fish_Man</v>
      </c>
      <c r="F332" s="111"/>
      <c r="G332" s="111"/>
      <c r="H332" s="111"/>
      <c r="I332" s="112"/>
      <c r="J332" s="101"/>
    </row>
    <row r="333" ht="75.0" customHeight="1">
      <c r="A333" s="101"/>
      <c r="B333" s="113" t="str">
        <f>IFERROR(__xludf.DUMMYFUNCTION("""COMPUTED_VALUE"""),"Kuroobi")</f>
        <v>Kuroobi</v>
      </c>
      <c r="C333" s="113" t="str">
        <f>IFERROR(__xludf.DUMMYFUNCTION("""COMPUTED_VALUE"""),"")</f>
        <v/>
      </c>
      <c r="D333" s="109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E333" s="110" t="str">
        <f>IFERROR(__xludf.DUMMYFUNCTION("""COMPUTED_VALUE"""),"East Blue
Arlong Pirates
Fish_Man
Fish_Man Karate")</f>
        <v>East Blue
Arlong Pirates
Fish_Man
Fish_Man Karate</v>
      </c>
      <c r="F333" s="111"/>
      <c r="G333" s="111"/>
      <c r="H333" s="111"/>
      <c r="I333" s="112"/>
      <c r="J333" s="101"/>
    </row>
    <row r="334" ht="75.0" customHeight="1">
      <c r="A334" s="101"/>
      <c r="B334" s="113" t="str">
        <f>IFERROR(__xludf.DUMMYFUNCTION("""COMPUTED_VALUE"""),"Hachi")</f>
        <v>Hachi</v>
      </c>
      <c r="C334" s="113" t="str">
        <f>IFERROR(__xludf.DUMMYFUNCTION("""COMPUTED_VALUE"""),"")</f>
        <v/>
      </c>
      <c r="D334" s="109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E334" s="110" t="str">
        <f>IFERROR(__xludf.DUMMYFUNCTION("""COMPUTED_VALUE"""),"East Blue
Arlong Pirates
Fish_Man")</f>
        <v>East Blue
Arlong Pirates
Fish_Man</v>
      </c>
      <c r="F334" s="111"/>
      <c r="G334" s="111"/>
      <c r="H334" s="111"/>
      <c r="I334" s="112"/>
      <c r="J334" s="101"/>
    </row>
    <row r="335" ht="75.0" customHeight="1">
      <c r="A335" s="101"/>
      <c r="B335" s="113" t="str">
        <f>IFERROR(__xludf.DUMMYFUNCTION("""COMPUTED_VALUE"""),"Don Krieg")</f>
        <v>Don Krieg</v>
      </c>
      <c r="C335" s="113" t="str">
        <f>IFERROR(__xludf.DUMMYFUNCTION("""COMPUTED_VALUE"""),"")</f>
        <v/>
      </c>
      <c r="D335" s="109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E335" s="110" t="str">
        <f>IFERROR(__xludf.DUMMYFUNCTION("""COMPUTED_VALUE"""),"East Blue
Krieg`s Pirate Armada
Captain")</f>
        <v>East Blue
Krieg`s Pirate Armada
Captain</v>
      </c>
      <c r="F335" s="111"/>
      <c r="G335" s="111"/>
      <c r="H335" s="111"/>
      <c r="I335" s="112"/>
      <c r="J335" s="101"/>
    </row>
    <row r="336" ht="75.0" customHeight="1">
      <c r="A336" s="101"/>
      <c r="B336" s="113" t="str">
        <f>IFERROR(__xludf.DUMMYFUNCTION("""COMPUTED_VALUE"""),"Gin")</f>
        <v>Gin</v>
      </c>
      <c r="C336" s="113" t="str">
        <f>IFERROR(__xludf.DUMMYFUNCTION("""COMPUTED_VALUE"""),"")</f>
        <v/>
      </c>
      <c r="D336" s="109" t="str">
        <f>IFERROR(__xludf.DUMMYFUNCTION("""COMPUTED_VALUE"""),"After KOing an enemy: Reduce the cooldown time of Skill 1 by 6%.")</f>
        <v>After KOing an enemy: Reduce the cooldown time of Skill 1 by 6%.</v>
      </c>
      <c r="E336" s="110" t="str">
        <f>IFERROR(__xludf.DUMMYFUNCTION("""COMPUTED_VALUE"""),"East Blue
Krieg`s Pirate Armada
Combatant")</f>
        <v>East Blue
Krieg`s Pirate Armada
Combatant</v>
      </c>
      <c r="F336" s="111"/>
      <c r="G336" s="111"/>
      <c r="H336" s="111"/>
      <c r="I336" s="112"/>
      <c r="J336" s="101"/>
    </row>
    <row r="337" ht="75.0" customHeight="1">
      <c r="A337" s="101"/>
      <c r="B337" s="113" t="str">
        <f>IFERROR(__xludf.DUMMYFUNCTION("""COMPUTED_VALUE"""),"Zeff")</f>
        <v>Zeff</v>
      </c>
      <c r="C337" s="113" t="str">
        <f>IFERROR(__xludf.DUMMYFUNCTION("""COMPUTED_VALUE"""),"")</f>
        <v/>
      </c>
      <c r="D337" s="109" t="str">
        <f>IFERROR(__xludf.DUMMYFUNCTION("""COMPUTED_VALUE"""),"When there are 60 seconds or less remaining: CRIT Boosted by 90% for 20 second(s).")</f>
        <v>When there are 60 seconds or less remaining: CRIT Boosted by 90% for 20 second(s).</v>
      </c>
      <c r="E337" s="110" t="str">
        <f>IFERROR(__xludf.DUMMYFUNCTION("""COMPUTED_VALUE"""),"East Blue
Cook")</f>
        <v>East Blue
Cook</v>
      </c>
      <c r="F337" s="111"/>
      <c r="G337" s="111"/>
      <c r="H337" s="111"/>
      <c r="I337" s="112"/>
      <c r="J337" s="101"/>
    </row>
    <row r="338" ht="75.0" customHeight="1">
      <c r="A338" s="101"/>
      <c r="B338" s="113" t="str">
        <f>IFERROR(__xludf.DUMMYFUNCTION("""COMPUTED_VALUE"""),"Kuro")</f>
        <v>Kuro</v>
      </c>
      <c r="C338" s="113" t="str">
        <f>IFERROR(__xludf.DUMMYFUNCTION("""COMPUTED_VALUE"""),"")</f>
        <v/>
      </c>
      <c r="D338" s="109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E338" s="110" t="str">
        <f>IFERROR(__xludf.DUMMYFUNCTION("""COMPUTED_VALUE"""),"East Blue
Black Cat Pirates
Captain")</f>
        <v>East Blue
Black Cat Pirates
Captain</v>
      </c>
      <c r="F338" s="111"/>
      <c r="G338" s="111"/>
      <c r="H338" s="111"/>
      <c r="I338" s="112"/>
      <c r="J338" s="101"/>
    </row>
    <row r="339" ht="75.0" customHeight="1">
      <c r="A339" s="101"/>
      <c r="B339" s="113" t="str">
        <f>IFERROR(__xludf.DUMMYFUNCTION("""COMPUTED_VALUE"""),"Buggy")</f>
        <v>Buggy</v>
      </c>
      <c r="C339" s="113" t="str">
        <f>IFERROR(__xludf.DUMMYFUNCTION("""COMPUTED_VALUE"""),"")</f>
        <v/>
      </c>
      <c r="D339" s="109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E339" s="110" t="str">
        <f>IFERROR(__xludf.DUMMYFUNCTION("""COMPUTED_VALUE"""),"East Blue
Buggy Pirates
Paramecia
Captain
Roger Pirates / Ex_Roger Pirates")</f>
        <v>East Blue
Buggy Pirates
Paramecia
Captain
Roger Pirates / Ex_Roger Pirates</v>
      </c>
      <c r="F339" s="111"/>
      <c r="G339" s="111"/>
      <c r="H339" s="111"/>
      <c r="I339" s="112"/>
      <c r="J339" s="101"/>
    </row>
    <row r="340" ht="75.0" customHeight="1">
      <c r="A340" s="101"/>
      <c r="B340" s="113" t="str">
        <f>IFERROR(__xludf.DUMMYFUNCTION("""COMPUTED_VALUE"""),"Johnny")</f>
        <v>Johnny</v>
      </c>
      <c r="C340" s="113" t="str">
        <f>IFERROR(__xludf.DUMMYFUNCTION("""COMPUTED_VALUE"""),"")</f>
        <v/>
      </c>
      <c r="D340" s="109" t="str">
        <f>IFERROR(__xludf.DUMMYFUNCTION("""COMPUTED_VALUE"""),"When your HP is 30% or less: Boost capture speed by 6%.")</f>
        <v>When your HP is 30% or less: Boost capture speed by 6%.</v>
      </c>
      <c r="E340" s="110" t="str">
        <f>IFERROR(__xludf.DUMMYFUNCTION("""COMPUTED_VALUE"""),"East Blue
Bounty Hunter")</f>
        <v>East Blue
Bounty Hunter</v>
      </c>
      <c r="F340" s="111"/>
      <c r="G340" s="111"/>
      <c r="H340" s="111"/>
      <c r="I340" s="112"/>
      <c r="J340" s="101"/>
    </row>
    <row r="341" ht="75.0" customHeight="1">
      <c r="A341" s="101"/>
      <c r="B341" s="113" t="str">
        <f>IFERROR(__xludf.DUMMYFUNCTION("""COMPUTED_VALUE"""),"Yosaku")</f>
        <v>Yosaku</v>
      </c>
      <c r="C341" s="113" t="str">
        <f>IFERROR(__xludf.DUMMYFUNCTION("""COMPUTED_VALUE"""),"")</f>
        <v/>
      </c>
      <c r="D341" s="109" t="str">
        <f>IFERROR(__xludf.DUMMYFUNCTION("""COMPUTED_VALUE"""),"When your HP is 7% or less: Increase Treasure Gauge amount when you capture the Treasure.")</f>
        <v>When your HP is 7% or less: Increase Treasure Gauge amount when you capture the Treasure.</v>
      </c>
      <c r="E341" s="110" t="str">
        <f>IFERROR(__xludf.DUMMYFUNCTION("""COMPUTED_VALUE"""),"East Blue
Bounty Hunter")</f>
        <v>East Blue
Bounty Hunter</v>
      </c>
      <c r="F341" s="111"/>
      <c r="G341" s="111"/>
      <c r="H341" s="111"/>
      <c r="I341" s="112"/>
      <c r="J341" s="101"/>
    </row>
    <row r="342" ht="75.0" customHeight="1">
      <c r="A342" s="101"/>
      <c r="B342" s="113" t="str">
        <f>IFERROR(__xludf.DUMMYFUNCTION("""COMPUTED_VALUE"""),"Butchie")</f>
        <v>Butchie</v>
      </c>
      <c r="C342" s="113" t="str">
        <f>IFERROR(__xludf.DUMMYFUNCTION("""COMPUTED_VALUE"""),"")</f>
        <v/>
      </c>
      <c r="D342" s="109" t="str">
        <f>IFERROR(__xludf.DUMMYFUNCTION("""COMPUTED_VALUE"""),"When your HP is 30% or less: SPD Boosted by 2% for 20 second(s).")</f>
        <v>When your HP is 30% or less: SPD Boosted by 2% for 20 second(s).</v>
      </c>
      <c r="E342" s="110" t="str">
        <f>IFERROR(__xludf.DUMMYFUNCTION("""COMPUTED_VALUE"""),"East Blue
Black Cat Pirates
Combatant")</f>
        <v>East Blue
Black Cat Pirates
Combatant</v>
      </c>
      <c r="F342" s="111"/>
      <c r="G342" s="111"/>
      <c r="H342" s="111"/>
      <c r="I342" s="112"/>
      <c r="J342" s="101"/>
    </row>
    <row r="343" ht="75.0" customHeight="1">
      <c r="A343" s="101"/>
      <c r="B343" s="113" t="str">
        <f>IFERROR(__xludf.DUMMYFUNCTION("""COMPUTED_VALUE"""),"Django")</f>
        <v>Django</v>
      </c>
      <c r="C343" s="113" t="str">
        <f>IFERROR(__xludf.DUMMYFUNCTION("""COMPUTED_VALUE"""),"")</f>
        <v/>
      </c>
      <c r="D343" s="109" t="str">
        <f>IFERROR(__xludf.DUMMYFUNCTION("""COMPUTED_VALUE"""),"When your HP is 70% or more: Boost the cooldown reduction speed of Skill 1 by 7%.")</f>
        <v>When your HP is 70% or more: Boost the cooldown reduction speed of Skill 1 by 7%.</v>
      </c>
      <c r="E343" s="110" t="str">
        <f>IFERROR(__xludf.DUMMYFUNCTION("""COMPUTED_VALUE"""),"East Blue
Black Cat Pirates
Captain")</f>
        <v>East Blue
Black Cat Pirates
Captain</v>
      </c>
      <c r="F343" s="111"/>
      <c r="G343" s="111"/>
      <c r="H343" s="111"/>
      <c r="I343" s="112"/>
      <c r="J343" s="101"/>
    </row>
    <row r="344" ht="75.0" customHeight="1">
      <c r="A344" s="101"/>
      <c r="B344" s="113" t="str">
        <f>IFERROR(__xludf.DUMMYFUNCTION("""COMPUTED_VALUE"""),"Cabaji")</f>
        <v>Cabaji</v>
      </c>
      <c r="C344" s="113" t="str">
        <f>IFERROR(__xludf.DUMMYFUNCTION("""COMPUTED_VALUE"""),"")</f>
        <v/>
      </c>
      <c r="D344" s="109" t="str">
        <f>IFERROR(__xludf.DUMMYFUNCTION("""COMPUTED_VALUE"""),"When your team has more Treasure secured: Boost capture speed by 6%.")</f>
        <v>When your team has more Treasure secured: Boost capture speed by 6%.</v>
      </c>
      <c r="E344" s="110" t="str">
        <f>IFERROR(__xludf.DUMMYFUNCTION("""COMPUTED_VALUE"""),"East Blue
Buggy Pirates")</f>
        <v>East Blue
Buggy Pirates</v>
      </c>
      <c r="F344" s="111"/>
      <c r="G344" s="111"/>
      <c r="H344" s="111"/>
      <c r="I344" s="112"/>
      <c r="J344" s="101"/>
    </row>
    <row r="345" ht="75.0" customHeight="1">
      <c r="A345" s="101"/>
      <c r="B345" s="113" t="str">
        <f>IFERROR(__xludf.DUMMYFUNCTION("""COMPUTED_VALUE"""),"Morgan")</f>
        <v>Morgan</v>
      </c>
      <c r="C345" s="113" t="str">
        <f>IFERROR(__xludf.DUMMYFUNCTION("""COMPUTED_VALUE"""),"")</f>
        <v/>
      </c>
      <c r="D345" s="109" t="str">
        <f>IFERROR(__xludf.DUMMYFUNCTION("""COMPUTED_VALUE"""),"When there are 60 seconds or less remaining: CRIT Boosted by 40% for 20 second(s).")</f>
        <v>When there are 60 seconds or less remaining: CRIT Boosted by 40% for 20 second(s).</v>
      </c>
      <c r="E345" s="110" t="str">
        <f>IFERROR(__xludf.DUMMYFUNCTION("""COMPUTED_VALUE"""),"East Blue
Navy
Navy Captain")</f>
        <v>East Blue
Navy
Navy Captain</v>
      </c>
      <c r="F345" s="111"/>
      <c r="G345" s="111"/>
      <c r="H345" s="111"/>
      <c r="I345" s="112"/>
      <c r="J345" s="101"/>
    </row>
    <row r="346" ht="75.0" customHeight="1">
      <c r="A346" s="101"/>
      <c r="B346" s="113" t="str">
        <f>IFERROR(__xludf.DUMMYFUNCTION("""COMPUTED_VALUE"""),"Helmeppo")</f>
        <v>Helmeppo</v>
      </c>
      <c r="C346" s="113" t="str">
        <f>IFERROR(__xludf.DUMMYFUNCTION("""COMPUTED_VALUE"""),"")</f>
        <v/>
      </c>
      <c r="D346" s="109" t="str">
        <f>IFERROR(__xludf.DUMMYFUNCTION("""COMPUTED_VALUE"""),"When you capture the Treasure: SPD Boosted by 2% for 20 second(s).")</f>
        <v>When you capture the Treasure: SPD Boosted by 2% for 20 second(s).</v>
      </c>
      <c r="E346" s="110" t="str">
        <f>IFERROR(__xludf.DUMMYFUNCTION("""COMPUTED_VALUE"""),"East Blue")</f>
        <v>East Blue</v>
      </c>
      <c r="F346" s="111"/>
      <c r="G346" s="111"/>
      <c r="H346" s="111"/>
      <c r="I346" s="112"/>
      <c r="J346" s="101"/>
    </row>
    <row r="347" ht="75.0" customHeight="1">
      <c r="A347" s="101"/>
      <c r="B347" s="113" t="str">
        <f>IFERROR(__xludf.DUMMYFUNCTION("""COMPUTED_VALUE"""),"Alvida")</f>
        <v>Alvida</v>
      </c>
      <c r="C347" s="113" t="str">
        <f>IFERROR(__xludf.DUMMYFUNCTION("""COMPUTED_VALUE"""),"")</f>
        <v/>
      </c>
      <c r="D347" s="109" t="str">
        <f>IFERROR(__xludf.DUMMYFUNCTION("""COMPUTED_VALUE"""),"When your HP is 7% or less: Increase Treasure Gauge recovery amount.")</f>
        <v>When your HP is 7% or less: Increase Treasure Gauge recovery amount.</v>
      </c>
      <c r="E347" s="110" t="str">
        <f>IFERROR(__xludf.DUMMYFUNCTION("""COMPUTED_VALUE"""),"East Blue
The Alvida Pirates
Captain")</f>
        <v>East Blue
The Alvida Pirates
Captain</v>
      </c>
      <c r="F347" s="111"/>
      <c r="G347" s="111"/>
      <c r="H347" s="111"/>
      <c r="I347" s="112"/>
      <c r="J347" s="101"/>
    </row>
    <row r="348" ht="75.0" customHeight="1">
      <c r="A348" s="101"/>
      <c r="B348" s="113" t="str">
        <f>IFERROR(__xludf.DUMMYFUNCTION("""COMPUTED_VALUE"""),"Koby")</f>
        <v>Koby</v>
      </c>
      <c r="C348" s="113" t="str">
        <f>IFERROR(__xludf.DUMMYFUNCTION("""COMPUTED_VALUE"""),"")</f>
        <v/>
      </c>
      <c r="D348" s="109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E348" s="110" t="str">
        <f>IFERROR(__xludf.DUMMYFUNCTION("""COMPUTED_VALUE"""),"East Blue")</f>
        <v>East Blue</v>
      </c>
      <c r="F348" s="111"/>
      <c r="G348" s="111"/>
      <c r="H348" s="111"/>
      <c r="I348" s="112"/>
      <c r="J348" s="101"/>
    </row>
    <row r="349" ht="75.0" customHeight="1">
      <c r="A349" s="101"/>
      <c r="B349" s="113" t="str">
        <f>IFERROR(__xludf.DUMMYFUNCTION("""COMPUTED_VALUE"""),"Higuma")</f>
        <v>Higuma</v>
      </c>
      <c r="C349" s="113" t="str">
        <f>IFERROR(__xludf.DUMMYFUNCTION("""COMPUTED_VALUE"""),"")</f>
        <v/>
      </c>
      <c r="D349" s="109" t="str">
        <f>IFERROR(__xludf.DUMMYFUNCTION("""COMPUTED_VALUE"""),"When Respawned: SPD Boosted by 2% for 20 second(s).")</f>
        <v>When Respawned: SPD Boosted by 2% for 20 second(s).</v>
      </c>
      <c r="E349" s="110" t="str">
        <f>IFERROR(__xludf.DUMMYFUNCTION("""COMPUTED_VALUE"""),"East Blue")</f>
        <v>East Blue</v>
      </c>
      <c r="F349" s="111"/>
      <c r="G349" s="111"/>
      <c r="H349" s="111"/>
      <c r="I349" s="112"/>
      <c r="J349" s="101"/>
    </row>
    <row r="350" ht="75.0" customHeight="1">
      <c r="A350" s="101"/>
      <c r="B350" s="113" t="str">
        <f>IFERROR(__xludf.DUMMYFUNCTION("""COMPUTED_VALUE"""),"Brook")</f>
        <v>Brook</v>
      </c>
      <c r="C350" s="113" t="str">
        <f>IFERROR(__xludf.DUMMYFUNCTION("""COMPUTED_VALUE"""),"")</f>
        <v/>
      </c>
      <c r="D350" s="109" t="str">
        <f>IFERROR(__xludf.DUMMYFUNCTION("""COMPUTED_VALUE"""),"When attacking an enemy inflicted With Stun: Increase damage dealt by 2%.")</f>
        <v>When attacking an enemy inflicted With Stun: Increase damage dealt by 2%.</v>
      </c>
      <c r="E350" s="110" t="str">
        <f>IFERROR(__xludf.DUMMYFUNCTION("""COMPUTED_VALUE"""),"Thriller Bark
Straw Hat Pirates
Paramecia
Musician")</f>
        <v>Thriller Bark
Straw Hat Pirates
Paramecia
Musician</v>
      </c>
      <c r="F350" s="111"/>
      <c r="G350" s="111"/>
      <c r="H350" s="111"/>
      <c r="I350" s="112"/>
      <c r="J350" s="101"/>
    </row>
    <row r="351" ht="75.0" customHeight="1">
      <c r="A351" s="101"/>
      <c r="B351" s="113" t="str">
        <f>IFERROR(__xludf.DUMMYFUNCTION("""COMPUTED_VALUE"""),"Franky")</f>
        <v>Franky</v>
      </c>
      <c r="C351" s="113" t="str">
        <f>IFERROR(__xludf.DUMMYFUNCTION("""COMPUTED_VALUE"""),"")</f>
        <v/>
      </c>
      <c r="D351" s="109" t="str">
        <f>IFERROR(__xludf.DUMMYFUNCTION("""COMPUTED_VALUE"""),"When an ally is KO`d (not including you): Reduce the cooldown time of Skill 1 by 2%.")</f>
        <v>When an ally is KO`d (not including you): Reduce the cooldown time of Skill 1 by 2%.</v>
      </c>
      <c r="E351" s="110" t="str">
        <f>IFERROR(__xludf.DUMMYFUNCTION("""COMPUTED_VALUE"""),"Water 7 / Enies Lobby
Straw Hat Pirates
Ship Carpenter")</f>
        <v>Water 7 / Enies Lobby
Straw Hat Pirates
Ship Carpenter</v>
      </c>
      <c r="F351" s="111"/>
      <c r="G351" s="111"/>
      <c r="H351" s="111"/>
      <c r="I351" s="112"/>
      <c r="J351" s="101"/>
    </row>
    <row r="352" ht="75.0" customHeight="1">
      <c r="A352" s="101"/>
      <c r="B352" s="113" t="str">
        <f>IFERROR(__xludf.DUMMYFUNCTION("""COMPUTED_VALUE"""),"Robin")</f>
        <v>Robin</v>
      </c>
      <c r="C352" s="113" t="str">
        <f>IFERROR(__xludf.DUMMYFUNCTION("""COMPUTED_VALUE"""),"")</f>
        <v/>
      </c>
      <c r="D352" s="109" t="str">
        <f>IFERROR(__xludf.DUMMYFUNCTION("""COMPUTED_VALUE"""),"After KOing an enemy: SPD Boosted by 2% for 20 second(s).")</f>
        <v>After KOing an enemy: SPD Boosted by 2% for 20 second(s).</v>
      </c>
      <c r="E352" s="110" t="str">
        <f>IFERROR(__xludf.DUMMYFUNCTION("""COMPUTED_VALUE"""),"Sky Island / LRLL
Straw Hat Pirates
Paramecia
Archaeologist")</f>
        <v>Sky Island / LRLL
Straw Hat Pirates
Paramecia
Archaeologist</v>
      </c>
      <c r="F352" s="111"/>
      <c r="G352" s="111"/>
      <c r="H352" s="111"/>
      <c r="I352" s="112"/>
      <c r="J352" s="101"/>
    </row>
    <row r="353" ht="75.0" customHeight="1">
      <c r="A353" s="101"/>
      <c r="B353" s="113" t="str">
        <f>IFERROR(__xludf.DUMMYFUNCTION("""COMPUTED_VALUE"""),"Chopper")</f>
        <v>Chopper</v>
      </c>
      <c r="C353" s="113" t="str">
        <f>IFERROR(__xludf.DUMMYFUNCTION("""COMPUTED_VALUE"""),"")</f>
        <v/>
      </c>
      <c r="D353" s="109" t="str">
        <f>IFERROR(__xludf.DUMMYFUNCTION("""COMPUTED_VALUE"""),"When your team has less Treasure secured: Boost the cooldown reduction speed of Skill 1 by 7%.")</f>
        <v>When your team has less Treasure secured: Boost the cooldown reduction speed of Skill 1 by 7%.</v>
      </c>
      <c r="E353" s="110" t="str">
        <f>IFERROR(__xludf.DUMMYFUNCTION("""COMPUTED_VALUE"""),"The Grand Line
Straw Hat Pirates
Zoan
Doctor")</f>
        <v>The Grand Line
Straw Hat Pirates
Zoan
Doctor</v>
      </c>
      <c r="F353" s="111"/>
      <c r="G353" s="111"/>
      <c r="H353" s="111"/>
      <c r="I353" s="112"/>
      <c r="J353" s="101"/>
    </row>
    <row r="354" ht="75.0" customHeight="1">
      <c r="A354" s="101"/>
      <c r="B354" s="113" t="str">
        <f>IFERROR(__xludf.DUMMYFUNCTION("""COMPUTED_VALUE"""),"Sanji")</f>
        <v>Sanji</v>
      </c>
      <c r="C354" s="113" t="str">
        <f>IFERROR(__xludf.DUMMYFUNCTION("""COMPUTED_VALUE"""),"")</f>
        <v/>
      </c>
      <c r="D354" s="109" t="str">
        <f>IFERROR(__xludf.DUMMYFUNCTION("""COMPUTED_VALUE"""),"After KOing an enemy: Reduce the cooldown time of Skill 1 by 4%.")</f>
        <v>After KOing an enemy: Reduce the cooldown time of Skill 1 by 4%.</v>
      </c>
      <c r="E354" s="110" t="str">
        <f>IFERROR(__xludf.DUMMYFUNCTION("""COMPUTED_VALUE"""),"East Blue
Straw Hat Pirates
Cook")</f>
        <v>East Blue
Straw Hat Pirates
Cook</v>
      </c>
      <c r="F354" s="111"/>
      <c r="G354" s="111"/>
      <c r="H354" s="111"/>
      <c r="I354" s="112"/>
      <c r="J354" s="101"/>
    </row>
    <row r="355" ht="75.0" customHeight="1">
      <c r="A355" s="101"/>
      <c r="B355" s="113" t="str">
        <f>IFERROR(__xludf.DUMMYFUNCTION("""COMPUTED_VALUE"""),"Usopp")</f>
        <v>Usopp</v>
      </c>
      <c r="C355" s="113" t="str">
        <f>IFERROR(__xludf.DUMMYFUNCTION("""COMPUTED_VALUE"""),"")</f>
        <v/>
      </c>
      <c r="D355" s="109" t="str">
        <f>IFERROR(__xludf.DUMMYFUNCTION("""COMPUTED_VALUE"""),"When there are 60 seconds or less remaining: Boost capture speed by 6%.")</f>
        <v>When there are 60 seconds or less remaining: Boost capture speed by 6%.</v>
      </c>
      <c r="E355" s="110" t="str">
        <f>IFERROR(__xludf.DUMMYFUNCTION("""COMPUTED_VALUE"""),"East Blue
Straw Hat Pirates
Sharp Shooter")</f>
        <v>East Blue
Straw Hat Pirates
Sharp Shooter</v>
      </c>
      <c r="F355" s="111"/>
      <c r="G355" s="111"/>
      <c r="H355" s="111"/>
      <c r="I355" s="112"/>
      <c r="J355" s="101"/>
    </row>
    <row r="356" ht="75.0" customHeight="1">
      <c r="A356" s="101"/>
      <c r="B356" s="113" t="str">
        <f>IFERROR(__xludf.DUMMYFUNCTION("""COMPUTED_VALUE"""),"Nami")</f>
        <v>Nami</v>
      </c>
      <c r="C356" s="113" t="str">
        <f>IFERROR(__xludf.DUMMYFUNCTION("""COMPUTED_VALUE"""),"")</f>
        <v/>
      </c>
      <c r="D356" s="109" t="str">
        <f>IFERROR(__xludf.DUMMYFUNCTION("""COMPUTED_VALUE"""),"When you capture the Treasure: Reduce the cooldown time of Skill 1 by 4%.")</f>
        <v>When you capture the Treasure: Reduce the cooldown time of Skill 1 by 4%.</v>
      </c>
      <c r="E356" s="110" t="str">
        <f>IFERROR(__xludf.DUMMYFUNCTION("""COMPUTED_VALUE"""),"East Blue
Straw Hat Pirates
Navigator")</f>
        <v>East Blue
Straw Hat Pirates
Navigator</v>
      </c>
      <c r="F356" s="111"/>
      <c r="G356" s="111"/>
      <c r="H356" s="111"/>
      <c r="I356" s="112"/>
      <c r="J356" s="101"/>
    </row>
    <row r="357" ht="75.0" customHeight="1">
      <c r="A357" s="101"/>
      <c r="B357" s="113" t="str">
        <f>IFERROR(__xludf.DUMMYFUNCTION("""COMPUTED_VALUE"""),"Zoro")</f>
        <v>Zoro</v>
      </c>
      <c r="C357" s="113" t="str">
        <f>IFERROR(__xludf.DUMMYFUNCTION("""COMPUTED_VALUE"""),"")</f>
        <v/>
      </c>
      <c r="D357" s="109" t="str">
        <f>IFERROR(__xludf.DUMMYFUNCTION("""COMPUTED_VALUE"""),"When your HP is 30% or less: CRIT Boosted by 40% for 20 second(s).")</f>
        <v>When your HP is 30% or less: CRIT Boosted by 40% for 20 second(s).</v>
      </c>
      <c r="E357" s="110" t="str">
        <f>IFERROR(__xludf.DUMMYFUNCTION("""COMPUTED_VALUE"""),"East Blue
Straw Hat Pirates
Combatant")</f>
        <v>East Blue
Straw Hat Pirates
Combatant</v>
      </c>
      <c r="F357" s="111"/>
      <c r="G357" s="111"/>
      <c r="H357" s="111"/>
      <c r="I357" s="112"/>
      <c r="J357" s="101"/>
    </row>
    <row r="358" ht="75.0" customHeight="1">
      <c r="A358" s="101"/>
      <c r="B358" s="113" t="str">
        <f>IFERROR(__xludf.DUMMYFUNCTION("""COMPUTED_VALUE"""),"Luffy")</f>
        <v>Luffy</v>
      </c>
      <c r="C358" s="113" t="str">
        <f>IFERROR(__xludf.DUMMYFUNCTION("""COMPUTED_VALUE"""),"")</f>
        <v/>
      </c>
      <c r="D358" s="109" t="str">
        <f>IFERROR(__xludf.DUMMYFUNCTION("""COMPUTED_VALUE"""),"After KOing an enemy: CRIT Boosted by 40% for 20 second(s).")</f>
        <v>After KOing an enemy: CRIT Boosted by 40% for 20 second(s).</v>
      </c>
      <c r="E358" s="110" t="str">
        <f>IFERROR(__xludf.DUMMYFUNCTION("""COMPUTED_VALUE"""),"East Blue
Straw Hat Pirates
Paramecia
Captain
Blood Brothers")</f>
        <v>East Blue
Straw Hat Pirates
Paramecia
Captain
Blood Brothers</v>
      </c>
      <c r="F358" s="111"/>
      <c r="G358" s="111"/>
      <c r="H358" s="111"/>
      <c r="I358" s="112"/>
      <c r="J358" s="101"/>
    </row>
    <row r="359" ht="75.0" customHeight="1">
      <c r="A359" s="101"/>
      <c r="B359" s="113"/>
      <c r="C359" s="113"/>
      <c r="D359" s="109"/>
      <c r="E359" s="110"/>
      <c r="F359" s="111"/>
      <c r="G359" s="111"/>
      <c r="H359" s="111"/>
      <c r="I359" s="112"/>
      <c r="J359" s="101"/>
    </row>
    <row r="360" ht="75.0" customHeight="1">
      <c r="A360" s="101"/>
      <c r="B360" s="113"/>
      <c r="C360" s="113"/>
      <c r="D360" s="109"/>
      <c r="E360" s="110"/>
      <c r="F360" s="111"/>
      <c r="G360" s="111"/>
      <c r="H360" s="111"/>
      <c r="I360" s="112"/>
      <c r="J360" s="101"/>
    </row>
    <row r="361" ht="75.0" customHeight="1">
      <c r="A361" s="101"/>
      <c r="B361" s="113"/>
      <c r="C361" s="113"/>
      <c r="D361" s="109"/>
      <c r="E361" s="110"/>
      <c r="F361" s="111"/>
      <c r="G361" s="111"/>
      <c r="H361" s="111"/>
      <c r="I361" s="112"/>
      <c r="J361" s="101"/>
    </row>
    <row r="362" ht="75.0" customHeight="1">
      <c r="A362" s="101"/>
      <c r="B362" s="113"/>
      <c r="C362" s="113"/>
      <c r="D362" s="109"/>
      <c r="E362" s="110"/>
      <c r="F362" s="111"/>
      <c r="G362" s="111"/>
      <c r="H362" s="111"/>
      <c r="I362" s="112"/>
      <c r="J362" s="101"/>
    </row>
    <row r="363" ht="75.0" customHeight="1">
      <c r="A363" s="101"/>
      <c r="B363" s="113"/>
      <c r="C363" s="113"/>
      <c r="D363" s="109"/>
      <c r="E363" s="110"/>
      <c r="F363" s="111"/>
      <c r="G363" s="111"/>
      <c r="H363" s="111"/>
      <c r="I363" s="112"/>
      <c r="J363" s="101"/>
    </row>
    <row r="364" ht="75.0" customHeight="1">
      <c r="A364" s="101"/>
      <c r="B364" s="113"/>
      <c r="C364" s="113"/>
      <c r="D364" s="109"/>
      <c r="E364" s="110"/>
      <c r="F364" s="111"/>
      <c r="G364" s="111"/>
      <c r="H364" s="111"/>
      <c r="I364" s="112"/>
      <c r="J364" s="101"/>
    </row>
    <row r="365" ht="75.0" customHeight="1">
      <c r="A365" s="101"/>
      <c r="B365" s="113"/>
      <c r="C365" s="113"/>
      <c r="D365" s="109"/>
      <c r="E365" s="110"/>
      <c r="F365" s="111"/>
      <c r="G365" s="111"/>
      <c r="H365" s="111"/>
      <c r="I365" s="112"/>
      <c r="J365" s="101"/>
    </row>
    <row r="366" ht="75.0" customHeight="1">
      <c r="A366" s="101"/>
      <c r="B366" s="113"/>
      <c r="C366" s="113"/>
      <c r="D366" s="109"/>
      <c r="E366" s="110"/>
      <c r="F366" s="111"/>
      <c r="G366" s="111"/>
      <c r="H366" s="111"/>
      <c r="I366" s="112"/>
      <c r="J366" s="101"/>
    </row>
    <row r="367" ht="75.0" customHeight="1">
      <c r="A367" s="101"/>
      <c r="B367" s="113"/>
      <c r="C367" s="113"/>
      <c r="D367" s="109"/>
      <c r="E367" s="110"/>
      <c r="F367" s="111"/>
      <c r="G367" s="111"/>
      <c r="H367" s="111"/>
      <c r="I367" s="112"/>
      <c r="J367" s="101"/>
    </row>
    <row r="368" ht="75.0" customHeight="1">
      <c r="A368" s="101"/>
      <c r="B368" s="113"/>
      <c r="C368" s="113"/>
      <c r="D368" s="109"/>
      <c r="E368" s="110"/>
      <c r="F368" s="111"/>
      <c r="G368" s="111"/>
      <c r="H368" s="111"/>
      <c r="I368" s="112"/>
      <c r="J368" s="101"/>
    </row>
  </sheetData>
  <mergeCells count="21">
    <mergeCell ref="B5:C5"/>
    <mergeCell ref="B6:C6"/>
    <mergeCell ref="B7:C7"/>
    <mergeCell ref="B2:C2"/>
    <mergeCell ref="D2:I2"/>
    <mergeCell ref="B3:C3"/>
    <mergeCell ref="D3:I3"/>
    <mergeCell ref="B4:C4"/>
    <mergeCell ref="D4:I4"/>
    <mergeCell ref="D5:I5"/>
    <mergeCell ref="D15:E15"/>
    <mergeCell ref="D16:E16"/>
    <mergeCell ref="B17:E17"/>
    <mergeCell ref="F17:I17"/>
    <mergeCell ref="D6:I6"/>
    <mergeCell ref="D7:I7"/>
    <mergeCell ref="D10:E10"/>
    <mergeCell ref="D11:E11"/>
    <mergeCell ref="D12:E12"/>
    <mergeCell ref="D13:E13"/>
    <mergeCell ref="D14:E14"/>
  </mergeCells>
  <conditionalFormatting sqref="D2:E16">
    <cfRule type="notContainsBlanks" dxfId="0" priority="1">
      <formula>LEN(TRIM(D2))&gt;0</formula>
    </cfRule>
  </conditionalFormatting>
  <conditionalFormatting sqref="B6:I6">
    <cfRule type="expression" dxfId="1" priority="2">
      <formula>OR($D$3= "", $B$6 = "-")</formula>
    </cfRule>
  </conditionalFormatting>
  <conditionalFormatting sqref="B5:D5">
    <cfRule type="expression" dxfId="1" priority="3">
      <formula>OR($D$3 = "", $B$5 = "-")</formula>
    </cfRule>
  </conditionalFormatting>
  <conditionalFormatting sqref="B4:I4">
    <cfRule type="expression" dxfId="1" priority="4">
      <formula>OR(AND($D$2 = "", $D$3 = ""), $B$4 = "-")</formula>
    </cfRule>
  </conditionalFormatting>
  <conditionalFormatting sqref="B18:C368 E18:E368">
    <cfRule type="notContainsBlanks" dxfId="2" priority="5">
      <formula>LEN(TRIM(B18))&gt;0</formula>
    </cfRule>
  </conditionalFormatting>
  <conditionalFormatting sqref="D18:D368">
    <cfRule type="notContainsBlanks" dxfId="3" priority="6">
      <formula>LEN(TRIM(D18))&gt;0</formula>
    </cfRule>
  </conditionalFormatting>
  <conditionalFormatting sqref="F18:G368 I18:I368">
    <cfRule type="notContainsBlanks" dxfId="4" priority="7">
      <formula>LEN(TRIM(F18))&gt;0</formula>
    </cfRule>
  </conditionalFormatting>
  <conditionalFormatting sqref="H18:H368">
    <cfRule type="notContainsBlanks" dxfId="5" priority="8">
      <formula>LEN(TRIM(H18))&gt;0</formula>
    </cfRule>
  </conditionalFormatting>
  <conditionalFormatting sqref="B17:I17">
    <cfRule type="cellIs" dxfId="6" priority="9" operator="equal">
      <formula>0</formula>
    </cfRule>
  </conditionalFormatting>
  <conditionalFormatting sqref="C9">
    <cfRule type="expression" dxfId="7" priority="10">
      <formula>C8 = False</formula>
    </cfRule>
  </conditionalFormatting>
  <dataValidations>
    <dataValidation type="list" allowBlank="1" showErrorMessage="1" sqref="D6">
      <formula1>Text!$O$2:$O$181</formula1>
    </dataValidation>
    <dataValidation type="list" allowBlank="1" sqref="D7">
      <formula1>Text!$Q$2:$Q$802</formula1>
    </dataValidation>
    <dataValidation type="list" allowBlank="1" showErrorMessage="1" sqref="D2">
      <formula1>Text!$K$2:$K$181</formula1>
    </dataValidation>
    <dataValidation type="list" allowBlank="1" showErrorMessage="1" sqref="D4">
      <formula1>Text!$L$2:$L$181</formula1>
    </dataValidation>
    <dataValidation type="list" allowBlank="1" showErrorMessage="1" sqref="D5">
      <formula1>Text!$N$2:$N$181</formula1>
    </dataValidation>
    <dataValidation type="list" allowBlank="1" showErrorMessage="1" sqref="D3">
      <formula1>Text!$M$2:$M$181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  <col customWidth="1" min="17" max="17" width="57.75"/>
    <col customWidth="1" min="24" max="24" width="76.75"/>
    <col customWidth="1" min="26" max="26" width="94.75"/>
    <col customWidth="1" min="27" max="27" width="68.38"/>
    <col customWidth="1" min="35" max="35" width="104.63"/>
    <col customWidth="1" min="36" max="36" width="88.75"/>
    <col customWidth="1" min="38" max="38" width="25.63"/>
    <col customWidth="1" min="39" max="39" width="86.13"/>
    <col customWidth="1" min="41" max="41" width="13.88"/>
    <col customWidth="1" min="42" max="43" width="26.75"/>
    <col customWidth="1" min="50" max="51" width="49.63"/>
  </cols>
  <sheetData>
    <row r="1">
      <c r="A1" s="114"/>
      <c r="B1" s="114"/>
      <c r="C1" s="114" t="str">
        <f>IFERROR(__xludf.DUMMYFUNCTION("FILTER('Medals Database'!B3:D1366, 'Medals Database'!B3:B1366 &lt;&gt; """")"),"General MEDALS")</f>
        <v>General MEDALS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5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6"/>
      <c r="AJ1" s="114"/>
      <c r="AK1" s="114"/>
      <c r="AL1" s="117" t="s">
        <v>1989</v>
      </c>
      <c r="AM1" s="117" t="s">
        <v>1990</v>
      </c>
      <c r="AN1" s="114"/>
      <c r="AO1" s="114" t="str">
        <f>IFERROR(__xludf.DUMMYFUNCTION("FILTER('Medals Database'!I:I, 'Medals Database'!I:I &lt;&gt; """")"),"EVENT MEDALS")</f>
        <v>EVENT MEDALS</v>
      </c>
      <c r="AP1" s="114" t="str">
        <f>IFERROR(__xludf.DUMMYFUNCTION("FILTER('Medals Database'!J:J, 'Medals Database'!J:J &lt;&gt; """")"),"Medal
Name")</f>
        <v>Medal
Name</v>
      </c>
      <c r="AQ1" s="114" t="str">
        <f>IFERROR(__xludf.DUMMYFUNCTION("ARRAYFORMULA(REGEXREPLACE(AP1:AP308, ""\n"", "" ""))"),"Medal Name")</f>
        <v>Medal Name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</row>
    <row r="2" ht="37.5" customHeight="1">
      <c r="A2" s="118" t="s">
        <v>1991</v>
      </c>
      <c r="B2" s="117" t="s">
        <v>1992</v>
      </c>
      <c r="C2" s="119">
        <f>IFERROR(__xludf.DUMMYFUNCTION("""COMPUTED_VALUE"""),341.0)</f>
        <v>341</v>
      </c>
      <c r="D2" s="114" t="str">
        <f>IFERROR(__xludf.DUMMYFUNCTION("""COMPUTED_VALUE"""),"Black Vortex")</f>
        <v>Black Vortex</v>
      </c>
      <c r="E2" s="114" t="str">
        <f>IFERROR(__xludf.DUMMYFUNCTION("""COMPUTED_VALUE"""),"")</f>
        <v/>
      </c>
      <c r="F2" s="114" t="str">
        <f t="array" ref="F2:F342">IMAGE(A2:A342)</f>
        <v/>
      </c>
      <c r="G2" s="114" t="str">
        <f t="array" ref="G2:J342">IMAGE(K2:N342)</f>
        <v/>
      </c>
      <c r="H2" s="114"/>
      <c r="I2" s="114"/>
      <c r="J2" s="114"/>
      <c r="K2" s="114" t="s">
        <v>1993</v>
      </c>
      <c r="L2" s="114" t="s">
        <v>1994</v>
      </c>
      <c r="M2" s="114" t="s">
        <v>1995</v>
      </c>
      <c r="N2" s="114" t="s">
        <v>1996</v>
      </c>
      <c r="O2" s="114"/>
      <c r="P2" s="120">
        <v>341.0</v>
      </c>
      <c r="Q2" s="117" t="s">
        <v>1997</v>
      </c>
      <c r="R2" s="114"/>
      <c r="S2" s="117" t="s">
        <v>1998</v>
      </c>
      <c r="T2" s="114">
        <f t="shared" ref="T2:T342" si="1">IFERROR(VLOOKUP(S2, B$2:D1366, 2, false), )</f>
        <v>1</v>
      </c>
      <c r="U2" s="114" t="s">
        <v>1980</v>
      </c>
      <c r="V2" s="114" t="str">
        <f>IFERROR(__xludf.DUMMYFUNCTION("REGEXREPLACE(U2, ""\n"", "" "")"),"Luffy")</f>
        <v>Luffy</v>
      </c>
      <c r="W2" s="114"/>
      <c r="X2" s="115" t="str">
        <f t="shared" ref="X2:X342" si="2">iferror(VLOOKUP(T2, P$2:Q342, 2, false), ) &amp; " - Medal [" &amp; U2 &amp; "]"</f>
        <v>001 Straw Hat Pirates / Captain - Monkey D. Luffy - Medal [Luffy]</v>
      </c>
      <c r="Y2" s="119"/>
      <c r="Z2" s="117" t="s">
        <v>1989</v>
      </c>
      <c r="AA2" s="117" t="s">
        <v>1990</v>
      </c>
      <c r="AB2" s="114"/>
      <c r="AC2" s="114"/>
      <c r="AD2" s="114"/>
      <c r="AE2" s="114"/>
      <c r="AF2" s="114"/>
      <c r="AG2" s="114"/>
      <c r="AH2" s="114"/>
      <c r="AI2" s="121" t="s">
        <v>1999</v>
      </c>
      <c r="AJ2" s="121" t="str">
        <f>IFERROR(__xludf.DUMMYFUNCTION("regexreplace(regexreplace(AI2, ""  \["", "" ""), ""\]$"", """")"),"001 - Straw Hat Pirates_Captain ~ Monkey D. Luffy - Medal - Crafted [Colored] - Luffy")</f>
        <v>001 - Straw Hat Pirates_Captain ~ Monkey D. Luffy - Medal - Crafted [Colored] - Luffy</v>
      </c>
      <c r="AK2" s="114"/>
      <c r="AL2" s="117" t="s">
        <v>2000</v>
      </c>
      <c r="AM2" s="117" t="s">
        <v>2001</v>
      </c>
      <c r="AN2" s="114"/>
      <c r="AO2" s="122">
        <f>IFERROR(__xludf.DUMMYFUNCTION("""COMPUTED_VALUE"""),307.0)</f>
        <v>307</v>
      </c>
      <c r="AP2" s="114" t="str">
        <f>IFERROR(__xludf.DUMMYFUNCTION("""COMPUTED_VALUE"""),"The Four Emperrors Red Hair")</f>
        <v>The Four Emperrors Red Hair</v>
      </c>
      <c r="AQ2" s="114" t="str">
        <f>IFERROR(__xludf.DUMMYFUNCTION("""COMPUTED_VALUE"""),"The Four Emperrors Red Hair")</f>
        <v>The Four Emperrors Red Hair</v>
      </c>
      <c r="AR2" s="114"/>
      <c r="AS2" s="114"/>
      <c r="AT2" s="123" t="str">
        <f>IFERROR(__xludf.DUMMYFUNCTION("FILTER('Medals Database'!N:N, 'Medals Database'!N:N &lt;&gt; """")"),"https://i.postimg.cc/dQHvmRSb/307.png")</f>
        <v>https://i.postimg.cc/dQHvmRSb/307.png</v>
      </c>
      <c r="AU2" s="114" t="str">
        <f t="array" ref="AU2:AU308">IMAGE(AT2:AT308)</f>
        <v/>
      </c>
      <c r="AV2" s="114" t="str">
        <f t="array" ref="AV2:AV308">IMAGE(AM2:AM308)</f>
        <v/>
      </c>
      <c r="AW2" s="114"/>
      <c r="AX2" s="114" t="str">
        <f t="shared" ref="AX2:AX308" si="3">AO2 &amp; " - " &amp; "Medal [Event] " &amp; "- Crafted - " &amp; AQ2</f>
        <v>307 - Medal [Event] - Crafted - The Four Emperrors Red Hair</v>
      </c>
      <c r="AY2" s="114" t="s">
        <v>2002</v>
      </c>
      <c r="AZ2" s="114"/>
      <c r="BA2" s="114"/>
      <c r="BB2" s="114"/>
      <c r="BC2" s="114"/>
      <c r="BD2" s="114"/>
      <c r="BE2" s="114"/>
    </row>
    <row r="3" ht="37.5" customHeight="1">
      <c r="A3" s="118" t="s">
        <v>2003</v>
      </c>
      <c r="B3" s="117" t="s">
        <v>2004</v>
      </c>
      <c r="C3" s="119">
        <f>IFERROR(__xludf.DUMMYFUNCTION("""COMPUTED_VALUE"""),340.0)</f>
        <v>340</v>
      </c>
      <c r="D3" s="114" t="str">
        <f>IFERROR(__xludf.DUMMYFUNCTION("""COMPUTED_VALUE"""),"ASL Ace &amp; Sabo &amp; Luffy")</f>
        <v>ASL Ace &amp; Sabo &amp; Luffy</v>
      </c>
      <c r="E3" s="114" t="str">
        <f>IFERROR(__xludf.DUMMYFUNCTION("""COMPUTED_VALUE"""),"")</f>
        <v/>
      </c>
      <c r="F3" s="114"/>
      <c r="G3" s="114"/>
      <c r="H3" s="114"/>
      <c r="I3" s="114"/>
      <c r="J3" s="114"/>
      <c r="K3" s="114" t="s">
        <v>2005</v>
      </c>
      <c r="L3" s="114" t="s">
        <v>2006</v>
      </c>
      <c r="M3" s="114" t="s">
        <v>2007</v>
      </c>
      <c r="N3" s="114" t="s">
        <v>2008</v>
      </c>
      <c r="O3" s="114"/>
      <c r="P3" s="120">
        <v>340.0</v>
      </c>
      <c r="Q3" s="117" t="s">
        <v>2009</v>
      </c>
      <c r="R3" s="114"/>
      <c r="S3" s="117" t="s">
        <v>2010</v>
      </c>
      <c r="T3" s="114">
        <f t="shared" si="1"/>
        <v>2</v>
      </c>
      <c r="U3" s="114" t="s">
        <v>1976</v>
      </c>
      <c r="V3" s="114" t="str">
        <f>IFERROR(__xludf.DUMMYFUNCTION("REGEXREPLACE(U3, ""\n"", "" "")"),"Zoro")</f>
        <v>Zoro</v>
      </c>
      <c r="W3" s="114"/>
      <c r="X3" s="115" t="str">
        <f t="shared" si="2"/>
        <v>002 Straw Hat Pirates / Combatant - Roronoa Zoro - Medal [Zoro]</v>
      </c>
      <c r="Y3" s="119"/>
      <c r="Z3" s="117" t="s">
        <v>2011</v>
      </c>
      <c r="AA3" s="117" t="s">
        <v>1993</v>
      </c>
      <c r="AB3" s="114"/>
      <c r="AC3" s="123" t="str">
        <f>IFERROR(__xludf.DUMMYFUNCTION("FILTER(AA3:AA1366, not(REGEXMATCH(Z3:Z1366, ""Colored|Piece"")))"),"https://ik.imagekit.io/alaaalaa6171/341%20The%20Four%20Emperors%20-%20Marshall%20D.%20Teach%20-%20Medal%20_Black%20Vortex_.png?updatedAt=1770076471293")</f>
        <v>https://ik.imagekit.io/alaaalaa6171/341%20The%20Four%20Emperors%20-%20Marshall%20D.%20Teach%20-%20Medal%20_Black%20Vortex_.png?updatedAt=1770076471293</v>
      </c>
      <c r="AD3" s="123" t="str">
        <f>IFERROR(__xludf.DUMMYFUNCTION("FILTER(AA3:AA1366, not(REGEXMATCH(Z3:Z1366, ""Piece"")), REGEXMATCH(Z3:Z1366, ""Colored""))"),"https://ik.imagekit.io/alaaalaa6171/341%20The%20Four%20Emperors%20-%20Marshall%20D.%20Teach%20-%20Medal%20_Black%20Vortex_%20_Colored_.png?updatedAt=1770076471327")</f>
        <v>https://ik.imagekit.io/alaaalaa6171/341%20The%20Four%20Emperors%20-%20Marshall%20D.%20Teach%20-%20Medal%20_Black%20Vortex_%20_Colored_.png?updatedAt=1770076471327</v>
      </c>
      <c r="AE3" s="123" t="str">
        <f>IFERROR(__xludf.DUMMYFUNCTION("FILTER(AA3:AA1366, not(REGEXMATCH(Z3:Z1366, ""Colored"")), REGEXMATCH(Z3:Z1366, ""Piece""))"),"https://ik.imagekit.io/alaaalaa6171/341%20The%20Four%20Emperors%20-%20Marshall%20D.%20Teach%20-%20Medal%20_Black%20Vortex_%20-%20Piece.png?updatedAt=1770076471358")</f>
        <v>https://ik.imagekit.io/alaaalaa6171/341%20The%20Four%20Emperors%20-%20Marshall%20D.%20Teach%20-%20Medal%20_Black%20Vortex_%20-%20Piece.png?updatedAt=1770076471358</v>
      </c>
      <c r="AF3" s="123" t="str">
        <f>IFERROR(__xludf.DUMMYFUNCTION("FILTER(AA3:AA1366, REGEXMATCH(Z3:Z1366, ""Piece.*Colored""))"),"https://ik.imagekit.io/alaaalaa6171/341%20The%20Four%20Emperors%20-%20Marshall%20D.%20Teach%20-%20Medal%20_Black%20Vortex_%20-%20Piece%20_Colored_.png?updatedAt=1770076471257")</f>
        <v>https://ik.imagekit.io/alaaalaa6171/341%20The%20Four%20Emperors%20-%20Marshall%20D.%20Teach%20-%20Medal%20_Black%20Vortex_%20-%20Piece%20_Colored_.png?updatedAt=1770076471257</v>
      </c>
      <c r="AG3" s="114"/>
      <c r="AH3" s="114"/>
      <c r="AI3" s="121" t="s">
        <v>2012</v>
      </c>
      <c r="AJ3" s="121" t="str">
        <f>IFERROR(__xludf.DUMMYFUNCTION("regexreplace(regexreplace(AI3, ""  \["", "" ""), ""\]$"", """")"),"002 - Straw Hat Pirates_Combatant ~ Roronoa Zoro - Medal - Crafted [Colored] - Zoro")</f>
        <v>002 - Straw Hat Pirates_Combatant ~ Roronoa Zoro - Medal - Crafted [Colored] - Zoro</v>
      </c>
      <c r="AK3" s="114"/>
      <c r="AL3" s="117" t="s">
        <v>2013</v>
      </c>
      <c r="AM3" s="117" t="s">
        <v>2014</v>
      </c>
      <c r="AN3" s="114"/>
      <c r="AO3" s="122">
        <f>IFERROR(__xludf.DUMMYFUNCTION("""COMPUTED_VALUE"""),306.0)</f>
        <v>306</v>
      </c>
      <c r="AP3" s="114" t="str">
        <f>IFERROR(__xludf.DUMMYFUNCTION("""COMPUTED_VALUE"""),"The Four Emperrors Blackbeard")</f>
        <v>The Four Emperrors Blackbeard</v>
      </c>
      <c r="AQ3" s="114" t="str">
        <f>IFERROR(__xludf.DUMMYFUNCTION("""COMPUTED_VALUE"""),"The Four Emperrors Blackbeard")</f>
        <v>The Four Emperrors Blackbeard</v>
      </c>
      <c r="AR3" s="114"/>
      <c r="AS3" s="114"/>
      <c r="AT3" s="123" t="str">
        <f>IFERROR(__xludf.DUMMYFUNCTION("""COMPUTED_VALUE"""),"https://i.postimg.cc/dQHvmRSz/306.png")</f>
        <v>https://i.postimg.cc/dQHvmRSz/306.png</v>
      </c>
      <c r="AU3" s="114"/>
      <c r="AV3" s="114"/>
      <c r="AW3" s="114"/>
      <c r="AX3" s="114" t="str">
        <f t="shared" si="3"/>
        <v>306 - Medal [Event] - Crafted - The Four Emperrors Blackbeard</v>
      </c>
      <c r="AY3" s="114" t="s">
        <v>2015</v>
      </c>
      <c r="AZ3" s="114"/>
      <c r="BA3" s="114"/>
      <c r="BB3" s="114"/>
      <c r="BC3" s="114"/>
      <c r="BD3" s="114"/>
      <c r="BE3" s="114"/>
    </row>
    <row r="4" ht="37.5" customHeight="1">
      <c r="A4" s="118" t="s">
        <v>2016</v>
      </c>
      <c r="B4" s="117" t="s">
        <v>2017</v>
      </c>
      <c r="C4" s="119">
        <f>IFERROR(__xludf.DUMMYFUNCTION("""COMPUTED_VALUE"""),339.0)</f>
        <v>339</v>
      </c>
      <c r="D4" s="114" t="str">
        <f>IFERROR(__xludf.DUMMYFUNCTION("""COMPUTED_VALUE"""),"Winner Island Law")</f>
        <v>Winner Island Law</v>
      </c>
      <c r="E4" s="114" t="str">
        <f>IFERROR(__xludf.DUMMYFUNCTION("""COMPUTED_VALUE"""),"")</f>
        <v/>
      </c>
      <c r="F4" s="114"/>
      <c r="G4" s="114"/>
      <c r="H4" s="114"/>
      <c r="I4" s="114"/>
      <c r="J4" s="114"/>
      <c r="K4" s="114" t="s">
        <v>2018</v>
      </c>
      <c r="L4" s="114" t="s">
        <v>2019</v>
      </c>
      <c r="M4" s="114" t="s">
        <v>2020</v>
      </c>
      <c r="N4" s="114" t="s">
        <v>2021</v>
      </c>
      <c r="O4" s="114"/>
      <c r="P4" s="120">
        <v>339.0</v>
      </c>
      <c r="Q4" s="117" t="s">
        <v>2022</v>
      </c>
      <c r="R4" s="114"/>
      <c r="S4" s="117" t="s">
        <v>2023</v>
      </c>
      <c r="T4" s="114">
        <f t="shared" si="1"/>
        <v>4</v>
      </c>
      <c r="U4" s="114" t="s">
        <v>1969</v>
      </c>
      <c r="V4" s="114" t="str">
        <f>IFERROR(__xludf.DUMMYFUNCTION("REGEXREPLACE(U4, ""\n"", "" "")"),"Usopp")</f>
        <v>Usopp</v>
      </c>
      <c r="W4" s="114"/>
      <c r="X4" s="115" t="str">
        <f t="shared" si="2"/>
        <v>004 Straw Hat Pirates / Sharp Shooter - Usopp - Medal [Usopp]</v>
      </c>
      <c r="Y4" s="119"/>
      <c r="Z4" s="117" t="s">
        <v>2024</v>
      </c>
      <c r="AA4" s="117" t="s">
        <v>1995</v>
      </c>
      <c r="AB4" s="114"/>
      <c r="AC4" s="123" t="str">
        <f>IFERROR(__xludf.DUMMYFUNCTION("""COMPUTED_VALUE"""),"https://ik.imagekit.io/alaaalaa6171/340%20ASL%20-%20Ace%20&amp;%20Sabo%20&amp;%20Luffy%20-%20Medal%20_ASL%20Ace%20&amp;%20Sabo%20&amp;%20Luffy_.png?updatedAt=1770076471373")</f>
        <v>https://ik.imagekit.io/alaaalaa6171/340%20ASL%20-%20Ace%20&amp;%20Sabo%20&amp;%20Luffy%20-%20Medal%20_ASL%20Ace%20&amp;%20Sabo%20&amp;%20Luffy_.png?updatedAt=1770076471373</v>
      </c>
      <c r="AD4" s="123" t="str">
        <f>IFERROR(__xludf.DUMMYFUNCTION("""COMPUTED_VALUE"""),"https://ik.imagekit.io/alaaalaa6171/340%20ASL%20-%20Ace%20&amp;%20Sabo%20&amp;%20Luffy%20-%20Medal%20_ASL%20Ace%20&amp;%20Sabo%20&amp;%20Luffy_%20_Colored_.png?updatedAt=1770076471264")</f>
        <v>https://ik.imagekit.io/alaaalaa6171/340%20ASL%20-%20Ace%20&amp;%20Sabo%20&amp;%20Luffy%20-%20Medal%20_ASL%20Ace%20&amp;%20Sabo%20&amp;%20Luffy_%20_Colored_.png?updatedAt=1770076471264</v>
      </c>
      <c r="AE4" s="123" t="str">
        <f>IFERROR(__xludf.DUMMYFUNCTION("""COMPUTED_VALUE"""),"https://ik.imagekit.io/alaaalaa6171/340%20ASL%20-%20Ace%20&amp;%20Sabo%20&amp;%20Luffy%20-%20Medal%20_ASL%20Ace%20&amp;%20Sabo%20&amp;%20Luffy_%20-%20Piece.png?updatedAt=1770076471236")</f>
        <v>https://ik.imagekit.io/alaaalaa6171/340%20ASL%20-%20Ace%20&amp;%20Sabo%20&amp;%20Luffy%20-%20Medal%20_ASL%20Ace%20&amp;%20Sabo%20&amp;%20Luffy_%20-%20Piece.png?updatedAt=1770076471236</v>
      </c>
      <c r="AF4" s="123" t="str">
        <f>IFERROR(__xludf.DUMMYFUNCTION("""COMPUTED_VALUE"""),"https://ik.imagekit.io/alaaalaa6171/340%20ASL%20-%20Ace%20&amp;%20Sabo%20&amp;%20Luffy%20-%20Medal%20_ASL%20Ace%20&amp;%20Sabo%20&amp;%20Luffy_%20-%20Piece%20_Colored_.png?updatedAt=1770076471208")</f>
        <v>https://ik.imagekit.io/alaaalaa6171/340%20ASL%20-%20Ace%20&amp;%20Sabo%20&amp;%20Luffy%20-%20Medal%20_ASL%20Ace%20&amp;%20Sabo%20&amp;%20Luffy_%20-%20Piece%20_Colored_.png?updatedAt=1770076471208</v>
      </c>
      <c r="AG4" s="114"/>
      <c r="AH4" s="114"/>
      <c r="AI4" s="121" t="s">
        <v>2025</v>
      </c>
      <c r="AJ4" s="121" t="str">
        <f>IFERROR(__xludf.DUMMYFUNCTION("regexreplace(regexreplace(AI4, ""  \["", "" ""), ""\]$"", """")"),"003 - Straw Hat Pirates_Navigator ~ Nami - Medal - Crafted [Colored] - Nami")</f>
        <v>003 - Straw Hat Pirates_Navigator ~ Nami - Medal - Crafted [Colored] - Nami</v>
      </c>
      <c r="AK4" s="114"/>
      <c r="AL4" s="117" t="s">
        <v>2026</v>
      </c>
      <c r="AM4" s="117" t="s">
        <v>2027</v>
      </c>
      <c r="AN4" s="114"/>
      <c r="AO4" s="122">
        <f>IFERROR(__xludf.DUMMYFUNCTION("""COMPUTED_VALUE"""),305.0)</f>
        <v>305</v>
      </c>
      <c r="AP4" s="114" t="str">
        <f>IFERROR(__xludf.DUMMYFUNCTION("""COMPUTED_VALUE"""),"ASL Luffy")</f>
        <v>ASL Luffy</v>
      </c>
      <c r="AQ4" s="114" t="str">
        <f>IFERROR(__xludf.DUMMYFUNCTION("""COMPUTED_VALUE"""),"ASL Luffy")</f>
        <v>ASL Luffy</v>
      </c>
      <c r="AR4" s="114"/>
      <c r="AS4" s="114"/>
      <c r="AT4" s="123" t="str">
        <f>IFERROR(__xludf.DUMMYFUNCTION("""COMPUTED_VALUE"""),"https://i.postimg.cc/Lsq7zr0X/305.png")</f>
        <v>https://i.postimg.cc/Lsq7zr0X/305.png</v>
      </c>
      <c r="AU4" s="114"/>
      <c r="AV4" s="114"/>
      <c r="AW4" s="114"/>
      <c r="AX4" s="114" t="str">
        <f t="shared" si="3"/>
        <v>305 - Medal [Event] - Crafted - ASL Luffy</v>
      </c>
      <c r="AY4" s="114" t="s">
        <v>2028</v>
      </c>
      <c r="AZ4" s="114"/>
      <c r="BA4" s="114"/>
      <c r="BB4" s="114"/>
      <c r="BC4" s="114"/>
      <c r="BD4" s="114"/>
      <c r="BE4" s="114"/>
    </row>
    <row r="5" ht="37.5" customHeight="1">
      <c r="A5" s="118" t="s">
        <v>2029</v>
      </c>
      <c r="B5" s="117" t="s">
        <v>2030</v>
      </c>
      <c r="C5" s="119">
        <f>IFERROR(__xludf.DUMMYFUNCTION("""COMPUTED_VALUE"""),338.0)</f>
        <v>338</v>
      </c>
      <c r="D5" s="114" t="str">
        <f>IFERROR(__xludf.DUMMYFUNCTION("""COMPUTED_VALUE"""),"Winner Island Bepo")</f>
        <v>Winner Island Bepo</v>
      </c>
      <c r="E5" s="114" t="str">
        <f>IFERROR(__xludf.DUMMYFUNCTION("""COMPUTED_VALUE"""),"")</f>
        <v/>
      </c>
      <c r="F5" s="114"/>
      <c r="G5" s="114"/>
      <c r="H5" s="114"/>
      <c r="I5" s="114"/>
      <c r="J5" s="114"/>
      <c r="K5" s="114" t="s">
        <v>2031</v>
      </c>
      <c r="L5" s="114" t="s">
        <v>2032</v>
      </c>
      <c r="M5" s="114" t="s">
        <v>2033</v>
      </c>
      <c r="N5" s="114" t="s">
        <v>2034</v>
      </c>
      <c r="O5" s="114"/>
      <c r="P5" s="120">
        <v>338.0</v>
      </c>
      <c r="Q5" s="117" t="s">
        <v>2035</v>
      </c>
      <c r="R5" s="114"/>
      <c r="S5" s="117" t="s">
        <v>2036</v>
      </c>
      <c r="T5" s="114">
        <f t="shared" si="1"/>
        <v>5</v>
      </c>
      <c r="U5" s="114" t="s">
        <v>1965</v>
      </c>
      <c r="V5" s="114" t="str">
        <f>IFERROR(__xludf.DUMMYFUNCTION("REGEXREPLACE(U5, ""\n"", "" "")"),"Sanji")</f>
        <v>Sanji</v>
      </c>
      <c r="W5" s="114"/>
      <c r="X5" s="115" t="str">
        <f t="shared" si="2"/>
        <v>005 Straw Hat Pirates / Cook - Sanji - Medal [Sanji]</v>
      </c>
      <c r="Y5" s="119"/>
      <c r="Z5" s="117" t="s">
        <v>2037</v>
      </c>
      <c r="AA5" s="117" t="s">
        <v>1996</v>
      </c>
      <c r="AB5" s="114"/>
      <c r="AC5" s="123" t="str">
        <f>IFERROR(__xludf.DUMMYFUNCTION("""COMPUTED_VALUE"""),"https://ik.imagekit.io/alaaalaa6171/339%20Winner%20Island%20-%20Trafalgar%20Law%20-%20Medal%20_Winner%20Island%20Law_.png?updatedAt=1770076471377")</f>
        <v>https://ik.imagekit.io/alaaalaa6171/339%20Winner%20Island%20-%20Trafalgar%20Law%20-%20Medal%20_Winner%20Island%20Law_.png?updatedAt=1770076471377</v>
      </c>
      <c r="AD5" s="123" t="str">
        <f>IFERROR(__xludf.DUMMYFUNCTION("""COMPUTED_VALUE"""),"https://ik.imagekit.io/alaaalaa6171/339%20Winner%20Island%20-%20Trafalgar%20Law%20-%20Medal%20_Winner%20Island%20Law_%20_Colored_.png?updatedAt=1770076471252")</f>
        <v>https://ik.imagekit.io/alaaalaa6171/339%20Winner%20Island%20-%20Trafalgar%20Law%20-%20Medal%20_Winner%20Island%20Law_%20_Colored_.png?updatedAt=1770076471252</v>
      </c>
      <c r="AE5" s="123" t="str">
        <f>IFERROR(__xludf.DUMMYFUNCTION("""COMPUTED_VALUE"""),"https://ik.imagekit.io/alaaalaa6171/339%20Winner%20Island%20-%20Trafalgar%20Law%20-%20Medal%20_Winner%20Island%20Law_%20-%20Piece.png?updatedAt=1770076471223")</f>
        <v>https://ik.imagekit.io/alaaalaa6171/339%20Winner%20Island%20-%20Trafalgar%20Law%20-%20Medal%20_Winner%20Island%20Law_%20-%20Piece.png?updatedAt=1770076471223</v>
      </c>
      <c r="AF5" s="123" t="str">
        <f>IFERROR(__xludf.DUMMYFUNCTION("""COMPUTED_VALUE"""),"https://ik.imagekit.io/alaaalaa6171/339%20Winner%20Island%20-%20Trafalgar%20Law%20-%20Medal%20_Winner%20Island%20Law_%20-%20Piece%20_Colored_.png?updatedAt=1770076471313")</f>
        <v>https://ik.imagekit.io/alaaalaa6171/339%20Winner%20Island%20-%20Trafalgar%20Law%20-%20Medal%20_Winner%20Island%20Law_%20-%20Piece%20_Colored_.png?updatedAt=1770076471313</v>
      </c>
      <c r="AG5" s="114"/>
      <c r="AH5" s="114"/>
      <c r="AI5" s="121" t="s">
        <v>2038</v>
      </c>
      <c r="AJ5" s="121" t="str">
        <f>IFERROR(__xludf.DUMMYFUNCTION("regexreplace(regexreplace(AI5, ""  \["", "" ""), ""\]$"", """")"),"004 - Straw Hat Pirates_Sharp Shooter ~ Usopp - Medal - Crafted [Colored] - Usopp")</f>
        <v>004 - Straw Hat Pirates_Sharp Shooter ~ Usopp - Medal - Crafted [Colored] - Usopp</v>
      </c>
      <c r="AK5" s="114"/>
      <c r="AL5" s="117" t="s">
        <v>2039</v>
      </c>
      <c r="AM5" s="117" t="s">
        <v>2040</v>
      </c>
      <c r="AN5" s="114"/>
      <c r="AO5" s="122">
        <f>IFERROR(__xludf.DUMMYFUNCTION("""COMPUTED_VALUE"""),304.0)</f>
        <v>304</v>
      </c>
      <c r="AP5" s="114" t="str">
        <f>IFERROR(__xludf.DUMMYFUNCTION("""COMPUTED_VALUE"""),"ASL Sabo")</f>
        <v>ASL Sabo</v>
      </c>
      <c r="AQ5" s="114" t="str">
        <f>IFERROR(__xludf.DUMMYFUNCTION("""COMPUTED_VALUE"""),"ASL Sabo")</f>
        <v>ASL Sabo</v>
      </c>
      <c r="AR5" s="114"/>
      <c r="AS5" s="114"/>
      <c r="AT5" s="123" t="str">
        <f>IFERROR(__xludf.DUMMYFUNCTION("""COMPUTED_VALUE"""),"https://i.postimg.cc/HLJKQfPj/304.png")</f>
        <v>https://i.postimg.cc/HLJKQfPj/304.png</v>
      </c>
      <c r="AU5" s="114"/>
      <c r="AV5" s="114"/>
      <c r="AW5" s="114"/>
      <c r="AX5" s="114" t="str">
        <f t="shared" si="3"/>
        <v>304 - Medal [Event] - Crafted - ASL Sabo</v>
      </c>
      <c r="AY5" s="114" t="s">
        <v>2041</v>
      </c>
      <c r="AZ5" s="114"/>
      <c r="BA5" s="114"/>
      <c r="BB5" s="114"/>
      <c r="BC5" s="114"/>
      <c r="BD5" s="114"/>
      <c r="BE5" s="114"/>
    </row>
    <row r="6" ht="37.5" customHeight="1">
      <c r="A6" s="118" t="s">
        <v>2042</v>
      </c>
      <c r="B6" s="117" t="s">
        <v>2043</v>
      </c>
      <c r="C6" s="119">
        <f>IFERROR(__xludf.DUMMYFUNCTION("""COMPUTED_VALUE"""),337.0)</f>
        <v>337</v>
      </c>
      <c r="D6" s="114" t="str">
        <f>IFERROR(__xludf.DUMMYFUNCTION("""COMPUTED_VALUE"""),"Genius Scientist")</f>
        <v>Genius Scientist</v>
      </c>
      <c r="E6" s="114" t="str">
        <f>IFERROR(__xludf.DUMMYFUNCTION("""COMPUTED_VALUE"""),"")</f>
        <v/>
      </c>
      <c r="F6" s="114"/>
      <c r="G6" s="114"/>
      <c r="H6" s="114"/>
      <c r="I6" s="114"/>
      <c r="J6" s="114"/>
      <c r="K6" s="114" t="s">
        <v>2044</v>
      </c>
      <c r="L6" s="114" t="s">
        <v>2045</v>
      </c>
      <c r="M6" s="114" t="s">
        <v>2046</v>
      </c>
      <c r="N6" s="114" t="s">
        <v>2047</v>
      </c>
      <c r="O6" s="114"/>
      <c r="P6" s="120">
        <v>337.0</v>
      </c>
      <c r="Q6" s="117" t="s">
        <v>2048</v>
      </c>
      <c r="R6" s="114"/>
      <c r="S6" s="117" t="s">
        <v>2049</v>
      </c>
      <c r="T6" s="114">
        <f t="shared" si="1"/>
        <v>3</v>
      </c>
      <c r="U6" s="114" t="s">
        <v>1972</v>
      </c>
      <c r="V6" s="114" t="str">
        <f>IFERROR(__xludf.DUMMYFUNCTION("REGEXREPLACE(U6, ""\n"", "" "")"),"Nami")</f>
        <v>Nami</v>
      </c>
      <c r="W6" s="114"/>
      <c r="X6" s="115" t="str">
        <f t="shared" si="2"/>
        <v>003 Straw Hat Pirates / Navigator - Nami - Medal [Nami]</v>
      </c>
      <c r="Y6" s="119"/>
      <c r="Z6" s="117" t="s">
        <v>2050</v>
      </c>
      <c r="AA6" s="117" t="s">
        <v>1994</v>
      </c>
      <c r="AB6" s="114"/>
      <c r="AC6" s="123" t="str">
        <f>IFERROR(__xludf.DUMMYFUNCTION("""COMPUTED_VALUE"""),"https://ik.imagekit.io/alaaalaa6171/338%20Winner%20Island%20-%20Bepo%20-%20Medal%20_Winner%20Island%20Bepo_.png?updatedAt=1770076471247")</f>
        <v>https://ik.imagekit.io/alaaalaa6171/338%20Winner%20Island%20-%20Bepo%20-%20Medal%20_Winner%20Island%20Bepo_.png?updatedAt=1770076471247</v>
      </c>
      <c r="AD6" s="123" t="str">
        <f>IFERROR(__xludf.DUMMYFUNCTION("""COMPUTED_VALUE"""),"https://ik.imagekit.io/alaaalaa6171/338%20Winner%20Island%20-%20Bepo%20-%20Medal%20_Winner%20Island%20Bepo_%20_Colored_.png?updatedAt=1770076471250")</f>
        <v>https://ik.imagekit.io/alaaalaa6171/338%20Winner%20Island%20-%20Bepo%20-%20Medal%20_Winner%20Island%20Bepo_%20_Colored_.png?updatedAt=1770076471250</v>
      </c>
      <c r="AE6" s="123" t="str">
        <f>IFERROR(__xludf.DUMMYFUNCTION("""COMPUTED_VALUE"""),"https://ik.imagekit.io/alaaalaa6171/338%20Winner%20Island%20-%20Bepo%20-%20Medal%20_Winner%20Island%20Bepo_%20-%20Piece.png?updatedAt=1770076471203")</f>
        <v>https://ik.imagekit.io/alaaalaa6171/338%20Winner%20Island%20-%20Bepo%20-%20Medal%20_Winner%20Island%20Bepo_%20-%20Piece.png?updatedAt=1770076471203</v>
      </c>
      <c r="AF6" s="123" t="str">
        <f>IFERROR(__xludf.DUMMYFUNCTION("""COMPUTED_VALUE"""),"https://ik.imagekit.io/alaaalaa6171/338%20Winner%20Island%20-%20Bepo%20-%20Medal%20_Winner%20Island%20Bepo_%20-%20Piece%20_Colored_.png?updatedAt=1770076471188")</f>
        <v>https://ik.imagekit.io/alaaalaa6171/338%20Winner%20Island%20-%20Bepo%20-%20Medal%20_Winner%20Island%20Bepo_%20-%20Piece%20_Colored_.png?updatedAt=1770076471188</v>
      </c>
      <c r="AG6" s="114"/>
      <c r="AH6" s="114"/>
      <c r="AI6" s="121" t="s">
        <v>2051</v>
      </c>
      <c r="AJ6" s="121" t="str">
        <f>IFERROR(__xludf.DUMMYFUNCTION("regexreplace(regexreplace(AI6, ""  \["", "" ""), ""\]$"", """")"),"005 - Straw Hat Pirates_Cook ~ Sanji - Medal - Crafted [Colored] - Sanji")</f>
        <v>005 - Straw Hat Pirates_Cook ~ Sanji - Medal - Crafted [Colored] - Sanji</v>
      </c>
      <c r="AK6" s="114"/>
      <c r="AL6" s="117" t="s">
        <v>2052</v>
      </c>
      <c r="AM6" s="117" t="s">
        <v>2053</v>
      </c>
      <c r="AN6" s="114"/>
      <c r="AO6" s="122">
        <f>IFERROR(__xludf.DUMMYFUNCTION("""COMPUTED_VALUE"""),303.0)</f>
        <v>303</v>
      </c>
      <c r="AP6" s="114" t="str">
        <f>IFERROR(__xludf.DUMMYFUNCTION("""COMPUTED_VALUE"""),"Bepo
(Sulong)")</f>
        <v>Bepo
(Sulong)</v>
      </c>
      <c r="AQ6" s="114" t="str">
        <f>IFERROR(__xludf.DUMMYFUNCTION("""COMPUTED_VALUE"""),"Bepo (Sulong)")</f>
        <v>Bepo (Sulong)</v>
      </c>
      <c r="AR6" s="114"/>
      <c r="AS6" s="114"/>
      <c r="AT6" s="123" t="str">
        <f>IFERROR(__xludf.DUMMYFUNCTION("""COMPUTED_VALUE"""),"https://i.postimg.cc/KzdQBgfR/303.png")</f>
        <v>https://i.postimg.cc/KzdQBgfR/303.png</v>
      </c>
      <c r="AU6" s="114"/>
      <c r="AV6" s="114"/>
      <c r="AW6" s="114"/>
      <c r="AX6" s="114" t="str">
        <f t="shared" si="3"/>
        <v>303 - Medal [Event] - Crafted - Bepo (Sulong)</v>
      </c>
      <c r="AY6" s="114" t="s">
        <v>2054</v>
      </c>
      <c r="AZ6" s="114"/>
      <c r="BA6" s="114"/>
      <c r="BB6" s="114"/>
      <c r="BC6" s="114"/>
      <c r="BD6" s="114"/>
      <c r="BE6" s="114"/>
    </row>
    <row r="7" ht="37.5" customHeight="1">
      <c r="A7" s="118" t="s">
        <v>2055</v>
      </c>
      <c r="B7" s="117" t="s">
        <v>2056</v>
      </c>
      <c r="C7" s="119">
        <f>IFERROR(__xludf.DUMMYFUNCTION("""COMPUTED_VALUE"""),336.0)</f>
        <v>336</v>
      </c>
      <c r="D7" s="114" t="str">
        <f>IFERROR(__xludf.DUMMYFUNCTION("""COMPUTED_VALUE"""),"Kuma &amp; Bonney")</f>
        <v>Kuma &amp; Bonney</v>
      </c>
      <c r="E7" s="114" t="str">
        <f>IFERROR(__xludf.DUMMYFUNCTION("""COMPUTED_VALUE"""),"")</f>
        <v/>
      </c>
      <c r="F7" s="114"/>
      <c r="G7" s="114"/>
      <c r="H7" s="114"/>
      <c r="I7" s="114"/>
      <c r="J7" s="114"/>
      <c r="K7" s="114" t="s">
        <v>2057</v>
      </c>
      <c r="L7" s="114" t="s">
        <v>2058</v>
      </c>
      <c r="M7" s="114" t="s">
        <v>2059</v>
      </c>
      <c r="N7" s="114" t="s">
        <v>2060</v>
      </c>
      <c r="O7" s="114"/>
      <c r="P7" s="120">
        <v>336.0</v>
      </c>
      <c r="Q7" s="117" t="s">
        <v>2061</v>
      </c>
      <c r="R7" s="114"/>
      <c r="S7" s="117" t="s">
        <v>2062</v>
      </c>
      <c r="T7" s="114">
        <f t="shared" si="1"/>
        <v>6</v>
      </c>
      <c r="U7" s="114" t="s">
        <v>1961</v>
      </c>
      <c r="V7" s="114" t="str">
        <f>IFERROR(__xludf.DUMMYFUNCTION("REGEXREPLACE(U7, ""\n"", "" "")"),"Chopper")</f>
        <v>Chopper</v>
      </c>
      <c r="W7" s="114"/>
      <c r="X7" s="115" t="str">
        <f t="shared" si="2"/>
        <v>006 Straw Hat Pirates / Doctor - Tony Tony Chopper - Medal [Chopper]</v>
      </c>
      <c r="Y7" s="119"/>
      <c r="Z7" s="117" t="s">
        <v>2063</v>
      </c>
      <c r="AA7" s="117" t="s">
        <v>2005</v>
      </c>
      <c r="AB7" s="114"/>
      <c r="AC7" s="123" t="str">
        <f>IFERROR(__xludf.DUMMYFUNCTION("""COMPUTED_VALUE"""),"https://ik.imagekit.io/alaaalaa6171/337%20Genius%20Scientist%20-%20Vegapunk%20-%20Medal%20_Genius%20Scientist_.png?updatedAt=1770076471222")</f>
        <v>https://ik.imagekit.io/alaaalaa6171/337%20Genius%20Scientist%20-%20Vegapunk%20-%20Medal%20_Genius%20Scientist_.png?updatedAt=1770076471222</v>
      </c>
      <c r="AD7" s="123" t="str">
        <f>IFERROR(__xludf.DUMMYFUNCTION("""COMPUTED_VALUE"""),"https://ik.imagekit.io/alaaalaa6171/337%20Genius%20Scientist%20-%20Vegapunk%20-%20Medal%20_Genius%20Scientist_%20_Colored_.png?updatedAt=1770076471217")</f>
        <v>https://ik.imagekit.io/alaaalaa6171/337%20Genius%20Scientist%20-%20Vegapunk%20-%20Medal%20_Genius%20Scientist_%20_Colored_.png?updatedAt=1770076471217</v>
      </c>
      <c r="AE7" s="123" t="str">
        <f>IFERROR(__xludf.DUMMYFUNCTION("""COMPUTED_VALUE"""),"https://ik.imagekit.io/alaaalaa6171/337%20Genius%20Scientist%20-%20Vegapunk%20-%20Medal%20_Genius%20Scientist_%20-%20Piece.png?updatedAt=1770076471252")</f>
        <v>https://ik.imagekit.io/alaaalaa6171/337%20Genius%20Scientist%20-%20Vegapunk%20-%20Medal%20_Genius%20Scientist_%20-%20Piece.png?updatedAt=1770076471252</v>
      </c>
      <c r="AF7" s="123" t="str">
        <f>IFERROR(__xludf.DUMMYFUNCTION("""COMPUTED_VALUE"""),"https://ik.imagekit.io/alaaalaa6171/337%20Genius%20Scientist%20-%20Vegapunk%20-%20Medal%20_Genius%20Scientist_%20-%20Piece%20_Colored_.png?updatedAt=1770076471172")</f>
        <v>https://ik.imagekit.io/alaaalaa6171/337%20Genius%20Scientist%20-%20Vegapunk%20-%20Medal%20_Genius%20Scientist_%20-%20Piece%20_Colored_.png?updatedAt=1770076471172</v>
      </c>
      <c r="AG7" s="114"/>
      <c r="AH7" s="114"/>
      <c r="AI7" s="121" t="s">
        <v>2064</v>
      </c>
      <c r="AJ7" s="121" t="str">
        <f>IFERROR(__xludf.DUMMYFUNCTION("regexreplace(regexreplace(AI7, ""  \["", "" ""), ""\]$"", """")"),"006 - Straw Hat Pirates_Doctor ~ Tony Tony Chopper - Medal - Crafted [Colored] - Chopper")</f>
        <v>006 - Straw Hat Pirates_Doctor ~ Tony Tony Chopper - Medal - Crafted [Colored] - Chopper</v>
      </c>
      <c r="AK7" s="114"/>
      <c r="AL7" s="117" t="s">
        <v>2065</v>
      </c>
      <c r="AM7" s="117" t="s">
        <v>2066</v>
      </c>
      <c r="AN7" s="114"/>
      <c r="AO7" s="122">
        <f>IFERROR(__xludf.DUMMYFUNCTION("""COMPUTED_VALUE"""),302.0)</f>
        <v>302</v>
      </c>
      <c r="AP7" s="114" t="str">
        <f>IFERROR(__xludf.DUMMYFUNCTION("""COMPUTED_VALUE"""),"Winner Takes All")</f>
        <v>Winner Takes All</v>
      </c>
      <c r="AQ7" s="114" t="str">
        <f>IFERROR(__xludf.DUMMYFUNCTION("""COMPUTED_VALUE"""),"Winner Takes All")</f>
        <v>Winner Takes All</v>
      </c>
      <c r="AR7" s="114"/>
      <c r="AS7" s="114"/>
      <c r="AT7" s="123" t="str">
        <f>IFERROR(__xludf.DUMMYFUNCTION("""COMPUTED_VALUE"""),"https://i.postimg.cc/rmvgxtjs/302.png")</f>
        <v>https://i.postimg.cc/rmvgxtjs/302.png</v>
      </c>
      <c r="AU7" s="114"/>
      <c r="AV7" s="114"/>
      <c r="AW7" s="114"/>
      <c r="AX7" s="114" t="str">
        <f t="shared" si="3"/>
        <v>302 - Medal [Event] - Crafted - Winner Takes All</v>
      </c>
      <c r="AY7" s="114" t="s">
        <v>2067</v>
      </c>
      <c r="AZ7" s="114"/>
      <c r="BA7" s="114"/>
      <c r="BB7" s="114"/>
      <c r="BC7" s="114"/>
      <c r="BD7" s="114"/>
      <c r="BE7" s="114"/>
    </row>
    <row r="8" ht="37.5" customHeight="1">
      <c r="A8" s="118" t="s">
        <v>2068</v>
      </c>
      <c r="B8" s="117" t="s">
        <v>2069</v>
      </c>
      <c r="C8" s="119">
        <f>IFERROR(__xludf.DUMMYFUNCTION("""COMPUTED_VALUE"""),335.0)</f>
        <v>335</v>
      </c>
      <c r="D8" s="114" t="str">
        <f>IFERROR(__xludf.DUMMYFUNCTION("""COMPUTED_VALUE"""),"Egghead Jinbe")</f>
        <v>Egghead Jinbe</v>
      </c>
      <c r="E8" s="114" t="str">
        <f>IFERROR(__xludf.DUMMYFUNCTION("""COMPUTED_VALUE"""),"")</f>
        <v/>
      </c>
      <c r="F8" s="114"/>
      <c r="G8" s="114"/>
      <c r="H8" s="114"/>
      <c r="I8" s="114"/>
      <c r="J8" s="114"/>
      <c r="K8" s="114" t="s">
        <v>2070</v>
      </c>
      <c r="L8" s="114" t="s">
        <v>2071</v>
      </c>
      <c r="M8" s="114" t="s">
        <v>2072</v>
      </c>
      <c r="N8" s="114" t="s">
        <v>2073</v>
      </c>
      <c r="O8" s="114"/>
      <c r="P8" s="120">
        <v>335.0</v>
      </c>
      <c r="Q8" s="117" t="s">
        <v>2074</v>
      </c>
      <c r="R8" s="114"/>
      <c r="S8" s="117" t="s">
        <v>2075</v>
      </c>
      <c r="T8" s="114">
        <f t="shared" si="1"/>
        <v>7</v>
      </c>
      <c r="U8" s="114" t="s">
        <v>1957</v>
      </c>
      <c r="V8" s="114" t="str">
        <f>IFERROR(__xludf.DUMMYFUNCTION("REGEXREPLACE(U8, ""\n"", "" "")"),"Robin")</f>
        <v>Robin</v>
      </c>
      <c r="W8" s="114"/>
      <c r="X8" s="115" t="str">
        <f t="shared" si="2"/>
        <v>007 Straw Hat Pirates / Archaeologist - Nico Robin - Medal [Robin]</v>
      </c>
      <c r="Y8" s="119"/>
      <c r="Z8" s="117" t="s">
        <v>2076</v>
      </c>
      <c r="AA8" s="117" t="s">
        <v>2007</v>
      </c>
      <c r="AB8" s="114"/>
      <c r="AC8" s="123" t="str">
        <f>IFERROR(__xludf.DUMMYFUNCTION("""COMPUTED_VALUE"""),"https://ik.imagekit.io/alaaalaa6171/336%20Father%20and%20Daughter%20-%20Kuma%20&amp;%20Bonney%20-%20Medal%20_Kuma%20&amp;%20Bonney_.png?updatedAt=1770076471144")</f>
        <v>https://ik.imagekit.io/alaaalaa6171/336%20Father%20and%20Daughter%20-%20Kuma%20&amp;%20Bonney%20-%20Medal%20_Kuma%20&amp;%20Bonney_.png?updatedAt=1770076471144</v>
      </c>
      <c r="AD8" s="123" t="str">
        <f>IFERROR(__xludf.DUMMYFUNCTION("""COMPUTED_VALUE"""),"https://ik.imagekit.io/alaaalaa6171/336%20Father%20and%20Daughter%20-%20Kuma%20&amp;%20Bonney%20-%20Medal%20_Kuma%20&amp;%20Bonney_%20_Colored_.png?updatedAt=1770076471159")</f>
        <v>https://ik.imagekit.io/alaaalaa6171/336%20Father%20and%20Daughter%20-%20Kuma%20&amp;%20Bonney%20-%20Medal%20_Kuma%20&amp;%20Bonney_%20_Colored_.png?updatedAt=1770076471159</v>
      </c>
      <c r="AE8" s="123" t="str">
        <f>IFERROR(__xludf.DUMMYFUNCTION("""COMPUTED_VALUE"""),"https://ik.imagekit.io/alaaalaa6171/336%20Father%20and%20Daughter%20-%20Kuma%20&amp;%20Bonney%20-%20Medal%20_Kuma%20&amp;%20Bonney_%20-%20Piece.png?updatedAt=1770076471181")</f>
        <v>https://ik.imagekit.io/alaaalaa6171/336%20Father%20and%20Daughter%20-%20Kuma%20&amp;%20Bonney%20-%20Medal%20_Kuma%20&amp;%20Bonney_%20-%20Piece.png?updatedAt=1770076471181</v>
      </c>
      <c r="AF8" s="123" t="str">
        <f>IFERROR(__xludf.DUMMYFUNCTION("""COMPUTED_VALUE"""),"https://ik.imagekit.io/alaaalaa6171/336%20Father%20and%20Daughter%20-%20Kuma%20&amp;%20Bonney%20-%20Medal%20_Kuma%20&amp;%20Bonney_%20-%20Piece%20_Colored_.png?updatedAt=1770076471197")</f>
        <v>https://ik.imagekit.io/alaaalaa6171/336%20Father%20and%20Daughter%20-%20Kuma%20&amp;%20Bonney%20-%20Medal%20_Kuma%20&amp;%20Bonney_%20-%20Piece%20_Colored_.png?updatedAt=1770076471197</v>
      </c>
      <c r="AG8" s="114"/>
      <c r="AH8" s="114"/>
      <c r="AI8" s="121" t="s">
        <v>2077</v>
      </c>
      <c r="AJ8" s="121" t="str">
        <f>IFERROR(__xludf.DUMMYFUNCTION("regexreplace(regexreplace(AI8, ""  \["", "" ""), ""\]$"", """")"),"007 - Straw Hat Pirates_Archaeologist ~ Nico Robin - Medal - Crafted [Colored] - Robin")</f>
        <v>007 - Straw Hat Pirates_Archaeologist ~ Nico Robin - Medal - Crafted [Colored] - Robin</v>
      </c>
      <c r="AK8" s="114"/>
      <c r="AL8" s="117" t="s">
        <v>2078</v>
      </c>
      <c r="AM8" s="117" t="s">
        <v>2079</v>
      </c>
      <c r="AN8" s="114"/>
      <c r="AO8" s="122">
        <f>IFERROR(__xludf.DUMMYFUNCTION("""COMPUTED_VALUE"""),301.0)</f>
        <v>301</v>
      </c>
      <c r="AP8" s="114" t="str">
        <f>IFERROR(__xludf.DUMMYFUNCTION("""COMPUTED_VALUE"""),"Sentomaru
(Child)")</f>
        <v>Sentomaru
(Child)</v>
      </c>
      <c r="AQ8" s="114" t="str">
        <f>IFERROR(__xludf.DUMMYFUNCTION("""COMPUTED_VALUE"""),"Sentomaru (Child)")</f>
        <v>Sentomaru (Child)</v>
      </c>
      <c r="AR8" s="114"/>
      <c r="AS8" s="114"/>
      <c r="AT8" s="123" t="str">
        <f>IFERROR(__xludf.DUMMYFUNCTION("""COMPUTED_VALUE"""),"https://i.postimg.cc/1X5VWNMt/301.png")</f>
        <v>https://i.postimg.cc/1X5VWNMt/301.png</v>
      </c>
      <c r="AU8" s="114"/>
      <c r="AV8" s="114"/>
      <c r="AW8" s="114"/>
      <c r="AX8" s="114" t="str">
        <f t="shared" si="3"/>
        <v>301 - Medal [Event] - Crafted - Sentomaru (Child)</v>
      </c>
      <c r="AY8" s="114" t="s">
        <v>2080</v>
      </c>
      <c r="AZ8" s="114"/>
      <c r="BA8" s="114"/>
      <c r="BB8" s="114"/>
      <c r="BC8" s="114"/>
      <c r="BD8" s="114"/>
      <c r="BE8" s="114"/>
    </row>
    <row r="9" ht="37.5" customHeight="1">
      <c r="A9" s="118" t="s">
        <v>2081</v>
      </c>
      <c r="B9" s="117" t="s">
        <v>2082</v>
      </c>
      <c r="C9" s="119">
        <f>IFERROR(__xludf.DUMMYFUNCTION("""COMPUTED_VALUE"""),334.0)</f>
        <v>334</v>
      </c>
      <c r="D9" s="114" t="str">
        <f>IFERROR(__xludf.DUMMYFUNCTION("""COMPUTED_VALUE"""),"Egghead Franky")</f>
        <v>Egghead Franky</v>
      </c>
      <c r="E9" s="114" t="str">
        <f>IFERROR(__xludf.DUMMYFUNCTION("""COMPUTED_VALUE"""),"")</f>
        <v/>
      </c>
      <c r="F9" s="114"/>
      <c r="G9" s="114"/>
      <c r="H9" s="114"/>
      <c r="I9" s="114"/>
      <c r="J9" s="114"/>
      <c r="K9" s="114" t="s">
        <v>2083</v>
      </c>
      <c r="L9" s="114" t="s">
        <v>2084</v>
      </c>
      <c r="M9" s="114" t="s">
        <v>2085</v>
      </c>
      <c r="N9" s="114" t="s">
        <v>2086</v>
      </c>
      <c r="O9" s="114"/>
      <c r="P9" s="120">
        <v>334.0</v>
      </c>
      <c r="Q9" s="117" t="s">
        <v>2087</v>
      </c>
      <c r="R9" s="114"/>
      <c r="S9" s="117" t="s">
        <v>2088</v>
      </c>
      <c r="T9" s="114">
        <f t="shared" si="1"/>
        <v>17</v>
      </c>
      <c r="U9" s="114" t="s">
        <v>1923</v>
      </c>
      <c r="V9" s="114" t="str">
        <f>IFERROR(__xludf.DUMMYFUNCTION("REGEXREPLACE(U9, ""\n"", "" "")"),"Butchie")</f>
        <v>Butchie</v>
      </c>
      <c r="W9" s="114"/>
      <c r="X9" s="115" t="str">
        <f t="shared" si="2"/>
        <v>017 Black Cat Pirates / Guard - Butchie - Medal [Butchie]</v>
      </c>
      <c r="Y9" s="119"/>
      <c r="Z9" s="117" t="s">
        <v>2089</v>
      </c>
      <c r="AA9" s="117" t="s">
        <v>2008</v>
      </c>
      <c r="AB9" s="114"/>
      <c r="AC9" s="123" t="str">
        <f>IFERROR(__xludf.DUMMYFUNCTION("""COMPUTED_VALUE"""),"https://ik.imagekit.io/alaaalaa6171/335%20Egghead%20-%20Jinbe%20-%20Medal%20_Egghead%20Jinbe_.png?updatedAt=1770076471111")</f>
        <v>https://ik.imagekit.io/alaaalaa6171/335%20Egghead%20-%20Jinbe%20-%20Medal%20_Egghead%20Jinbe_.png?updatedAt=1770076471111</v>
      </c>
      <c r="AD9" s="123" t="str">
        <f>IFERROR(__xludf.DUMMYFUNCTION("""COMPUTED_VALUE"""),"https://ik.imagekit.io/alaaalaa6171/335%20Egghead%20-%20Jinbe%20-%20Medal%20_Egghead%20Jinbe_%20_Colored_.png?updatedAt=1770076471245")</f>
        <v>https://ik.imagekit.io/alaaalaa6171/335%20Egghead%20-%20Jinbe%20-%20Medal%20_Egghead%20Jinbe_%20_Colored_.png?updatedAt=1770076471245</v>
      </c>
      <c r="AE9" s="123" t="str">
        <f>IFERROR(__xludf.DUMMYFUNCTION("""COMPUTED_VALUE"""),"https://ik.imagekit.io/alaaalaa6171/335%20Egghead%20-%20Jinbe%20-%20Medal%20_Egghead%20Jinbe_%20-%20Piece.png?updatedAt=1770076471167")</f>
        <v>https://ik.imagekit.io/alaaalaa6171/335%20Egghead%20-%20Jinbe%20-%20Medal%20_Egghead%20Jinbe_%20-%20Piece.png?updatedAt=1770076471167</v>
      </c>
      <c r="AF9" s="123" t="str">
        <f>IFERROR(__xludf.DUMMYFUNCTION("""COMPUTED_VALUE"""),"https://ik.imagekit.io/alaaalaa6171/335%20Egghead%20-%20Jinbe%20-%20Medal%20_Egghead%20Jinbe_%20-%20Piece%20_Colored_.png?updatedAt=1770076471121")</f>
        <v>https://ik.imagekit.io/alaaalaa6171/335%20Egghead%20-%20Jinbe%20-%20Medal%20_Egghead%20Jinbe_%20-%20Piece%20_Colored_.png?updatedAt=1770076471121</v>
      </c>
      <c r="AG9" s="114"/>
      <c r="AH9" s="114"/>
      <c r="AI9" s="121" t="s">
        <v>2090</v>
      </c>
      <c r="AJ9" s="121" t="str">
        <f>IFERROR(__xludf.DUMMYFUNCTION("regexreplace(regexreplace(AI9, ""  \["", "" ""), ""\]$"", """")"),"008 - Straw Hat Pirates_Ship Carpenter ~ Franky - Medal - Crafted [Colored] - Franky")</f>
        <v>008 - Straw Hat Pirates_Ship Carpenter ~ Franky - Medal - Crafted [Colored] - Franky</v>
      </c>
      <c r="AK9" s="114"/>
      <c r="AL9" s="117" t="s">
        <v>2091</v>
      </c>
      <c r="AM9" s="117" t="s">
        <v>2092</v>
      </c>
      <c r="AN9" s="114"/>
      <c r="AO9" s="122">
        <f>IFERROR(__xludf.DUMMYFUNCTION("""COMPUTED_VALUE"""),300.0)</f>
        <v>300</v>
      </c>
      <c r="AP9" s="114" t="str">
        <f>IFERROR(__xludf.DUMMYFUNCTION("""COMPUTED_VALUE"""),"Ginny
(Child)")</f>
        <v>Ginny
(Child)</v>
      </c>
      <c r="AQ9" s="114" t="str">
        <f>IFERROR(__xludf.DUMMYFUNCTION("""COMPUTED_VALUE"""),"Ginny (Child)")</f>
        <v>Ginny (Child)</v>
      </c>
      <c r="AR9" s="114"/>
      <c r="AS9" s="114"/>
      <c r="AT9" s="123" t="str">
        <f>IFERROR(__xludf.DUMMYFUNCTION("""COMPUTED_VALUE"""),"https://i.postimg.cc/J04HTBKh/300.png")</f>
        <v>https://i.postimg.cc/J04HTBKh/300.png</v>
      </c>
      <c r="AU9" s="114"/>
      <c r="AV9" s="114"/>
      <c r="AW9" s="114"/>
      <c r="AX9" s="114" t="str">
        <f t="shared" si="3"/>
        <v>300 - Medal [Event] - Crafted - Ginny (Child)</v>
      </c>
      <c r="AY9" s="114" t="s">
        <v>2093</v>
      </c>
      <c r="AZ9" s="114"/>
      <c r="BA9" s="114"/>
      <c r="BB9" s="114"/>
      <c r="BC9" s="114"/>
      <c r="BD9" s="114"/>
      <c r="BE9" s="114"/>
    </row>
    <row r="10" ht="37.5" customHeight="1">
      <c r="A10" s="118" t="s">
        <v>2094</v>
      </c>
      <c r="B10" s="117" t="s">
        <v>2095</v>
      </c>
      <c r="C10" s="119">
        <f>IFERROR(__xludf.DUMMYFUNCTION("""COMPUTED_VALUE"""),333.0)</f>
        <v>333</v>
      </c>
      <c r="D10" s="114" t="str">
        <f>IFERROR(__xludf.DUMMYFUNCTION("""COMPUTED_VALUE"""),"St. Jaygarcia Saturn")</f>
        <v>St. Jaygarcia Saturn</v>
      </c>
      <c r="E10" s="114" t="str">
        <f>IFERROR(__xludf.DUMMYFUNCTION("""COMPUTED_VALUE"""),"")</f>
        <v/>
      </c>
      <c r="F10" s="114"/>
      <c r="G10" s="114"/>
      <c r="H10" s="114"/>
      <c r="I10" s="114"/>
      <c r="J10" s="114"/>
      <c r="K10" s="114" t="s">
        <v>2096</v>
      </c>
      <c r="L10" s="114" t="s">
        <v>2097</v>
      </c>
      <c r="M10" s="114" t="s">
        <v>2098</v>
      </c>
      <c r="N10" s="114" t="s">
        <v>2099</v>
      </c>
      <c r="O10" s="114"/>
      <c r="P10" s="120">
        <v>333.0</v>
      </c>
      <c r="Q10" s="117" t="s">
        <v>2100</v>
      </c>
      <c r="R10" s="114"/>
      <c r="S10" s="117" t="s">
        <v>2101</v>
      </c>
      <c r="T10" s="114">
        <f t="shared" si="1"/>
        <v>11</v>
      </c>
      <c r="U10" s="114" t="s">
        <v>1944</v>
      </c>
      <c r="V10" s="114" t="str">
        <f>IFERROR(__xludf.DUMMYFUNCTION("REGEXREPLACE(U10, ""\n"", "" "")"),"Koby")</f>
        <v>Koby</v>
      </c>
      <c r="W10" s="114"/>
      <c r="X10" s="115" t="str">
        <f t="shared" si="2"/>
        <v>011 Chore Boy - Koby - Medal [Koby]</v>
      </c>
      <c r="Y10" s="119"/>
      <c r="Z10" s="117" t="s">
        <v>2102</v>
      </c>
      <c r="AA10" s="117" t="s">
        <v>2006</v>
      </c>
      <c r="AB10" s="114"/>
      <c r="AC10" s="123" t="str">
        <f>IFERROR(__xludf.DUMMYFUNCTION("""COMPUTED_VALUE"""),"https://ik.imagekit.io/alaaalaa6171/334%20Egghead%20-%20Franky%20-%20Medal%20_Egghead%20Franky_.png?updatedAt=1770076471169")</f>
        <v>https://ik.imagekit.io/alaaalaa6171/334%20Egghead%20-%20Franky%20-%20Medal%20_Egghead%20Franky_.png?updatedAt=1770076471169</v>
      </c>
      <c r="AD10" s="123" t="str">
        <f>IFERROR(__xludf.DUMMYFUNCTION("""COMPUTED_VALUE"""),"https://ik.imagekit.io/alaaalaa6171/334%20Egghead%20-%20Franky%20-%20Medal%20_Egghead%20Franky_%20_Colored_.png?updatedAt=1770076470679")</f>
        <v>https://ik.imagekit.io/alaaalaa6171/334%20Egghead%20-%20Franky%20-%20Medal%20_Egghead%20Franky_%20_Colored_.png?updatedAt=1770076470679</v>
      </c>
      <c r="AE10" s="123" t="str">
        <f>IFERROR(__xludf.DUMMYFUNCTION("""COMPUTED_VALUE"""),"https://ik.imagekit.io/alaaalaa6171/334%20Egghead%20-%20Franky%20-%20Medal%20_Egghead%20Franky_%20-%20Piece.png?updatedAt=1770076470677")</f>
        <v>https://ik.imagekit.io/alaaalaa6171/334%20Egghead%20-%20Franky%20-%20Medal%20_Egghead%20Franky_%20-%20Piece.png?updatedAt=1770076470677</v>
      </c>
      <c r="AF10" s="123" t="str">
        <f>IFERROR(__xludf.DUMMYFUNCTION("""COMPUTED_VALUE"""),"https://ik.imagekit.io/alaaalaa6171/334%20Egghead%20-%20Franky%20-%20Medal%20_Egghead%20Franky_%20-%20Piece%20_Colored_.png?updatedAt=1770076470396")</f>
        <v>https://ik.imagekit.io/alaaalaa6171/334%20Egghead%20-%20Franky%20-%20Medal%20_Egghead%20Franky_%20-%20Piece%20_Colored_.png?updatedAt=1770076470396</v>
      </c>
      <c r="AG10" s="114"/>
      <c r="AH10" s="114"/>
      <c r="AI10" s="121" t="s">
        <v>2103</v>
      </c>
      <c r="AJ10" s="121" t="str">
        <f>IFERROR(__xludf.DUMMYFUNCTION("regexreplace(regexreplace(AI10, ""  \["", "" ""), ""\]$"", """")"),"009 - Straw Hat Pirates_Musician ~ Brook - Medal - Crafted [Colored] - Brook")</f>
        <v>009 - Straw Hat Pirates_Musician ~ Brook - Medal - Crafted [Colored] - Brook</v>
      </c>
      <c r="AK10" s="114"/>
      <c r="AL10" s="117" t="s">
        <v>2104</v>
      </c>
      <c r="AM10" s="117" t="s">
        <v>2105</v>
      </c>
      <c r="AN10" s="114"/>
      <c r="AO10" s="122">
        <f>IFERROR(__xludf.DUMMYFUNCTION("""COMPUTED_VALUE"""),299.0)</f>
        <v>299</v>
      </c>
      <c r="AP10" s="114" t="str">
        <f>IFERROR(__xludf.DUMMYFUNCTION("""COMPUTED_VALUE"""),"King
(Bandaged)")</f>
        <v>King
(Bandaged)</v>
      </c>
      <c r="AQ10" s="114" t="str">
        <f>IFERROR(__xludf.DUMMYFUNCTION("""COMPUTED_VALUE"""),"King (Bandaged)")</f>
        <v>King (Bandaged)</v>
      </c>
      <c r="AR10" s="114"/>
      <c r="AS10" s="114"/>
      <c r="AT10" s="123" t="str">
        <f>IFERROR(__xludf.DUMMYFUNCTION("""COMPUTED_VALUE"""),"https://i.postimg.cc/kMybBzDn/299.png")</f>
        <v>https://i.postimg.cc/kMybBzDn/299.png</v>
      </c>
      <c r="AU10" s="114"/>
      <c r="AV10" s="114"/>
      <c r="AW10" s="114"/>
      <c r="AX10" s="114" t="str">
        <f t="shared" si="3"/>
        <v>299 - Medal [Event] - Crafted - King (Bandaged)</v>
      </c>
      <c r="AY10" s="114" t="s">
        <v>2106</v>
      </c>
      <c r="AZ10" s="114"/>
      <c r="BA10" s="114"/>
      <c r="BB10" s="114"/>
      <c r="BC10" s="114"/>
      <c r="BD10" s="114"/>
      <c r="BE10" s="114"/>
    </row>
    <row r="11" ht="37.5" customHeight="1">
      <c r="A11" s="118" t="s">
        <v>2107</v>
      </c>
      <c r="B11" s="117" t="s">
        <v>2108</v>
      </c>
      <c r="C11" s="119">
        <f>IFERROR(__xludf.DUMMYFUNCTION("""COMPUTED_VALUE"""),332.0)</f>
        <v>332</v>
      </c>
      <c r="D11" s="114" t="str">
        <f>IFERROR(__xludf.DUMMYFUNCTION("""COMPUTED_VALUE"""),"Egghead Robin")</f>
        <v>Egghead Robin</v>
      </c>
      <c r="E11" s="114" t="str">
        <f>IFERROR(__xludf.DUMMYFUNCTION("""COMPUTED_VALUE"""),"")</f>
        <v/>
      </c>
      <c r="F11" s="114"/>
      <c r="G11" s="114"/>
      <c r="H11" s="114"/>
      <c r="I11" s="114"/>
      <c r="J11" s="114"/>
      <c r="K11" s="114" t="s">
        <v>2109</v>
      </c>
      <c r="L11" s="114" t="s">
        <v>2110</v>
      </c>
      <c r="M11" s="114" t="s">
        <v>2111</v>
      </c>
      <c r="N11" s="114" t="s">
        <v>2112</v>
      </c>
      <c r="O11" s="114"/>
      <c r="P11" s="120">
        <v>332.0</v>
      </c>
      <c r="Q11" s="117" t="s">
        <v>2113</v>
      </c>
      <c r="R11" s="114"/>
      <c r="S11" s="117" t="s">
        <v>2114</v>
      </c>
      <c r="T11" s="114">
        <f t="shared" si="1"/>
        <v>13</v>
      </c>
      <c r="U11" s="114" t="s">
        <v>1937</v>
      </c>
      <c r="V11" s="114" t="str">
        <f>IFERROR(__xludf.DUMMYFUNCTION("REGEXREPLACE(U11, ""\n"", "" "")"),"Helmeppo")</f>
        <v>Helmeppo</v>
      </c>
      <c r="W11" s="114"/>
      <c r="X11" s="115" t="str">
        <f t="shared" si="2"/>
        <v>013 The Idiot Son - Helmeppo - Medal [Helmeppo]</v>
      </c>
      <c r="Y11" s="119"/>
      <c r="Z11" s="117" t="s">
        <v>2115</v>
      </c>
      <c r="AA11" s="117" t="s">
        <v>2018</v>
      </c>
      <c r="AB11" s="114"/>
      <c r="AC11" s="123" t="str">
        <f>IFERROR(__xludf.DUMMYFUNCTION("""COMPUTED_VALUE"""),"https://ik.imagekit.io/alaaalaa6171/333%20The%20Five%20Elders%20-%20St.%20Jaygarcia%20Saturn%20-%20Medal%20_St.%20Jaygarcia%20Saturn_.png?updatedAt=1770076469811")</f>
        <v>https://ik.imagekit.io/alaaalaa6171/333%20The%20Five%20Elders%20-%20St.%20Jaygarcia%20Saturn%20-%20Medal%20_St.%20Jaygarcia%20Saturn_.png?updatedAt=1770076469811</v>
      </c>
      <c r="AD11" s="123" t="str">
        <f>IFERROR(__xludf.DUMMYFUNCTION("""COMPUTED_VALUE"""),"https://ik.imagekit.io/alaaalaa6171/333%20The%20Five%20Elders%20-%20St.%20Jaygarcia%20Saturn%20-%20Medal%20_St.%20Jaygarcia%20Saturn_%20_Colored_.png?updatedAt=1770076469585")</f>
        <v>https://ik.imagekit.io/alaaalaa6171/333%20The%20Five%20Elders%20-%20St.%20Jaygarcia%20Saturn%20-%20Medal%20_St.%20Jaygarcia%20Saturn_%20_Colored_.png?updatedAt=1770076469585</v>
      </c>
      <c r="AE11" s="123" t="str">
        <f>IFERROR(__xludf.DUMMYFUNCTION("""COMPUTED_VALUE"""),"https://ik.imagekit.io/alaaalaa6171/333%20The%20Five%20Elders%20-%20St.%20Jaygarcia%20Saturn%20-%20Medal%20_St.%20Jaygarcia%20Saturn_%20-%20Piece.png?updatedAt=1770076468018")</f>
        <v>https://ik.imagekit.io/alaaalaa6171/333%20The%20Five%20Elders%20-%20St.%20Jaygarcia%20Saturn%20-%20Medal%20_St.%20Jaygarcia%20Saturn_%20-%20Piece.png?updatedAt=1770076468018</v>
      </c>
      <c r="AF11" s="123" t="str">
        <f>IFERROR(__xludf.DUMMYFUNCTION("""COMPUTED_VALUE"""),"https://ik.imagekit.io/alaaalaa6171/333%20The%20Five%20Elders%20-%20St.%20Jaygarcia%20Saturn%20-%20Medal%20_St.%20Jaygarcia%20Saturn_%20-%20Piece%20_Colored_.png?updatedAt=1770076467170")</f>
        <v>https://ik.imagekit.io/alaaalaa6171/333%20The%20Five%20Elders%20-%20St.%20Jaygarcia%20Saturn%20-%20Medal%20_St.%20Jaygarcia%20Saturn_%20-%20Piece%20_Colored_.png?updatedAt=1770076467170</v>
      </c>
      <c r="AG11" s="114"/>
      <c r="AH11" s="114"/>
      <c r="AI11" s="121" t="s">
        <v>2116</v>
      </c>
      <c r="AJ11" s="121" t="str">
        <f>IFERROR(__xludf.DUMMYFUNCTION("regexreplace(regexreplace(AI11, ""  \["", "" ""), ""\]$"", """")"),"010 - Mountain Bandits_Leader ~ Higuma the Bear - Medal - Crafted [Colored] - Higuma")</f>
        <v>010 - Mountain Bandits_Leader ~ Higuma the Bear - Medal - Crafted [Colored] - Higuma</v>
      </c>
      <c r="AK11" s="114"/>
      <c r="AL11" s="117" t="s">
        <v>2117</v>
      </c>
      <c r="AM11" s="117" t="s">
        <v>2118</v>
      </c>
      <c r="AN11" s="114"/>
      <c r="AO11" s="122">
        <f>IFERROR(__xludf.DUMMYFUNCTION("""COMPUTED_VALUE"""),298.0)</f>
        <v>298</v>
      </c>
      <c r="AP11" s="114" t="str">
        <f>IFERROR(__xludf.DUMMYFUNCTION("""COMPUTED_VALUE"""),"Zoro
(Feast)")</f>
        <v>Zoro
(Feast)</v>
      </c>
      <c r="AQ11" s="114" t="str">
        <f>IFERROR(__xludf.DUMMYFUNCTION("""COMPUTED_VALUE"""),"Zoro (Feast)")</f>
        <v>Zoro (Feast)</v>
      </c>
      <c r="AR11" s="114"/>
      <c r="AS11" s="114"/>
      <c r="AT11" s="123" t="str">
        <f>IFERROR(__xludf.DUMMYFUNCTION("""COMPUTED_VALUE"""),"https://i.postimg.cc/wxkm7Z3q/298.png")</f>
        <v>https://i.postimg.cc/wxkm7Z3q/298.png</v>
      </c>
      <c r="AU11" s="114"/>
      <c r="AV11" s="114"/>
      <c r="AW11" s="114"/>
      <c r="AX11" s="114" t="str">
        <f t="shared" si="3"/>
        <v>298 - Medal [Event] - Crafted - Zoro (Feast)</v>
      </c>
      <c r="AY11" s="114" t="s">
        <v>2119</v>
      </c>
      <c r="AZ11" s="114"/>
      <c r="BA11" s="114"/>
      <c r="BB11" s="114"/>
      <c r="BC11" s="114"/>
      <c r="BD11" s="114"/>
      <c r="BE11" s="114"/>
    </row>
    <row r="12" ht="37.5" customHeight="1">
      <c r="A12" s="118" t="s">
        <v>2120</v>
      </c>
      <c r="B12" s="117" t="s">
        <v>2121</v>
      </c>
      <c r="C12" s="119">
        <f>IFERROR(__xludf.DUMMYFUNCTION("""COMPUTED_VALUE"""),331.0)</f>
        <v>331</v>
      </c>
      <c r="D12" s="114" t="str">
        <f>IFERROR(__xludf.DUMMYFUNCTION("""COMPUTED_VALUE"""),"Egghead Chopper")</f>
        <v>Egghead Chopper</v>
      </c>
      <c r="E12" s="114" t="str">
        <f>IFERROR(__xludf.DUMMYFUNCTION("""COMPUTED_VALUE"""),"")</f>
        <v/>
      </c>
      <c r="F12" s="114"/>
      <c r="G12" s="114"/>
      <c r="H12" s="114"/>
      <c r="I12" s="114"/>
      <c r="J12" s="114"/>
      <c r="K12" s="114" t="s">
        <v>2122</v>
      </c>
      <c r="L12" s="114" t="s">
        <v>2123</v>
      </c>
      <c r="M12" s="114" t="s">
        <v>2124</v>
      </c>
      <c r="N12" s="114" t="s">
        <v>2125</v>
      </c>
      <c r="O12" s="114"/>
      <c r="P12" s="120">
        <v>331.0</v>
      </c>
      <c r="Q12" s="117" t="s">
        <v>2126</v>
      </c>
      <c r="R12" s="114"/>
      <c r="S12" s="117" t="s">
        <v>2127</v>
      </c>
      <c r="T12" s="114">
        <f t="shared" si="1"/>
        <v>15</v>
      </c>
      <c r="U12" s="114" t="s">
        <v>1930</v>
      </c>
      <c r="V12" s="114" t="str">
        <f>IFERROR(__xludf.DUMMYFUNCTION("REGEXREPLACE(U12, ""\n"", "" "")"),"Cabaji")</f>
        <v>Cabaji</v>
      </c>
      <c r="W12" s="114"/>
      <c r="X12" s="115" t="str">
        <f t="shared" si="2"/>
        <v>015 Buggy Pirates / Chief of Staff - Cabaji - Medal [Cabaji]</v>
      </c>
      <c r="Y12" s="119"/>
      <c r="Z12" s="117" t="s">
        <v>2128</v>
      </c>
      <c r="AA12" s="117" t="s">
        <v>2020</v>
      </c>
      <c r="AB12" s="114"/>
      <c r="AC12" s="123" t="str">
        <f>IFERROR(__xludf.DUMMYFUNCTION("""COMPUTED_VALUE"""),"https://ik.imagekit.io/alaaalaa6171/332%20Egghead%20-%20Nico%20Robin%20-%20Medal%20_Egghead%20Robin_.png?updatedAt=1770076467237")</f>
        <v>https://ik.imagekit.io/alaaalaa6171/332%20Egghead%20-%20Nico%20Robin%20-%20Medal%20_Egghead%20Robin_.png?updatedAt=1770076467237</v>
      </c>
      <c r="AD12" s="123" t="str">
        <f>IFERROR(__xludf.DUMMYFUNCTION("""COMPUTED_VALUE"""),"https://ik.imagekit.io/alaaalaa6171/332%20Egghead%20-%20Nico%20Robin%20-%20Medal%20_Egghead%20Robin_%20_Colored_.png?updatedAt=1770076467098")</f>
        <v>https://ik.imagekit.io/alaaalaa6171/332%20Egghead%20-%20Nico%20Robin%20-%20Medal%20_Egghead%20Robin_%20_Colored_.png?updatedAt=1770076467098</v>
      </c>
      <c r="AE12" s="123" t="str">
        <f>IFERROR(__xludf.DUMMYFUNCTION("""COMPUTED_VALUE"""),"https://ik.imagekit.io/alaaalaa6171/332%20Egghead%20-%20Nico%20Robin%20-%20Medal%20_Egghead%20Robin_%20-%20Piece.png?updatedAt=1770076467007")</f>
        <v>https://ik.imagekit.io/alaaalaa6171/332%20Egghead%20-%20Nico%20Robin%20-%20Medal%20_Egghead%20Robin_%20-%20Piece.png?updatedAt=1770076467007</v>
      </c>
      <c r="AF12" s="123" t="str">
        <f>IFERROR(__xludf.DUMMYFUNCTION("""COMPUTED_VALUE"""),"https://ik.imagekit.io/alaaalaa6171/332%20Egghead%20-%20Nico%20Robin%20-%20Medal%20_Egghead%20Robin_%20-%20Piece%20_Colored_.png?updatedAt=1770076467037")</f>
        <v>https://ik.imagekit.io/alaaalaa6171/332%20Egghead%20-%20Nico%20Robin%20-%20Medal%20_Egghead%20Robin_%20-%20Piece%20_Colored_.png?updatedAt=1770076467037</v>
      </c>
      <c r="AG12" s="114"/>
      <c r="AH12" s="114"/>
      <c r="AI12" s="121" t="s">
        <v>2129</v>
      </c>
      <c r="AJ12" s="121" t="str">
        <f>IFERROR(__xludf.DUMMYFUNCTION("regexreplace(regexreplace(AI12, ""  \["", "" ""), ""\]$"", """")"),"011 - Chore Boy ~ Koby - Medal - Crafted [Colored] - Koby")</f>
        <v>011 - Chore Boy ~ Koby - Medal - Crafted [Colored] - Koby</v>
      </c>
      <c r="AK12" s="114"/>
      <c r="AL12" s="117" t="s">
        <v>2130</v>
      </c>
      <c r="AM12" s="117" t="s">
        <v>2131</v>
      </c>
      <c r="AN12" s="114"/>
      <c r="AO12" s="122">
        <f>IFERROR(__xludf.DUMMYFUNCTION("""COMPUTED_VALUE"""),297.0)</f>
        <v>297</v>
      </c>
      <c r="AP12" s="114" t="str">
        <f>IFERROR(__xludf.DUMMYFUNCTION("""COMPUTED_VALUE"""),"Warrior God of Agriculture")</f>
        <v>Warrior God of Agriculture</v>
      </c>
      <c r="AQ12" s="114" t="str">
        <f>IFERROR(__xludf.DUMMYFUNCTION("""COMPUTED_VALUE"""),"Warrior God of Agriculture")</f>
        <v>Warrior God of Agriculture</v>
      </c>
      <c r="AR12" s="114"/>
      <c r="AS12" s="114"/>
      <c r="AT12" s="123" t="str">
        <f>IFERROR(__xludf.DUMMYFUNCTION("""COMPUTED_VALUE"""),"https://i.postimg.cc/3Nz9LvcJ/297.png")</f>
        <v>https://i.postimg.cc/3Nz9LvcJ/297.png</v>
      </c>
      <c r="AU12" s="114"/>
      <c r="AV12" s="114"/>
      <c r="AW12" s="114"/>
      <c r="AX12" s="114" t="str">
        <f t="shared" si="3"/>
        <v>297 - Medal [Event] - Crafted - Warrior God of Agriculture</v>
      </c>
      <c r="AY12" s="114" t="s">
        <v>2132</v>
      </c>
      <c r="AZ12" s="114"/>
      <c r="BA12" s="114"/>
      <c r="BB12" s="114"/>
      <c r="BC12" s="114"/>
      <c r="BD12" s="114"/>
      <c r="BE12" s="114"/>
    </row>
    <row r="13" ht="37.5" customHeight="1">
      <c r="A13" s="118" t="s">
        <v>2133</v>
      </c>
      <c r="B13" s="117" t="s">
        <v>2134</v>
      </c>
      <c r="C13" s="119">
        <f>IFERROR(__xludf.DUMMYFUNCTION("""COMPUTED_VALUE"""),330.0)</f>
        <v>330</v>
      </c>
      <c r="D13" s="114" t="str">
        <f>IFERROR(__xludf.DUMMYFUNCTION("""COMPUTED_VALUE"""),"Egghead Brook")</f>
        <v>Egghead Brook</v>
      </c>
      <c r="E13" s="114" t="str">
        <f>IFERROR(__xludf.DUMMYFUNCTION("""COMPUTED_VALUE"""),"")</f>
        <v/>
      </c>
      <c r="F13" s="114"/>
      <c r="G13" s="114"/>
      <c r="H13" s="114"/>
      <c r="I13" s="114"/>
      <c r="J13" s="114"/>
      <c r="K13" s="114" t="s">
        <v>2135</v>
      </c>
      <c r="L13" s="114" t="s">
        <v>2136</v>
      </c>
      <c r="M13" s="114" t="s">
        <v>2137</v>
      </c>
      <c r="N13" s="114" t="s">
        <v>2138</v>
      </c>
      <c r="O13" s="114"/>
      <c r="P13" s="120">
        <v>330.0</v>
      </c>
      <c r="Q13" s="117" t="s">
        <v>2139</v>
      </c>
      <c r="R13" s="114"/>
      <c r="S13" s="117" t="s">
        <v>2140</v>
      </c>
      <c r="T13" s="114">
        <f t="shared" si="1"/>
        <v>12</v>
      </c>
      <c r="U13" s="114" t="s">
        <v>1940</v>
      </c>
      <c r="V13" s="114" t="str">
        <f>IFERROR(__xludf.DUMMYFUNCTION("REGEXREPLACE(U13, ""\n"", "" "")"),"Alvida")</f>
        <v>Alvida</v>
      </c>
      <c r="W13" s="114"/>
      <c r="X13" s="115" t="str">
        <f t="shared" si="2"/>
        <v>012 Alvida Pirates / Captain - Alvida - Medal [Alvida]</v>
      </c>
      <c r="Y13" s="119"/>
      <c r="Z13" s="117" t="s">
        <v>2141</v>
      </c>
      <c r="AA13" s="117" t="s">
        <v>2021</v>
      </c>
      <c r="AB13" s="114"/>
      <c r="AC13" s="123" t="str">
        <f>IFERROR(__xludf.DUMMYFUNCTION("""COMPUTED_VALUE"""),"https://ik.imagekit.io/alaaalaa6171/331%20Egghead%20-%20Tony%20Tony%20Chopper%20-%20Medal%20_Egghead%20Chopper_.png?updatedAt=1770076467252")</f>
        <v>https://ik.imagekit.io/alaaalaa6171/331%20Egghead%20-%20Tony%20Tony%20Chopper%20-%20Medal%20_Egghead%20Chopper_.png?updatedAt=1770076467252</v>
      </c>
      <c r="AD13" s="123" t="str">
        <f>IFERROR(__xludf.DUMMYFUNCTION("""COMPUTED_VALUE"""),"https://ik.imagekit.io/alaaalaa6171/331%20Egghead%20-%20Tony%20Tony%20Chopper%20-%20Medal%20_Egghead%20Chopper_%20_Colored_.png?updatedAt=1770076466599")</f>
        <v>https://ik.imagekit.io/alaaalaa6171/331%20Egghead%20-%20Tony%20Tony%20Chopper%20-%20Medal%20_Egghead%20Chopper_%20_Colored_.png?updatedAt=1770076466599</v>
      </c>
      <c r="AE13" s="123" t="str">
        <f>IFERROR(__xludf.DUMMYFUNCTION("""COMPUTED_VALUE"""),"https://ik.imagekit.io/alaaalaa6171/331%20Egghead%20-%20Tony%20Tony%20Chopper%20-%20Medal%20_Egghead%20Chopper_%20-%20Piece.png?updatedAt=1770076466579")</f>
        <v>https://ik.imagekit.io/alaaalaa6171/331%20Egghead%20-%20Tony%20Tony%20Chopper%20-%20Medal%20_Egghead%20Chopper_%20-%20Piece.png?updatedAt=1770076466579</v>
      </c>
      <c r="AF13" s="123" t="str">
        <f>IFERROR(__xludf.DUMMYFUNCTION("""COMPUTED_VALUE"""),"https://ik.imagekit.io/alaaalaa6171/331%20Egghead%20-%20Tony%20Tony%20Chopper%20-%20Medal%20_Egghead%20Chopper_%20-%20Piece%20_Colored_.png?updatedAt=1770076466641")</f>
        <v>https://ik.imagekit.io/alaaalaa6171/331%20Egghead%20-%20Tony%20Tony%20Chopper%20-%20Medal%20_Egghead%20Chopper_%20-%20Piece%20_Colored_.png?updatedAt=1770076466641</v>
      </c>
      <c r="AG13" s="114"/>
      <c r="AH13" s="114"/>
      <c r="AI13" s="121" t="s">
        <v>2142</v>
      </c>
      <c r="AJ13" s="121" t="str">
        <f>IFERROR(__xludf.DUMMYFUNCTION("regexreplace(regexreplace(AI13, ""  \["", "" ""), ""\]$"", """")"),"012 - Alvida Pirates_Captain ~ Alvida - Medal - Crafted [Colored] - Alvida")</f>
        <v>012 - Alvida Pirates_Captain ~ Alvida - Medal - Crafted [Colored] - Alvida</v>
      </c>
      <c r="AK13" s="114"/>
      <c r="AL13" s="117" t="s">
        <v>2143</v>
      </c>
      <c r="AM13" s="117" t="s">
        <v>2144</v>
      </c>
      <c r="AN13" s="114"/>
      <c r="AO13" s="122">
        <f>IFERROR(__xludf.DUMMYFUNCTION("""COMPUTED_VALUE"""),296.0)</f>
        <v>296</v>
      </c>
      <c r="AP13" s="114" t="str">
        <f>IFERROR(__xludf.DUMMYFUNCTION("""COMPUTED_VALUE"""),"Warrior God of Justice")</f>
        <v>Warrior God of Justice</v>
      </c>
      <c r="AQ13" s="114" t="str">
        <f>IFERROR(__xludf.DUMMYFUNCTION("""COMPUTED_VALUE"""),"Warrior God of Justice")</f>
        <v>Warrior God of Justice</v>
      </c>
      <c r="AR13" s="114"/>
      <c r="AS13" s="114"/>
      <c r="AT13" s="123" t="str">
        <f>IFERROR(__xludf.DUMMYFUNCTION("""COMPUTED_VALUE"""),"https://i.postimg.cc/0jhZtwB8/296.png")</f>
        <v>https://i.postimg.cc/0jhZtwB8/296.png</v>
      </c>
      <c r="AU13" s="114"/>
      <c r="AV13" s="114"/>
      <c r="AW13" s="114"/>
      <c r="AX13" s="114" t="str">
        <f t="shared" si="3"/>
        <v>296 - Medal [Event] - Crafted - Warrior God of Justice</v>
      </c>
      <c r="AY13" s="114" t="s">
        <v>2145</v>
      </c>
      <c r="AZ13" s="114"/>
      <c r="BA13" s="114"/>
      <c r="BB13" s="114"/>
      <c r="BC13" s="114"/>
      <c r="BD13" s="114"/>
      <c r="BE13" s="114"/>
    </row>
    <row r="14" ht="37.5" customHeight="1">
      <c r="A14" s="118" t="s">
        <v>2146</v>
      </c>
      <c r="B14" s="117" t="s">
        <v>2147</v>
      </c>
      <c r="C14" s="119">
        <f>IFERROR(__xludf.DUMMYFUNCTION("""COMPUTED_VALUE"""),329.0)</f>
        <v>329</v>
      </c>
      <c r="D14" s="114" t="str">
        <f>IFERROR(__xludf.DUMMYFUNCTION("""COMPUTED_VALUE"""),"Star Gun")</f>
        <v>Star Gun</v>
      </c>
      <c r="E14" s="114" t="str">
        <f>IFERROR(__xludf.DUMMYFUNCTION("""COMPUTED_VALUE"""),"")</f>
        <v/>
      </c>
      <c r="F14" s="114"/>
      <c r="G14" s="114"/>
      <c r="H14" s="114"/>
      <c r="I14" s="114"/>
      <c r="J14" s="114"/>
      <c r="K14" s="114" t="s">
        <v>2148</v>
      </c>
      <c r="L14" s="114" t="s">
        <v>2149</v>
      </c>
      <c r="M14" s="114" t="s">
        <v>2150</v>
      </c>
      <c r="N14" s="114" t="s">
        <v>2151</v>
      </c>
      <c r="O14" s="114"/>
      <c r="P14" s="120">
        <v>329.0</v>
      </c>
      <c r="Q14" s="117" t="s">
        <v>2152</v>
      </c>
      <c r="R14" s="114"/>
      <c r="S14" s="117" t="s">
        <v>2153</v>
      </c>
      <c r="T14" s="114">
        <f t="shared" si="1"/>
        <v>10</v>
      </c>
      <c r="U14" s="114" t="s">
        <v>1946</v>
      </c>
      <c r="V14" s="114" t="str">
        <f>IFERROR(__xludf.DUMMYFUNCTION("REGEXREPLACE(U14, ""\n"", "" "")"),"Higuma")</f>
        <v>Higuma</v>
      </c>
      <c r="W14" s="114"/>
      <c r="X14" s="115" t="str">
        <f t="shared" si="2"/>
        <v>010 Mountain Bandits / Leader - Higuma the Bear - Medal [Higuma]</v>
      </c>
      <c r="Y14" s="119"/>
      <c r="Z14" s="117" t="s">
        <v>2154</v>
      </c>
      <c r="AA14" s="117" t="s">
        <v>2019</v>
      </c>
      <c r="AB14" s="114"/>
      <c r="AC14" s="123" t="str">
        <f>IFERROR(__xludf.DUMMYFUNCTION("""COMPUTED_VALUE"""),"https://ik.imagekit.io/alaaalaa6171/330%20Egghead%20-%20Brook%20-%20Medal%20_Egghead%20Brook_.png?updatedAt=1770076466599")</f>
        <v>https://ik.imagekit.io/alaaalaa6171/330%20Egghead%20-%20Brook%20-%20Medal%20_Egghead%20Brook_.png?updatedAt=1770076466599</v>
      </c>
      <c r="AD14" s="123" t="str">
        <f>IFERROR(__xludf.DUMMYFUNCTION("""COMPUTED_VALUE"""),"https://ik.imagekit.io/alaaalaa6171/330%20Egghead%20-%20Brook%20-%20Medal%20_Egghead%20Brook_%20_Colored_.png?updatedAt=1770076466593")</f>
        <v>https://ik.imagekit.io/alaaalaa6171/330%20Egghead%20-%20Brook%20-%20Medal%20_Egghead%20Brook_%20_Colored_.png?updatedAt=1770076466593</v>
      </c>
      <c r="AE14" s="123" t="str">
        <f>IFERROR(__xludf.DUMMYFUNCTION("""COMPUTED_VALUE"""),"https://ik.imagekit.io/alaaalaa6171/330%20Egghead%20-%20Brook%20-%20Medal%20_Egghead%20Brook_%20-%20Piece.png?updatedAt=1770076466561")</f>
        <v>https://ik.imagekit.io/alaaalaa6171/330%20Egghead%20-%20Brook%20-%20Medal%20_Egghead%20Brook_%20-%20Piece.png?updatedAt=1770076466561</v>
      </c>
      <c r="AF14" s="123" t="str">
        <f>IFERROR(__xludf.DUMMYFUNCTION("""COMPUTED_VALUE"""),"https://ik.imagekit.io/alaaalaa6171/330%20Egghead%20-%20Brook%20-%20Medal%20_Egghead%20Brook_%20-%20Piece%20_Colored_.png?updatedAt=1770076466239")</f>
        <v>https://ik.imagekit.io/alaaalaa6171/330%20Egghead%20-%20Brook%20-%20Medal%20_Egghead%20Brook_%20-%20Piece%20_Colored_.png?updatedAt=1770076466239</v>
      </c>
      <c r="AG14" s="114"/>
      <c r="AH14" s="114"/>
      <c r="AI14" s="121" t="s">
        <v>2155</v>
      </c>
      <c r="AJ14" s="121" t="str">
        <f>IFERROR(__xludf.DUMMYFUNCTION("regexreplace(regexreplace(AI14, ""  \["", "" ""), ""\]$"", """")"),"013 - The Idiot Son ~ Helmeppo - Medal - Crafted [Colored] - Helmeppo")</f>
        <v>013 - The Idiot Son ~ Helmeppo - Medal - Crafted [Colored] - Helmeppo</v>
      </c>
      <c r="AK14" s="114"/>
      <c r="AL14" s="117" t="s">
        <v>2156</v>
      </c>
      <c r="AM14" s="117" t="s">
        <v>2157</v>
      </c>
      <c r="AN14" s="114"/>
      <c r="AO14" s="122">
        <f>IFERROR(__xludf.DUMMYFUNCTION("""COMPUTED_VALUE"""),295.0)</f>
        <v>295</v>
      </c>
      <c r="AP14" s="114" t="str">
        <f>IFERROR(__xludf.DUMMYFUNCTION("""COMPUTED_VALUE"""),"Jinbe
(Future Outfit)")</f>
        <v>Jinbe
(Future Outfit)</v>
      </c>
      <c r="AQ14" s="114" t="str">
        <f>IFERROR(__xludf.DUMMYFUNCTION("""COMPUTED_VALUE"""),"Jinbe (Future Outfit)")</f>
        <v>Jinbe (Future Outfit)</v>
      </c>
      <c r="AR14" s="114"/>
      <c r="AS14" s="114"/>
      <c r="AT14" s="123" t="str">
        <f>IFERROR(__xludf.DUMMYFUNCTION("""COMPUTED_VALUE"""),"https://i.postimg.cc/BbBRLty7/295.png")</f>
        <v>https://i.postimg.cc/BbBRLty7/295.png</v>
      </c>
      <c r="AU14" s="114"/>
      <c r="AV14" s="114"/>
      <c r="AW14" s="114"/>
      <c r="AX14" s="114" t="str">
        <f t="shared" si="3"/>
        <v>295 - Medal [Event] - Crafted - Jinbe (Future Outfit)</v>
      </c>
      <c r="AY14" s="114" t="s">
        <v>2158</v>
      </c>
      <c r="AZ14" s="114"/>
      <c r="BA14" s="114"/>
      <c r="BB14" s="114"/>
      <c r="BC14" s="114"/>
      <c r="BD14" s="114"/>
      <c r="BE14" s="114"/>
    </row>
    <row r="15" ht="37.5" customHeight="1">
      <c r="A15" s="118" t="s">
        <v>2159</v>
      </c>
      <c r="B15" s="117" t="s">
        <v>2160</v>
      </c>
      <c r="C15" s="119">
        <f>IFERROR(__xludf.DUMMYFUNCTION("""COMPUTED_VALUE"""),328.0)</f>
        <v>328</v>
      </c>
      <c r="D15" s="114" t="str">
        <f>IFERROR(__xludf.DUMMYFUNCTION("""COMPUTED_VALUE"""),"Egghead Usopp")</f>
        <v>Egghead Usopp</v>
      </c>
      <c r="E15" s="114" t="str">
        <f>IFERROR(__xludf.DUMMYFUNCTION("""COMPUTED_VALUE"""),"")</f>
        <v/>
      </c>
      <c r="F15" s="114"/>
      <c r="G15" s="114"/>
      <c r="H15" s="114"/>
      <c r="I15" s="114"/>
      <c r="J15" s="114"/>
      <c r="K15" s="114" t="s">
        <v>2161</v>
      </c>
      <c r="L15" s="114" t="s">
        <v>2162</v>
      </c>
      <c r="M15" s="114" t="s">
        <v>2163</v>
      </c>
      <c r="N15" s="114" t="s">
        <v>2164</v>
      </c>
      <c r="O15" s="114"/>
      <c r="P15" s="120">
        <v>328.0</v>
      </c>
      <c r="Q15" s="117" t="s">
        <v>2165</v>
      </c>
      <c r="R15" s="114"/>
      <c r="S15" s="117" t="s">
        <v>2166</v>
      </c>
      <c r="T15" s="114">
        <f t="shared" si="1"/>
        <v>27</v>
      </c>
      <c r="U15" s="114" t="s">
        <v>1896</v>
      </c>
      <c r="V15" s="114" t="str">
        <f>IFERROR(__xludf.DUMMYFUNCTION("REGEXREPLACE(U15, ""\n"", "" "")"),"Kuroobi")</f>
        <v>Kuroobi</v>
      </c>
      <c r="W15" s="114"/>
      <c r="X15" s="115" t="str">
        <f t="shared" si="2"/>
        <v>027 Arlong Pirates / Officer - Choo - Medal [Kuroobi]</v>
      </c>
      <c r="Y15" s="119"/>
      <c r="Z15" s="117" t="s">
        <v>2167</v>
      </c>
      <c r="AA15" s="117" t="s">
        <v>2031</v>
      </c>
      <c r="AB15" s="114"/>
      <c r="AC15" s="123" t="str">
        <f>IFERROR(__xludf.DUMMYFUNCTION("""COMPUTED_VALUE"""),"https://ik.imagekit.io/alaaalaa6171/329%20The%20Four%20Emperors%20-%20Monkey%20D.%20Luffy%20-%20Medal%20_Star%20Gun_.png?updatedAt=1770076466221")</f>
        <v>https://ik.imagekit.io/alaaalaa6171/329%20The%20Four%20Emperors%20-%20Monkey%20D.%20Luffy%20-%20Medal%20_Star%20Gun_.png?updatedAt=1770076466221</v>
      </c>
      <c r="AD15" s="123" t="str">
        <f>IFERROR(__xludf.DUMMYFUNCTION("""COMPUTED_VALUE"""),"https://ik.imagekit.io/alaaalaa6171/329%20The%20Four%20Emperors%20-%20Monkey%20D.%20Luffy%20-%20Medal%20_Star%20Gun_%20_Colored_.png?updatedAt=1770076466245")</f>
        <v>https://ik.imagekit.io/alaaalaa6171/329%20The%20Four%20Emperors%20-%20Monkey%20D.%20Luffy%20-%20Medal%20_Star%20Gun_%20_Colored_.png?updatedAt=1770076466245</v>
      </c>
      <c r="AE15" s="123" t="str">
        <f>IFERROR(__xludf.DUMMYFUNCTION("""COMPUTED_VALUE"""),"https://ik.imagekit.io/alaaalaa6171/329%20The%20Four%20Emperors%20-%20Monkey%20D.%20Luffy%20-%20Medal%20_Star%20Gun_%20-%20Piece.png?updatedAt=1770076466252")</f>
        <v>https://ik.imagekit.io/alaaalaa6171/329%20The%20Four%20Emperors%20-%20Monkey%20D.%20Luffy%20-%20Medal%20_Star%20Gun_%20-%20Piece.png?updatedAt=1770076466252</v>
      </c>
      <c r="AF15" s="123" t="str">
        <f>IFERROR(__xludf.DUMMYFUNCTION("""COMPUTED_VALUE"""),"https://ik.imagekit.io/alaaalaa6171/329%20The%20Four%20Emperors%20-%20Monkey%20D.%20Luffy%20-%20Medal%20_Star%20Gun_%20-%20Piece%20_Colored_.png?updatedAt=1770076466225")</f>
        <v>https://ik.imagekit.io/alaaalaa6171/329%20The%20Four%20Emperors%20-%20Monkey%20D.%20Luffy%20-%20Medal%20_Star%20Gun_%20-%20Piece%20_Colored_.png?updatedAt=1770076466225</v>
      </c>
      <c r="AG15" s="114"/>
      <c r="AH15" s="114"/>
      <c r="AI15" s="121" t="s">
        <v>2168</v>
      </c>
      <c r="AJ15" s="121" t="str">
        <f>IFERROR(__xludf.DUMMYFUNCTION("regexreplace(regexreplace(AI15, ""  \["", "" ""), ""\]$"", """")"),"014 - Navy Captain ~ Morgan - Medal - Crafted [Colored] - Morgan")</f>
        <v>014 - Navy Captain ~ Morgan - Medal - Crafted [Colored] - Morgan</v>
      </c>
      <c r="AK15" s="114"/>
      <c r="AL15" s="117" t="s">
        <v>2169</v>
      </c>
      <c r="AM15" s="117" t="s">
        <v>2170</v>
      </c>
      <c r="AN15" s="114"/>
      <c r="AO15" s="122">
        <f>IFERROR(__xludf.DUMMYFUNCTION("""COMPUTED_VALUE"""),294.0)</f>
        <v>294</v>
      </c>
      <c r="AP15" s="114" t="str">
        <f>IFERROR(__xludf.DUMMYFUNCTION("""COMPUTED_VALUE"""),"Zoro &amp; Kaku")</f>
        <v>Zoro &amp; Kaku</v>
      </c>
      <c r="AQ15" s="114" t="str">
        <f>IFERROR(__xludf.DUMMYFUNCTION("""COMPUTED_VALUE"""),"Zoro &amp; Kaku")</f>
        <v>Zoro &amp; Kaku</v>
      </c>
      <c r="AR15" s="114"/>
      <c r="AS15" s="114"/>
      <c r="AT15" s="123" t="str">
        <f>IFERROR(__xludf.DUMMYFUNCTION("""COMPUTED_VALUE"""),"https://i.postimg.cc/nrGNjM5w/294.png")</f>
        <v>https://i.postimg.cc/nrGNjM5w/294.png</v>
      </c>
      <c r="AU15" s="114"/>
      <c r="AV15" s="114"/>
      <c r="AW15" s="114"/>
      <c r="AX15" s="114" t="str">
        <f t="shared" si="3"/>
        <v>294 - Medal [Event] - Crafted - Zoro &amp; Kaku</v>
      </c>
      <c r="AY15" s="114" t="s">
        <v>2171</v>
      </c>
      <c r="AZ15" s="114"/>
      <c r="BA15" s="114"/>
      <c r="BB15" s="114"/>
      <c r="BC15" s="114"/>
      <c r="BD15" s="114"/>
      <c r="BE15" s="114"/>
    </row>
    <row r="16" ht="37.5" customHeight="1">
      <c r="A16" s="118" t="s">
        <v>2172</v>
      </c>
      <c r="B16" s="117" t="s">
        <v>2173</v>
      </c>
      <c r="C16" s="119">
        <f>IFERROR(__xludf.DUMMYFUNCTION("""COMPUTED_VALUE"""),327.0)</f>
        <v>327</v>
      </c>
      <c r="D16" s="114" t="str">
        <f>IFERROR(__xludf.DUMMYFUNCTION("""COMPUTED_VALUE"""),"Egghead Nami")</f>
        <v>Egghead Nami</v>
      </c>
      <c r="E16" s="114" t="str">
        <f>IFERROR(__xludf.DUMMYFUNCTION("""COMPUTED_VALUE"""),"")</f>
        <v/>
      </c>
      <c r="F16" s="114"/>
      <c r="G16" s="114"/>
      <c r="H16" s="114"/>
      <c r="I16" s="114"/>
      <c r="J16" s="114"/>
      <c r="K16" s="114" t="s">
        <v>2174</v>
      </c>
      <c r="L16" s="114" t="s">
        <v>2175</v>
      </c>
      <c r="M16" s="114" t="s">
        <v>2176</v>
      </c>
      <c r="N16" s="114" t="s">
        <v>2177</v>
      </c>
      <c r="O16" s="114"/>
      <c r="P16" s="120">
        <v>327.0</v>
      </c>
      <c r="Q16" s="117" t="s">
        <v>2178</v>
      </c>
      <c r="R16" s="114"/>
      <c r="S16" s="117" t="s">
        <v>2179</v>
      </c>
      <c r="T16" s="114">
        <f t="shared" si="1"/>
        <v>19</v>
      </c>
      <c r="U16" s="114" t="s">
        <v>1916</v>
      </c>
      <c r="V16" s="114" t="str">
        <f>IFERROR(__xludf.DUMMYFUNCTION("REGEXREPLACE(U16, ""\n"", "" "")"),"Johnny")</f>
        <v>Johnny</v>
      </c>
      <c r="W16" s="114"/>
      <c r="X16" s="115" t="str">
        <f t="shared" si="2"/>
        <v>019 Bounty Hunter - Johnny - Medal [Johnny]</v>
      </c>
      <c r="Y16" s="119"/>
      <c r="Z16" s="117" t="s">
        <v>2180</v>
      </c>
      <c r="AA16" s="117" t="s">
        <v>2033</v>
      </c>
      <c r="AB16" s="114"/>
      <c r="AC16" s="123" t="str">
        <f>IFERROR(__xludf.DUMMYFUNCTION("""COMPUTED_VALUE"""),"https://ik.imagekit.io/alaaalaa6171/328%20Egghead%20-%20Usopp%20-%20Medal%20_Egghead%20Usopp_.png?updatedAt=1770076466237")</f>
        <v>https://ik.imagekit.io/alaaalaa6171/328%20Egghead%20-%20Usopp%20-%20Medal%20_Egghead%20Usopp_.png?updatedAt=1770076466237</v>
      </c>
      <c r="AD16" s="123" t="str">
        <f>IFERROR(__xludf.DUMMYFUNCTION("""COMPUTED_VALUE"""),"https://ik.imagekit.io/alaaalaa6171/328%20Egghead%20-%20Usopp%20-%20Medal%20_Egghead%20Usopp_%20_Colored_.png?updatedAt=1770076466267")</f>
        <v>https://ik.imagekit.io/alaaalaa6171/328%20Egghead%20-%20Usopp%20-%20Medal%20_Egghead%20Usopp_%20_Colored_.png?updatedAt=1770076466267</v>
      </c>
      <c r="AE16" s="123" t="str">
        <f>IFERROR(__xludf.DUMMYFUNCTION("""COMPUTED_VALUE"""),"https://ik.imagekit.io/alaaalaa6171/328%20Egghead%20-%20Usopp%20-%20Medal%20_Egghead%20Usopp_%20-%20Piece.png?updatedAt=1770076466210")</f>
        <v>https://ik.imagekit.io/alaaalaa6171/328%20Egghead%20-%20Usopp%20-%20Medal%20_Egghead%20Usopp_%20-%20Piece.png?updatedAt=1770076466210</v>
      </c>
      <c r="AF16" s="123" t="str">
        <f>IFERROR(__xludf.DUMMYFUNCTION("""COMPUTED_VALUE"""),"https://ik.imagekit.io/alaaalaa6171/328%20Egghead%20-%20Usopp%20-%20Medal%20_Egghead%20Usopp_%20-%20Piece%20_Colored_.png?updatedAt=1770076466239")</f>
        <v>https://ik.imagekit.io/alaaalaa6171/328%20Egghead%20-%20Usopp%20-%20Medal%20_Egghead%20Usopp_%20-%20Piece%20_Colored_.png?updatedAt=1770076466239</v>
      </c>
      <c r="AG16" s="114"/>
      <c r="AH16" s="114"/>
      <c r="AI16" s="121" t="s">
        <v>2181</v>
      </c>
      <c r="AJ16" s="121" t="str">
        <f>IFERROR(__xludf.DUMMYFUNCTION("regexreplace(regexreplace(AI16, ""  \["", "" ""), ""\]$"", """")"),"015 - Buggy Pirates_Chief of Staff ~ Cabaji - Medal - Crafted [Colored] - Cabaji")</f>
        <v>015 - Buggy Pirates_Chief of Staff ~ Cabaji - Medal - Crafted [Colored] - Cabaji</v>
      </c>
      <c r="AK16" s="114"/>
      <c r="AL16" s="117" t="s">
        <v>2182</v>
      </c>
      <c r="AM16" s="117" t="s">
        <v>2183</v>
      </c>
      <c r="AN16" s="114"/>
      <c r="AO16" s="122">
        <f>IFERROR(__xludf.DUMMYFUNCTION("""COMPUTED_VALUE"""),293.0)</f>
        <v>293</v>
      </c>
      <c r="AP16" s="114" t="str">
        <f>IFERROR(__xludf.DUMMYFUNCTION("""COMPUTED_VALUE"""),"Franky
(Future Outfit)")</f>
        <v>Franky
(Future Outfit)</v>
      </c>
      <c r="AQ16" s="114" t="str">
        <f>IFERROR(__xludf.DUMMYFUNCTION("""COMPUTED_VALUE"""),"Franky (Future Outfit)")</f>
        <v>Franky (Future Outfit)</v>
      </c>
      <c r="AR16" s="114"/>
      <c r="AS16" s="114"/>
      <c r="AT16" s="123" t="str">
        <f>IFERROR(__xludf.DUMMYFUNCTION("""COMPUTED_VALUE"""),"https://i.postimg.cc/wBvGzZ3Q/293.png")</f>
        <v>https://i.postimg.cc/wBvGzZ3Q/293.png</v>
      </c>
      <c r="AU16" s="114"/>
      <c r="AV16" s="114"/>
      <c r="AW16" s="114"/>
      <c r="AX16" s="114" t="str">
        <f t="shared" si="3"/>
        <v>293 - Medal [Event] - Crafted - Franky (Future Outfit)</v>
      </c>
      <c r="AY16" s="114" t="s">
        <v>2184</v>
      </c>
      <c r="AZ16" s="114"/>
      <c r="BA16" s="114"/>
      <c r="BB16" s="114"/>
      <c r="BC16" s="114"/>
      <c r="BD16" s="114"/>
      <c r="BE16" s="114"/>
    </row>
    <row r="17" ht="37.5" customHeight="1">
      <c r="A17" s="118" t="s">
        <v>2185</v>
      </c>
      <c r="B17" s="117" t="s">
        <v>2186</v>
      </c>
      <c r="C17" s="119">
        <f>IFERROR(__xludf.DUMMYFUNCTION("""COMPUTED_VALUE"""),326.0)</f>
        <v>326</v>
      </c>
      <c r="D17" s="114" t="str">
        <f>IFERROR(__xludf.DUMMYFUNCTION("""COMPUTED_VALUE"""),"Issho")</f>
        <v>Issho</v>
      </c>
      <c r="E17" s="114" t="str">
        <f>IFERROR(__xludf.DUMMYFUNCTION("""COMPUTED_VALUE"""),"")</f>
        <v/>
      </c>
      <c r="F17" s="114"/>
      <c r="G17" s="117"/>
      <c r="H17" s="114"/>
      <c r="I17" s="114"/>
      <c r="J17" s="114"/>
      <c r="K17" s="114" t="s">
        <v>2187</v>
      </c>
      <c r="L17" s="114" t="s">
        <v>2188</v>
      </c>
      <c r="M17" s="114" t="s">
        <v>2189</v>
      </c>
      <c r="N17" s="114" t="s">
        <v>2190</v>
      </c>
      <c r="O17" s="114"/>
      <c r="P17" s="120">
        <v>326.0</v>
      </c>
      <c r="Q17" s="117" t="s">
        <v>2191</v>
      </c>
      <c r="R17" s="114"/>
      <c r="S17" s="117" t="s">
        <v>2192</v>
      </c>
      <c r="T17" s="114">
        <f t="shared" si="1"/>
        <v>14</v>
      </c>
      <c r="U17" s="114" t="s">
        <v>1933</v>
      </c>
      <c r="V17" s="114" t="str">
        <f>IFERROR(__xludf.DUMMYFUNCTION("REGEXREPLACE(U17, ""\n"", "" "")"),"Morgan")</f>
        <v>Morgan</v>
      </c>
      <c r="W17" s="114"/>
      <c r="X17" s="115" t="str">
        <f t="shared" si="2"/>
        <v>014 Navy Captain - Morgan - Medal [Morgan]</v>
      </c>
      <c r="Y17" s="124"/>
      <c r="Z17" s="117" t="s">
        <v>2193</v>
      </c>
      <c r="AA17" s="117" t="s">
        <v>2034</v>
      </c>
      <c r="AB17" s="114"/>
      <c r="AC17" s="123" t="str">
        <f>IFERROR(__xludf.DUMMYFUNCTION("""COMPUTED_VALUE"""),"https://ik.imagekit.io/alaaalaa6171/327%20Egghead%20-%20Nami%20-%20Medal%20_Egghead%20Nami_.png?updatedAt=1770076466216")</f>
        <v>https://ik.imagekit.io/alaaalaa6171/327%20Egghead%20-%20Nami%20-%20Medal%20_Egghead%20Nami_.png?updatedAt=1770076466216</v>
      </c>
      <c r="AD17" s="123" t="str">
        <f>IFERROR(__xludf.DUMMYFUNCTION("""COMPUTED_VALUE"""),"https://ik.imagekit.io/alaaalaa6171/327%20Egghead%20-%20Nami%20-%20Medal%20_Egghead%20Nami_%20_Colored_.png?updatedAt=1770076466206")</f>
        <v>https://ik.imagekit.io/alaaalaa6171/327%20Egghead%20-%20Nami%20-%20Medal%20_Egghead%20Nami_%20_Colored_.png?updatedAt=1770076466206</v>
      </c>
      <c r="AE17" s="123" t="str">
        <f>IFERROR(__xludf.DUMMYFUNCTION("""COMPUTED_VALUE"""),"https://ik.imagekit.io/alaaalaa6171/327%20Egghead%20-%20Nami%20-%20Medal%20_Egghead%20Nami_%20-%20Piece.png?updatedAt=1770076466260")</f>
        <v>https://ik.imagekit.io/alaaalaa6171/327%20Egghead%20-%20Nami%20-%20Medal%20_Egghead%20Nami_%20-%20Piece.png?updatedAt=1770076466260</v>
      </c>
      <c r="AF17" s="123" t="str">
        <f>IFERROR(__xludf.DUMMYFUNCTION("""COMPUTED_VALUE"""),"https://ik.imagekit.io/alaaalaa6171/327%20Egghead%20-%20Nami%20-%20Medal%20_Egghead%20Nami_%20-%20Piece%20_Colored_.png?updatedAt=1770076466207")</f>
        <v>https://ik.imagekit.io/alaaalaa6171/327%20Egghead%20-%20Nami%20-%20Medal%20_Egghead%20Nami_%20-%20Piece%20_Colored_.png?updatedAt=1770076466207</v>
      </c>
      <c r="AG17" s="114"/>
      <c r="AH17" s="114"/>
      <c r="AI17" s="121" t="s">
        <v>2194</v>
      </c>
      <c r="AJ17" s="121" t="str">
        <f>IFERROR(__xludf.DUMMYFUNCTION("regexreplace(regexreplace(AI17, ""  \["", "" ""), ""\]$"", """")"),"016 - Black Cat Pirates_Captain ~ Django - Medal - Crafted [Colored] - Django")</f>
        <v>016 - Black Cat Pirates_Captain ~ Django - Medal - Crafted [Colored] - Django</v>
      </c>
      <c r="AK17" s="114"/>
      <c r="AL17" s="117" t="s">
        <v>2195</v>
      </c>
      <c r="AM17" s="117" t="s">
        <v>2196</v>
      </c>
      <c r="AN17" s="114"/>
      <c r="AO17" s="122">
        <f>IFERROR(__xludf.DUMMYFUNCTION("""COMPUTED_VALUE"""),292.0)</f>
        <v>292</v>
      </c>
      <c r="AP17" s="114" t="str">
        <f>IFERROR(__xludf.DUMMYFUNCTION("""COMPUTED_VALUE"""),"Usopp
(Future Outfit)")</f>
        <v>Usopp
(Future Outfit)</v>
      </c>
      <c r="AQ17" s="114" t="str">
        <f>IFERROR(__xludf.DUMMYFUNCTION("""COMPUTED_VALUE"""),"Usopp (Future Outfit)")</f>
        <v>Usopp (Future Outfit)</v>
      </c>
      <c r="AR17" s="114"/>
      <c r="AS17" s="114"/>
      <c r="AT17" s="123" t="str">
        <f>IFERROR(__xludf.DUMMYFUNCTION("""COMPUTED_VALUE"""),"https://i.postimg.cc/8C0nz46Q/292.png")</f>
        <v>https://i.postimg.cc/8C0nz46Q/292.png</v>
      </c>
      <c r="AU17" s="114"/>
      <c r="AV17" s="114"/>
      <c r="AW17" s="114"/>
      <c r="AX17" s="114" t="str">
        <f t="shared" si="3"/>
        <v>292 - Medal [Event] - Crafted - Usopp (Future Outfit)</v>
      </c>
      <c r="AY17" s="114" t="s">
        <v>2197</v>
      </c>
      <c r="AZ17" s="114"/>
      <c r="BA17" s="114"/>
      <c r="BB17" s="114"/>
      <c r="BC17" s="114"/>
      <c r="BD17" s="114"/>
      <c r="BE17" s="114"/>
    </row>
    <row r="18" ht="37.5" customHeight="1">
      <c r="A18" s="118" t="s">
        <v>2198</v>
      </c>
      <c r="B18" s="117" t="s">
        <v>2199</v>
      </c>
      <c r="C18" s="119">
        <f>IFERROR(__xludf.DUMMYFUNCTION("""COMPUTED_VALUE"""),325.0)</f>
        <v>325</v>
      </c>
      <c r="D18" s="114" t="str">
        <f>IFERROR(__xludf.DUMMYFUNCTION("""COMPUTED_VALUE"""),"Aramaki")</f>
        <v>Aramaki</v>
      </c>
      <c r="E18" s="114" t="str">
        <f>IFERROR(__xludf.DUMMYFUNCTION("""COMPUTED_VALUE"""),"")</f>
        <v/>
      </c>
      <c r="F18" s="114"/>
      <c r="G18" s="114"/>
      <c r="H18" s="114"/>
      <c r="I18" s="114"/>
      <c r="J18" s="114"/>
      <c r="K18" s="114" t="s">
        <v>2200</v>
      </c>
      <c r="L18" s="114" t="s">
        <v>2201</v>
      </c>
      <c r="M18" s="114" t="s">
        <v>2202</v>
      </c>
      <c r="N18" s="114" t="s">
        <v>2203</v>
      </c>
      <c r="O18" s="114"/>
      <c r="P18" s="120">
        <v>325.0</v>
      </c>
      <c r="Q18" s="117" t="s">
        <v>2204</v>
      </c>
      <c r="R18" s="114"/>
      <c r="S18" s="117" t="s">
        <v>2205</v>
      </c>
      <c r="T18" s="114">
        <f t="shared" si="1"/>
        <v>26</v>
      </c>
      <c r="U18" s="114" t="s">
        <v>1892</v>
      </c>
      <c r="V18" s="114" t="str">
        <f>IFERROR(__xludf.DUMMYFUNCTION("REGEXREPLACE(U18, ""\n"", "" "")"),"Choo")</f>
        <v>Choo</v>
      </c>
      <c r="W18" s="114"/>
      <c r="X18" s="115" t="str">
        <f t="shared" si="2"/>
        <v>026 Arlong Pirates / Officer - Kuroobi - Medal [Choo]</v>
      </c>
      <c r="Y18" s="119"/>
      <c r="Z18" s="117" t="s">
        <v>2206</v>
      </c>
      <c r="AA18" s="117" t="s">
        <v>2032</v>
      </c>
      <c r="AB18" s="114"/>
      <c r="AC18" s="123" t="str">
        <f>IFERROR(__xludf.DUMMYFUNCTION("""COMPUTED_VALUE"""),"https://ik.imagekit.io/alaaalaa6171/326%20Blind%20Swordsman%20Fujitora%20-%20_Issho_%20-%20Medal%20_Issho_.png?updatedAt=1770076466191")</f>
        <v>https://ik.imagekit.io/alaaalaa6171/326%20Blind%20Swordsman%20Fujitora%20-%20_Issho_%20-%20Medal%20_Issho_.png?updatedAt=1770076466191</v>
      </c>
      <c r="AD18" s="123" t="str">
        <f>IFERROR(__xludf.DUMMYFUNCTION("""COMPUTED_VALUE"""),"https://ik.imagekit.io/alaaalaa6171/326%20Blind%20Swordsman%20Fujitora%20-%20_Issho_%20-%20Medal%20_Issho_%20_Colored_.png?updatedAt=1770076466224")</f>
        <v>https://ik.imagekit.io/alaaalaa6171/326%20Blind%20Swordsman%20Fujitora%20-%20_Issho_%20-%20Medal%20_Issho_%20_Colored_.png?updatedAt=1770076466224</v>
      </c>
      <c r="AE18" s="123" t="str">
        <f>IFERROR(__xludf.DUMMYFUNCTION("""COMPUTED_VALUE"""),"https://ik.imagekit.io/alaaalaa6171/326%20Blind%20Swordsman%20Fujitora%20-%20_Issho_%20-%20Medal%20_Issho_%20-%20Piece.png?updatedAt=1770076466244")</f>
        <v>https://ik.imagekit.io/alaaalaa6171/326%20Blind%20Swordsman%20Fujitora%20-%20_Issho_%20-%20Medal%20_Issho_%20-%20Piece.png?updatedAt=1770076466244</v>
      </c>
      <c r="AF18" s="123" t="str">
        <f>IFERROR(__xludf.DUMMYFUNCTION("""COMPUTED_VALUE"""),"https://ik.imagekit.io/alaaalaa6171/326%20Blind%20Swordsman%20Fujitora%20-%20_Issho_%20-%20Medal%20_Issho_%20-%20Piece%20_Colored_.png?updatedAt=1770076465769")</f>
        <v>https://ik.imagekit.io/alaaalaa6171/326%20Blind%20Swordsman%20Fujitora%20-%20_Issho_%20-%20Medal%20_Issho_%20-%20Piece%20_Colored_.png?updatedAt=1770076465769</v>
      </c>
      <c r="AG18" s="114"/>
      <c r="AH18" s="114"/>
      <c r="AI18" s="121" t="s">
        <v>2207</v>
      </c>
      <c r="AJ18" s="121" t="str">
        <f>IFERROR(__xludf.DUMMYFUNCTION("regexreplace(regexreplace(AI18, ""  \["", "" ""), ""\]$"", """")"),"017 - Black Cat Pirates_Guard ~ Butchie - Medal - Crafted [Colored] - Butchie")</f>
        <v>017 - Black Cat Pirates_Guard ~ Butchie - Medal - Crafted [Colored] - Butchie</v>
      </c>
      <c r="AK18" s="114"/>
      <c r="AL18" s="117" t="s">
        <v>2208</v>
      </c>
      <c r="AM18" s="117" t="s">
        <v>2209</v>
      </c>
      <c r="AN18" s="114"/>
      <c r="AO18" s="122">
        <f>IFERROR(__xludf.DUMMYFUNCTION("""COMPUTED_VALUE"""),291.0)</f>
        <v>291</v>
      </c>
      <c r="AP18" s="114" t="str">
        <f>IFERROR(__xludf.DUMMYFUNCTION("""COMPUTED_VALUE"""),"Sanji
(Future Outfit)")</f>
        <v>Sanji
(Future Outfit)</v>
      </c>
      <c r="AQ18" s="114" t="str">
        <f>IFERROR(__xludf.DUMMYFUNCTION("""COMPUTED_VALUE"""),"Sanji (Future Outfit)")</f>
        <v>Sanji (Future Outfit)</v>
      </c>
      <c r="AR18" s="114"/>
      <c r="AS18" s="114"/>
      <c r="AT18" s="123" t="str">
        <f>IFERROR(__xludf.DUMMYFUNCTION("""COMPUTED_VALUE"""),"https://i.postimg.cc/rmWWK21q/291.png")</f>
        <v>https://i.postimg.cc/rmWWK21q/291.png</v>
      </c>
      <c r="AU18" s="114"/>
      <c r="AV18" s="114"/>
      <c r="AW18" s="114"/>
      <c r="AX18" s="114" t="str">
        <f t="shared" si="3"/>
        <v>291 - Medal [Event] - Crafted - Sanji (Future Outfit)</v>
      </c>
      <c r="AY18" s="114" t="s">
        <v>2210</v>
      </c>
      <c r="AZ18" s="114"/>
      <c r="BA18" s="114"/>
      <c r="BB18" s="114"/>
      <c r="BC18" s="114"/>
      <c r="BD18" s="114"/>
      <c r="BE18" s="114"/>
    </row>
    <row r="19" ht="37.5" customHeight="1">
      <c r="A19" s="118" t="s">
        <v>2211</v>
      </c>
      <c r="B19" s="117" t="s">
        <v>2212</v>
      </c>
      <c r="C19" s="119">
        <f>IFERROR(__xludf.DUMMYFUNCTION("""COMPUTED_VALUE"""),324.0)</f>
        <v>324</v>
      </c>
      <c r="D19" s="114" t="str">
        <f>IFERROR(__xludf.DUMMYFUNCTION("""COMPUTED_VALUE"""),"Borsalino")</f>
        <v>Borsalino</v>
      </c>
      <c r="E19" s="114" t="str">
        <f>IFERROR(__xludf.DUMMYFUNCTION("""COMPUTED_VALUE"""),"")</f>
        <v/>
      </c>
      <c r="F19" s="114"/>
      <c r="G19" s="114"/>
      <c r="H19" s="114"/>
      <c r="I19" s="114"/>
      <c r="J19" s="114"/>
      <c r="K19" s="114" t="s">
        <v>2213</v>
      </c>
      <c r="L19" s="114" t="s">
        <v>2214</v>
      </c>
      <c r="M19" s="114" t="s">
        <v>2215</v>
      </c>
      <c r="N19" s="114" t="s">
        <v>2216</v>
      </c>
      <c r="O19" s="114"/>
      <c r="P19" s="120">
        <v>324.0</v>
      </c>
      <c r="Q19" s="117" t="s">
        <v>2217</v>
      </c>
      <c r="R19" s="114"/>
      <c r="S19" s="117" t="s">
        <v>2218</v>
      </c>
      <c r="T19" s="114">
        <f t="shared" si="1"/>
        <v>18</v>
      </c>
      <c r="U19" s="114" t="s">
        <v>1920</v>
      </c>
      <c r="V19" s="114" t="str">
        <f>IFERROR(__xludf.DUMMYFUNCTION("REGEXREPLACE(U19, ""\n"", "" "")"),"Yosaku")</f>
        <v>Yosaku</v>
      </c>
      <c r="W19" s="114"/>
      <c r="X19" s="115" t="str">
        <f t="shared" si="2"/>
        <v>018 Bounty Hunter - Yosaku - Medal [Yosaku]</v>
      </c>
      <c r="Y19" s="119"/>
      <c r="Z19" s="117" t="s">
        <v>2219</v>
      </c>
      <c r="AA19" s="117" t="s">
        <v>2044</v>
      </c>
      <c r="AB19" s="114"/>
      <c r="AC19" s="123" t="str">
        <f>IFERROR(__xludf.DUMMYFUNCTION("""COMPUTED_VALUE"""),"https://ik.imagekit.io/alaaalaa6171/325%20Groves%20of%20Wrath%20Ryokugyu%20-%20_Aramaki_%20-%20Medal%20_Aramaki_.png?updatedAt=1770076466199")</f>
        <v>https://ik.imagekit.io/alaaalaa6171/325%20Groves%20of%20Wrath%20Ryokugyu%20-%20_Aramaki_%20-%20Medal%20_Aramaki_.png?updatedAt=1770076466199</v>
      </c>
      <c r="AD19" s="123" t="str">
        <f>IFERROR(__xludf.DUMMYFUNCTION("""COMPUTED_VALUE"""),"https://ik.imagekit.io/alaaalaa6171/325%20Groves%20of%20Wrath%20Ryokugyu%20-%20_Aramaki_%20-%20Medal%20_Aramaki_%20_Colored_.png?updatedAt=1770076466251")</f>
        <v>https://ik.imagekit.io/alaaalaa6171/325%20Groves%20of%20Wrath%20Ryokugyu%20-%20_Aramaki_%20-%20Medal%20_Aramaki_%20_Colored_.png?updatedAt=1770076466251</v>
      </c>
      <c r="AE19" s="123" t="str">
        <f>IFERROR(__xludf.DUMMYFUNCTION("""COMPUTED_VALUE"""),"https://ik.imagekit.io/alaaalaa6171/325%20Groves%20of%20Wrath%20Ryokugyu%20-%20_Aramaki_%20-%20Medal%20_Aramaki_%20-%20Piece.png?updatedAt=1770076466214")</f>
        <v>https://ik.imagekit.io/alaaalaa6171/325%20Groves%20of%20Wrath%20Ryokugyu%20-%20_Aramaki_%20-%20Medal%20_Aramaki_%20-%20Piece.png?updatedAt=1770076466214</v>
      </c>
      <c r="AF19" s="123" t="str">
        <f>IFERROR(__xludf.DUMMYFUNCTION("""COMPUTED_VALUE"""),"https://ik.imagekit.io/alaaalaa6171/325%20Groves%20of%20Wrath%20Ryokugyu%20-%20_Aramaki_%20-%20Medal%20_Aramaki_%20-%20Piece%20_Colored_.png?updatedAt=1770076466241")</f>
        <v>https://ik.imagekit.io/alaaalaa6171/325%20Groves%20of%20Wrath%20Ryokugyu%20-%20_Aramaki_%20-%20Medal%20_Aramaki_%20-%20Piece%20_Colored_.png?updatedAt=1770076466241</v>
      </c>
      <c r="AG19" s="114"/>
      <c r="AH19" s="114"/>
      <c r="AI19" s="121" t="s">
        <v>2220</v>
      </c>
      <c r="AJ19" s="121" t="str">
        <f>IFERROR(__xludf.DUMMYFUNCTION("regexreplace(regexreplace(AI19, ""  \["", "" ""), ""\]$"", """")"),"018 - Bounty Hunter ~ Yosaku - Medal - Crafted [Colored] - Yosaku")</f>
        <v>018 - Bounty Hunter ~ Yosaku - Medal - Crafted [Colored] - Yosaku</v>
      </c>
      <c r="AK19" s="114"/>
      <c r="AL19" s="117" t="s">
        <v>2221</v>
      </c>
      <c r="AM19" s="117" t="s">
        <v>2222</v>
      </c>
      <c r="AN19" s="114"/>
      <c r="AO19" s="122">
        <f>IFERROR(__xludf.DUMMYFUNCTION("""COMPUTED_VALUE"""),290.0)</f>
        <v>290</v>
      </c>
      <c r="AP19" s="114" t="str">
        <f>IFERROR(__xludf.DUMMYFUNCTION("""COMPUTED_VALUE"""),"A Hundred Times Stronger")</f>
        <v>A Hundred Times Stronger</v>
      </c>
      <c r="AQ19" s="114" t="str">
        <f>IFERROR(__xludf.DUMMYFUNCTION("""COMPUTED_VALUE"""),"A Hundred Times Stronger")</f>
        <v>A Hundred Times Stronger</v>
      </c>
      <c r="AR19" s="114"/>
      <c r="AS19" s="114"/>
      <c r="AT19" s="123" t="str">
        <f>IFERROR(__xludf.DUMMYFUNCTION("""COMPUTED_VALUE"""),"https://i.postimg.cc/6QFnWpGH/290.png")</f>
        <v>https://i.postimg.cc/6QFnWpGH/290.png</v>
      </c>
      <c r="AU19" s="114"/>
      <c r="AV19" s="114"/>
      <c r="AW19" s="114"/>
      <c r="AX19" s="114" t="str">
        <f t="shared" si="3"/>
        <v>290 - Medal [Event] - Crafted - A Hundred Times Stronger</v>
      </c>
      <c r="AY19" s="114" t="s">
        <v>2223</v>
      </c>
      <c r="AZ19" s="114"/>
      <c r="BA19" s="114"/>
      <c r="BB19" s="114"/>
      <c r="BC19" s="114"/>
      <c r="BD19" s="114"/>
      <c r="BE19" s="114"/>
    </row>
    <row r="20" ht="37.5" customHeight="1">
      <c r="A20" s="118" t="s">
        <v>2224</v>
      </c>
      <c r="B20" s="117" t="s">
        <v>2225</v>
      </c>
      <c r="C20" s="119">
        <f>IFERROR(__xludf.DUMMYFUNCTION("""COMPUTED_VALUE"""),323.0)</f>
        <v>323</v>
      </c>
      <c r="D20" s="114" t="str">
        <f>IFERROR(__xludf.DUMMYFUNCTION("""COMPUTED_VALUE"""),"Armée de l’Air Power Shoot")</f>
        <v>Armée de l’Air Power Shoot</v>
      </c>
      <c r="E20" s="114" t="str">
        <f>IFERROR(__xludf.DUMMYFUNCTION("""COMPUTED_VALUE"""),"")</f>
        <v/>
      </c>
      <c r="F20" s="114"/>
      <c r="G20" s="114"/>
      <c r="H20" s="114"/>
      <c r="I20" s="114"/>
      <c r="J20" s="114"/>
      <c r="K20" s="114" t="s">
        <v>2226</v>
      </c>
      <c r="L20" s="114" t="s">
        <v>2227</v>
      </c>
      <c r="M20" s="114" t="s">
        <v>2228</v>
      </c>
      <c r="N20" s="114" t="s">
        <v>2229</v>
      </c>
      <c r="O20" s="114"/>
      <c r="P20" s="120">
        <v>323.0</v>
      </c>
      <c r="Q20" s="117" t="s">
        <v>2230</v>
      </c>
      <c r="R20" s="114"/>
      <c r="S20" s="117" t="s">
        <v>2231</v>
      </c>
      <c r="T20" s="114">
        <f t="shared" si="1"/>
        <v>25</v>
      </c>
      <c r="U20" s="114" t="s">
        <v>1899</v>
      </c>
      <c r="V20" s="114" t="str">
        <f>IFERROR(__xludf.DUMMYFUNCTION("REGEXREPLACE(U20, ""\n"", "" "")"),"Hachi")</f>
        <v>Hachi</v>
      </c>
      <c r="W20" s="114"/>
      <c r="X20" s="115" t="str">
        <f t="shared" si="2"/>
        <v>025 Arlong Pirates / Officer - Hatchan - Medal [Hachi]</v>
      </c>
      <c r="Y20" s="119"/>
      <c r="Z20" s="117" t="s">
        <v>2232</v>
      </c>
      <c r="AA20" s="117" t="s">
        <v>2046</v>
      </c>
      <c r="AB20" s="114"/>
      <c r="AC20" s="123" t="str">
        <f>IFERROR(__xludf.DUMMYFUNCTION("""COMPUTED_VALUE"""),"https://ik.imagekit.io/alaaalaa6171/324%20Ama%20no%20Murakumo%20Sword%20Kizaru%20-%20_Borsalino_%20-%20Medal%20_Borsalino_.png?updatedAt=1770076466200")</f>
        <v>https://ik.imagekit.io/alaaalaa6171/324%20Ama%20no%20Murakumo%20Sword%20Kizaru%20-%20_Borsalino_%20-%20Medal%20_Borsalino_.png?updatedAt=1770076466200</v>
      </c>
      <c r="AD20" s="123" t="str">
        <f>IFERROR(__xludf.DUMMYFUNCTION("""COMPUTED_VALUE"""),"https://ik.imagekit.io/alaaalaa6171/324%20Ama%20no%20Murakumo%20Sword%20Kizaru%20-%20_Borsalino_%20-%20Medal%20_Borsalino_%20_Colored_.png?updatedAt=1770076466232")</f>
        <v>https://ik.imagekit.io/alaaalaa6171/324%20Ama%20no%20Murakumo%20Sword%20Kizaru%20-%20_Borsalino_%20-%20Medal%20_Borsalino_%20_Colored_.png?updatedAt=1770076466232</v>
      </c>
      <c r="AE20" s="123" t="str">
        <f>IFERROR(__xludf.DUMMYFUNCTION("""COMPUTED_VALUE"""),"https://ik.imagekit.io/alaaalaa6171/324%20Ama%20no%20Murakumo%20Sword%20Kizaru%20-%20_Borsalino_%20-%20Medal%20_Borsalino_%20-%20Piece.png?updatedAt=1770076466160")</f>
        <v>https://ik.imagekit.io/alaaalaa6171/324%20Ama%20no%20Murakumo%20Sword%20Kizaru%20-%20_Borsalino_%20-%20Medal%20_Borsalino_%20-%20Piece.png?updatedAt=1770076466160</v>
      </c>
      <c r="AF20" s="123" t="str">
        <f>IFERROR(__xludf.DUMMYFUNCTION("""COMPUTED_VALUE"""),"https://ik.imagekit.io/alaaalaa6171/324%20Ama%20no%20Murakumo%20Sword%20Kizaru%20-%20_Borsalino_%20-%20Medal%20_Borsalino_%20-%20Piece%20_Colored_.png?updatedAt=1770076466191")</f>
        <v>https://ik.imagekit.io/alaaalaa6171/324%20Ama%20no%20Murakumo%20Sword%20Kizaru%20-%20_Borsalino_%20-%20Medal%20_Borsalino_%20-%20Piece%20_Colored_.png?updatedAt=1770076466191</v>
      </c>
      <c r="AG20" s="114"/>
      <c r="AH20" s="114"/>
      <c r="AI20" s="121" t="s">
        <v>2233</v>
      </c>
      <c r="AJ20" s="121" t="str">
        <f>IFERROR(__xludf.DUMMYFUNCTION("regexreplace(regexreplace(AI20, ""  \["", "" ""), ""\]$"", """")"),"019 - Bounty Hunter ~ Johnny - Medal - Crafted [Colored] - Johnny")</f>
        <v>019 - Bounty Hunter ~ Johnny - Medal - Crafted [Colored] - Johnny</v>
      </c>
      <c r="AK20" s="114"/>
      <c r="AL20" s="117" t="s">
        <v>2234</v>
      </c>
      <c r="AM20" s="117" t="s">
        <v>2235</v>
      </c>
      <c r="AN20" s="114"/>
      <c r="AO20" s="122">
        <f>IFERROR(__xludf.DUMMYFUNCTION("""COMPUTED_VALUE"""),289.0)</f>
        <v>289</v>
      </c>
      <c r="AP20" s="114" t="str">
        <f>IFERROR(__xludf.DUMMYFUNCTION("""COMPUTED_VALUE"""),"Atlas
(Order)")</f>
        <v>Atlas
(Order)</v>
      </c>
      <c r="AQ20" s="114" t="str">
        <f>IFERROR(__xludf.DUMMYFUNCTION("""COMPUTED_VALUE"""),"Atlas (Order)")</f>
        <v>Atlas (Order)</v>
      </c>
      <c r="AR20" s="114"/>
      <c r="AS20" s="114"/>
      <c r="AT20" s="123" t="str">
        <f>IFERROR(__xludf.DUMMYFUNCTION("""COMPUTED_VALUE"""),"https://i.postimg.cc/GhQ3p26M/289.png")</f>
        <v>https://i.postimg.cc/GhQ3p26M/289.png</v>
      </c>
      <c r="AU20" s="114"/>
      <c r="AV20" s="114"/>
      <c r="AW20" s="114"/>
      <c r="AX20" s="114" t="str">
        <f t="shared" si="3"/>
        <v>289 - Medal [Event] - Crafted - Atlas (Order)</v>
      </c>
      <c r="AY20" s="114" t="s">
        <v>2236</v>
      </c>
      <c r="AZ20" s="114"/>
      <c r="BA20" s="114"/>
      <c r="BB20" s="114"/>
      <c r="BC20" s="114"/>
      <c r="BD20" s="114"/>
      <c r="BE20" s="114"/>
    </row>
    <row r="21" ht="37.5" customHeight="1">
      <c r="A21" s="118" t="s">
        <v>2237</v>
      </c>
      <c r="B21" s="117" t="s">
        <v>2238</v>
      </c>
      <c r="C21" s="119">
        <f>IFERROR(__xludf.DUMMYFUNCTION("""COMPUTED_VALUE"""),322.0)</f>
        <v>322</v>
      </c>
      <c r="D21" s="114" t="str">
        <f>IFERROR(__xludf.DUMMYFUNCTION("""COMPUTED_VALUE"""),"Foxy")</f>
        <v>Foxy</v>
      </c>
      <c r="E21" s="114" t="str">
        <f>IFERROR(__xludf.DUMMYFUNCTION("""COMPUTED_VALUE"""),"")</f>
        <v/>
      </c>
      <c r="F21" s="114"/>
      <c r="G21" s="114"/>
      <c r="H21" s="114"/>
      <c r="I21" s="114"/>
      <c r="J21" s="114"/>
      <c r="K21" s="114" t="s">
        <v>2239</v>
      </c>
      <c r="L21" s="114" t="s">
        <v>2240</v>
      </c>
      <c r="M21" s="114" t="s">
        <v>2241</v>
      </c>
      <c r="N21" s="114" t="s">
        <v>2242</v>
      </c>
      <c r="O21" s="114"/>
      <c r="P21" s="120">
        <v>322.0</v>
      </c>
      <c r="Q21" s="117" t="s">
        <v>2243</v>
      </c>
      <c r="R21" s="114"/>
      <c r="S21" s="117" t="s">
        <v>2244</v>
      </c>
      <c r="T21" s="114">
        <f t="shared" si="1"/>
        <v>16</v>
      </c>
      <c r="U21" s="114" t="s">
        <v>1927</v>
      </c>
      <c r="V21" s="114" t="str">
        <f>IFERROR(__xludf.DUMMYFUNCTION("REGEXREPLACE(U21, ""\n"", "" "")"),"Django")</f>
        <v>Django</v>
      </c>
      <c r="W21" s="114"/>
      <c r="X21" s="115" t="str">
        <f t="shared" si="2"/>
        <v>016 Black Cat Pirates / Captain - Django - Medal [Django]</v>
      </c>
      <c r="Y21" s="119"/>
      <c r="Z21" s="117" t="s">
        <v>2245</v>
      </c>
      <c r="AA21" s="117" t="s">
        <v>2047</v>
      </c>
      <c r="AB21" s="114"/>
      <c r="AC21" s="123" t="str">
        <f>IFERROR(__xludf.DUMMYFUNCTION("""COMPUTED_VALUE"""),"https://ik.imagekit.io/alaaalaa6171/323%20Davy%20Back%20Fight%20-%20Sanji%201%20-%20Medal%20_Arm%C3%A9e%20de%20l_Air%20Power%20Shoot_.png?updatedAt=1770076466244")</f>
        <v>https://ik.imagekit.io/alaaalaa6171/323%20Davy%20Back%20Fight%20-%20Sanji%201%20-%20Medal%20_Arm%C3%A9e%20de%20l_Air%20Power%20Shoot_.png?updatedAt=1770076466244</v>
      </c>
      <c r="AD21" s="123" t="str">
        <f>IFERROR(__xludf.DUMMYFUNCTION("""COMPUTED_VALUE"""),"https://ik.imagekit.io/alaaalaa6171/323%20Davy%20Back%20Fight%20-%20Sanji%201%20-%20Medal%20_Arm%C3%A9e%20de%20l_Air%20Power%20Shoot_%20_Colored_.png?updatedAt=1770076466219")</f>
        <v>https://ik.imagekit.io/alaaalaa6171/323%20Davy%20Back%20Fight%20-%20Sanji%201%20-%20Medal%20_Arm%C3%A9e%20de%20l_Air%20Power%20Shoot_%20_Colored_.png?updatedAt=1770076466219</v>
      </c>
      <c r="AE21" s="123" t="str">
        <f>IFERROR(__xludf.DUMMYFUNCTION("""COMPUTED_VALUE"""),"https://ik.imagekit.io/alaaalaa6171/323%20Davy%20Back%20Fight%20-%20Sanji%201%20-%20Medal%20_Arm%C3%A9e%20de%20l_Air%20Power%20Shoot_%20-%20Piece.png?updatedAt=1770076466185")</f>
        <v>https://ik.imagekit.io/alaaalaa6171/323%20Davy%20Back%20Fight%20-%20Sanji%201%20-%20Medal%20_Arm%C3%A9e%20de%20l_Air%20Power%20Shoot_%20-%20Piece.png?updatedAt=1770076466185</v>
      </c>
      <c r="AF21" s="123" t="str">
        <f>IFERROR(__xludf.DUMMYFUNCTION("""COMPUTED_VALUE"""),"https://ik.imagekit.io/alaaalaa6171/323%20Davy%20Back%20Fight%20-%20Sanji%201%20-%20Medal%20_Arm%C3%A9e%20de%20l_Air%20Power%20Shoot_%20-%20Piece%20_Colored_.png?updatedAt=1770076466143")</f>
        <v>https://ik.imagekit.io/alaaalaa6171/323%20Davy%20Back%20Fight%20-%20Sanji%201%20-%20Medal%20_Arm%C3%A9e%20de%20l_Air%20Power%20Shoot_%20-%20Piece%20_Colored_.png?updatedAt=1770076466143</v>
      </c>
      <c r="AG21" s="114"/>
      <c r="AH21" s="114"/>
      <c r="AI21" s="121" t="s">
        <v>2246</v>
      </c>
      <c r="AJ21" s="121" t="str">
        <f>IFERROR(__xludf.DUMMYFUNCTION("regexreplace(regexreplace(AI21, ""  \["", "" ""), ""\]$"", """")"),"020 - Buggy Pirates_Captain ~ Buggy - Medal - Crafted [Colored] - Buggy")</f>
        <v>020 - Buggy Pirates_Captain ~ Buggy - Medal - Crafted [Colored] - Buggy</v>
      </c>
      <c r="AK21" s="114"/>
      <c r="AL21" s="117" t="s">
        <v>2247</v>
      </c>
      <c r="AM21" s="117" t="s">
        <v>2248</v>
      </c>
      <c r="AN21" s="114"/>
      <c r="AO21" s="122">
        <f>IFERROR(__xludf.DUMMYFUNCTION("""COMPUTED_VALUE"""),288.0)</f>
        <v>288</v>
      </c>
      <c r="AP21" s="114" t="str">
        <f>IFERROR(__xludf.DUMMYFUNCTION("""COMPUTED_VALUE"""),"Edison
(Bandaged)")</f>
        <v>Edison
(Bandaged)</v>
      </c>
      <c r="AQ21" s="114" t="str">
        <f>IFERROR(__xludf.DUMMYFUNCTION("""COMPUTED_VALUE"""),"Edison (Bandaged)")</f>
        <v>Edison (Bandaged)</v>
      </c>
      <c r="AR21" s="114"/>
      <c r="AS21" s="114"/>
      <c r="AT21" s="123" t="str">
        <f>IFERROR(__xludf.DUMMYFUNCTION("""COMPUTED_VALUE"""),"https://i.postimg.cc/m2R2RMpz/288.png")</f>
        <v>https://i.postimg.cc/m2R2RMpz/288.png</v>
      </c>
      <c r="AU21" s="114"/>
      <c r="AV21" s="114"/>
      <c r="AW21" s="114"/>
      <c r="AX21" s="114" t="str">
        <f t="shared" si="3"/>
        <v>288 - Medal [Event] - Crafted - Edison (Bandaged)</v>
      </c>
      <c r="AY21" s="114" t="s">
        <v>2249</v>
      </c>
      <c r="AZ21" s="114"/>
      <c r="BA21" s="114"/>
      <c r="BB21" s="114"/>
      <c r="BC21" s="114"/>
      <c r="BD21" s="114"/>
      <c r="BE21" s="114"/>
    </row>
    <row r="22" ht="37.5" customHeight="1">
      <c r="A22" s="118" t="s">
        <v>2250</v>
      </c>
      <c r="B22" s="117" t="s">
        <v>2251</v>
      </c>
      <c r="C22" s="119">
        <f>IFERROR(__xludf.DUMMYFUNCTION("""COMPUTED_VALUE"""),321.0)</f>
        <v>321</v>
      </c>
      <c r="D22" s="114" t="str">
        <f>IFERROR(__xludf.DUMMYFUNCTION("""COMPUTED_VALUE"""),"Flail")</f>
        <v>Flail</v>
      </c>
      <c r="E22" s="114" t="str">
        <f>IFERROR(__xludf.DUMMYFUNCTION("""COMPUTED_VALUE"""),"")</f>
        <v/>
      </c>
      <c r="F22" s="114"/>
      <c r="G22" s="114"/>
      <c r="H22" s="114"/>
      <c r="I22" s="114"/>
      <c r="J22" s="114"/>
      <c r="K22" s="114" t="s">
        <v>2252</v>
      </c>
      <c r="L22" s="114" t="s">
        <v>2253</v>
      </c>
      <c r="M22" s="114" t="s">
        <v>2254</v>
      </c>
      <c r="N22" s="114" t="s">
        <v>2255</v>
      </c>
      <c r="O22" s="114"/>
      <c r="P22" s="120">
        <v>321.0</v>
      </c>
      <c r="Q22" s="117" t="s">
        <v>2256</v>
      </c>
      <c r="R22" s="114"/>
      <c r="S22" s="117" t="s">
        <v>2257</v>
      </c>
      <c r="T22" s="114">
        <f t="shared" si="1"/>
        <v>21</v>
      </c>
      <c r="U22" s="114" t="s">
        <v>1910</v>
      </c>
      <c r="V22" s="114" t="str">
        <f>IFERROR(__xludf.DUMMYFUNCTION("REGEXREPLACE(U22, ""\n"", "" "")"),"Kuro")</f>
        <v>Kuro</v>
      </c>
      <c r="W22" s="114"/>
      <c r="X22" s="115" t="str">
        <f t="shared" si="2"/>
        <v>021 Black Cat Pirates / Former Captain - Captain Kuro - Medal [Kuro]</v>
      </c>
      <c r="Y22" s="119"/>
      <c r="Z22" s="117" t="s">
        <v>2258</v>
      </c>
      <c r="AA22" s="117" t="s">
        <v>2045</v>
      </c>
      <c r="AB22" s="114"/>
      <c r="AC22" s="123" t="str">
        <f>IFERROR(__xludf.DUMMYFUNCTION("""COMPUTED_VALUE"""),"https://ik.imagekit.io/alaaalaa6171/322%20Foxy%20Pirates_Captain%20-%20Foxy%20-%20Medal%20_Foxy_.png?updatedAt=1770076466187")</f>
        <v>https://ik.imagekit.io/alaaalaa6171/322%20Foxy%20Pirates_Captain%20-%20Foxy%20-%20Medal%20_Foxy_.png?updatedAt=1770076466187</v>
      </c>
      <c r="AD22" s="123" t="str">
        <f>IFERROR(__xludf.DUMMYFUNCTION("""COMPUTED_VALUE"""),"https://ik.imagekit.io/alaaalaa6171/322%20Foxy%20Pirates_Captain%20-%20Foxy%20-%20Medal%20_Foxy_%20_Colored_.png?updatedAt=1770076466152")</f>
        <v>https://ik.imagekit.io/alaaalaa6171/322%20Foxy%20Pirates_Captain%20-%20Foxy%20-%20Medal%20_Foxy_%20_Colored_.png?updatedAt=1770076466152</v>
      </c>
      <c r="AE22" s="123" t="str">
        <f>IFERROR(__xludf.DUMMYFUNCTION("""COMPUTED_VALUE"""),"https://ik.imagekit.io/alaaalaa6171/322%20Foxy%20Pirates_Captain%20-%20Foxy%20-%20Medal%20_Foxy_%20-%20Piece.png?updatedAt=1770076466132")</f>
        <v>https://ik.imagekit.io/alaaalaa6171/322%20Foxy%20Pirates_Captain%20-%20Foxy%20-%20Medal%20_Foxy_%20-%20Piece.png?updatedAt=1770076466132</v>
      </c>
      <c r="AF22" s="123" t="str">
        <f>IFERROR(__xludf.DUMMYFUNCTION("""COMPUTED_VALUE"""),"https://ik.imagekit.io/alaaalaa6171/322%20Foxy%20Pirates_Captain%20-%20Foxy%20-%20Medal%20_Foxy_%20-%20Piece%20_Colored_.png?updatedAt=1770076466148")</f>
        <v>https://ik.imagekit.io/alaaalaa6171/322%20Foxy%20Pirates_Captain%20-%20Foxy%20-%20Medal%20_Foxy_%20-%20Piece%20_Colored_.png?updatedAt=1770076466148</v>
      </c>
      <c r="AG22" s="114"/>
      <c r="AH22" s="114"/>
      <c r="AI22" s="121" t="s">
        <v>2259</v>
      </c>
      <c r="AJ22" s="121" t="str">
        <f>IFERROR(__xludf.DUMMYFUNCTION("regexreplace(regexreplace(AI22, ""  \["", "" ""), ""\]$"", """")"),"021 - Black Cat Pirates_Former Captain ~ Captain Kuro - Medal - Crafted [Colored] - Kuro")</f>
        <v>021 - Black Cat Pirates_Former Captain ~ Captain Kuro - Medal - Crafted [Colored] - Kuro</v>
      </c>
      <c r="AK22" s="114"/>
      <c r="AL22" s="117" t="s">
        <v>2260</v>
      </c>
      <c r="AM22" s="117" t="s">
        <v>2261</v>
      </c>
      <c r="AN22" s="114"/>
      <c r="AO22" s="122">
        <f>IFERROR(__xludf.DUMMYFUNCTION("""COMPUTED_VALUE"""),287.0)</f>
        <v>287</v>
      </c>
      <c r="AP22" s="114" t="str">
        <f>IFERROR(__xludf.DUMMYFUNCTION("""COMPUTED_VALUE"""),"Kuzan
(FILM Z)")</f>
        <v>Kuzan
(FILM Z)</v>
      </c>
      <c r="AQ22" s="114" t="str">
        <f>IFERROR(__xludf.DUMMYFUNCTION("""COMPUTED_VALUE"""),"Kuzan (FILM Z)")</f>
        <v>Kuzan (FILM Z)</v>
      </c>
      <c r="AR22" s="114"/>
      <c r="AS22" s="114"/>
      <c r="AT22" s="123" t="str">
        <f>IFERROR(__xludf.DUMMYFUNCTION("""COMPUTED_VALUE"""),"https://i.postimg.cc/pdjqGDm2/287.png")</f>
        <v>https://i.postimg.cc/pdjqGDm2/287.png</v>
      </c>
      <c r="AU22" s="114"/>
      <c r="AV22" s="114"/>
      <c r="AW22" s="114"/>
      <c r="AX22" s="114" t="str">
        <f t="shared" si="3"/>
        <v>287 - Medal [Event] - Crafted - Kuzan (FILM Z)</v>
      </c>
      <c r="AY22" s="114" t="s">
        <v>2262</v>
      </c>
      <c r="AZ22" s="114"/>
      <c r="BA22" s="114"/>
      <c r="BB22" s="114"/>
      <c r="BC22" s="114"/>
      <c r="BD22" s="114"/>
      <c r="BE22" s="114"/>
    </row>
    <row r="23" ht="37.5" customHeight="1">
      <c r="A23" s="118" t="s">
        <v>2263</v>
      </c>
      <c r="B23" s="117" t="s">
        <v>2264</v>
      </c>
      <c r="C23" s="119">
        <f>IFERROR(__xludf.DUMMYFUNCTION("""COMPUTED_VALUE"""),320.0)</f>
        <v>320</v>
      </c>
      <c r="D23" s="114" t="str">
        <f>IFERROR(__xludf.DUMMYFUNCTION("""COMPUTED_VALUE"""),"Sai")</f>
        <v>Sai</v>
      </c>
      <c r="E23" s="114" t="str">
        <f>IFERROR(__xludf.DUMMYFUNCTION("""COMPUTED_VALUE"""),"")</f>
        <v/>
      </c>
      <c r="F23" s="114"/>
      <c r="G23" s="114"/>
      <c r="H23" s="114"/>
      <c r="I23" s="114"/>
      <c r="J23" s="114"/>
      <c r="K23" s="114" t="s">
        <v>2265</v>
      </c>
      <c r="L23" s="114" t="s">
        <v>2266</v>
      </c>
      <c r="M23" s="114" t="s">
        <v>2267</v>
      </c>
      <c r="N23" s="114" t="s">
        <v>2268</v>
      </c>
      <c r="O23" s="114"/>
      <c r="P23" s="120">
        <v>320.0</v>
      </c>
      <c r="Q23" s="117" t="s">
        <v>2269</v>
      </c>
      <c r="R23" s="114"/>
      <c r="S23" s="117" t="s">
        <v>2270</v>
      </c>
      <c r="T23" s="114">
        <f t="shared" si="1"/>
        <v>23</v>
      </c>
      <c r="U23" s="114" t="s">
        <v>1904</v>
      </c>
      <c r="V23" s="114" t="str">
        <f>IFERROR(__xludf.DUMMYFUNCTION("REGEXREPLACE(U23, ""\n"", "" "")"),"Gin")</f>
        <v>Gin</v>
      </c>
      <c r="W23" s="114"/>
      <c r="X23" s="115" t="str">
        <f t="shared" si="2"/>
        <v>023 Krieg`s Pirate Armada / Battle Commander - Gin - Medal [Gin]</v>
      </c>
      <c r="Y23" s="119"/>
      <c r="Z23" s="117" t="s">
        <v>2271</v>
      </c>
      <c r="AA23" s="117" t="s">
        <v>2057</v>
      </c>
      <c r="AB23" s="114"/>
      <c r="AC23" s="123" t="str">
        <f>IFERROR(__xludf.DUMMYFUNCTION("""COMPUTED_VALUE"""),"https://ik.imagekit.io/alaaalaa6171/321%20Davy%20Back%20Fight%20-%20Monkey%20D.%20Luffy%20-%20Medal%20_Flail_.png?updatedAt=1770076466119")</f>
        <v>https://ik.imagekit.io/alaaalaa6171/321%20Davy%20Back%20Fight%20-%20Monkey%20D.%20Luffy%20-%20Medal%20_Flail_.png?updatedAt=1770076466119</v>
      </c>
      <c r="AD23" s="123" t="str">
        <f>IFERROR(__xludf.DUMMYFUNCTION("""COMPUTED_VALUE"""),"https://ik.imagekit.io/alaaalaa6171/321%20Davy%20Back%20Fight%20-%20Monkey%20D.%20Luffy%20-%20Medal%20_Flail_%20_Colored_.png?updatedAt=1770076466178")</f>
        <v>https://ik.imagekit.io/alaaalaa6171/321%20Davy%20Back%20Fight%20-%20Monkey%20D.%20Luffy%20-%20Medal%20_Flail_%20_Colored_.png?updatedAt=1770076466178</v>
      </c>
      <c r="AE23" s="123" t="str">
        <f>IFERROR(__xludf.DUMMYFUNCTION("""COMPUTED_VALUE"""),"https://ik.imagekit.io/alaaalaa6171/321%20Davy%20Back%20Fight%20-%20Monkey%20D.%20Luffy%20-%20Medal%20_Flail_%20-%20Piece.png?updatedAt=1770076466104")</f>
        <v>https://ik.imagekit.io/alaaalaa6171/321%20Davy%20Back%20Fight%20-%20Monkey%20D.%20Luffy%20-%20Medal%20_Flail_%20-%20Piece.png?updatedAt=1770076466104</v>
      </c>
      <c r="AF23" s="123" t="str">
        <f>IFERROR(__xludf.DUMMYFUNCTION("""COMPUTED_VALUE"""),"https://ik.imagekit.io/alaaalaa6171/321%20Davy%20Back%20Fight%20-%20Monkey%20D.%20Luffy%20-%20Medal%20_Flail_%20-%20Piece%20_Colored_.png?updatedAt=1770076466140")</f>
        <v>https://ik.imagekit.io/alaaalaa6171/321%20Davy%20Back%20Fight%20-%20Monkey%20D.%20Luffy%20-%20Medal%20_Flail_%20-%20Piece%20_Colored_.png?updatedAt=1770076466140</v>
      </c>
      <c r="AG23" s="114"/>
      <c r="AH23" s="114"/>
      <c r="AI23" s="121" t="s">
        <v>2272</v>
      </c>
      <c r="AJ23" s="121" t="str">
        <f>IFERROR(__xludf.DUMMYFUNCTION("regexreplace(regexreplace(AI23, ""  \["", "" ""), ""\]$"", """")"),"022 - Baratie_Head Chef ~ Zeff - Medal - Crafted [Colored] - Zeff")</f>
        <v>022 - Baratie_Head Chef ~ Zeff - Medal - Crafted [Colored] - Zeff</v>
      </c>
      <c r="AK23" s="114"/>
      <c r="AL23" s="117" t="s">
        <v>2273</v>
      </c>
      <c r="AM23" s="117" t="s">
        <v>2274</v>
      </c>
      <c r="AN23" s="114"/>
      <c r="AO23" s="122">
        <f>IFERROR(__xludf.DUMMYFUNCTION("""COMPUTED_VALUE"""),286.0)</f>
        <v>286</v>
      </c>
      <c r="AP23" s="114" t="str">
        <f>IFERROR(__xludf.DUMMYFUNCTION("""COMPUTED_VALUE"""),"Admiral Zephyr")</f>
        <v>Admiral Zephyr</v>
      </c>
      <c r="AQ23" s="114" t="str">
        <f>IFERROR(__xludf.DUMMYFUNCTION("""COMPUTED_VALUE"""),"Admiral Zephyr")</f>
        <v>Admiral Zephyr</v>
      </c>
      <c r="AR23" s="114"/>
      <c r="AS23" s="114"/>
      <c r="AT23" s="123" t="str">
        <f>IFERROR(__xludf.DUMMYFUNCTION("""COMPUTED_VALUE"""),"https://i.postimg.cc/6pgMfH5j/286.png")</f>
        <v>https://i.postimg.cc/6pgMfH5j/286.png</v>
      </c>
      <c r="AU23" s="114"/>
      <c r="AV23" s="114"/>
      <c r="AW23" s="114"/>
      <c r="AX23" s="114" t="str">
        <f t="shared" si="3"/>
        <v>286 - Medal [Event] - Crafted - Admiral Zephyr</v>
      </c>
      <c r="AY23" s="114" t="s">
        <v>2275</v>
      </c>
      <c r="AZ23" s="114"/>
      <c r="BA23" s="114"/>
      <c r="BB23" s="114"/>
      <c r="BC23" s="114"/>
      <c r="BD23" s="114"/>
      <c r="BE23" s="114"/>
    </row>
    <row r="24" ht="37.5" customHeight="1">
      <c r="A24" s="118" t="s">
        <v>2276</v>
      </c>
      <c r="B24" s="117" t="s">
        <v>2277</v>
      </c>
      <c r="C24" s="119">
        <f>IFERROR(__xludf.DUMMYFUNCTION("""COMPUTED_VALUE"""),319.0)</f>
        <v>319</v>
      </c>
      <c r="D24" s="114" t="str">
        <f>IFERROR(__xludf.DUMMYFUNCTION("""COMPUTED_VALUE"""),"Leo")</f>
        <v>Leo</v>
      </c>
      <c r="E24" s="114" t="str">
        <f>IFERROR(__xludf.DUMMYFUNCTION("""COMPUTED_VALUE"""),"")</f>
        <v/>
      </c>
      <c r="F24" s="114"/>
      <c r="G24" s="114"/>
      <c r="H24" s="114"/>
      <c r="I24" s="114"/>
      <c r="J24" s="114"/>
      <c r="K24" s="114" t="s">
        <v>2278</v>
      </c>
      <c r="L24" s="114" t="s">
        <v>2279</v>
      </c>
      <c r="M24" s="114" t="s">
        <v>2280</v>
      </c>
      <c r="N24" s="114" t="s">
        <v>2281</v>
      </c>
      <c r="O24" s="114"/>
      <c r="P24" s="120">
        <v>319.0</v>
      </c>
      <c r="Q24" s="117" t="s">
        <v>2282</v>
      </c>
      <c r="R24" s="114"/>
      <c r="S24" s="117" t="s">
        <v>2283</v>
      </c>
      <c r="T24" s="114">
        <f t="shared" si="1"/>
        <v>24</v>
      </c>
      <c r="U24" s="114" t="s">
        <v>1901</v>
      </c>
      <c r="V24" s="114" t="str">
        <f>IFERROR(__xludf.DUMMYFUNCTION("REGEXREPLACE(U24, ""\n"", "" "")"),"Don Krieg")</f>
        <v>Don Krieg</v>
      </c>
      <c r="W24" s="114"/>
      <c r="X24" s="115" t="str">
        <f t="shared" si="2"/>
        <v>024 Krieg`s Pirate Armada / Admiral - Don Krieg - Medal [Don Krieg]</v>
      </c>
      <c r="Y24" s="119"/>
      <c r="Z24" s="117" t="s">
        <v>2284</v>
      </c>
      <c r="AA24" s="117" t="s">
        <v>2059</v>
      </c>
      <c r="AB24" s="114"/>
      <c r="AC24" s="123" t="str">
        <f>IFERROR(__xludf.DUMMYFUNCTION("""COMPUTED_VALUE"""),"https://ik.imagekit.io/alaaalaa6171/320%20Happosui%20Army_13th%20Chief%20-%20Sai%20-%20Medal%20_Sai_.png?updatedAt=1770076466137")</f>
        <v>https://ik.imagekit.io/alaaalaa6171/320%20Happosui%20Army_13th%20Chief%20-%20Sai%20-%20Medal%20_Sai_.png?updatedAt=1770076466137</v>
      </c>
      <c r="AD24" s="123" t="str">
        <f>IFERROR(__xludf.DUMMYFUNCTION("""COMPUTED_VALUE"""),"https://ik.imagekit.io/alaaalaa6171/320%20Happosui%20Army_13th%20Chief%20-%20Sai%20-%20Medal%20_Sai_%20_Colored_.png?updatedAt=1770076466125")</f>
        <v>https://ik.imagekit.io/alaaalaa6171/320%20Happosui%20Army_13th%20Chief%20-%20Sai%20-%20Medal%20_Sai_%20_Colored_.png?updatedAt=1770076466125</v>
      </c>
      <c r="AE24" s="123" t="str">
        <f>IFERROR(__xludf.DUMMYFUNCTION("""COMPUTED_VALUE"""),"https://ik.imagekit.io/alaaalaa6171/320%20Happosui%20Army_13th%20Chief%20-%20Sai%20-%20Medal%20_Sai_%20-%20Piece.png?updatedAt=1770076466212")</f>
        <v>https://ik.imagekit.io/alaaalaa6171/320%20Happosui%20Army_13th%20Chief%20-%20Sai%20-%20Medal%20_Sai_%20-%20Piece.png?updatedAt=1770076466212</v>
      </c>
      <c r="AF24" s="123" t="str">
        <f>IFERROR(__xludf.DUMMYFUNCTION("""COMPUTED_VALUE"""),"https://ik.imagekit.io/alaaalaa6171/320%20Happosui%20Army_13th%20Chief%20-%20Sai%20-%20Medal%20_Sai_%20-%20Piece%20_Colored_.png?updatedAt=1770076466102")</f>
        <v>https://ik.imagekit.io/alaaalaa6171/320%20Happosui%20Army_13th%20Chief%20-%20Sai%20-%20Medal%20_Sai_%20-%20Piece%20_Colored_.png?updatedAt=1770076466102</v>
      </c>
      <c r="AG24" s="114"/>
      <c r="AH24" s="114"/>
      <c r="AI24" s="121" t="s">
        <v>2285</v>
      </c>
      <c r="AJ24" s="121" t="str">
        <f>IFERROR(__xludf.DUMMYFUNCTION("regexreplace(regexreplace(AI24, ""  \["", "" ""), ""\]$"", """")"),"023 - Krieg`s Pirate Armada_Battle Commander ~ Gin - Medal - Crafted [Colored] - Gin")</f>
        <v>023 - Krieg`s Pirate Armada_Battle Commander ~ Gin - Medal - Crafted [Colored] - Gin</v>
      </c>
      <c r="AK24" s="114"/>
      <c r="AL24" s="117" t="s">
        <v>2286</v>
      </c>
      <c r="AM24" s="117" t="s">
        <v>2287</v>
      </c>
      <c r="AN24" s="114"/>
      <c r="AO24" s="122">
        <f>IFERROR(__xludf.DUMMYFUNCTION("""COMPUTED_VALUE"""),285.0)</f>
        <v>285</v>
      </c>
      <c r="AP24" s="114" t="str">
        <f>IFERROR(__xludf.DUMMYFUNCTION("""COMPUTED_VALUE"""),"Bluegrass")</f>
        <v>Bluegrass</v>
      </c>
      <c r="AQ24" s="114" t="str">
        <f>IFERROR(__xludf.DUMMYFUNCTION("""COMPUTED_VALUE"""),"Bluegrass")</f>
        <v>Bluegrass</v>
      </c>
      <c r="AR24" s="114"/>
      <c r="AS24" s="114"/>
      <c r="AT24" s="123" t="str">
        <f>IFERROR(__xludf.DUMMYFUNCTION("""COMPUTED_VALUE"""),"https://i.postimg.cc/VkKL2thH/285.png")</f>
        <v>https://i.postimg.cc/VkKL2thH/285.png</v>
      </c>
      <c r="AU24" s="114"/>
      <c r="AV24" s="114"/>
      <c r="AW24" s="114"/>
      <c r="AX24" s="114" t="str">
        <f t="shared" si="3"/>
        <v>285 - Medal [Event] - Crafted - Bluegrass</v>
      </c>
      <c r="AY24" s="114" t="s">
        <v>2288</v>
      </c>
      <c r="AZ24" s="114"/>
      <c r="BA24" s="114"/>
      <c r="BB24" s="114"/>
      <c r="BC24" s="114"/>
      <c r="BD24" s="114"/>
      <c r="BE24" s="114"/>
    </row>
    <row r="25" ht="37.5" customHeight="1">
      <c r="A25" s="118" t="s">
        <v>2289</v>
      </c>
      <c r="B25" s="117" t="s">
        <v>2290</v>
      </c>
      <c r="C25" s="119">
        <f>IFERROR(__xludf.DUMMYFUNCTION("""COMPUTED_VALUE"""),318.0)</f>
        <v>318</v>
      </c>
      <c r="D25" s="114" t="str">
        <f>IFERROR(__xludf.DUMMYFUNCTION("""COMPUTED_VALUE"""),"St. Charlos")</f>
        <v>St. Charlos</v>
      </c>
      <c r="E25" s="114" t="str">
        <f>IFERROR(__xludf.DUMMYFUNCTION("""COMPUTED_VALUE"""),"")</f>
        <v/>
      </c>
      <c r="F25" s="114"/>
      <c r="G25" s="114"/>
      <c r="H25" s="114"/>
      <c r="I25" s="114"/>
      <c r="J25" s="114"/>
      <c r="K25" s="114" t="s">
        <v>2291</v>
      </c>
      <c r="L25" s="114" t="s">
        <v>2292</v>
      </c>
      <c r="M25" s="114" t="s">
        <v>2293</v>
      </c>
      <c r="N25" s="114" t="s">
        <v>2294</v>
      </c>
      <c r="O25" s="114"/>
      <c r="P25" s="120">
        <v>318.0</v>
      </c>
      <c r="Q25" s="117" t="s">
        <v>2295</v>
      </c>
      <c r="R25" s="114"/>
      <c r="S25" s="117" t="s">
        <v>2296</v>
      </c>
      <c r="T25" s="114">
        <f t="shared" si="1"/>
        <v>22</v>
      </c>
      <c r="U25" s="114" t="s">
        <v>1907</v>
      </c>
      <c r="V25" s="114" t="str">
        <f>IFERROR(__xludf.DUMMYFUNCTION("REGEXREPLACE(U25, ""\n"", "" "")"),"Zeff")</f>
        <v>Zeff</v>
      </c>
      <c r="W25" s="114"/>
      <c r="X25" s="115" t="str">
        <f t="shared" si="2"/>
        <v>022 Baratie / Head Chef - Zeff - Medal [Zeff]</v>
      </c>
      <c r="Y25" s="119"/>
      <c r="Z25" s="117" t="s">
        <v>2297</v>
      </c>
      <c r="AA25" s="117" t="s">
        <v>2060</v>
      </c>
      <c r="AB25" s="114"/>
      <c r="AC25" s="123" t="str">
        <f>IFERROR(__xludf.DUMMYFUNCTION("""COMPUTED_VALUE"""),"https://ik.imagekit.io/alaaalaa6171/319%20Tontatta%20Pirates_Captain%20-%20Leo%20-%20Medal%20_Leo_.png?updatedAt=1770076466107")</f>
        <v>https://ik.imagekit.io/alaaalaa6171/319%20Tontatta%20Pirates_Captain%20-%20Leo%20-%20Medal%20_Leo_.png?updatedAt=1770076466107</v>
      </c>
      <c r="AD25" s="123" t="str">
        <f>IFERROR(__xludf.DUMMYFUNCTION("""COMPUTED_VALUE"""),"https://ik.imagekit.io/alaaalaa6171/319%20Tontatta%20Pirates_Captain%20-%20Leo%20-%20Medal%20_Leo_%20_Colored_.png?updatedAt=1770076466058")</f>
        <v>https://ik.imagekit.io/alaaalaa6171/319%20Tontatta%20Pirates_Captain%20-%20Leo%20-%20Medal%20_Leo_%20_Colored_.png?updatedAt=1770076466058</v>
      </c>
      <c r="AE25" s="123" t="str">
        <f>IFERROR(__xludf.DUMMYFUNCTION("""COMPUTED_VALUE"""),"https://ik.imagekit.io/alaaalaa6171/319%20Tontatta%20Pirates_Captain%20-%20Leo%20-%20Medal%20_Leo_%20-%20Piece.png?updatedAt=1770076466075")</f>
        <v>https://ik.imagekit.io/alaaalaa6171/319%20Tontatta%20Pirates_Captain%20-%20Leo%20-%20Medal%20_Leo_%20-%20Piece.png?updatedAt=1770076466075</v>
      </c>
      <c r="AF25" s="123" t="str">
        <f>IFERROR(__xludf.DUMMYFUNCTION("""COMPUTED_VALUE"""),"https://ik.imagekit.io/alaaalaa6171/319%20Tontatta%20Pirates_Captain%20-%20Leo%20-%20Medal%20_Leo_%20-%20Piece%20_Colored_.png?updatedAt=1770076466076")</f>
        <v>https://ik.imagekit.io/alaaalaa6171/319%20Tontatta%20Pirates_Captain%20-%20Leo%20-%20Medal%20_Leo_%20-%20Piece%20_Colored_.png?updatedAt=1770076466076</v>
      </c>
      <c r="AG25" s="114"/>
      <c r="AH25" s="114"/>
      <c r="AI25" s="121" t="s">
        <v>2298</v>
      </c>
      <c r="AJ25" s="121" t="str">
        <f>IFERROR(__xludf.DUMMYFUNCTION("regexreplace(regexreplace(AI25, ""  \["", "" ""), ""\]$"", """")"),"024 - Krieg`s Pirate Armada_Admiral ~ Don Krieg - Medal - Crafted [Colored] - Don Krieg")</f>
        <v>024 - Krieg`s Pirate Armada_Admiral ~ Don Krieg - Medal - Crafted [Colored] - Don Krieg</v>
      </c>
      <c r="AK25" s="114"/>
      <c r="AL25" s="117" t="s">
        <v>2299</v>
      </c>
      <c r="AM25" s="117" t="s">
        <v>2300</v>
      </c>
      <c r="AN25" s="114"/>
      <c r="AO25" s="122">
        <f>IFERROR(__xludf.DUMMYFUNCTION("""COMPUTED_VALUE"""),284.0)</f>
        <v>284</v>
      </c>
      <c r="AP25" s="114" t="str">
        <f>IFERROR(__xludf.DUMMYFUNCTION("""COMPUTED_VALUE"""),"Doll")</f>
        <v>Doll</v>
      </c>
      <c r="AQ25" s="114" t="str">
        <f>IFERROR(__xludf.DUMMYFUNCTION("""COMPUTED_VALUE"""),"Doll")</f>
        <v>Doll</v>
      </c>
      <c r="AR25" s="114"/>
      <c r="AS25" s="114"/>
      <c r="AT25" s="123" t="str">
        <f>IFERROR(__xludf.DUMMYFUNCTION("""COMPUTED_VALUE"""),"https://i.postimg.cc/0Nr2vQR5/284.png")</f>
        <v>https://i.postimg.cc/0Nr2vQR5/284.png</v>
      </c>
      <c r="AU25" s="114"/>
      <c r="AV25" s="114"/>
      <c r="AW25" s="114"/>
      <c r="AX25" s="114" t="str">
        <f t="shared" si="3"/>
        <v>284 - Medal [Event] - Crafted - Doll</v>
      </c>
      <c r="AY25" s="114" t="s">
        <v>2301</v>
      </c>
      <c r="AZ25" s="114"/>
      <c r="BA25" s="114"/>
      <c r="BB25" s="114"/>
      <c r="BC25" s="114"/>
      <c r="BD25" s="114"/>
      <c r="BE25" s="114"/>
    </row>
    <row r="26" ht="37.5" customHeight="1">
      <c r="A26" s="118" t="s">
        <v>2302</v>
      </c>
      <c r="B26" s="117" t="s">
        <v>2303</v>
      </c>
      <c r="C26" s="119">
        <f>IFERROR(__xludf.DUMMYFUNCTION("""COMPUTED_VALUE"""),317.0)</f>
        <v>317</v>
      </c>
      <c r="D26" s="114" t="str">
        <f>IFERROR(__xludf.DUMMYFUNCTION("""COMPUTED_VALUE"""),"Invisible Strike")</f>
        <v>Invisible Strike</v>
      </c>
      <c r="E26" s="114" t="str">
        <f>IFERROR(__xludf.DUMMYFUNCTION("""COMPUTED_VALUE"""),"")</f>
        <v/>
      </c>
      <c r="F26" s="114"/>
      <c r="G26" s="114"/>
      <c r="H26" s="114"/>
      <c r="I26" s="114"/>
      <c r="J26" s="114"/>
      <c r="K26" s="114" t="s">
        <v>2304</v>
      </c>
      <c r="L26" s="114" t="s">
        <v>2305</v>
      </c>
      <c r="M26" s="114" t="s">
        <v>2306</v>
      </c>
      <c r="N26" s="114" t="s">
        <v>2307</v>
      </c>
      <c r="O26" s="114"/>
      <c r="P26" s="120">
        <v>317.0</v>
      </c>
      <c r="Q26" s="117" t="s">
        <v>2308</v>
      </c>
      <c r="R26" s="114"/>
      <c r="S26" s="117" t="s">
        <v>2309</v>
      </c>
      <c r="T26" s="114">
        <f t="shared" si="1"/>
        <v>36</v>
      </c>
      <c r="U26" s="114" t="s">
        <v>1853</v>
      </c>
      <c r="V26" s="114" t="str">
        <f>IFERROR(__xludf.DUMMYFUNCTION("REGEXREPLACE(U26, ""\n"", "" "")"),"Yasopp")</f>
        <v>Yasopp</v>
      </c>
      <c r="W26" s="114"/>
      <c r="X26" s="115" t="str">
        <f t="shared" si="2"/>
        <v>036 Red-Haired Pirates / Sharp Shooter - Yasopp - Medal [Yasopp]</v>
      </c>
      <c r="Y26" s="119"/>
      <c r="Z26" s="117" t="s">
        <v>2310</v>
      </c>
      <c r="AA26" s="117" t="s">
        <v>2058</v>
      </c>
      <c r="AB26" s="114"/>
      <c r="AC26" s="123" t="str">
        <f>IFERROR(__xludf.DUMMYFUNCTION("""COMPUTED_VALUE"""),"https://ik.imagekit.io/alaaalaa6171/318%20Celestial%20Dragon%20-%20St.%20Charlos%20-%20Medal%20_St.%20Charlos_.png?updatedAt=1770076466036")</f>
        <v>https://ik.imagekit.io/alaaalaa6171/318%20Celestial%20Dragon%20-%20St.%20Charlos%20-%20Medal%20_St.%20Charlos_.png?updatedAt=1770076466036</v>
      </c>
      <c r="AD26" s="123" t="str">
        <f>IFERROR(__xludf.DUMMYFUNCTION("""COMPUTED_VALUE"""),"https://ik.imagekit.io/alaaalaa6171/318%20Celestial%20Dragon%20-%20St.%20Charlos%20-%20Medal%20_St.%20Charlos_%20_Colored_.png?updatedAt=1770076466069")</f>
        <v>https://ik.imagekit.io/alaaalaa6171/318%20Celestial%20Dragon%20-%20St.%20Charlos%20-%20Medal%20_St.%20Charlos_%20_Colored_.png?updatedAt=1770076466069</v>
      </c>
      <c r="AE26" s="123" t="str">
        <f>IFERROR(__xludf.DUMMYFUNCTION("""COMPUTED_VALUE"""),"https://ik.imagekit.io/alaaalaa6171/318%20Celestial%20Dragon%20-%20St.%20Charlos%20-%20Medal%20_St.%20Charlos_%20-%20Piece.png?updatedAt=1770076466080")</f>
        <v>https://ik.imagekit.io/alaaalaa6171/318%20Celestial%20Dragon%20-%20St.%20Charlos%20-%20Medal%20_St.%20Charlos_%20-%20Piece.png?updatedAt=1770076466080</v>
      </c>
      <c r="AF26" s="123" t="str">
        <f>IFERROR(__xludf.DUMMYFUNCTION("""COMPUTED_VALUE"""),"https://ik.imagekit.io/alaaalaa6171/318%20Celestial%20Dragon%20-%20St.%20Charlos%20-%20Medal%20_St.%20Charlos_%20-%20Piece%20_Colored_.png?updatedAt=1770076466063")</f>
        <v>https://ik.imagekit.io/alaaalaa6171/318%20Celestial%20Dragon%20-%20St.%20Charlos%20-%20Medal%20_St.%20Charlos_%20-%20Piece%20_Colored_.png?updatedAt=1770076466063</v>
      </c>
      <c r="AG26" s="114"/>
      <c r="AH26" s="114"/>
      <c r="AI26" s="121" t="s">
        <v>2311</v>
      </c>
      <c r="AJ26" s="121" t="str">
        <f>IFERROR(__xludf.DUMMYFUNCTION("regexreplace(regexreplace(AI26, ""  \["", "" ""), ""\]$"", """")"),"025 - Arlong Pirates_Officer ~ Hatchan - Medal - Crafted [Colored] - Hachi")</f>
        <v>025 - Arlong Pirates_Officer ~ Hatchan - Medal - Crafted [Colored] - Hachi</v>
      </c>
      <c r="AK26" s="114"/>
      <c r="AL26" s="117" t="s">
        <v>2312</v>
      </c>
      <c r="AM26" s="117" t="s">
        <v>2313</v>
      </c>
      <c r="AN26" s="114"/>
      <c r="AO26" s="122">
        <f>IFERROR(__xludf.DUMMYFUNCTION("""COMPUTED_VALUE"""),283.0)</f>
        <v>283</v>
      </c>
      <c r="AP26" s="114" t="str">
        <f>IFERROR(__xludf.DUMMYFUNCTION("""COMPUTED_VALUE"""),"Usopp
(Cornerman)")</f>
        <v>Usopp
(Cornerman)</v>
      </c>
      <c r="AQ26" s="114" t="str">
        <f>IFERROR(__xludf.DUMMYFUNCTION("""COMPUTED_VALUE"""),"Usopp (Cornerman)")</f>
        <v>Usopp (Cornerman)</v>
      </c>
      <c r="AR26" s="114"/>
      <c r="AS26" s="114"/>
      <c r="AT26" s="123" t="str">
        <f>IFERROR(__xludf.DUMMYFUNCTION("""COMPUTED_VALUE"""),"https://i.postimg.cc/DzQ1dSsG/283.png")</f>
        <v>https://i.postimg.cc/DzQ1dSsG/283.png</v>
      </c>
      <c r="AU26" s="114"/>
      <c r="AV26" s="114"/>
      <c r="AW26" s="114"/>
      <c r="AX26" s="114" t="str">
        <f t="shared" si="3"/>
        <v>283 - Medal [Event] - Crafted - Usopp (Cornerman)</v>
      </c>
      <c r="AY26" s="114" t="s">
        <v>2314</v>
      </c>
      <c r="AZ26" s="114"/>
      <c r="BA26" s="114"/>
      <c r="BB26" s="114"/>
      <c r="BC26" s="114"/>
      <c r="BD26" s="114"/>
      <c r="BE26" s="114"/>
    </row>
    <row r="27" ht="37.5" customHeight="1">
      <c r="A27" s="118" t="s">
        <v>2315</v>
      </c>
      <c r="B27" s="117" t="s">
        <v>2316</v>
      </c>
      <c r="C27" s="119">
        <f>IFERROR(__xludf.DUMMYFUNCTION("""COMPUTED_VALUE"""),316.0)</f>
        <v>316</v>
      </c>
      <c r="D27" s="114" t="str">
        <f>IFERROR(__xludf.DUMMYFUNCTION("""COMPUTED_VALUE"""),"Gallion Lariat")</f>
        <v>Gallion Lariat</v>
      </c>
      <c r="E27" s="114" t="str">
        <f>IFERROR(__xludf.DUMMYFUNCTION("""COMPUTED_VALUE"""),"")</f>
        <v/>
      </c>
      <c r="F27" s="114"/>
      <c r="G27" s="114"/>
      <c r="H27" s="114"/>
      <c r="I27" s="114"/>
      <c r="J27" s="114"/>
      <c r="K27" s="114" t="s">
        <v>2317</v>
      </c>
      <c r="L27" s="114" t="s">
        <v>2318</v>
      </c>
      <c r="M27" s="114" t="s">
        <v>2319</v>
      </c>
      <c r="N27" s="114" t="s">
        <v>2320</v>
      </c>
      <c r="O27" s="114"/>
      <c r="P27" s="120">
        <v>316.0</v>
      </c>
      <c r="Q27" s="117" t="s">
        <v>2321</v>
      </c>
      <c r="R27" s="114"/>
      <c r="S27" s="117" t="s">
        <v>2322</v>
      </c>
      <c r="T27" s="114">
        <f t="shared" si="1"/>
        <v>20</v>
      </c>
      <c r="U27" s="114" t="s">
        <v>1913</v>
      </c>
      <c r="V27" s="114" t="str">
        <f>IFERROR(__xludf.DUMMYFUNCTION("REGEXREPLACE(U27, ""\n"", "" "")"),"Buggy")</f>
        <v>Buggy</v>
      </c>
      <c r="W27" s="114"/>
      <c r="X27" s="115" t="str">
        <f t="shared" si="2"/>
        <v>020 Buggy Pirates / Captain - Buggy - Medal [Buggy]</v>
      </c>
      <c r="Y27" s="119"/>
      <c r="Z27" s="117" t="s">
        <v>2323</v>
      </c>
      <c r="AA27" s="117" t="s">
        <v>2070</v>
      </c>
      <c r="AB27" s="114"/>
      <c r="AC27" s="123" t="str">
        <f>IFERROR(__xludf.DUMMYFUNCTION("""COMPUTED_VALUE"""),"https://ik.imagekit.io/alaaalaa6171/317%20Clear-Clear%20Fruit%20-%20Shiryu%20-%20Medal%20_Invisible%20Strike_.png?updatedAt=1770076466063")</f>
        <v>https://ik.imagekit.io/alaaalaa6171/317%20Clear-Clear%20Fruit%20-%20Shiryu%20-%20Medal%20_Invisible%20Strike_.png?updatedAt=1770076466063</v>
      </c>
      <c r="AD27" s="123" t="str">
        <f>IFERROR(__xludf.DUMMYFUNCTION("""COMPUTED_VALUE"""),"https://ik.imagekit.io/alaaalaa6171/317%20Clear-Clear%20Fruit%20-%20Shiryu%20-%20Medal%20_Invisible%20Strike_%20_Colored_.png?updatedAt=1770076466036")</f>
        <v>https://ik.imagekit.io/alaaalaa6171/317%20Clear-Clear%20Fruit%20-%20Shiryu%20-%20Medal%20_Invisible%20Strike_%20_Colored_.png?updatedAt=1770076466036</v>
      </c>
      <c r="AE27" s="123" t="str">
        <f>IFERROR(__xludf.DUMMYFUNCTION("""COMPUTED_VALUE"""),"https://ik.imagekit.io/alaaalaa6171/317%20Clear-Clear%20Fruit%20-%20Shiryu%20-%20Medal%20_Invisible%20Strike_%20-%20Piece.png?updatedAt=1770076466064")</f>
        <v>https://ik.imagekit.io/alaaalaa6171/317%20Clear-Clear%20Fruit%20-%20Shiryu%20-%20Medal%20_Invisible%20Strike_%20-%20Piece.png?updatedAt=1770076466064</v>
      </c>
      <c r="AF27" s="123" t="str">
        <f>IFERROR(__xludf.DUMMYFUNCTION("""COMPUTED_VALUE"""),"https://ik.imagekit.io/alaaalaa6171/317%20Clear-Clear%20Fruit%20-%20Shiryu%20-%20Medal%20_Invisible%20Strike_%20-%20Piece%20_Colored_.png?updatedAt=1770076466083")</f>
        <v>https://ik.imagekit.io/alaaalaa6171/317%20Clear-Clear%20Fruit%20-%20Shiryu%20-%20Medal%20_Invisible%20Strike_%20-%20Piece%20_Colored_.png?updatedAt=1770076466083</v>
      </c>
      <c r="AG27" s="114"/>
      <c r="AH27" s="114"/>
      <c r="AI27" s="121" t="s">
        <v>2324</v>
      </c>
      <c r="AJ27" s="121" t="str">
        <f>IFERROR(__xludf.DUMMYFUNCTION("regexreplace(regexreplace(AI27, ""  \["", "" ""), ""\]$"", """")"),"026 - Arlong Pirates_Officer ~ Choo - Medal - Crafted [Colored] - Kuroobi")</f>
        <v>026 - Arlong Pirates_Officer ~ Choo - Medal - Crafted [Colored] - Kuroobi</v>
      </c>
      <c r="AK27" s="114"/>
      <c r="AL27" s="117" t="s">
        <v>2325</v>
      </c>
      <c r="AM27" s="117" t="s">
        <v>2326</v>
      </c>
      <c r="AN27" s="114"/>
      <c r="AO27" s="122">
        <f>IFERROR(__xludf.DUMMYFUNCTION("""COMPUTED_VALUE"""),282.0)</f>
        <v>282</v>
      </c>
      <c r="AP27" s="114" t="str">
        <f>IFERROR(__xludf.DUMMYFUNCTION("""COMPUTED_VALUE"""),"Chappy")</f>
        <v>Chappy</v>
      </c>
      <c r="AQ27" s="114" t="str">
        <f>IFERROR(__xludf.DUMMYFUNCTION("""COMPUTED_VALUE"""),"Chappy")</f>
        <v>Chappy</v>
      </c>
      <c r="AR27" s="114"/>
      <c r="AS27" s="114"/>
      <c r="AT27" s="123" t="str">
        <f>IFERROR(__xludf.DUMMYFUNCTION("""COMPUTED_VALUE"""),"https://i.postimg.cc/FKXjLyfm/282.png")</f>
        <v>https://i.postimg.cc/FKXjLyfm/282.png</v>
      </c>
      <c r="AU27" s="114"/>
      <c r="AV27" s="114"/>
      <c r="AW27" s="114"/>
      <c r="AX27" s="114" t="str">
        <f t="shared" si="3"/>
        <v>282 - Medal [Event] - Crafted - Chappy</v>
      </c>
      <c r="AY27" s="114" t="s">
        <v>2327</v>
      </c>
      <c r="AZ27" s="114"/>
      <c r="BA27" s="114"/>
      <c r="BB27" s="114"/>
      <c r="BC27" s="114"/>
      <c r="BD27" s="114"/>
      <c r="BE27" s="114"/>
    </row>
    <row r="28" ht="37.5" customHeight="1">
      <c r="A28" s="118" t="s">
        <v>2328</v>
      </c>
      <c r="B28" s="117" t="s">
        <v>2329</v>
      </c>
      <c r="C28" s="119">
        <f>IFERROR(__xludf.DUMMYFUNCTION("""COMPUTED_VALUE"""),315.0)</f>
        <v>315</v>
      </c>
      <c r="D28" s="114" t="str">
        <f>IFERROR(__xludf.DUMMYFUNCTION("""COMPUTED_VALUE"""),"Yonji")</f>
        <v>Yonji</v>
      </c>
      <c r="E28" s="114" t="str">
        <f>IFERROR(__xludf.DUMMYFUNCTION("""COMPUTED_VALUE"""),"")</f>
        <v/>
      </c>
      <c r="F28" s="114"/>
      <c r="G28" s="114"/>
      <c r="H28" s="114"/>
      <c r="I28" s="114"/>
      <c r="J28" s="114"/>
      <c r="K28" s="114" t="s">
        <v>2330</v>
      </c>
      <c r="L28" s="114" t="s">
        <v>2331</v>
      </c>
      <c r="M28" s="114" t="s">
        <v>2332</v>
      </c>
      <c r="N28" s="114" t="s">
        <v>2333</v>
      </c>
      <c r="O28" s="114"/>
      <c r="P28" s="120">
        <v>315.0</v>
      </c>
      <c r="Q28" s="117" t="s">
        <v>2334</v>
      </c>
      <c r="R28" s="114"/>
      <c r="S28" s="117" t="s">
        <v>2335</v>
      </c>
      <c r="T28" s="114">
        <f t="shared" si="1"/>
        <v>39</v>
      </c>
      <c r="U28" s="114" t="s">
        <v>1834</v>
      </c>
      <c r="V28" s="114" t="str">
        <f>IFERROR(__xludf.DUMMYFUNCTION("REGEXREPLACE(U28, ""\n"", "" "")"),"Saw")</f>
        <v>Saw</v>
      </c>
      <c r="W28" s="114"/>
      <c r="X28" s="115" t="str">
        <f t="shared" si="2"/>
        <v>039 Arlong Pirates / Captain - Arlong - Medal [Saw]</v>
      </c>
      <c r="Y28" s="119"/>
      <c r="Z28" s="117" t="s">
        <v>2336</v>
      </c>
      <c r="AA28" s="117" t="s">
        <v>2072</v>
      </c>
      <c r="AB28" s="114"/>
      <c r="AC28" s="123" t="str">
        <f>IFERROR(__xludf.DUMMYFUNCTION("""COMPUTED_VALUE"""),"https://ik.imagekit.io/alaaalaa6171/316%20Strong-Strong%20Fruit%20-%20Jesus%20Burgess%20-%20Medal%20_Gallion%20Lariat_.png?updatedAt=1770076466057")</f>
        <v>https://ik.imagekit.io/alaaalaa6171/316%20Strong-Strong%20Fruit%20-%20Jesus%20Burgess%20-%20Medal%20_Gallion%20Lariat_.png?updatedAt=1770076466057</v>
      </c>
      <c r="AD28" s="123" t="str">
        <f>IFERROR(__xludf.DUMMYFUNCTION("""COMPUTED_VALUE"""),"https://ik.imagekit.io/alaaalaa6171/316%20Strong-Strong%20Fruit%20-%20Jesus%20Burgess%20-%20Medal%20_Gallion%20Lariat_%20_Colored_.png?updatedAt=1770076466068")</f>
        <v>https://ik.imagekit.io/alaaalaa6171/316%20Strong-Strong%20Fruit%20-%20Jesus%20Burgess%20-%20Medal%20_Gallion%20Lariat_%20_Colored_.png?updatedAt=1770076466068</v>
      </c>
      <c r="AE28" s="123" t="str">
        <f>IFERROR(__xludf.DUMMYFUNCTION("""COMPUTED_VALUE"""),"https://ik.imagekit.io/alaaalaa6171/316%20Strong-Strong%20Fruit%20-%20Jesus%20Burgess%20-%20Medal%20_Gallion%20Lariat_%20-%20Piece.png?updatedAt=1770076466025")</f>
        <v>https://ik.imagekit.io/alaaalaa6171/316%20Strong-Strong%20Fruit%20-%20Jesus%20Burgess%20-%20Medal%20_Gallion%20Lariat_%20-%20Piece.png?updatedAt=1770076466025</v>
      </c>
      <c r="AF28" s="123" t="str">
        <f>IFERROR(__xludf.DUMMYFUNCTION("""COMPUTED_VALUE"""),"https://ik.imagekit.io/alaaalaa6171/316%20Strong-Strong%20Fruit%20-%20Jesus%20Burgess%20-%20Medal%20_Gallion%20Lariat_%20-%20Piece%20_Colored_.png?updatedAt=1770076465992")</f>
        <v>https://ik.imagekit.io/alaaalaa6171/316%20Strong-Strong%20Fruit%20-%20Jesus%20Burgess%20-%20Medal%20_Gallion%20Lariat_%20-%20Piece%20_Colored_.png?updatedAt=1770076465992</v>
      </c>
      <c r="AG28" s="114"/>
      <c r="AH28" s="114"/>
      <c r="AI28" s="121" t="s">
        <v>2337</v>
      </c>
      <c r="AJ28" s="121" t="str">
        <f>IFERROR(__xludf.DUMMYFUNCTION("regexreplace(regexreplace(AI28, ""  \["", "" ""), ""\]$"", """")"),"027 - Arlong Pirates_Officer ~ Kuroobi - Medal - Crafted [Colored] - Choo")</f>
        <v>027 - Arlong Pirates_Officer ~ Kuroobi - Medal - Crafted [Colored] - Choo</v>
      </c>
      <c r="AK28" s="114"/>
      <c r="AL28" s="117" t="s">
        <v>2338</v>
      </c>
      <c r="AM28" s="117" t="s">
        <v>2339</v>
      </c>
      <c r="AN28" s="114"/>
      <c r="AO28" s="122">
        <f>IFERROR(__xludf.DUMMYFUNCTION("""COMPUTED_VALUE"""),281.0)</f>
        <v>281</v>
      </c>
      <c r="AP28" s="114" t="str">
        <f>IFERROR(__xludf.DUMMYFUNCTION("""COMPUTED_VALUE"""),"Hamburg")</f>
        <v>Hamburg</v>
      </c>
      <c r="AQ28" s="114" t="str">
        <f>IFERROR(__xludf.DUMMYFUNCTION("""COMPUTED_VALUE"""),"Hamburg")</f>
        <v>Hamburg</v>
      </c>
      <c r="AR28" s="114"/>
      <c r="AS28" s="114"/>
      <c r="AT28" s="123" t="str">
        <f>IFERROR(__xludf.DUMMYFUNCTION("""COMPUTED_VALUE"""),"https://i.postimg.cc/TYCyBpt8/281.png")</f>
        <v>https://i.postimg.cc/TYCyBpt8/281.png</v>
      </c>
      <c r="AU28" s="114"/>
      <c r="AV28" s="114"/>
      <c r="AW28" s="114"/>
      <c r="AX28" s="114" t="str">
        <f t="shared" si="3"/>
        <v>281 - Medal [Event] - Crafted - Hamburg</v>
      </c>
      <c r="AY28" s="114" t="s">
        <v>2340</v>
      </c>
      <c r="AZ28" s="114"/>
      <c r="BA28" s="114"/>
      <c r="BB28" s="114"/>
      <c r="BC28" s="114"/>
      <c r="BD28" s="114"/>
      <c r="BE28" s="114"/>
    </row>
    <row r="29" ht="37.5" customHeight="1">
      <c r="A29" s="118" t="s">
        <v>2341</v>
      </c>
      <c r="B29" s="117" t="s">
        <v>2342</v>
      </c>
      <c r="C29" s="119">
        <f>IFERROR(__xludf.DUMMYFUNCTION("""COMPUTED_VALUE"""),314.0)</f>
        <v>314</v>
      </c>
      <c r="D29" s="114" t="str">
        <f>IFERROR(__xludf.DUMMYFUNCTION("""COMPUTED_VALUE"""),"Neji")</f>
        <v>Neji</v>
      </c>
      <c r="E29" s="114" t="str">
        <f>IFERROR(__xludf.DUMMYFUNCTION("""COMPUTED_VALUE"""),"")</f>
        <v/>
      </c>
      <c r="F29" s="114"/>
      <c r="G29" s="114"/>
      <c r="H29" s="114"/>
      <c r="I29" s="114"/>
      <c r="J29" s="114"/>
      <c r="K29" s="114" t="s">
        <v>2343</v>
      </c>
      <c r="L29" s="114" t="s">
        <v>2344</v>
      </c>
      <c r="M29" s="114" t="s">
        <v>2345</v>
      </c>
      <c r="N29" s="114" t="s">
        <v>2346</v>
      </c>
      <c r="O29" s="114"/>
      <c r="P29" s="120">
        <v>314.0</v>
      </c>
      <c r="Q29" s="117" t="s">
        <v>2347</v>
      </c>
      <c r="R29" s="114"/>
      <c r="S29" s="117" t="s">
        <v>2348</v>
      </c>
      <c r="T29" s="114">
        <f t="shared" si="1"/>
        <v>35</v>
      </c>
      <c r="U29" s="114" t="s">
        <v>1860</v>
      </c>
      <c r="V29" s="114" t="str">
        <f>IFERROR(__xludf.DUMMYFUNCTION("REGEXREPLACE(U29, ""\n"", "" "")"),"Shanks")</f>
        <v>Shanks</v>
      </c>
      <c r="W29" s="114"/>
      <c r="X29" s="115" t="str">
        <f t="shared" si="2"/>
        <v>035 Red-Haired Pirates / Captain - Shanks - Medal [Shanks]</v>
      </c>
      <c r="Y29" s="119"/>
      <c r="Z29" s="117" t="s">
        <v>2349</v>
      </c>
      <c r="AA29" s="117" t="s">
        <v>2073</v>
      </c>
      <c r="AB29" s="114"/>
      <c r="AC29" s="123" t="str">
        <f>IFERROR(__xludf.DUMMYFUNCTION("""COMPUTED_VALUE"""),"https://ik.imagekit.io/alaaalaa6171/315%20Germa%2066%20-%20Vinsmoke%20Yonji%20-%20Medal%20_Yonji_.png?updatedAt=1770076466059")</f>
        <v>https://ik.imagekit.io/alaaalaa6171/315%20Germa%2066%20-%20Vinsmoke%20Yonji%20-%20Medal%20_Yonji_.png?updatedAt=1770076466059</v>
      </c>
      <c r="AD29" s="123" t="str">
        <f>IFERROR(__xludf.DUMMYFUNCTION("""COMPUTED_VALUE"""),"https://ik.imagekit.io/alaaalaa6171/315%20Germa%2066%20-%20Vinsmoke%20Yonji%20-%20Medal%20_Yonji_%20_Colored_.png?updatedAt=1770076466096")</f>
        <v>https://ik.imagekit.io/alaaalaa6171/315%20Germa%2066%20-%20Vinsmoke%20Yonji%20-%20Medal%20_Yonji_%20_Colored_.png?updatedAt=1770076466096</v>
      </c>
      <c r="AE29" s="123" t="str">
        <f>IFERROR(__xludf.DUMMYFUNCTION("""COMPUTED_VALUE"""),"https://ik.imagekit.io/alaaalaa6171/315%20Germa%2066%20-%20Vinsmoke%20Yonji%20-%20Medal%20_Yonji_%20-%20Piece.png?updatedAt=1770076466026")</f>
        <v>https://ik.imagekit.io/alaaalaa6171/315%20Germa%2066%20-%20Vinsmoke%20Yonji%20-%20Medal%20_Yonji_%20-%20Piece.png?updatedAt=1770076466026</v>
      </c>
      <c r="AF29" s="123" t="str">
        <f>IFERROR(__xludf.DUMMYFUNCTION("""COMPUTED_VALUE"""),"https://ik.imagekit.io/alaaalaa6171/315%20Germa%2066%20-%20Vinsmoke%20Yonji%20-%20Medal%20_Yonji_%20-%20Piece%20_Colored_.png?updatedAt=1770076466050")</f>
        <v>https://ik.imagekit.io/alaaalaa6171/315%20Germa%2066%20-%20Vinsmoke%20Yonji%20-%20Medal%20_Yonji_%20-%20Piece%20_Colored_.png?updatedAt=1770076466050</v>
      </c>
      <c r="AG29" s="114"/>
      <c r="AH29" s="114"/>
      <c r="AI29" s="121" t="s">
        <v>2350</v>
      </c>
      <c r="AJ29" s="121" t="str">
        <f>IFERROR(__xludf.DUMMYFUNCTION("regexreplace(regexreplace(AI29, ""  \["", "" ""), ""\]$"", """")"),"028 - Slip-Slip Fruit ~ Alvida - Medal - Crafted [Colored] - Tashigi")</f>
        <v>028 - Slip-Slip Fruit ~ Alvida - Medal - Crafted [Colored] - Tashigi</v>
      </c>
      <c r="AK29" s="114"/>
      <c r="AL29" s="117" t="s">
        <v>2351</v>
      </c>
      <c r="AM29" s="117" t="s">
        <v>2352</v>
      </c>
      <c r="AN29" s="114"/>
      <c r="AO29" s="122">
        <f>IFERROR(__xludf.DUMMYFUNCTION("""COMPUTED_VALUE"""),280.0)</f>
        <v>280</v>
      </c>
      <c r="AP29" s="114" t="str">
        <f>IFERROR(__xludf.DUMMYFUNCTION("""COMPUTED_VALUE"""),"Porche")</f>
        <v>Porche</v>
      </c>
      <c r="AQ29" s="114" t="str">
        <f>IFERROR(__xludf.DUMMYFUNCTION("""COMPUTED_VALUE"""),"Porche")</f>
        <v>Porche</v>
      </c>
      <c r="AR29" s="114"/>
      <c r="AS29" s="114"/>
      <c r="AT29" s="123" t="str">
        <f>IFERROR(__xludf.DUMMYFUNCTION("""COMPUTED_VALUE"""),"https://i.postimg.cc/6pq7KtP8/280.png")</f>
        <v>https://i.postimg.cc/6pq7KtP8/280.png</v>
      </c>
      <c r="AU29" s="114"/>
      <c r="AV29" s="114"/>
      <c r="AW29" s="114"/>
      <c r="AX29" s="114" t="str">
        <f t="shared" si="3"/>
        <v>280 - Medal [Event] - Crafted - Porche</v>
      </c>
      <c r="AY29" s="114" t="s">
        <v>2353</v>
      </c>
      <c r="AZ29" s="114"/>
      <c r="BA29" s="114"/>
      <c r="BB29" s="114"/>
      <c r="BC29" s="114"/>
      <c r="BD29" s="114"/>
      <c r="BE29" s="114"/>
    </row>
    <row r="30" ht="37.5" customHeight="1">
      <c r="A30" s="118" t="s">
        <v>2354</v>
      </c>
      <c r="B30" s="117" t="s">
        <v>2355</v>
      </c>
      <c r="C30" s="119">
        <f>IFERROR(__xludf.DUMMYFUNCTION("""COMPUTED_VALUE"""),313.0)</f>
        <v>313</v>
      </c>
      <c r="D30" s="114" t="str">
        <f>IFERROR(__xludf.DUMMYFUNCTION("""COMPUTED_VALUE"""),"Ichiji")</f>
        <v>Ichiji</v>
      </c>
      <c r="E30" s="114" t="str">
        <f>IFERROR(__xludf.DUMMYFUNCTION("""COMPUTED_VALUE"""),"")</f>
        <v/>
      </c>
      <c r="F30" s="114"/>
      <c r="G30" s="114"/>
      <c r="H30" s="114"/>
      <c r="I30" s="114"/>
      <c r="J30" s="114"/>
      <c r="K30" s="114" t="s">
        <v>2356</v>
      </c>
      <c r="L30" s="114" t="s">
        <v>2357</v>
      </c>
      <c r="M30" s="114" t="s">
        <v>2358</v>
      </c>
      <c r="N30" s="114" t="s">
        <v>2359</v>
      </c>
      <c r="O30" s="114"/>
      <c r="P30" s="120">
        <v>313.0</v>
      </c>
      <c r="Q30" s="117" t="s">
        <v>2360</v>
      </c>
      <c r="R30" s="114"/>
      <c r="S30" s="117" t="s">
        <v>2361</v>
      </c>
      <c r="T30" s="114">
        <f t="shared" si="1"/>
        <v>37</v>
      </c>
      <c r="U30" s="114" t="s">
        <v>1847</v>
      </c>
      <c r="V30" s="114" t="str">
        <f>IFERROR(__xludf.DUMMYFUNCTION("REGEXREPLACE(U30, ""\n"", "" "")"),"Kaya")</f>
        <v>Kaya</v>
      </c>
      <c r="W30" s="114"/>
      <c r="X30" s="115" t="str">
        <f t="shared" si="2"/>
        <v>037 Girl from Syrub Village - Kaya - Medal [Kaya]</v>
      </c>
      <c r="Y30" s="119"/>
      <c r="Z30" s="117" t="s">
        <v>2362</v>
      </c>
      <c r="AA30" s="117" t="s">
        <v>2071</v>
      </c>
      <c r="AB30" s="114"/>
      <c r="AC30" s="123" t="str">
        <f>IFERROR(__xludf.DUMMYFUNCTION("""COMPUTED_VALUE"""),"https://ik.imagekit.io/alaaalaa6171/314%20Germa%2066%20-%20Vinsmoke%20Neji%20-%20Medal%20_Neji_.png?updatedAt=1770076466018")</f>
        <v>https://ik.imagekit.io/alaaalaa6171/314%20Germa%2066%20-%20Vinsmoke%20Neji%20-%20Medal%20_Neji_.png?updatedAt=1770076466018</v>
      </c>
      <c r="AD30" s="123" t="str">
        <f>IFERROR(__xludf.DUMMYFUNCTION("""COMPUTED_VALUE"""),"https://ik.imagekit.io/alaaalaa6171/314%20Germa%2066%20-%20Vinsmoke%20Neji%20-%20Medal%20_Neji_%20_Colored_.png?updatedAt=1770076466062")</f>
        <v>https://ik.imagekit.io/alaaalaa6171/314%20Germa%2066%20-%20Vinsmoke%20Neji%20-%20Medal%20_Neji_%20_Colored_.png?updatedAt=1770076466062</v>
      </c>
      <c r="AE30" s="123" t="str">
        <f>IFERROR(__xludf.DUMMYFUNCTION("""COMPUTED_VALUE"""),"https://ik.imagekit.io/alaaalaa6171/314%20Germa%2066%20-%20Vinsmoke%20Neji%20-%20Medal%20_Neji_%20-%20Piece.png?updatedAt=1770076466067")</f>
        <v>https://ik.imagekit.io/alaaalaa6171/314%20Germa%2066%20-%20Vinsmoke%20Neji%20-%20Medal%20_Neji_%20-%20Piece.png?updatedAt=1770076466067</v>
      </c>
      <c r="AF30" s="123" t="str">
        <f>IFERROR(__xludf.DUMMYFUNCTION("""COMPUTED_VALUE"""),"https://ik.imagekit.io/alaaalaa6171/314%20Germa%2066%20-%20Vinsmoke%20Neji%20-%20Medal%20_Neji_%20-%20Piece%20_Colored_.png?updatedAt=1770076466049")</f>
        <v>https://ik.imagekit.io/alaaalaa6171/314%20Germa%2066%20-%20Vinsmoke%20Neji%20-%20Medal%20_Neji_%20-%20Piece%20_Colored_.png?updatedAt=1770076466049</v>
      </c>
      <c r="AG30" s="114"/>
      <c r="AH30" s="114"/>
      <c r="AI30" s="121" t="s">
        <v>2363</v>
      </c>
      <c r="AJ30" s="121" t="str">
        <f>IFERROR(__xludf.DUMMYFUNCTION("regexreplace(regexreplace(AI30, ""  \["", "" ""), ""\]$"", """")"),"029 - Baroque Works_Frontier Agents ~ Ms. Wednesday - Medal - Crafted [Colored] - Slip_Slip")</f>
        <v>029 - Baroque Works_Frontier Agents ~ Ms. Wednesday - Medal - Crafted [Colored] - Slip_Slip</v>
      </c>
      <c r="AK30" s="114"/>
      <c r="AL30" s="117" t="s">
        <v>2364</v>
      </c>
      <c r="AM30" s="117" t="s">
        <v>2365</v>
      </c>
      <c r="AN30" s="114"/>
      <c r="AO30" s="122">
        <f>IFERROR(__xludf.DUMMYFUNCTION("""COMPUTED_VALUE"""),279.0)</f>
        <v>279</v>
      </c>
      <c r="AP30" s="114" t="str">
        <f>IFERROR(__xludf.DUMMYFUNCTION("""COMPUTED_VALUE"""),"Bartolomeo
(Straw Hat Fleet)")</f>
        <v>Bartolomeo
(Straw Hat Fleet)</v>
      </c>
      <c r="AQ30" s="114" t="str">
        <f>IFERROR(__xludf.DUMMYFUNCTION("""COMPUTED_VALUE"""),"Bartolomeo (Straw Hat Fleet)")</f>
        <v>Bartolomeo (Straw Hat Fleet)</v>
      </c>
      <c r="AR30" s="114"/>
      <c r="AS30" s="114"/>
      <c r="AT30" s="123" t="str">
        <f>IFERROR(__xludf.DUMMYFUNCTION("""COMPUTED_VALUE"""),"https://i.postimg.cc/wTL4kvpf/279.png")</f>
        <v>https://i.postimg.cc/wTL4kvpf/279.png</v>
      </c>
      <c r="AU30" s="114"/>
      <c r="AV30" s="114"/>
      <c r="AW30" s="114"/>
      <c r="AX30" s="114" t="str">
        <f t="shared" si="3"/>
        <v>279 - Medal [Event] - Crafted - Bartolomeo (Straw Hat Fleet)</v>
      </c>
      <c r="AY30" s="114" t="s">
        <v>2366</v>
      </c>
      <c r="AZ30" s="114"/>
      <c r="BA30" s="114"/>
      <c r="BB30" s="114"/>
      <c r="BC30" s="114"/>
      <c r="BD30" s="114"/>
      <c r="BE30" s="114"/>
    </row>
    <row r="31" ht="37.5" customHeight="1">
      <c r="A31" s="118" t="s">
        <v>2367</v>
      </c>
      <c r="B31" s="117" t="s">
        <v>2368</v>
      </c>
      <c r="C31" s="119">
        <f>IFERROR(__xludf.DUMMYFUNCTION("""COMPUTED_VALUE"""),312.0)</f>
        <v>312</v>
      </c>
      <c r="D31" s="114" t="str">
        <f>IFERROR(__xludf.DUMMYFUNCTION("""COMPUTED_VALUE"""),"Rock Check")</f>
        <v>Rock Check</v>
      </c>
      <c r="E31" s="114" t="str">
        <f>IFERROR(__xludf.DUMMYFUNCTION("""COMPUTED_VALUE"""),"")</f>
        <v/>
      </c>
      <c r="F31" s="114"/>
      <c r="G31" s="114"/>
      <c r="H31" s="114"/>
      <c r="I31" s="114"/>
      <c r="J31" s="114"/>
      <c r="K31" s="114" t="s">
        <v>2369</v>
      </c>
      <c r="L31" s="114" t="s">
        <v>2370</v>
      </c>
      <c r="M31" s="114" t="s">
        <v>2371</v>
      </c>
      <c r="N31" s="114" t="s">
        <v>2372</v>
      </c>
      <c r="O31" s="114"/>
      <c r="P31" s="120">
        <v>312.0</v>
      </c>
      <c r="Q31" s="117" t="s">
        <v>2373</v>
      </c>
      <c r="R31" s="114"/>
      <c r="S31" s="117" t="s">
        <v>2374</v>
      </c>
      <c r="T31" s="114">
        <f t="shared" si="1"/>
        <v>38</v>
      </c>
      <c r="U31" s="114" t="s">
        <v>1840</v>
      </c>
      <c r="V31" s="114" t="str">
        <f>IFERROR(__xludf.DUMMYFUNCTION("REGEXREPLACE(U31, ""\n"", "" "")"),"Hawk_Eye")</f>
        <v>Hawk_Eye</v>
      </c>
      <c r="W31" s="114"/>
      <c r="X31" s="115" t="str">
        <f t="shared" si="2"/>
        <v>038 The Seven Warlords of the Sea - Dracule Mihawk - Medal [Hawk_Eye]</v>
      </c>
      <c r="Y31" s="119"/>
      <c r="Z31" s="117" t="s">
        <v>2375</v>
      </c>
      <c r="AA31" s="117" t="s">
        <v>2083</v>
      </c>
      <c r="AB31" s="114"/>
      <c r="AC31" s="123" t="str">
        <f>IFERROR(__xludf.DUMMYFUNCTION("""COMPUTED_VALUE"""),"https://ik.imagekit.io/alaaalaa6171/313%20Germa%2066%20-%20Vinsmoke%20Ichiji%20-%20Medal%20_Ichiji_.png?updatedAt=1770076466031")</f>
        <v>https://ik.imagekit.io/alaaalaa6171/313%20Germa%2066%20-%20Vinsmoke%20Ichiji%20-%20Medal%20_Ichiji_.png?updatedAt=1770076466031</v>
      </c>
      <c r="AD31" s="123" t="str">
        <f>IFERROR(__xludf.DUMMYFUNCTION("""COMPUTED_VALUE"""),"https://ik.imagekit.io/alaaalaa6171/313%20Germa%2066%20-%20Vinsmoke%20Ichiji%20-%20Medal%20_Ichiji_%20_Colored_.png?updatedAt=1770076466012")</f>
        <v>https://ik.imagekit.io/alaaalaa6171/313%20Germa%2066%20-%20Vinsmoke%20Ichiji%20-%20Medal%20_Ichiji_%20_Colored_.png?updatedAt=1770076466012</v>
      </c>
      <c r="AE31" s="123" t="str">
        <f>IFERROR(__xludf.DUMMYFUNCTION("""COMPUTED_VALUE"""),"https://ik.imagekit.io/alaaalaa6171/313%20Germa%2066%20-%20Vinsmoke%20Ichiji%20-%20Medal%20_Ichiji_%20-%20Piece.png?updatedAt=1770076466029")</f>
        <v>https://ik.imagekit.io/alaaalaa6171/313%20Germa%2066%20-%20Vinsmoke%20Ichiji%20-%20Medal%20_Ichiji_%20-%20Piece.png?updatedAt=1770076466029</v>
      </c>
      <c r="AF31" s="123" t="str">
        <f>IFERROR(__xludf.DUMMYFUNCTION("""COMPUTED_VALUE"""),"https://ik.imagekit.io/alaaalaa6171/313%20Germa%2066%20-%20Vinsmoke%20Ichiji%20-%20Medal%20_Ichiji_%20-%20Piece%20_Colored_.png?updatedAt=1770076466014")</f>
        <v>https://ik.imagekit.io/alaaalaa6171/313%20Germa%2066%20-%20Vinsmoke%20Ichiji%20-%20Medal%20_Ichiji_%20-%20Piece%20_Colored_.png?updatedAt=1770076466014</v>
      </c>
      <c r="AG31" s="114"/>
      <c r="AH31" s="114"/>
      <c r="AI31" s="121" t="s">
        <v>2376</v>
      </c>
      <c r="AJ31" s="121" t="str">
        <f>IFERROR(__xludf.DUMMYFUNCTION("regexreplace(regexreplace(AI31, ""  \["", "" ""), ""\]$"", """")"),"030 - Navy HQ_Master Chief Petty Officer ~ Tashigi - Medal - Crafted [Colored] - Ms. Wednesday")</f>
        <v>030 - Navy HQ_Master Chief Petty Officer ~ Tashigi - Medal - Crafted [Colored] - Ms. Wednesday</v>
      </c>
      <c r="AK31" s="114"/>
      <c r="AL31" s="117" t="s">
        <v>2377</v>
      </c>
      <c r="AM31" s="117" t="s">
        <v>2378</v>
      </c>
      <c r="AN31" s="114"/>
      <c r="AO31" s="122">
        <f>IFERROR(__xludf.DUMMYFUNCTION("""COMPUTED_VALUE"""),278.0)</f>
        <v>278</v>
      </c>
      <c r="AP31" s="114" t="str">
        <f>IFERROR(__xludf.DUMMYFUNCTION("""COMPUTED_VALUE"""),"Hajrudin
(Straw Hat Fleet)")</f>
        <v>Hajrudin
(Straw Hat Fleet)</v>
      </c>
      <c r="AQ31" s="114" t="str">
        <f>IFERROR(__xludf.DUMMYFUNCTION("""COMPUTED_VALUE"""),"Hajrudin (Straw Hat Fleet)")</f>
        <v>Hajrudin (Straw Hat Fleet)</v>
      </c>
      <c r="AR31" s="114"/>
      <c r="AS31" s="114"/>
      <c r="AT31" s="123" t="str">
        <f>IFERROR(__xludf.DUMMYFUNCTION("""COMPUTED_VALUE"""),"https://i.postimg.cc/Vs3HMt30/278.png")</f>
        <v>https://i.postimg.cc/Vs3HMt30/278.png</v>
      </c>
      <c r="AU31" s="114"/>
      <c r="AV31" s="114"/>
      <c r="AW31" s="114"/>
      <c r="AX31" s="114" t="str">
        <f t="shared" si="3"/>
        <v>278 - Medal [Event] - Crafted - Hajrudin (Straw Hat Fleet)</v>
      </c>
      <c r="AY31" s="114" t="s">
        <v>2379</v>
      </c>
      <c r="AZ31" s="114"/>
      <c r="BA31" s="114"/>
      <c r="BB31" s="114"/>
      <c r="BC31" s="114"/>
      <c r="BD31" s="114"/>
      <c r="BE31" s="114"/>
    </row>
    <row r="32" ht="37.5" customHeight="1">
      <c r="A32" s="118" t="s">
        <v>2380</v>
      </c>
      <c r="B32" s="117" t="s">
        <v>2381</v>
      </c>
      <c r="C32" s="119">
        <f>IFERROR(__xludf.DUMMYFUNCTION("""COMPUTED_VALUE"""),311.0)</f>
        <v>311</v>
      </c>
      <c r="D32" s="114" t="str">
        <f>IFERROR(__xludf.DUMMYFUNCTION("""COMPUTED_VALUE"""),"Revolutionary Army Female Solider")</f>
        <v>Revolutionary Army Female Solider</v>
      </c>
      <c r="E32" s="114" t="str">
        <f>IFERROR(__xludf.DUMMYFUNCTION("""COMPUTED_VALUE"""),"")</f>
        <v/>
      </c>
      <c r="F32" s="114"/>
      <c r="G32" s="114"/>
      <c r="H32" s="114"/>
      <c r="I32" s="114"/>
      <c r="J32" s="114"/>
      <c r="K32" s="114" t="s">
        <v>2382</v>
      </c>
      <c r="L32" s="114" t="s">
        <v>2383</v>
      </c>
      <c r="M32" s="114" t="s">
        <v>2384</v>
      </c>
      <c r="N32" s="114" t="s">
        <v>2385</v>
      </c>
      <c r="O32" s="114"/>
      <c r="P32" s="120">
        <v>311.0</v>
      </c>
      <c r="Q32" s="117" t="s">
        <v>2386</v>
      </c>
      <c r="R32" s="114"/>
      <c r="S32" s="117" t="s">
        <v>2387</v>
      </c>
      <c r="T32" s="114">
        <f t="shared" si="1"/>
        <v>41</v>
      </c>
      <c r="U32" s="114" t="s">
        <v>1821</v>
      </c>
      <c r="V32" s="114" t="str">
        <f>IFERROR(__xludf.DUMMYFUNCTION("REGEXREPLACE(U32, ""\n"", "" "")"),"Smoker")</f>
        <v>Smoker</v>
      </c>
      <c r="W32" s="114"/>
      <c r="X32" s="115" t="str">
        <f t="shared" si="2"/>
        <v>041 Navy HQ / Captain - Smoker - Medal [Smoker]</v>
      </c>
      <c r="Y32" s="119"/>
      <c r="Z32" s="117" t="s">
        <v>2388</v>
      </c>
      <c r="AA32" s="117" t="s">
        <v>2085</v>
      </c>
      <c r="AB32" s="114"/>
      <c r="AC32" s="123" t="str">
        <f>IFERROR(__xludf.DUMMYFUNCTION("""COMPUTED_VALUE"""),"https://ik.imagekit.io/alaaalaa6171/312%20Flame%20Emperor%20-%20Sabo%20-%20Medal%20_Rock%20Check_.png?updatedAt=1770076465972")</f>
        <v>https://ik.imagekit.io/alaaalaa6171/312%20Flame%20Emperor%20-%20Sabo%20-%20Medal%20_Rock%20Check_.png?updatedAt=1770076465972</v>
      </c>
      <c r="AD32" s="123" t="str">
        <f>IFERROR(__xludf.DUMMYFUNCTION("""COMPUTED_VALUE"""),"https://ik.imagekit.io/alaaalaa6171/312%20Flame%20Emperor%20-%20Sabo%20-%20Medal%20_Rock%20Check_%20_Colored_.png?updatedAt=1770076465997")</f>
        <v>https://ik.imagekit.io/alaaalaa6171/312%20Flame%20Emperor%20-%20Sabo%20-%20Medal%20_Rock%20Check_%20_Colored_.png?updatedAt=1770076465997</v>
      </c>
      <c r="AE32" s="123" t="str">
        <f>IFERROR(__xludf.DUMMYFUNCTION("""COMPUTED_VALUE"""),"https://ik.imagekit.io/alaaalaa6171/312%20Flame%20Emperor%20-%20Sabo%20-%20Medal%20_Rock%20Check_%20-%20Piece.png?updatedAt=1770076465958")</f>
        <v>https://ik.imagekit.io/alaaalaa6171/312%20Flame%20Emperor%20-%20Sabo%20-%20Medal%20_Rock%20Check_%20-%20Piece.png?updatedAt=1770076465958</v>
      </c>
      <c r="AF32" s="123" t="str">
        <f>IFERROR(__xludf.DUMMYFUNCTION("""COMPUTED_VALUE"""),"https://ik.imagekit.io/alaaalaa6171/312%20Flame%20Emperor%20-%20Sabo%20-%20Medal%20_Rock%20Check_%20-%20Piece%20_Colored_.png?updatedAt=1770076465943")</f>
        <v>https://ik.imagekit.io/alaaalaa6171/312%20Flame%20Emperor%20-%20Sabo%20-%20Medal%20_Rock%20Check_%20-%20Piece%20_Colored_.png?updatedAt=1770076465943</v>
      </c>
      <c r="AG32" s="114"/>
      <c r="AH32" s="114"/>
      <c r="AI32" s="121" t="s">
        <v>2389</v>
      </c>
      <c r="AJ32" s="121" t="str">
        <f>IFERROR(__xludf.DUMMYFUNCTION("regexreplace(regexreplace(AI32, ""  \["", "" ""), ""\]$"", """")"),"031 - Climate Baton ~ Nami - Medal - Crafted [Colored] - Climate Baton")</f>
        <v>031 - Climate Baton ~ Nami - Medal - Crafted [Colored] - Climate Baton</v>
      </c>
      <c r="AK32" s="114"/>
      <c r="AL32" s="117" t="s">
        <v>2390</v>
      </c>
      <c r="AM32" s="117" t="s">
        <v>2391</v>
      </c>
      <c r="AN32" s="114"/>
      <c r="AO32" s="122">
        <f>IFERROR(__xludf.DUMMYFUNCTION("""COMPUTED_VALUE"""),277.0)</f>
        <v>277</v>
      </c>
      <c r="AP32" s="114" t="str">
        <f>IFERROR(__xludf.DUMMYFUNCTION("""COMPUTED_VALUE"""),"Kuma`s Daughter")</f>
        <v>Kuma`s Daughter</v>
      </c>
      <c r="AQ32" s="114" t="str">
        <f>IFERROR(__xludf.DUMMYFUNCTION("""COMPUTED_VALUE"""),"Kuma`s Daughter")</f>
        <v>Kuma`s Daughter</v>
      </c>
      <c r="AR32" s="114"/>
      <c r="AS32" s="114"/>
      <c r="AT32" s="123" t="str">
        <f>IFERROR(__xludf.DUMMYFUNCTION("""COMPUTED_VALUE"""),"https://i.postimg.cc/KvpMSpVm/277.png")</f>
        <v>https://i.postimg.cc/KvpMSpVm/277.png</v>
      </c>
      <c r="AU32" s="114"/>
      <c r="AV32" s="114"/>
      <c r="AW32" s="114"/>
      <c r="AX32" s="114" t="str">
        <f t="shared" si="3"/>
        <v>277 - Medal [Event] - Crafted - Kuma`s Daughter</v>
      </c>
      <c r="AY32" s="114" t="s">
        <v>2392</v>
      </c>
      <c r="AZ32" s="114"/>
      <c r="BA32" s="114"/>
      <c r="BB32" s="114"/>
      <c r="BC32" s="114"/>
      <c r="BD32" s="114"/>
      <c r="BE32" s="114"/>
    </row>
    <row r="33" ht="37.5" customHeight="1">
      <c r="A33" s="118" t="s">
        <v>2393</v>
      </c>
      <c r="B33" s="117" t="s">
        <v>2394</v>
      </c>
      <c r="C33" s="119">
        <f>IFERROR(__xludf.DUMMYFUNCTION("""COMPUTED_VALUE"""),310.0)</f>
        <v>310</v>
      </c>
      <c r="D33" s="114" t="str">
        <f>IFERROR(__xludf.DUMMYFUNCTION("""COMPUTED_VALUE"""),"Former Senior Apprentice")</f>
        <v>Former Senior Apprentice</v>
      </c>
      <c r="E33" s="114" t="str">
        <f>IFERROR(__xludf.DUMMYFUNCTION("""COMPUTED_VALUE"""),"")</f>
        <v/>
      </c>
      <c r="F33" s="114"/>
      <c r="G33" s="114"/>
      <c r="H33" s="114"/>
      <c r="I33" s="114"/>
      <c r="J33" s="114"/>
      <c r="K33" s="114" t="s">
        <v>2395</v>
      </c>
      <c r="L33" s="114" t="s">
        <v>2396</v>
      </c>
      <c r="M33" s="114" t="s">
        <v>2397</v>
      </c>
      <c r="N33" s="114" t="s">
        <v>2398</v>
      </c>
      <c r="O33" s="114"/>
      <c r="P33" s="120">
        <v>310.0</v>
      </c>
      <c r="Q33" s="117" t="s">
        <v>2399</v>
      </c>
      <c r="R33" s="114"/>
      <c r="S33" s="117" t="s">
        <v>2400</v>
      </c>
      <c r="T33" s="114">
        <f t="shared" si="1"/>
        <v>30</v>
      </c>
      <c r="U33" s="114" t="s">
        <v>1884</v>
      </c>
      <c r="V33" s="114" t="str">
        <f>IFERROR(__xludf.DUMMYFUNCTION("REGEXREPLACE(U33, ""\n"", "" "")"),"Slip_Slip")</f>
        <v>Slip_Slip</v>
      </c>
      <c r="W33" s="114"/>
      <c r="X33" s="115" t="str">
        <f t="shared" si="2"/>
        <v>030 Baroque Works / Frontier Agents - Ms. Wednesday - Medal [Slip_Slip]</v>
      </c>
      <c r="Y33" s="119"/>
      <c r="Z33" s="117" t="s">
        <v>2401</v>
      </c>
      <c r="AA33" s="117" t="s">
        <v>2086</v>
      </c>
      <c r="AB33" s="114"/>
      <c r="AC33" s="123" t="str">
        <f>IFERROR(__xludf.DUMMYFUNCTION("""COMPUTED_VALUE"""),"https://ik.imagekit.io/alaaalaa6171/311%20Assistant%20Fish-Man%20Karate%20Master%20-%20Koala%20-%20Medal%20_Revolutionary%20Army%20Female%20Solider_.png?updatedAt=1770076465977")</f>
        <v>https://ik.imagekit.io/alaaalaa6171/311%20Assistant%20Fish-Man%20Karate%20Master%20-%20Koala%20-%20Medal%20_Revolutionary%20Army%20Female%20Solider_.png?updatedAt=1770076465977</v>
      </c>
      <c r="AD33" s="123" t="str">
        <f>IFERROR(__xludf.DUMMYFUNCTION("""COMPUTED_VALUE"""),"https://ik.imagekit.io/alaaalaa6171/311%20Assistant%20Fish-Man%20Karate%20Master%20-%20Koala%20-%20Medal%20_Revolutionary%20Army%20Female%20Solider_%20_Colored_.png?updatedAt=1770076465984")</f>
        <v>https://ik.imagekit.io/alaaalaa6171/311%20Assistant%20Fish-Man%20Karate%20Master%20-%20Koala%20-%20Medal%20_Revolutionary%20Army%20Female%20Solider_%20_Colored_.png?updatedAt=1770076465984</v>
      </c>
      <c r="AE33" s="123" t="str">
        <f>IFERROR(__xludf.DUMMYFUNCTION("""COMPUTED_VALUE"""),"https://ik.imagekit.io/alaaalaa6171/311%20Assistant%20Fish-Man%20Karate%20Master%20-%20Koala%20-%20Medal%20_Revolutionary%20Army%20Female%20Solider_%20-%20Piece.png?updatedAt=1770076465941")</f>
        <v>https://ik.imagekit.io/alaaalaa6171/311%20Assistant%20Fish-Man%20Karate%20Master%20-%20Koala%20-%20Medal%20_Revolutionary%20Army%20Female%20Solider_%20-%20Piece.png?updatedAt=1770076465941</v>
      </c>
      <c r="AF33" s="123" t="str">
        <f>IFERROR(__xludf.DUMMYFUNCTION("""COMPUTED_VALUE"""),"https://ik.imagekit.io/alaaalaa6171/311%20Assistant%20Fish-Man%20Karate%20Master%20-%20Koala%20-%20Medal%20_Revolutionary%20Army%20Female%20Solider_%20-%20Piece%20_Colored_.png?updatedAt=1770076466044")</f>
        <v>https://ik.imagekit.io/alaaalaa6171/311%20Assistant%20Fish-Man%20Karate%20Master%20-%20Koala%20-%20Medal%20_Revolutionary%20Army%20Female%20Solider_%20-%20Piece%20_Colored_.png?updatedAt=1770076466044</v>
      </c>
      <c r="AG33" s="114"/>
      <c r="AH33" s="114"/>
      <c r="AI33" s="121" t="s">
        <v>2402</v>
      </c>
      <c r="AJ33" s="121" t="str">
        <f>IFERROR(__xludf.DUMMYFUNCTION("regexreplace(regexreplace(AI33, ""  \["", "" ""), ""\]$"", """")"),"032 - 5t Hammer ~ Usopp - Medal - Crafted [Colored] - Pound")</f>
        <v>032 - 5t Hammer ~ Usopp - Medal - Crafted [Colored] - Pound</v>
      </c>
      <c r="AK33" s="114"/>
      <c r="AL33" s="117" t="s">
        <v>2403</v>
      </c>
      <c r="AM33" s="117" t="s">
        <v>2404</v>
      </c>
      <c r="AN33" s="114"/>
      <c r="AO33" s="122">
        <f>IFERROR(__xludf.DUMMYFUNCTION("""COMPUTED_VALUE"""),276.0)</f>
        <v>276</v>
      </c>
      <c r="AP33" s="114" t="str">
        <f>IFERROR(__xludf.DUMMYFUNCTION("""COMPUTED_VALUE"""),"Free Form")</f>
        <v>Free Form</v>
      </c>
      <c r="AQ33" s="114" t="str">
        <f>IFERROR(__xludf.DUMMYFUNCTION("""COMPUTED_VALUE"""),"Free Form")</f>
        <v>Free Form</v>
      </c>
      <c r="AR33" s="114"/>
      <c r="AS33" s="114"/>
      <c r="AT33" s="123" t="str">
        <f>IFERROR(__xludf.DUMMYFUNCTION("""COMPUTED_VALUE"""),"https://i.postimg.cc/P5L8tzsY/276.png")</f>
        <v>https://i.postimg.cc/P5L8tzsY/276.png</v>
      </c>
      <c r="AU33" s="114"/>
      <c r="AV33" s="114"/>
      <c r="AW33" s="114"/>
      <c r="AX33" s="114" t="str">
        <f t="shared" si="3"/>
        <v>276 - Medal [Event] - Crafted - Free Form</v>
      </c>
      <c r="AY33" s="114" t="s">
        <v>2405</v>
      </c>
      <c r="AZ33" s="114"/>
      <c r="BA33" s="114"/>
      <c r="BB33" s="114"/>
      <c r="BC33" s="114"/>
      <c r="BD33" s="114"/>
      <c r="BE33" s="114"/>
    </row>
    <row r="34" ht="37.5" customHeight="1">
      <c r="A34" s="118" t="s">
        <v>2406</v>
      </c>
      <c r="B34" s="117" t="s">
        <v>2407</v>
      </c>
      <c r="C34" s="119">
        <f>IFERROR(__xludf.DUMMYFUNCTION("""COMPUTED_VALUE"""),309.0)</f>
        <v>309</v>
      </c>
      <c r="D34" s="114" t="str">
        <f>IFERROR(__xludf.DUMMYFUNCTION("""COMPUTED_VALUE"""),"The Future of the Navy")</f>
        <v>The Future of the Navy</v>
      </c>
      <c r="E34" s="114" t="str">
        <f>IFERROR(__xludf.DUMMYFUNCTION("""COMPUTED_VALUE"""),"")</f>
        <v/>
      </c>
      <c r="F34" s="114"/>
      <c r="G34" s="114"/>
      <c r="H34" s="114"/>
      <c r="I34" s="114"/>
      <c r="J34" s="114"/>
      <c r="K34" s="114" t="s">
        <v>2408</v>
      </c>
      <c r="L34" s="114" t="s">
        <v>2409</v>
      </c>
      <c r="M34" s="114" t="s">
        <v>2410</v>
      </c>
      <c r="N34" s="114" t="s">
        <v>2411</v>
      </c>
      <c r="O34" s="114"/>
      <c r="P34" s="120">
        <v>309.0</v>
      </c>
      <c r="Q34" s="117" t="s">
        <v>2412</v>
      </c>
      <c r="R34" s="114"/>
      <c r="S34" s="117" t="s">
        <v>2413</v>
      </c>
      <c r="T34" s="114">
        <f t="shared" si="1"/>
        <v>42</v>
      </c>
      <c r="U34" s="114" t="s">
        <v>1814</v>
      </c>
      <c r="V34" s="114" t="str">
        <f>IFERROR(__xludf.DUMMYFUNCTION("REGEXREPLACE(U34, ""\n"", "" "")"),"Wapol")</f>
        <v>Wapol</v>
      </c>
      <c r="W34" s="114"/>
      <c r="X34" s="115" t="str">
        <f t="shared" si="2"/>
        <v>042 Drum Kingdom / Former Ruler - Wapol - Medal [Wapol]</v>
      </c>
      <c r="Y34" s="119"/>
      <c r="Z34" s="117" t="s">
        <v>2414</v>
      </c>
      <c r="AA34" s="117" t="s">
        <v>2084</v>
      </c>
      <c r="AB34" s="114"/>
      <c r="AC34" s="123" t="str">
        <f>IFERROR(__xludf.DUMMYFUNCTION("""COMPUTED_VALUE"""),"https://ik.imagekit.io/alaaalaa6171/310%20Blackbeard%20Pirates%20-%20Kuzan%20-%20Medal%20_Former%20Senior%20Apprentice_.png?updatedAt=1770076465941")</f>
        <v>https://ik.imagekit.io/alaaalaa6171/310%20Blackbeard%20Pirates%20-%20Kuzan%20-%20Medal%20_Former%20Senior%20Apprentice_.png?updatedAt=1770076465941</v>
      </c>
      <c r="AD34" s="123" t="str">
        <f>IFERROR(__xludf.DUMMYFUNCTION("""COMPUTED_VALUE"""),"https://ik.imagekit.io/alaaalaa6171/310%20Blackbeard%20Pirates%20-%20Kuzan%20-%20Medal%20_Former%20Senior%20Apprentice_%20_Colored_.png?updatedAt=1770076466012")</f>
        <v>https://ik.imagekit.io/alaaalaa6171/310%20Blackbeard%20Pirates%20-%20Kuzan%20-%20Medal%20_Former%20Senior%20Apprentice_%20_Colored_.png?updatedAt=1770076466012</v>
      </c>
      <c r="AE34" s="123" t="str">
        <f>IFERROR(__xludf.DUMMYFUNCTION("""COMPUTED_VALUE"""),"https://ik.imagekit.io/alaaalaa6171/310%20Blackbeard%20Pirates%20-%20Kuzan%20-%20Medal%20_Former%20Senior%20Apprentice_%20-%20Piece.png?updatedAt=1770076466042")</f>
        <v>https://ik.imagekit.io/alaaalaa6171/310%20Blackbeard%20Pirates%20-%20Kuzan%20-%20Medal%20_Former%20Senior%20Apprentice_%20-%20Piece.png?updatedAt=1770076466042</v>
      </c>
      <c r="AF34" s="123" t="str">
        <f>IFERROR(__xludf.DUMMYFUNCTION("""COMPUTED_VALUE"""),"https://ik.imagekit.io/alaaalaa6171/310%20Blackbeard%20Pirates%20-%20Kuzan%20-%20Medal%20_Former%20Senior%20Apprentice_%20-%20Piece%20_Colored_.png?updatedAt=1770076465921")</f>
        <v>https://ik.imagekit.io/alaaalaa6171/310%20Blackbeard%20Pirates%20-%20Kuzan%20-%20Medal%20_Former%20Senior%20Apprentice_%20-%20Piece%20_Colored_.png?updatedAt=1770076465921</v>
      </c>
      <c r="AG34" s="114"/>
      <c r="AH34" s="114"/>
      <c r="AI34" s="121" t="s">
        <v>2415</v>
      </c>
      <c r="AJ34" s="121" t="str">
        <f>IFERROR(__xludf.DUMMYFUNCTION("regexreplace(regexreplace(AI34, ""  \["", "" ""), ""\]$"", """")"),"033 - Veau Vengeance ~ Sanji - Medal - Crafted [Colored] - Veau")</f>
        <v>033 - Veau Vengeance ~ Sanji - Medal - Crafted [Colored] - Veau</v>
      </c>
      <c r="AK34" s="114"/>
      <c r="AL34" s="117" t="s">
        <v>2416</v>
      </c>
      <c r="AM34" s="117" t="s">
        <v>2417</v>
      </c>
      <c r="AN34" s="114"/>
      <c r="AO34" s="122">
        <f>IFERROR(__xludf.DUMMYFUNCTION("""COMPUTED_VALUE"""),275.0)</f>
        <v>275</v>
      </c>
      <c r="AP34" s="114" t="str">
        <f>IFERROR(__xludf.DUMMYFUNCTION("""COMPUTED_VALUE"""),"St. Roswald")</f>
        <v>St. Roswald</v>
      </c>
      <c r="AQ34" s="114" t="str">
        <f>IFERROR(__xludf.DUMMYFUNCTION("""COMPUTED_VALUE"""),"St. Roswald")</f>
        <v>St. Roswald</v>
      </c>
      <c r="AR34" s="114"/>
      <c r="AS34" s="114"/>
      <c r="AT34" s="123" t="str">
        <f>IFERROR(__xludf.DUMMYFUNCTION("""COMPUTED_VALUE"""),"https://i.postimg.cc/4Nx90RW8/275.png")</f>
        <v>https://i.postimg.cc/4Nx90RW8/275.png</v>
      </c>
      <c r="AU34" s="114"/>
      <c r="AV34" s="114"/>
      <c r="AW34" s="114"/>
      <c r="AX34" s="114" t="str">
        <f t="shared" si="3"/>
        <v>275 - Medal [Event] - Crafted - St. Roswald</v>
      </c>
      <c r="AY34" s="114" t="s">
        <v>2418</v>
      </c>
      <c r="AZ34" s="114"/>
      <c r="BA34" s="114"/>
      <c r="BB34" s="114"/>
      <c r="BC34" s="114"/>
      <c r="BD34" s="114"/>
      <c r="BE34" s="114"/>
    </row>
    <row r="35" ht="37.5" customHeight="1">
      <c r="A35" s="118" t="s">
        <v>2419</v>
      </c>
      <c r="B35" s="117" t="s">
        <v>2420</v>
      </c>
      <c r="C35" s="119">
        <f>IFERROR(__xludf.DUMMYFUNCTION("""COMPUTED_VALUE"""),308.0)</f>
        <v>308</v>
      </c>
      <c r="D35" s="114" t="str">
        <f>IFERROR(__xludf.DUMMYFUNCTION("""COMPUTED_VALUE"""),"Galaxy Impact")</f>
        <v>Galaxy Impact</v>
      </c>
      <c r="E35" s="114" t="str">
        <f>IFERROR(__xludf.DUMMYFUNCTION("""COMPUTED_VALUE"""),"")</f>
        <v/>
      </c>
      <c r="F35" s="114"/>
      <c r="G35" s="114"/>
      <c r="H35" s="114"/>
      <c r="I35" s="114"/>
      <c r="J35" s="114"/>
      <c r="K35" s="114" t="s">
        <v>2421</v>
      </c>
      <c r="L35" s="114" t="s">
        <v>2422</v>
      </c>
      <c r="M35" s="114" t="s">
        <v>2423</v>
      </c>
      <c r="N35" s="114" t="s">
        <v>2424</v>
      </c>
      <c r="O35" s="114"/>
      <c r="P35" s="120">
        <v>308.0</v>
      </c>
      <c r="Q35" s="117" t="s">
        <v>2425</v>
      </c>
      <c r="R35" s="114"/>
      <c r="S35" s="117" t="s">
        <v>2426</v>
      </c>
      <c r="T35" s="114">
        <f t="shared" si="1"/>
        <v>29</v>
      </c>
      <c r="U35" s="114" t="s">
        <v>1888</v>
      </c>
      <c r="V35" s="114" t="str">
        <f>IFERROR(__xludf.DUMMYFUNCTION("REGEXREPLACE(U35, ""\n"", "" "")"),"Tashigi")</f>
        <v>Tashigi</v>
      </c>
      <c r="W35" s="114"/>
      <c r="X35" s="115" t="str">
        <f t="shared" si="2"/>
        <v>029 Slip-Slip Fruit - Alvida - Medal [Tashigi]</v>
      </c>
      <c r="Y35" s="119"/>
      <c r="Z35" s="117" t="s">
        <v>2427</v>
      </c>
      <c r="AA35" s="117" t="s">
        <v>2096</v>
      </c>
      <c r="AB35" s="114"/>
      <c r="AC35" s="123" t="str">
        <f>IFERROR(__xludf.DUMMYFUNCTION("""COMPUTED_VALUE"""),"https://ik.imagekit.io/alaaalaa6171/309%20Navy%20HQ_Captain%20-%20Koby%20-%20Medal%20_The%20Future%20of%20the%20Navy_.png?updatedAt=1770076466022")</f>
        <v>https://ik.imagekit.io/alaaalaa6171/309%20Navy%20HQ_Captain%20-%20Koby%20-%20Medal%20_The%20Future%20of%20the%20Navy_.png?updatedAt=1770076466022</v>
      </c>
      <c r="AD35" s="123" t="str">
        <f>IFERROR(__xludf.DUMMYFUNCTION("""COMPUTED_VALUE"""),"https://ik.imagekit.io/alaaalaa6171/309%20Navy%20HQ_Captain%20-%20Koby%20-%20Medal%20_The%20Future%20of%20the%20Navy_%20_Colored_.png?updatedAt=1770076465976")</f>
        <v>https://ik.imagekit.io/alaaalaa6171/309%20Navy%20HQ_Captain%20-%20Koby%20-%20Medal%20_The%20Future%20of%20the%20Navy_%20_Colored_.png?updatedAt=1770076465976</v>
      </c>
      <c r="AE35" s="123" t="str">
        <f>IFERROR(__xludf.DUMMYFUNCTION("""COMPUTED_VALUE"""),"https://ik.imagekit.io/alaaalaa6171/309%20Navy%20HQ_Captain%20-%20Koby%20-%20Medal%20_The%20Future%20of%20the%20Navy_%20-%20Piece.png?updatedAt=1770076465909")</f>
        <v>https://ik.imagekit.io/alaaalaa6171/309%20Navy%20HQ_Captain%20-%20Koby%20-%20Medal%20_The%20Future%20of%20the%20Navy_%20-%20Piece.png?updatedAt=1770076465909</v>
      </c>
      <c r="AF35" s="123" t="str">
        <f>IFERROR(__xludf.DUMMYFUNCTION("""COMPUTED_VALUE"""),"https://ik.imagekit.io/alaaalaa6171/309%20Navy%20HQ_Captain%20-%20Koby%20-%20Medal%20_The%20Future%20of%20the%20Navy_%20-%20Piece%20_Colored_.png?updatedAt=1770076465911")</f>
        <v>https://ik.imagekit.io/alaaalaa6171/309%20Navy%20HQ_Captain%20-%20Koby%20-%20Medal%20_The%20Future%20of%20the%20Navy_%20-%20Piece%20_Colored_.png?updatedAt=1770076465911</v>
      </c>
      <c r="AG35" s="114"/>
      <c r="AH35" s="114"/>
      <c r="AI35" s="121" t="s">
        <v>2428</v>
      </c>
      <c r="AJ35" s="121" t="str">
        <f>IFERROR(__xludf.DUMMYFUNCTION("regexreplace(regexreplace(AI35, ""  \["", "" ""), ""\]$"", """")"),"034 - Obe-Sword Style Iai Lion Song ~ Roronoa Zoro - Medal - Crafted [Colored] - Lion Song")</f>
        <v>034 - Obe-Sword Style Iai Lion Song ~ Roronoa Zoro - Medal - Crafted [Colored] - Lion Song</v>
      </c>
      <c r="AK35" s="114"/>
      <c r="AL35" s="117" t="s">
        <v>2429</v>
      </c>
      <c r="AM35" s="117" t="s">
        <v>2430</v>
      </c>
      <c r="AN35" s="114"/>
      <c r="AO35" s="122">
        <f>IFERROR(__xludf.DUMMYFUNCTION("""COMPUTED_VALUE"""),274.0)</f>
        <v>274</v>
      </c>
      <c r="AP35" s="114" t="str">
        <f>IFERROR(__xludf.DUMMYFUNCTION("""COMPUTED_VALUE"""),"Buggyjiro")</f>
        <v>Buggyjiro</v>
      </c>
      <c r="AQ35" s="114" t="str">
        <f>IFERROR(__xludf.DUMMYFUNCTION("""COMPUTED_VALUE"""),"Buggyjiro")</f>
        <v>Buggyjiro</v>
      </c>
      <c r="AR35" s="114"/>
      <c r="AS35" s="114"/>
      <c r="AT35" s="123" t="str">
        <f>IFERROR(__xludf.DUMMYFUNCTION("""COMPUTED_VALUE"""),"https://i.postimg.cc/155SkMHq/274.png")</f>
        <v>https://i.postimg.cc/155SkMHq/274.png</v>
      </c>
      <c r="AU35" s="114"/>
      <c r="AV35" s="114"/>
      <c r="AW35" s="114"/>
      <c r="AX35" s="114" t="str">
        <f t="shared" si="3"/>
        <v>274 - Medal [Event] - Crafted - Buggyjiro</v>
      </c>
      <c r="AY35" s="114" t="s">
        <v>2431</v>
      </c>
      <c r="AZ35" s="114"/>
      <c r="BA35" s="114"/>
      <c r="BB35" s="114"/>
      <c r="BC35" s="114"/>
      <c r="BD35" s="114"/>
      <c r="BE35" s="114"/>
    </row>
    <row r="36" ht="37.5" customHeight="1">
      <c r="A36" s="118" t="s">
        <v>2432</v>
      </c>
      <c r="B36" s="117" t="s">
        <v>2433</v>
      </c>
      <c r="C36" s="119">
        <f>IFERROR(__xludf.DUMMYFUNCTION("""COMPUTED_VALUE"""),307.0)</f>
        <v>307</v>
      </c>
      <c r="D36" s="114" t="str">
        <f>IFERROR(__xludf.DUMMYFUNCTION("""COMPUTED_VALUE"""),"Lt. Commander Helmeppo")</f>
        <v>Lt. Commander Helmeppo</v>
      </c>
      <c r="E36" s="114" t="str">
        <f>IFERROR(__xludf.DUMMYFUNCTION("""COMPUTED_VALUE"""),"")</f>
        <v/>
      </c>
      <c r="F36" s="114"/>
      <c r="G36" s="114"/>
      <c r="H36" s="114"/>
      <c r="I36" s="114"/>
      <c r="J36" s="114"/>
      <c r="K36" s="114" t="s">
        <v>2434</v>
      </c>
      <c r="L36" s="114" t="s">
        <v>2435</v>
      </c>
      <c r="M36" s="114" t="s">
        <v>2436</v>
      </c>
      <c r="N36" s="114" t="s">
        <v>2437</v>
      </c>
      <c r="O36" s="114"/>
      <c r="P36" s="120">
        <v>307.0</v>
      </c>
      <c r="Q36" s="117" t="s">
        <v>2438</v>
      </c>
      <c r="R36" s="114"/>
      <c r="S36" s="117" t="s">
        <v>2439</v>
      </c>
      <c r="T36" s="114">
        <f t="shared" si="1"/>
        <v>28</v>
      </c>
      <c r="U36" s="114" t="s">
        <v>1881</v>
      </c>
      <c r="V36" s="114" t="str">
        <f>IFERROR(__xludf.DUMMYFUNCTION("REGEXREPLACE(U36, ""\n"", "" "")"),"Ms. Wednesday")</f>
        <v>Ms. Wednesday</v>
      </c>
      <c r="W36" s="114"/>
      <c r="X36" s="115" t="str">
        <f t="shared" si="2"/>
        <v>028 Navy HQ / Master Chief Petty Officer - Tashigi - Medal [Ms. Wednesday]</v>
      </c>
      <c r="Y36" s="119"/>
      <c r="Z36" s="117" t="s">
        <v>2440</v>
      </c>
      <c r="AA36" s="117" t="s">
        <v>2098</v>
      </c>
      <c r="AB36" s="114"/>
      <c r="AC36" s="123" t="str">
        <f>IFERROR(__xludf.DUMMYFUNCTION("""COMPUTED_VALUE"""),"https://ik.imagekit.io/alaaalaa6171/308%20Legendary%20Hero%20-%20Monkey%20D.%20Garp%20-%20Medal%20_Galaxy%20Impact_.png?updatedAt=1770076465913")</f>
        <v>https://ik.imagekit.io/alaaalaa6171/308%20Legendary%20Hero%20-%20Monkey%20D.%20Garp%20-%20Medal%20_Galaxy%20Impact_.png?updatedAt=1770076465913</v>
      </c>
      <c r="AD36" s="123" t="str">
        <f>IFERROR(__xludf.DUMMYFUNCTION("""COMPUTED_VALUE"""),"https://ik.imagekit.io/alaaalaa6171/308%20Legendary%20Hero%20-%20Monkey%20D.%20Garp%20-%20Medal%20_Galaxy%20Impact_%20_Colored_.png?updatedAt=1770076465908")</f>
        <v>https://ik.imagekit.io/alaaalaa6171/308%20Legendary%20Hero%20-%20Monkey%20D.%20Garp%20-%20Medal%20_Galaxy%20Impact_%20_Colored_.png?updatedAt=1770076465908</v>
      </c>
      <c r="AE36" s="123" t="str">
        <f>IFERROR(__xludf.DUMMYFUNCTION("""COMPUTED_VALUE"""),"https://ik.imagekit.io/alaaalaa6171/308%20Legendary%20Hero%20-%20Monkey%20D.%20Garp%20-%20Medal%20_Galaxy%20Impact_%20-%20Piece.png?updatedAt=1770076465549")</f>
        <v>https://ik.imagekit.io/alaaalaa6171/308%20Legendary%20Hero%20-%20Monkey%20D.%20Garp%20-%20Medal%20_Galaxy%20Impact_%20-%20Piece.png?updatedAt=1770076465549</v>
      </c>
      <c r="AF36" s="123" t="str">
        <f>IFERROR(__xludf.DUMMYFUNCTION("""COMPUTED_VALUE"""),"https://ik.imagekit.io/alaaalaa6171/308%20Legendary%20Hero%20-%20Monkey%20D.%20Garp%20-%20Medal%20_Galaxy%20Impact_%20-%20Piece%20_Colored_.png?updatedAt=1770076465495")</f>
        <v>https://ik.imagekit.io/alaaalaa6171/308%20Legendary%20Hero%20-%20Monkey%20D.%20Garp%20-%20Medal%20_Galaxy%20Impact_%20-%20Piece%20_Colored_.png?updatedAt=1770076465495</v>
      </c>
      <c r="AG36" s="114"/>
      <c r="AH36" s="114"/>
      <c r="AI36" s="121" t="s">
        <v>2441</v>
      </c>
      <c r="AJ36" s="121" t="str">
        <f>IFERROR(__xludf.DUMMYFUNCTION("regexreplace(regexreplace(AI36, ""  \["", "" ""), ""\]$"", """")"),"035 - Red-Haired Pirates_Captain ~ Shanks - Medal - Crafted [Colored] - Shanks")</f>
        <v>035 - Red-Haired Pirates_Captain ~ Shanks - Medal - Crafted [Colored] - Shanks</v>
      </c>
      <c r="AK36" s="114"/>
      <c r="AL36" s="117" t="s">
        <v>2442</v>
      </c>
      <c r="AM36" s="117" t="s">
        <v>2443</v>
      </c>
      <c r="AN36" s="114"/>
      <c r="AO36" s="122">
        <f>IFERROR(__xludf.DUMMYFUNCTION("""COMPUTED_VALUE"""),273.0)</f>
        <v>273</v>
      </c>
      <c r="AP36" s="114" t="str">
        <f>IFERROR(__xludf.DUMMYFUNCTION("""COMPUTED_VALUE"""),"Redtaro")</f>
        <v>Redtaro</v>
      </c>
      <c r="AQ36" s="114" t="str">
        <f>IFERROR(__xludf.DUMMYFUNCTION("""COMPUTED_VALUE"""),"Redtaro")</f>
        <v>Redtaro</v>
      </c>
      <c r="AR36" s="114"/>
      <c r="AS36" s="114"/>
      <c r="AT36" s="123" t="str">
        <f>IFERROR(__xludf.DUMMYFUNCTION("""COMPUTED_VALUE"""),"https://i.postimg.cc/tCSbpPSm/273.png")</f>
        <v>https://i.postimg.cc/tCSbpPSm/273.png</v>
      </c>
      <c r="AU36" s="114"/>
      <c r="AV36" s="114"/>
      <c r="AW36" s="114"/>
      <c r="AX36" s="114" t="str">
        <f t="shared" si="3"/>
        <v>273 - Medal [Event] - Crafted - Redtaro</v>
      </c>
      <c r="AY36" s="114" t="s">
        <v>2444</v>
      </c>
      <c r="AZ36" s="114"/>
      <c r="BA36" s="114"/>
      <c r="BB36" s="114"/>
      <c r="BC36" s="114"/>
      <c r="BD36" s="114"/>
      <c r="BE36" s="114"/>
    </row>
    <row r="37" ht="37.5" customHeight="1">
      <c r="A37" s="118" t="s">
        <v>2445</v>
      </c>
      <c r="B37" s="117" t="s">
        <v>2446</v>
      </c>
      <c r="C37" s="119">
        <f>IFERROR(__xludf.DUMMYFUNCTION("""COMPUTED_VALUE"""),306.0)</f>
        <v>306</v>
      </c>
      <c r="D37" s="114" t="str">
        <f>IFERROR(__xludf.DUMMYFUNCTION("""COMPUTED_VALUE"""),"Egghead Bonney")</f>
        <v>Egghead Bonney</v>
      </c>
      <c r="E37" s="114" t="str">
        <f>IFERROR(__xludf.DUMMYFUNCTION("""COMPUTED_VALUE"""),"")</f>
        <v/>
      </c>
      <c r="F37" s="114"/>
      <c r="G37" s="114"/>
      <c r="H37" s="114"/>
      <c r="I37" s="114"/>
      <c r="J37" s="114"/>
      <c r="K37" s="114" t="s">
        <v>2447</v>
      </c>
      <c r="L37" s="114" t="s">
        <v>2448</v>
      </c>
      <c r="M37" s="114" t="s">
        <v>2449</v>
      </c>
      <c r="N37" s="114" t="s">
        <v>2450</v>
      </c>
      <c r="O37" s="114"/>
      <c r="P37" s="120">
        <v>306.0</v>
      </c>
      <c r="Q37" s="117" t="s">
        <v>2451</v>
      </c>
      <c r="R37" s="114"/>
      <c r="S37" s="117" t="s">
        <v>2452</v>
      </c>
      <c r="T37" s="114">
        <f t="shared" si="1"/>
        <v>43</v>
      </c>
      <c r="U37" s="114" t="s">
        <v>1808</v>
      </c>
      <c r="V37" s="114" t="str">
        <f>IFERROR(__xludf.DUMMYFUNCTION("REGEXREPLACE(U37, ""\n"", "" "")"),"Storm")</f>
        <v>Storm</v>
      </c>
      <c r="W37" s="114"/>
      <c r="X37" s="115" t="str">
        <f t="shared" si="2"/>
        <v>043 Gum-Gum Storm - Monkey D. Luffy - Medal [Storm]</v>
      </c>
      <c r="Y37" s="119"/>
      <c r="Z37" s="117" t="s">
        <v>2453</v>
      </c>
      <c r="AA37" s="117" t="s">
        <v>2099</v>
      </c>
      <c r="AB37" s="114"/>
      <c r="AC37" s="123" t="str">
        <f>IFERROR(__xludf.DUMMYFUNCTION("""COMPUTED_VALUE"""),"https://ik.imagekit.io/alaaalaa6171/307%20Navy%20HQ_Lt.%20Commander%20-%20Helmeppo%20-%20Medal%20_Lt.%20Commander%20Helmeppo_.png?updatedAt=1770076465944")</f>
        <v>https://ik.imagekit.io/alaaalaa6171/307%20Navy%20HQ_Lt.%20Commander%20-%20Helmeppo%20-%20Medal%20_Lt.%20Commander%20Helmeppo_.png?updatedAt=1770076465944</v>
      </c>
      <c r="AD37" s="123" t="str">
        <f>IFERROR(__xludf.DUMMYFUNCTION("""COMPUTED_VALUE"""),"https://ik.imagekit.io/alaaalaa6171/307%20Navy%20HQ_Lt.%20Commander%20-%20Helmeppo%20-%20Medal%20_Lt.%20Commander%20Helmeppo_%20_Colored_.png?updatedAt=1770076465504")</f>
        <v>https://ik.imagekit.io/alaaalaa6171/307%20Navy%20HQ_Lt.%20Commander%20-%20Helmeppo%20-%20Medal%20_Lt.%20Commander%20Helmeppo_%20_Colored_.png?updatedAt=1770076465504</v>
      </c>
      <c r="AE37" s="123" t="str">
        <f>IFERROR(__xludf.DUMMYFUNCTION("""COMPUTED_VALUE"""),"https://ik.imagekit.io/alaaalaa6171/307%20Navy%20HQ_Lt.%20Commander%20-%20Helmeppo%20-%20Medal%20_Lt.%20Commander%20Helmeppo_%20-%20Piece.png?updatedAt=1770076465479")</f>
        <v>https://ik.imagekit.io/alaaalaa6171/307%20Navy%20HQ_Lt.%20Commander%20-%20Helmeppo%20-%20Medal%20_Lt.%20Commander%20Helmeppo_%20-%20Piece.png?updatedAt=1770076465479</v>
      </c>
      <c r="AF37" s="123" t="str">
        <f>IFERROR(__xludf.DUMMYFUNCTION("""COMPUTED_VALUE"""),"https://ik.imagekit.io/alaaalaa6171/307%20Navy%20HQ_Lt.%20Commander%20-%20Helmeppo%20-%20Medal%20_Lt.%20Commander%20Helmeppo_%20-%20Piece%20_Colored_.png?updatedAt=1770076465476")</f>
        <v>https://ik.imagekit.io/alaaalaa6171/307%20Navy%20HQ_Lt.%20Commander%20-%20Helmeppo%20-%20Medal%20_Lt.%20Commander%20Helmeppo_%20-%20Piece%20_Colored_.png?updatedAt=1770076465476</v>
      </c>
      <c r="AG37" s="114"/>
      <c r="AH37" s="114"/>
      <c r="AI37" s="121" t="s">
        <v>2454</v>
      </c>
      <c r="AJ37" s="121" t="str">
        <f>IFERROR(__xludf.DUMMYFUNCTION("regexreplace(regexreplace(AI37, ""  \["", "" ""), ""\]$"", """")"),"036 - Red-Haired Pirates_Sharp Shooter ~ Yasopp - Medal - Crafted [Colored] - Yasopp")</f>
        <v>036 - Red-Haired Pirates_Sharp Shooter ~ Yasopp - Medal - Crafted [Colored] - Yasopp</v>
      </c>
      <c r="AK37" s="114"/>
      <c r="AL37" s="117" t="s">
        <v>2455</v>
      </c>
      <c r="AM37" s="117" t="s">
        <v>2456</v>
      </c>
      <c r="AN37" s="114"/>
      <c r="AO37" s="122">
        <f>IFERROR(__xludf.DUMMYFUNCTION("""COMPUTED_VALUE"""),272.0)</f>
        <v>272</v>
      </c>
      <c r="AP37" s="114" t="str">
        <f>IFERROR(__xludf.DUMMYFUNCTION("""COMPUTED_VALUE"""),"Vice Captain of the Eastern Forces")</f>
        <v>Vice Captain of the Eastern Forces</v>
      </c>
      <c r="AQ37" s="114" t="str">
        <f>IFERROR(__xludf.DUMMYFUNCTION("""COMPUTED_VALUE"""),"Vice Captain of the Eastern Forces")</f>
        <v>Vice Captain of the Eastern Forces</v>
      </c>
      <c r="AR37" s="114"/>
      <c r="AS37" s="114"/>
      <c r="AT37" s="123" t="str">
        <f>IFERROR(__xludf.DUMMYFUNCTION("""COMPUTED_VALUE"""),"https://i.postimg.cc/Kzd7hg6b/272.png")</f>
        <v>https://i.postimg.cc/Kzd7hg6b/272.png</v>
      </c>
      <c r="AU37" s="114"/>
      <c r="AV37" s="114"/>
      <c r="AW37" s="114"/>
      <c r="AX37" s="114" t="str">
        <f t="shared" si="3"/>
        <v>272 - Medal [Event] - Crafted - Vice Captain of the Eastern Forces</v>
      </c>
      <c r="AY37" s="114" t="s">
        <v>2457</v>
      </c>
      <c r="AZ37" s="114"/>
      <c r="BA37" s="114"/>
      <c r="BB37" s="114"/>
      <c r="BC37" s="114"/>
      <c r="BD37" s="114"/>
      <c r="BE37" s="114"/>
    </row>
    <row r="38" ht="37.5" customHeight="1">
      <c r="A38" s="118" t="s">
        <v>2458</v>
      </c>
      <c r="B38" s="117" t="s">
        <v>2459</v>
      </c>
      <c r="C38" s="119">
        <f>IFERROR(__xludf.DUMMYFUNCTION("""COMPUTED_VALUE"""),305.0)</f>
        <v>305</v>
      </c>
      <c r="D38" s="114" t="str">
        <f>IFERROR(__xludf.DUMMYFUNCTION("""COMPUTED_VALUE"""),"Egghead Sanji")</f>
        <v>Egghead Sanji</v>
      </c>
      <c r="E38" s="114" t="str">
        <f>IFERROR(__xludf.DUMMYFUNCTION("""COMPUTED_VALUE"""),"")</f>
        <v/>
      </c>
      <c r="F38" s="114"/>
      <c r="G38" s="114"/>
      <c r="H38" s="114"/>
      <c r="I38" s="114"/>
      <c r="J38" s="114"/>
      <c r="K38" s="114" t="s">
        <v>2460</v>
      </c>
      <c r="L38" s="114" t="s">
        <v>2461</v>
      </c>
      <c r="M38" s="114" t="s">
        <v>2462</v>
      </c>
      <c r="N38" s="114" t="s">
        <v>2463</v>
      </c>
      <c r="O38" s="114"/>
      <c r="P38" s="120">
        <v>305.0</v>
      </c>
      <c r="Q38" s="117" t="s">
        <v>2464</v>
      </c>
      <c r="R38" s="114"/>
      <c r="S38" s="117" t="s">
        <v>2465</v>
      </c>
      <c r="T38" s="114">
        <f t="shared" si="1"/>
        <v>44</v>
      </c>
      <c r="U38" s="114" t="s">
        <v>1803</v>
      </c>
      <c r="V38" s="114" t="str">
        <f>IFERROR(__xludf.DUMMYFUNCTION("REGEXREPLACE(U38, ""\n"", "" "")"),"Peacock")</f>
        <v>Peacock</v>
      </c>
      <c r="W38" s="114"/>
      <c r="X38" s="115" t="str">
        <f t="shared" si="2"/>
        <v>044 Peacock Slasher - Nefeltari Vivi - Medal [Peacock]</v>
      </c>
      <c r="Y38" s="119"/>
      <c r="Z38" s="117" t="s">
        <v>2466</v>
      </c>
      <c r="AA38" s="117" t="s">
        <v>2097</v>
      </c>
      <c r="AB38" s="114"/>
      <c r="AC38" s="123" t="str">
        <f>IFERROR(__xludf.DUMMYFUNCTION("""COMPUTED_VALUE"""),"https://ik.imagekit.io/alaaalaa6171/306%20Egghead%20-%20Jewelry%20Bonney%20-%20Medal%20_Egghead%20Bonney_.png?updatedAt=1770076465190")</f>
        <v>https://ik.imagekit.io/alaaalaa6171/306%20Egghead%20-%20Jewelry%20Bonney%20-%20Medal%20_Egghead%20Bonney_.png?updatedAt=1770076465190</v>
      </c>
      <c r="AD38" s="123" t="str">
        <f>IFERROR(__xludf.DUMMYFUNCTION("""COMPUTED_VALUE"""),"https://ik.imagekit.io/alaaalaa6171/306%20Egghead%20-%20Jewelry%20Bonney%20-%20Medal%20_Egghead%20Bonney_%20_Colored_.png?updatedAt=1770076464545")</f>
        <v>https://ik.imagekit.io/alaaalaa6171/306%20Egghead%20-%20Jewelry%20Bonney%20-%20Medal%20_Egghead%20Bonney_%20_Colored_.png?updatedAt=1770076464545</v>
      </c>
      <c r="AE38" s="123" t="str">
        <f>IFERROR(__xludf.DUMMYFUNCTION("""COMPUTED_VALUE"""),"https://ik.imagekit.io/alaaalaa6171/306%20Egghead%20-%20Jewelry%20Bonney%20-%20Medal%20_Egghead%20Bonney_%20-%20Piece.png?updatedAt=1770076464038")</f>
        <v>https://ik.imagekit.io/alaaalaa6171/306%20Egghead%20-%20Jewelry%20Bonney%20-%20Medal%20_Egghead%20Bonney_%20-%20Piece.png?updatedAt=1770076464038</v>
      </c>
      <c r="AF38" s="123" t="str">
        <f>IFERROR(__xludf.DUMMYFUNCTION("""COMPUTED_VALUE"""),"https://ik.imagekit.io/alaaalaa6171/306%20Egghead%20-%20Jewelry%20Bonney%20-%20Medal%20_Egghead%20Bonney_%20-%20Piece%20_Colored_.png?updatedAt=1770076462885")</f>
        <v>https://ik.imagekit.io/alaaalaa6171/306%20Egghead%20-%20Jewelry%20Bonney%20-%20Medal%20_Egghead%20Bonney_%20-%20Piece%20_Colored_.png?updatedAt=1770076462885</v>
      </c>
      <c r="AG38" s="114"/>
      <c r="AH38" s="114"/>
      <c r="AI38" s="121" t="s">
        <v>2467</v>
      </c>
      <c r="AJ38" s="121" t="str">
        <f>IFERROR(__xludf.DUMMYFUNCTION("regexreplace(regexreplace(AI38, ""  \["", "" ""), ""\]$"", """")"),"037 - Girl from Syrub Village ~ Kaya - Medal - Crafted [Colored] - Kaya")</f>
        <v>037 - Girl from Syrub Village ~ Kaya - Medal - Crafted [Colored] - Kaya</v>
      </c>
      <c r="AK38" s="114"/>
      <c r="AL38" s="117" t="s">
        <v>2468</v>
      </c>
      <c r="AM38" s="117" t="s">
        <v>2469</v>
      </c>
      <c r="AN38" s="114"/>
      <c r="AO38" s="122">
        <f>IFERROR(__xludf.DUMMYFUNCTION("""COMPUTED_VALUE"""),271.0)</f>
        <v>271</v>
      </c>
      <c r="AP38" s="114" t="str">
        <f>IFERROR(__xludf.DUMMYFUNCTION("""COMPUTED_VALUE"""),"Captain of the Eastern Forces")</f>
        <v>Captain of the Eastern Forces</v>
      </c>
      <c r="AQ38" s="114" t="str">
        <f>IFERROR(__xludf.DUMMYFUNCTION("""COMPUTED_VALUE"""),"Captain of the Eastern Forces")</f>
        <v>Captain of the Eastern Forces</v>
      </c>
      <c r="AR38" s="114"/>
      <c r="AS38" s="114"/>
      <c r="AT38" s="123" t="str">
        <f>IFERROR(__xludf.DUMMYFUNCTION("""COMPUTED_VALUE"""),"https://i.postimg.cc/C5kGhx0q/271.png")</f>
        <v>https://i.postimg.cc/C5kGhx0q/271.png</v>
      </c>
      <c r="AU38" s="114"/>
      <c r="AV38" s="114"/>
      <c r="AW38" s="114"/>
      <c r="AX38" s="114" t="str">
        <f t="shared" si="3"/>
        <v>271 - Medal [Event] - Crafted - Captain of the Eastern Forces</v>
      </c>
      <c r="AY38" s="114" t="s">
        <v>2470</v>
      </c>
      <c r="AZ38" s="114"/>
      <c r="BA38" s="114"/>
      <c r="BB38" s="114"/>
      <c r="BC38" s="114"/>
      <c r="BD38" s="114"/>
      <c r="BE38" s="114"/>
    </row>
    <row r="39" ht="37.5" customHeight="1">
      <c r="A39" s="118" t="s">
        <v>2471</v>
      </c>
      <c r="B39" s="117" t="s">
        <v>2472</v>
      </c>
      <c r="C39" s="119">
        <f>IFERROR(__xludf.DUMMYFUNCTION("""COMPUTED_VALUE"""),304.0)</f>
        <v>304</v>
      </c>
      <c r="D39" s="114" t="str">
        <f>IFERROR(__xludf.DUMMYFUNCTION("""COMPUTED_VALUE"""),"S_Shark")</f>
        <v>S_Shark</v>
      </c>
      <c r="E39" s="114" t="str">
        <f>IFERROR(__xludf.DUMMYFUNCTION("""COMPUTED_VALUE"""),"")</f>
        <v/>
      </c>
      <c r="F39" s="114"/>
      <c r="G39" s="114"/>
      <c r="H39" s="114"/>
      <c r="I39" s="114"/>
      <c r="J39" s="114"/>
      <c r="K39" s="114" t="s">
        <v>2473</v>
      </c>
      <c r="L39" s="114" t="s">
        <v>2474</v>
      </c>
      <c r="M39" s="114" t="s">
        <v>2475</v>
      </c>
      <c r="N39" s="114" t="s">
        <v>2476</v>
      </c>
      <c r="O39" s="114"/>
      <c r="P39" s="120">
        <v>304.0</v>
      </c>
      <c r="Q39" s="117" t="s">
        <v>2477</v>
      </c>
      <c r="R39" s="114"/>
      <c r="S39" s="117" t="s">
        <v>2478</v>
      </c>
      <c r="T39" s="114">
        <f t="shared" si="1"/>
        <v>45</v>
      </c>
      <c r="U39" s="114" t="s">
        <v>1796</v>
      </c>
      <c r="V39" s="114" t="str">
        <f>IFERROR(__xludf.DUMMYFUNCTION("REGEXREPLACE(U39, ""\n"", "" "")"),"Mr. Zero")</f>
        <v>Mr. Zero</v>
      </c>
      <c r="W39" s="114"/>
      <c r="X39" s="115" t="str">
        <f t="shared" si="2"/>
        <v>045 The Seven Warlords of the Sea - Crocodile - Medal [Mr. Zero]</v>
      </c>
      <c r="Y39" s="119"/>
      <c r="Z39" s="117" t="s">
        <v>2479</v>
      </c>
      <c r="AA39" s="117" t="s">
        <v>2109</v>
      </c>
      <c r="AB39" s="114"/>
      <c r="AC39" s="123" t="str">
        <f>IFERROR(__xludf.DUMMYFUNCTION("""COMPUTED_VALUE"""),"https://ik.imagekit.io/alaaalaa6171/305%20Egghead%20-%20Sanji%20-%20Medal%20_Egghead%20Sanji_.png?updatedAt=1770076462759")</f>
        <v>https://ik.imagekit.io/alaaalaa6171/305%20Egghead%20-%20Sanji%20-%20Medal%20_Egghead%20Sanji_.png?updatedAt=1770076462759</v>
      </c>
      <c r="AD39" s="123" t="str">
        <f>IFERROR(__xludf.DUMMYFUNCTION("""COMPUTED_VALUE"""),"https://ik.imagekit.io/alaaalaa6171/305%20Egghead%20-%20Sanji%20-%20Medal%20_Egghead%20Sanji_%20_Colored_.png?updatedAt=1770076462039")</f>
        <v>https://ik.imagekit.io/alaaalaa6171/305%20Egghead%20-%20Sanji%20-%20Medal%20_Egghead%20Sanji_%20_Colored_.png?updatedAt=1770076462039</v>
      </c>
      <c r="AE39" s="123" t="str">
        <f>IFERROR(__xludf.DUMMYFUNCTION("""COMPUTED_VALUE"""),"https://ik.imagekit.io/alaaalaa6171/305%20Egghead%20-%20Sanji%20-%20Medal%20_Egghead%20Sanji_%20-%20Piece.png?updatedAt=1770076458913")</f>
        <v>https://ik.imagekit.io/alaaalaa6171/305%20Egghead%20-%20Sanji%20-%20Medal%20_Egghead%20Sanji_%20-%20Piece.png?updatedAt=1770076458913</v>
      </c>
      <c r="AF39" s="123" t="str">
        <f>IFERROR(__xludf.DUMMYFUNCTION("""COMPUTED_VALUE"""),"https://ik.imagekit.io/alaaalaa6171/305%20Egghead%20-%20Sanji%20-%20Medal%20_Egghead%20Sanji_%20-%20Piece%20_Colored_.png?updatedAt=1770076458780")</f>
        <v>https://ik.imagekit.io/alaaalaa6171/305%20Egghead%20-%20Sanji%20-%20Medal%20_Egghead%20Sanji_%20-%20Piece%20_Colored_.png?updatedAt=1770076458780</v>
      </c>
      <c r="AG39" s="114"/>
      <c r="AH39" s="114"/>
      <c r="AI39" s="121" t="s">
        <v>2480</v>
      </c>
      <c r="AJ39" s="121" t="str">
        <f>IFERROR(__xludf.DUMMYFUNCTION("regexreplace(regexreplace(AI39, ""  \["", "" ""), ""\]$"", """")"),"038 - The Seven Warlords of the Sea ~ Dracule Mihawk - Medal - Crafted [Colored] - Hawk_Eye")</f>
        <v>038 - The Seven Warlords of the Sea ~ Dracule Mihawk - Medal - Crafted [Colored] - Hawk_Eye</v>
      </c>
      <c r="AK39" s="114"/>
      <c r="AL39" s="117" t="s">
        <v>2481</v>
      </c>
      <c r="AM39" s="117" t="s">
        <v>2482</v>
      </c>
      <c r="AN39" s="114"/>
      <c r="AO39" s="122">
        <f>IFERROR(__xludf.DUMMYFUNCTION("""COMPUTED_VALUE"""),270.0)</f>
        <v>270</v>
      </c>
      <c r="AP39" s="114" t="str">
        <f>IFERROR(__xludf.DUMMYFUNCTION("""COMPUTED_VALUE"""),"Helmeppo
(Fullalead)")</f>
        <v>Helmeppo
(Fullalead)</v>
      </c>
      <c r="AQ39" s="114" t="str">
        <f>IFERROR(__xludf.DUMMYFUNCTION("""COMPUTED_VALUE"""),"Helmeppo (Fullalead)")</f>
        <v>Helmeppo (Fullalead)</v>
      </c>
      <c r="AR39" s="114"/>
      <c r="AS39" s="114"/>
      <c r="AT39" s="123" t="str">
        <f>IFERROR(__xludf.DUMMYFUNCTION("""COMPUTED_VALUE"""),"https://i.postimg.cc/x1rV38m5/270.png")</f>
        <v>https://i.postimg.cc/x1rV38m5/270.png</v>
      </c>
      <c r="AU39" s="114"/>
      <c r="AV39" s="114"/>
      <c r="AW39" s="114"/>
      <c r="AX39" s="114" t="str">
        <f t="shared" si="3"/>
        <v>270 - Medal [Event] - Crafted - Helmeppo (Fullalead)</v>
      </c>
      <c r="AY39" s="114" t="s">
        <v>2483</v>
      </c>
      <c r="AZ39" s="114"/>
      <c r="BA39" s="114"/>
      <c r="BB39" s="114"/>
      <c r="BC39" s="114"/>
      <c r="BD39" s="114"/>
      <c r="BE39" s="114"/>
    </row>
    <row r="40" ht="37.5" customHeight="1">
      <c r="A40" s="118" t="s">
        <v>2484</v>
      </c>
      <c r="B40" s="117" t="s">
        <v>2485</v>
      </c>
      <c r="C40" s="119">
        <f>IFERROR(__xludf.DUMMYFUNCTION("""COMPUTED_VALUE"""),303.0)</f>
        <v>303</v>
      </c>
      <c r="D40" s="114" t="str">
        <f>IFERROR(__xludf.DUMMYFUNCTION("""COMPUTED_VALUE"""),"Punk_06")</f>
        <v>Punk_06</v>
      </c>
      <c r="E40" s="114" t="str">
        <f>IFERROR(__xludf.DUMMYFUNCTION("""COMPUTED_VALUE"""),"")</f>
        <v/>
      </c>
      <c r="F40" s="114"/>
      <c r="G40" s="114"/>
      <c r="H40" s="114"/>
      <c r="I40" s="114"/>
      <c r="J40" s="114"/>
      <c r="K40" s="114" t="s">
        <v>2486</v>
      </c>
      <c r="L40" s="114" t="s">
        <v>2487</v>
      </c>
      <c r="M40" s="114" t="s">
        <v>2488</v>
      </c>
      <c r="N40" s="114" t="s">
        <v>2489</v>
      </c>
      <c r="O40" s="114"/>
      <c r="P40" s="120">
        <v>303.0</v>
      </c>
      <c r="Q40" s="117" t="s">
        <v>2490</v>
      </c>
      <c r="R40" s="114"/>
      <c r="S40" s="117" t="s">
        <v>2491</v>
      </c>
      <c r="T40" s="114">
        <f t="shared" si="1"/>
        <v>32</v>
      </c>
      <c r="U40" s="114" t="s">
        <v>1875</v>
      </c>
      <c r="V40" s="114" t="str">
        <f>IFERROR(__xludf.DUMMYFUNCTION("REGEXREPLACE(U40, ""\n"", "" "")"),"Pound")</f>
        <v>Pound</v>
      </c>
      <c r="W40" s="114"/>
      <c r="X40" s="115" t="str">
        <f t="shared" si="2"/>
        <v>032 5t Hammer - Usopp - Medal [Pound]</v>
      </c>
      <c r="Y40" s="119"/>
      <c r="Z40" s="117" t="s">
        <v>2492</v>
      </c>
      <c r="AA40" s="117" t="s">
        <v>2111</v>
      </c>
      <c r="AB40" s="114"/>
      <c r="AC40" s="123" t="str">
        <f>IFERROR(__xludf.DUMMYFUNCTION("""COMPUTED_VALUE"""),"https://ik.imagekit.io/alaaalaa6171/304%20Seraphim%20-%20S-Shark%20-%20Medal%20_S_Shark_.png?updatedAt=1770076459135")</f>
        <v>https://ik.imagekit.io/alaaalaa6171/304%20Seraphim%20-%20S-Shark%20-%20Medal%20_S_Shark_.png?updatedAt=1770076459135</v>
      </c>
      <c r="AD40" s="123" t="str">
        <f>IFERROR(__xludf.DUMMYFUNCTION("""COMPUTED_VALUE"""),"https://ik.imagekit.io/alaaalaa6171/304%20Seraphim%20-%20S-Shark%20-%20Medal%20_S_Shark_%20_Colored_.png?updatedAt=1770076458761")</f>
        <v>https://ik.imagekit.io/alaaalaa6171/304%20Seraphim%20-%20S-Shark%20-%20Medal%20_S_Shark_%20_Colored_.png?updatedAt=1770076458761</v>
      </c>
      <c r="AE40" s="123" t="str">
        <f>IFERROR(__xludf.DUMMYFUNCTION("""COMPUTED_VALUE"""),"https://ik.imagekit.io/alaaalaa6171/304%20Seraphim%20-%20S-Shark%20-%20Medal%20_S_Shark_%20-%20Piece.png?updatedAt=1770076459097")</f>
        <v>https://ik.imagekit.io/alaaalaa6171/304%20Seraphim%20-%20S-Shark%20-%20Medal%20_S_Shark_%20-%20Piece.png?updatedAt=1770076459097</v>
      </c>
      <c r="AF40" s="123" t="str">
        <f>IFERROR(__xludf.DUMMYFUNCTION("""COMPUTED_VALUE"""),"https://ik.imagekit.io/alaaalaa6171/304%20Seraphim%20-%20S-Shark%20-%20Medal%20_S_Shark_%20-%20Piece%20_Colored_.png?updatedAt=1770076458765")</f>
        <v>https://ik.imagekit.io/alaaalaa6171/304%20Seraphim%20-%20S-Shark%20-%20Medal%20_S_Shark_%20-%20Piece%20_Colored_.png?updatedAt=1770076458765</v>
      </c>
      <c r="AG40" s="114"/>
      <c r="AH40" s="114"/>
      <c r="AI40" s="121" t="s">
        <v>2493</v>
      </c>
      <c r="AJ40" s="121" t="str">
        <f>IFERROR(__xludf.DUMMYFUNCTION("regexreplace(regexreplace(AI40, ""  \["", "" ""), ""\]$"", """")"),"039 - Arlong Pirates_Captain ~ Arlong - Medal - Crafted [Colored] - Saw")</f>
        <v>039 - Arlong Pirates_Captain ~ Arlong - Medal - Crafted [Colored] - Saw</v>
      </c>
      <c r="AK40" s="114"/>
      <c r="AL40" s="117" t="s">
        <v>2494</v>
      </c>
      <c r="AM40" s="117" t="s">
        <v>2495</v>
      </c>
      <c r="AN40" s="114"/>
      <c r="AO40" s="122">
        <f>IFERROR(__xludf.DUMMYFUNCTION("""COMPUTED_VALUE"""),269.0)</f>
        <v>269</v>
      </c>
      <c r="AP40" s="114" t="str">
        <f>IFERROR(__xludf.DUMMYFUNCTION("""COMPUTED_VALUE"""),"Garp
(Fullalead)")</f>
        <v>Garp
(Fullalead)</v>
      </c>
      <c r="AQ40" s="114" t="str">
        <f>IFERROR(__xludf.DUMMYFUNCTION("""COMPUTED_VALUE"""),"Garp (Fullalead)")</f>
        <v>Garp (Fullalead)</v>
      </c>
      <c r="AR40" s="114"/>
      <c r="AS40" s="114"/>
      <c r="AT40" s="123" t="str">
        <f>IFERROR(__xludf.DUMMYFUNCTION("""COMPUTED_VALUE"""),"https://i.postimg.cc/13phCScQ/269.png")</f>
        <v>https://i.postimg.cc/13phCScQ/269.png</v>
      </c>
      <c r="AU40" s="114"/>
      <c r="AV40" s="114"/>
      <c r="AW40" s="114"/>
      <c r="AX40" s="114" t="str">
        <f t="shared" si="3"/>
        <v>269 - Medal [Event] - Crafted - Garp (Fullalead)</v>
      </c>
      <c r="AY40" s="114" t="s">
        <v>2496</v>
      </c>
      <c r="AZ40" s="114"/>
      <c r="BA40" s="114"/>
      <c r="BB40" s="114"/>
      <c r="BC40" s="114"/>
      <c r="BD40" s="114"/>
      <c r="BE40" s="114"/>
    </row>
    <row r="41" ht="37.5" customHeight="1">
      <c r="A41" s="118" t="s">
        <v>2497</v>
      </c>
      <c r="B41" s="117" t="s">
        <v>2498</v>
      </c>
      <c r="C41" s="119">
        <f>IFERROR(__xludf.DUMMYFUNCTION("""COMPUTED_VALUE"""),302.0)</f>
        <v>302</v>
      </c>
      <c r="D41" s="114" t="str">
        <f>IFERROR(__xludf.DUMMYFUNCTION("""COMPUTED_VALUE"""),"Punk_05")</f>
        <v>Punk_05</v>
      </c>
      <c r="E41" s="114" t="str">
        <f>IFERROR(__xludf.DUMMYFUNCTION("""COMPUTED_VALUE"""),"")</f>
        <v/>
      </c>
      <c r="F41" s="114"/>
      <c r="G41" s="114"/>
      <c r="H41" s="114"/>
      <c r="I41" s="114"/>
      <c r="J41" s="114"/>
      <c r="K41" s="114" t="s">
        <v>2499</v>
      </c>
      <c r="L41" s="114" t="s">
        <v>2500</v>
      </c>
      <c r="M41" s="114" t="s">
        <v>2501</v>
      </c>
      <c r="N41" s="114" t="s">
        <v>2502</v>
      </c>
      <c r="O41" s="114"/>
      <c r="P41" s="120">
        <v>302.0</v>
      </c>
      <c r="Q41" s="117" t="s">
        <v>2503</v>
      </c>
      <c r="R41" s="114"/>
      <c r="S41" s="117" t="s">
        <v>2504</v>
      </c>
      <c r="T41" s="114">
        <f t="shared" si="1"/>
        <v>33</v>
      </c>
      <c r="U41" s="114" t="s">
        <v>1871</v>
      </c>
      <c r="V41" s="114" t="str">
        <f>IFERROR(__xludf.DUMMYFUNCTION("REGEXREPLACE(U41, ""\n"", "" "")"),"Veau")</f>
        <v>Veau</v>
      </c>
      <c r="W41" s="114"/>
      <c r="X41" s="115" t="str">
        <f t="shared" si="2"/>
        <v>033 Veau Vengeance - Sanji - Medal [Veau]</v>
      </c>
      <c r="Y41" s="119"/>
      <c r="Z41" s="117" t="s">
        <v>2505</v>
      </c>
      <c r="AA41" s="117" t="s">
        <v>2112</v>
      </c>
      <c r="AB41" s="114"/>
      <c r="AC41" s="123" t="str">
        <f>IFERROR(__xludf.DUMMYFUNCTION("""COMPUTED_VALUE"""),"https://ik.imagekit.io/alaaalaa6171/303%20Punk-06%20-%20York%20-%20Medal%20_Punk_06_.png?updatedAt=1770076458727")</f>
        <v>https://ik.imagekit.io/alaaalaa6171/303%20Punk-06%20-%20York%20-%20Medal%20_Punk_06_.png?updatedAt=1770076458727</v>
      </c>
      <c r="AD41" s="123" t="str">
        <f>IFERROR(__xludf.DUMMYFUNCTION("""COMPUTED_VALUE"""),"https://ik.imagekit.io/alaaalaa6171/303%20Punk-06%20-%20York%20-%20Medal%20_Punk_06_%20_Colored_.png?updatedAt=1770076459183")</f>
        <v>https://ik.imagekit.io/alaaalaa6171/303%20Punk-06%20-%20York%20-%20Medal%20_Punk_06_%20_Colored_.png?updatedAt=1770076459183</v>
      </c>
      <c r="AE41" s="123" t="str">
        <f>IFERROR(__xludf.DUMMYFUNCTION("""COMPUTED_VALUE"""),"https://ik.imagekit.io/alaaalaa6171/303%20Punk-06%20-%20York%20-%20Medal%20_Punk_06_%20-%20Piece.png?updatedAt=1770076459108")</f>
        <v>https://ik.imagekit.io/alaaalaa6171/303%20Punk-06%20-%20York%20-%20Medal%20_Punk_06_%20-%20Piece.png?updatedAt=1770076459108</v>
      </c>
      <c r="AF41" s="123" t="str">
        <f>IFERROR(__xludf.DUMMYFUNCTION("""COMPUTED_VALUE"""),"https://ik.imagekit.io/alaaalaa6171/303%20Punk-06%20-%20York%20-%20Medal%20_Punk_06_%20-%20Piece%20_Colored_.png?updatedAt=1770076458691")</f>
        <v>https://ik.imagekit.io/alaaalaa6171/303%20Punk-06%20-%20York%20-%20Medal%20_Punk_06_%20-%20Piece%20_Colored_.png?updatedAt=1770076458691</v>
      </c>
      <c r="AG41" s="114"/>
      <c r="AH41" s="114"/>
      <c r="AI41" s="121" t="s">
        <v>2506</v>
      </c>
      <c r="AJ41" s="121" t="str">
        <f>IFERROR(__xludf.DUMMYFUNCTION("regexreplace(regexreplace(AI41, ""  \["", "" ""), ""\]$"", """")"),"040 - 30 Million Berry Bounty ~ Monkey D. Luffy - Medal - Crafted [Colored] - Battle_Ax")</f>
        <v>040 - 30 Million Berry Bounty ~ Monkey D. Luffy - Medal - Crafted [Colored] - Battle_Ax</v>
      </c>
      <c r="AK41" s="114"/>
      <c r="AL41" s="117" t="s">
        <v>2507</v>
      </c>
      <c r="AM41" s="117" t="s">
        <v>2508</v>
      </c>
      <c r="AN41" s="114"/>
      <c r="AO41" s="122">
        <f>IFERROR(__xludf.DUMMYFUNCTION("""COMPUTED_VALUE"""),268.0)</f>
        <v>268</v>
      </c>
      <c r="AP41" s="114" t="str">
        <f>IFERROR(__xludf.DUMMYFUNCTION("""COMPUTED_VALUE"""),"Hibari
(Fullalead)")</f>
        <v>Hibari
(Fullalead)</v>
      </c>
      <c r="AQ41" s="114" t="str">
        <f>IFERROR(__xludf.DUMMYFUNCTION("""COMPUTED_VALUE"""),"Hibari (Fullalead)")</f>
        <v>Hibari (Fullalead)</v>
      </c>
      <c r="AR41" s="114"/>
      <c r="AS41" s="114"/>
      <c r="AT41" s="123" t="str">
        <f>IFERROR(__xludf.DUMMYFUNCTION("""COMPUTED_VALUE"""),"https://i.postimg.cc/m258CMrr/268.png")</f>
        <v>https://i.postimg.cc/m258CMrr/268.png</v>
      </c>
      <c r="AU41" s="114"/>
      <c r="AV41" s="114"/>
      <c r="AW41" s="114"/>
      <c r="AX41" s="114" t="str">
        <f t="shared" si="3"/>
        <v>268 - Medal [Event] - Crafted - Hibari (Fullalead)</v>
      </c>
      <c r="AY41" s="114" t="s">
        <v>2509</v>
      </c>
      <c r="AZ41" s="114"/>
      <c r="BA41" s="114"/>
      <c r="BB41" s="114"/>
      <c r="BC41" s="114"/>
      <c r="BD41" s="114"/>
      <c r="BE41" s="114"/>
    </row>
    <row r="42" ht="37.5" customHeight="1">
      <c r="A42" s="118" t="s">
        <v>2510</v>
      </c>
      <c r="B42" s="117" t="s">
        <v>2511</v>
      </c>
      <c r="C42" s="119">
        <f>IFERROR(__xludf.DUMMYFUNCTION("""COMPUTED_VALUE"""),301.0)</f>
        <v>301</v>
      </c>
      <c r="D42" s="114" t="str">
        <f>IFERROR(__xludf.DUMMYFUNCTION("""COMPUTED_VALUE"""),"S_Bear")</f>
        <v>S_Bear</v>
      </c>
      <c r="E42" s="114" t="str">
        <f>IFERROR(__xludf.DUMMYFUNCTION("""COMPUTED_VALUE"""),"")</f>
        <v/>
      </c>
      <c r="F42" s="114"/>
      <c r="G42" s="114"/>
      <c r="H42" s="114"/>
      <c r="I42" s="114"/>
      <c r="J42" s="114"/>
      <c r="K42" s="114" t="s">
        <v>2512</v>
      </c>
      <c r="L42" s="114" t="s">
        <v>2513</v>
      </c>
      <c r="M42" s="114" t="s">
        <v>2514</v>
      </c>
      <c r="N42" s="114" t="s">
        <v>2515</v>
      </c>
      <c r="O42" s="114"/>
      <c r="P42" s="120">
        <v>301.0</v>
      </c>
      <c r="Q42" s="117" t="s">
        <v>2516</v>
      </c>
      <c r="R42" s="114"/>
      <c r="S42" s="117" t="s">
        <v>2517</v>
      </c>
      <c r="T42" s="114">
        <f t="shared" si="1"/>
        <v>31</v>
      </c>
      <c r="U42" s="114" t="s">
        <v>1878</v>
      </c>
      <c r="V42" s="114" t="str">
        <f>IFERROR(__xludf.DUMMYFUNCTION("REGEXREPLACE(U42, ""\n"", "" "")"),"Climate Baton")</f>
        <v>Climate Baton</v>
      </c>
      <c r="W42" s="114"/>
      <c r="X42" s="115" t="str">
        <f t="shared" si="2"/>
        <v>031 Climate Baton - Nami - Medal [Climate Baton]</v>
      </c>
      <c r="Y42" s="119"/>
      <c r="Z42" s="117" t="s">
        <v>2518</v>
      </c>
      <c r="AA42" s="117" t="s">
        <v>2110</v>
      </c>
      <c r="AB42" s="114"/>
      <c r="AC42" s="123" t="str">
        <f>IFERROR(__xludf.DUMMYFUNCTION("""COMPUTED_VALUE"""),"https://ik.imagekit.io/alaaalaa6171/302%20Punk-05%20-%20Atlas%20-%20Medal%20_Punk_05_.png?updatedAt=1770076458752")</f>
        <v>https://ik.imagekit.io/alaaalaa6171/302%20Punk-05%20-%20Atlas%20-%20Medal%20_Punk_05_.png?updatedAt=1770076458752</v>
      </c>
      <c r="AD42" s="123" t="str">
        <f>IFERROR(__xludf.DUMMYFUNCTION("""COMPUTED_VALUE"""),"https://ik.imagekit.io/alaaalaa6171/302%20Punk-05%20-%20Atlas%20-%20Medal%20_Punk_05_%20_Colored_.png?updatedAt=1770076458670")</f>
        <v>https://ik.imagekit.io/alaaalaa6171/302%20Punk-05%20-%20Atlas%20-%20Medal%20_Punk_05_%20_Colored_.png?updatedAt=1770076458670</v>
      </c>
      <c r="AE42" s="123" t="str">
        <f>IFERROR(__xludf.DUMMYFUNCTION("""COMPUTED_VALUE"""),"https://ik.imagekit.io/alaaalaa6171/302%20Punk-05%20-%20Atlas%20-%20Medal%20_Punk_05_%20-%20Piece.png?updatedAt=1770076458775")</f>
        <v>https://ik.imagekit.io/alaaalaa6171/302%20Punk-05%20-%20Atlas%20-%20Medal%20_Punk_05_%20-%20Piece.png?updatedAt=1770076458775</v>
      </c>
      <c r="AF42" s="123" t="str">
        <f>IFERROR(__xludf.DUMMYFUNCTION("""COMPUTED_VALUE"""),"https://ik.imagekit.io/alaaalaa6171/302%20Punk-05%20-%20Atlas%20-%20Medal%20_Punk_05_%20-%20Piece%20_Colored_.png?updatedAt=1770076458694")</f>
        <v>https://ik.imagekit.io/alaaalaa6171/302%20Punk-05%20-%20Atlas%20-%20Medal%20_Punk_05_%20-%20Piece%20_Colored_.png?updatedAt=1770076458694</v>
      </c>
      <c r="AG42" s="114"/>
      <c r="AH42" s="114"/>
      <c r="AI42" s="121" t="s">
        <v>2519</v>
      </c>
      <c r="AJ42" s="121" t="str">
        <f>IFERROR(__xludf.DUMMYFUNCTION("regexreplace(regexreplace(AI42, ""  \["", "" ""), ""\]$"", """")"),"041 - Navy HQ_Captain ~ Smoker - Medal - Crafted [Colored] - Smoker")</f>
        <v>041 - Navy HQ_Captain ~ Smoker - Medal - Crafted [Colored] - Smoker</v>
      </c>
      <c r="AK42" s="114"/>
      <c r="AL42" s="117" t="s">
        <v>2520</v>
      </c>
      <c r="AM42" s="117" t="s">
        <v>2521</v>
      </c>
      <c r="AN42" s="114"/>
      <c r="AO42" s="122">
        <f>IFERROR(__xludf.DUMMYFUNCTION("""COMPUTED_VALUE"""),267.0)</f>
        <v>267</v>
      </c>
      <c r="AP42" s="114" t="str">
        <f>IFERROR(__xludf.DUMMYFUNCTION("""COMPUTED_VALUE"""),"Prince Grus
(Fullalead)")</f>
        <v>Prince Grus
(Fullalead)</v>
      </c>
      <c r="AQ42" s="114" t="str">
        <f>IFERROR(__xludf.DUMMYFUNCTION("""COMPUTED_VALUE"""),"Prince Grus (Fullalead)")</f>
        <v>Prince Grus (Fullalead)</v>
      </c>
      <c r="AR42" s="114"/>
      <c r="AS42" s="114"/>
      <c r="AT42" s="123" t="str">
        <f>IFERROR(__xludf.DUMMYFUNCTION("""COMPUTED_VALUE"""),"https://i.postimg.cc/Gh2X4zdN/267.png")</f>
        <v>https://i.postimg.cc/Gh2X4zdN/267.png</v>
      </c>
      <c r="AU42" s="114"/>
      <c r="AV42" s="114"/>
      <c r="AW42" s="114"/>
      <c r="AX42" s="114" t="str">
        <f t="shared" si="3"/>
        <v>267 - Medal [Event] - Crafted - Prince Grus (Fullalead)</v>
      </c>
      <c r="AY42" s="114" t="s">
        <v>2522</v>
      </c>
      <c r="AZ42" s="114"/>
      <c r="BA42" s="114"/>
      <c r="BB42" s="114"/>
      <c r="BC42" s="114"/>
      <c r="BD42" s="114"/>
      <c r="BE42" s="114"/>
    </row>
    <row r="43" ht="37.5" customHeight="1">
      <c r="A43" s="118" t="s">
        <v>2523</v>
      </c>
      <c r="B43" s="117" t="s">
        <v>2524</v>
      </c>
      <c r="C43" s="119">
        <f>IFERROR(__xludf.DUMMYFUNCTION("""COMPUTED_VALUE"""),300.0)</f>
        <v>300</v>
      </c>
      <c r="D43" s="114" t="str">
        <f>IFERROR(__xludf.DUMMYFUNCTION("""COMPUTED_VALUE"""),"Punk_02")</f>
        <v>Punk_02</v>
      </c>
      <c r="E43" s="114" t="str">
        <f>IFERROR(__xludf.DUMMYFUNCTION("""COMPUTED_VALUE"""),"")</f>
        <v/>
      </c>
      <c r="F43" s="114"/>
      <c r="G43" s="114"/>
      <c r="H43" s="114"/>
      <c r="I43" s="114"/>
      <c r="J43" s="114"/>
      <c r="K43" s="114" t="s">
        <v>2525</v>
      </c>
      <c r="L43" s="114" t="s">
        <v>2526</v>
      </c>
      <c r="M43" s="114" t="s">
        <v>2527</v>
      </c>
      <c r="N43" s="114" t="s">
        <v>2528</v>
      </c>
      <c r="O43" s="114"/>
      <c r="P43" s="120">
        <v>300.0</v>
      </c>
      <c r="Q43" s="117" t="s">
        <v>2529</v>
      </c>
      <c r="R43" s="114"/>
      <c r="S43" s="117" t="s">
        <v>2530</v>
      </c>
      <c r="T43" s="114">
        <f t="shared" si="1"/>
        <v>34</v>
      </c>
      <c r="U43" s="114" t="s">
        <v>1866</v>
      </c>
      <c r="V43" s="114" t="str">
        <f>IFERROR(__xludf.DUMMYFUNCTION("REGEXREPLACE(U43, ""\n"", "" "")"),"Lion Song")</f>
        <v>Lion Song</v>
      </c>
      <c r="W43" s="114"/>
      <c r="X43" s="115" t="str">
        <f t="shared" si="2"/>
        <v>034 Obe-Sword Style Iai Lion Song - Roronoa Zoro - Medal [Lion Song]</v>
      </c>
      <c r="Y43" s="119"/>
      <c r="Z43" s="117" t="s">
        <v>2531</v>
      </c>
      <c r="AA43" s="117" t="s">
        <v>2122</v>
      </c>
      <c r="AB43" s="114"/>
      <c r="AC43" s="123" t="str">
        <f>IFERROR(__xludf.DUMMYFUNCTION("""COMPUTED_VALUE"""),"https://ik.imagekit.io/alaaalaa6171/301%20Seraphim%20-%20S-Bear%20-%20Medal%20_S_Bear_.png?updatedAt=1770076458714")</f>
        <v>https://ik.imagekit.io/alaaalaa6171/301%20Seraphim%20-%20S-Bear%20-%20Medal%20_S_Bear_.png?updatedAt=1770076458714</v>
      </c>
      <c r="AD43" s="123" t="str">
        <f>IFERROR(__xludf.DUMMYFUNCTION("""COMPUTED_VALUE"""),"https://ik.imagekit.io/alaaalaa6171/301%20Seraphim%20-%20S-Bear%20-%20Medal%20_S_Bear_%20_Colored_.png?updatedAt=1770076458725")</f>
        <v>https://ik.imagekit.io/alaaalaa6171/301%20Seraphim%20-%20S-Bear%20-%20Medal%20_S_Bear_%20_Colored_.png?updatedAt=1770076458725</v>
      </c>
      <c r="AE43" s="123" t="str">
        <f>IFERROR(__xludf.DUMMYFUNCTION("""COMPUTED_VALUE"""),"https://ik.imagekit.io/alaaalaa6171/301%20Seraphim%20-%20S-Bear%20-%20Medal%20_S_Bear_%20-%20Piece.png?updatedAt=1770076458691")</f>
        <v>https://ik.imagekit.io/alaaalaa6171/301%20Seraphim%20-%20S-Bear%20-%20Medal%20_S_Bear_%20-%20Piece.png?updatedAt=1770076458691</v>
      </c>
      <c r="AF43" s="123" t="str">
        <f>IFERROR(__xludf.DUMMYFUNCTION("""COMPUTED_VALUE"""),"https://ik.imagekit.io/alaaalaa6171/301%20Seraphim%20-%20S-Bear%20-%20Medal%20_S_Bear_%20-%20Piece%20_Colored_.png?updatedAt=1770076458694")</f>
        <v>https://ik.imagekit.io/alaaalaa6171/301%20Seraphim%20-%20S-Bear%20-%20Medal%20_S_Bear_%20-%20Piece%20_Colored_.png?updatedAt=1770076458694</v>
      </c>
      <c r="AG43" s="114"/>
      <c r="AH43" s="114"/>
      <c r="AI43" s="121" t="s">
        <v>2532</v>
      </c>
      <c r="AJ43" s="121" t="str">
        <f>IFERROR(__xludf.DUMMYFUNCTION("regexreplace(regexreplace(AI43, ""  \["", "" ""), ""\]$"", """")"),"042 - Drum Kingdom_Former Ruler ~ Wapol - Medal - Crafted [Colored] - Wapol")</f>
        <v>042 - Drum Kingdom_Former Ruler ~ Wapol - Medal - Crafted [Colored] - Wapol</v>
      </c>
      <c r="AK43" s="114"/>
      <c r="AL43" s="117" t="s">
        <v>2533</v>
      </c>
      <c r="AM43" s="117" t="s">
        <v>2534</v>
      </c>
      <c r="AN43" s="114"/>
      <c r="AO43" s="122">
        <f>IFERROR(__xludf.DUMMYFUNCTION("""COMPUTED_VALUE"""),266.0)</f>
        <v>266</v>
      </c>
      <c r="AP43" s="114" t="str">
        <f>IFERROR(__xludf.DUMMYFUNCTION("""COMPUTED_VALUE"""),"Tashigi
(Fullalead)")</f>
        <v>Tashigi
(Fullalead)</v>
      </c>
      <c r="AQ43" s="114" t="str">
        <f>IFERROR(__xludf.DUMMYFUNCTION("""COMPUTED_VALUE"""),"Tashigi (Fullalead)")</f>
        <v>Tashigi (Fullalead)</v>
      </c>
      <c r="AR43" s="114"/>
      <c r="AS43" s="114"/>
      <c r="AT43" s="123" t="str">
        <f>IFERROR(__xludf.DUMMYFUNCTION("""COMPUTED_VALUE"""),"https://i.postimg.cc/d3s4xNdz/266.png")</f>
        <v>https://i.postimg.cc/d3s4xNdz/266.png</v>
      </c>
      <c r="AU43" s="114"/>
      <c r="AV43" s="114"/>
      <c r="AW43" s="114"/>
      <c r="AX43" s="114" t="str">
        <f t="shared" si="3"/>
        <v>266 - Medal [Event] - Crafted - Tashigi (Fullalead)</v>
      </c>
      <c r="AY43" s="114" t="s">
        <v>2535</v>
      </c>
      <c r="AZ43" s="114"/>
      <c r="BA43" s="114"/>
      <c r="BB43" s="114"/>
      <c r="BC43" s="114"/>
      <c r="BD43" s="114"/>
      <c r="BE43" s="114"/>
    </row>
    <row r="44" ht="37.5" customHeight="1">
      <c r="A44" s="118" t="s">
        <v>2536</v>
      </c>
      <c r="B44" s="117" t="s">
        <v>2537</v>
      </c>
      <c r="C44" s="119">
        <f>IFERROR(__xludf.DUMMYFUNCTION("""COMPUTED_VALUE"""),299.0)</f>
        <v>299</v>
      </c>
      <c r="D44" s="114" t="str">
        <f>IFERROR(__xludf.DUMMYFUNCTION("""COMPUTED_VALUE"""),"Halloween Uta")</f>
        <v>Halloween Uta</v>
      </c>
      <c r="E44" s="114" t="str">
        <f>IFERROR(__xludf.DUMMYFUNCTION("""COMPUTED_VALUE"""),"")</f>
        <v/>
      </c>
      <c r="F44" s="114"/>
      <c r="G44" s="114"/>
      <c r="H44" s="114"/>
      <c r="I44" s="114"/>
      <c r="J44" s="114"/>
      <c r="K44" s="114" t="s">
        <v>2538</v>
      </c>
      <c r="L44" s="114" t="s">
        <v>2539</v>
      </c>
      <c r="M44" s="114" t="s">
        <v>2540</v>
      </c>
      <c r="N44" s="114" t="s">
        <v>2541</v>
      </c>
      <c r="O44" s="114"/>
      <c r="P44" s="120">
        <v>299.0</v>
      </c>
      <c r="Q44" s="117" t="s">
        <v>2542</v>
      </c>
      <c r="R44" s="114"/>
      <c r="S44" s="117" t="s">
        <v>2543</v>
      </c>
      <c r="T44" s="114">
        <f t="shared" si="1"/>
        <v>52</v>
      </c>
      <c r="U44" s="114" t="s">
        <v>1756</v>
      </c>
      <c r="V44" s="114" t="str">
        <f>IFERROR(__xludf.DUMMYFUNCTION("REGEXREPLACE(U44, ""\n"", "" "")"),"Ms. All Sunday")</f>
        <v>Ms. All Sunday</v>
      </c>
      <c r="W44" s="114"/>
      <c r="X44" s="115" t="str">
        <f t="shared" si="2"/>
        <v>052 Baroque Works / Vice President - Ms. All Sunday - Medal [Ms. All Sunday]</v>
      </c>
      <c r="Y44" s="119"/>
      <c r="Z44" s="117" t="s">
        <v>2544</v>
      </c>
      <c r="AA44" s="117" t="s">
        <v>2124</v>
      </c>
      <c r="AB44" s="114"/>
      <c r="AC44" s="123" t="str">
        <f>IFERROR(__xludf.DUMMYFUNCTION("""COMPUTED_VALUE"""),"https://ik.imagekit.io/alaaalaa6171/300%20Punk-02%20-%20Lilith%20-%20Medal%20_Punk_02_.png?updatedAt=1770076458652")</f>
        <v>https://ik.imagekit.io/alaaalaa6171/300%20Punk-02%20-%20Lilith%20-%20Medal%20_Punk_02_.png?updatedAt=1770076458652</v>
      </c>
      <c r="AD44" s="123" t="str">
        <f>IFERROR(__xludf.DUMMYFUNCTION("""COMPUTED_VALUE"""),"https://ik.imagekit.io/alaaalaa6171/300%20Punk-02%20-%20Lilith%20-%20Medal%20_Punk_02_%20_Colored_.png?updatedAt=1770076458782")</f>
        <v>https://ik.imagekit.io/alaaalaa6171/300%20Punk-02%20-%20Lilith%20-%20Medal%20_Punk_02_%20_Colored_.png?updatedAt=1770076458782</v>
      </c>
      <c r="AE44" s="123" t="str">
        <f>IFERROR(__xludf.DUMMYFUNCTION("""COMPUTED_VALUE"""),"https://ik.imagekit.io/alaaalaa6171/300%20Punk-02%20-%20Lilith%20-%20Medal%20_Punk_02_%20-%20Piece.png?updatedAt=1770076458722")</f>
        <v>https://ik.imagekit.io/alaaalaa6171/300%20Punk-02%20-%20Lilith%20-%20Medal%20_Punk_02_%20-%20Piece.png?updatedAt=1770076458722</v>
      </c>
      <c r="AF44" s="123" t="str">
        <f>IFERROR(__xludf.DUMMYFUNCTION("""COMPUTED_VALUE"""),"https://ik.imagekit.io/alaaalaa6171/300%20Punk-02%20-%20Lilith%20-%20Medal%20_Punk_02_%20-%20Piece%20_Colored_.png?updatedAt=1770076458720")</f>
        <v>https://ik.imagekit.io/alaaalaa6171/300%20Punk-02%20-%20Lilith%20-%20Medal%20_Punk_02_%20-%20Piece%20_Colored_.png?updatedAt=1770076458720</v>
      </c>
      <c r="AG44" s="114"/>
      <c r="AH44" s="114"/>
      <c r="AI44" s="121" t="s">
        <v>2545</v>
      </c>
      <c r="AJ44" s="121" t="str">
        <f>IFERROR(__xludf.DUMMYFUNCTION("regexreplace(regexreplace(AI44, ""  \["", "" ""), ""\]$"", """")"),"043 - Gum-Gum Storm ~ Monkey D. Luffy - Medal - Crafted [Colored] - Storm")</f>
        <v>043 - Gum-Gum Storm ~ Monkey D. Luffy - Medal - Crafted [Colored] - Storm</v>
      </c>
      <c r="AK44" s="114"/>
      <c r="AL44" s="117" t="s">
        <v>2546</v>
      </c>
      <c r="AM44" s="117" t="s">
        <v>2547</v>
      </c>
      <c r="AN44" s="114"/>
      <c r="AO44" s="122">
        <f>IFERROR(__xludf.DUMMYFUNCTION("""COMPUTED_VALUE"""),265.0)</f>
        <v>265</v>
      </c>
      <c r="AP44" s="114" t="str">
        <f>IFERROR(__xludf.DUMMYFUNCTION("""COMPUTED_VALUE"""),"Peacook
(Fullalead)")</f>
        <v>Peacook
(Fullalead)</v>
      </c>
      <c r="AQ44" s="114" t="str">
        <f>IFERROR(__xludf.DUMMYFUNCTION("""COMPUTED_VALUE"""),"Peacook (Fullalead)")</f>
        <v>Peacook (Fullalead)</v>
      </c>
      <c r="AR44" s="114"/>
      <c r="AS44" s="114"/>
      <c r="AT44" s="123" t="str">
        <f>IFERROR(__xludf.DUMMYFUNCTION("""COMPUTED_VALUE"""),"https://i.postimg.cc/3RCt9QyX/265.png")</f>
        <v>https://i.postimg.cc/3RCt9QyX/265.png</v>
      </c>
      <c r="AU44" s="114"/>
      <c r="AV44" s="114"/>
      <c r="AW44" s="114"/>
      <c r="AX44" s="114" t="str">
        <f t="shared" si="3"/>
        <v>265 - Medal [Event] - Crafted - Peacook (Fullalead)</v>
      </c>
      <c r="AY44" s="114" t="s">
        <v>2548</v>
      </c>
      <c r="AZ44" s="114"/>
      <c r="BA44" s="114"/>
      <c r="BB44" s="114"/>
      <c r="BC44" s="114"/>
      <c r="BD44" s="114"/>
      <c r="BE44" s="114"/>
    </row>
    <row r="45" ht="37.5" customHeight="1">
      <c r="A45" s="118" t="s">
        <v>2549</v>
      </c>
      <c r="B45" s="117" t="s">
        <v>2550</v>
      </c>
      <c r="C45" s="119">
        <f>IFERROR(__xludf.DUMMYFUNCTION("""COMPUTED_VALUE"""),298.0)</f>
        <v>298</v>
      </c>
      <c r="D45" s="114" t="str">
        <f>IFERROR(__xludf.DUMMYFUNCTION("""COMPUTED_VALUE"""),"Broggy")</f>
        <v>Broggy</v>
      </c>
      <c r="E45" s="114" t="str">
        <f>IFERROR(__xludf.DUMMYFUNCTION("""COMPUTED_VALUE"""),"")</f>
        <v/>
      </c>
      <c r="F45" s="114"/>
      <c r="G45" s="114"/>
      <c r="H45" s="114"/>
      <c r="I45" s="114"/>
      <c r="J45" s="114"/>
      <c r="K45" s="114" t="s">
        <v>2551</v>
      </c>
      <c r="L45" s="114" t="s">
        <v>2552</v>
      </c>
      <c r="M45" s="114" t="s">
        <v>2553</v>
      </c>
      <c r="N45" s="114" t="s">
        <v>2554</v>
      </c>
      <c r="O45" s="114"/>
      <c r="P45" s="120">
        <v>298.0</v>
      </c>
      <c r="Q45" s="117" t="s">
        <v>2555</v>
      </c>
      <c r="R45" s="114"/>
      <c r="S45" s="117" t="s">
        <v>2556</v>
      </c>
      <c r="T45" s="114">
        <f t="shared" si="1"/>
        <v>51</v>
      </c>
      <c r="U45" s="114" t="s">
        <v>1762</v>
      </c>
      <c r="V45" s="114" t="str">
        <f>IFERROR(__xludf.DUMMYFUNCTION("REGEXREPLACE(U45, ""\n"", "" "")"),"Mr. 2")</f>
        <v>Mr. 2</v>
      </c>
      <c r="W45" s="114"/>
      <c r="X45" s="115" t="str">
        <f t="shared" si="2"/>
        <v>051 Baroque Works / Officer Agent - Bon Clay, aka Mr. 2 - Medal [Mr. 2]</v>
      </c>
      <c r="Y45" s="119"/>
      <c r="Z45" s="117" t="s">
        <v>2557</v>
      </c>
      <c r="AA45" s="117" t="s">
        <v>2125</v>
      </c>
      <c r="AB45" s="114"/>
      <c r="AC45" s="123" t="str">
        <f>IFERROR(__xludf.DUMMYFUNCTION("""COMPUTED_VALUE"""),"https://ik.imagekit.io/alaaalaa6171/299%20Happy%20Halloween%20-%20Uta%20-%20Medal%20_Halloween%20Uta_.png?updatedAt=1770076458641")</f>
        <v>https://ik.imagekit.io/alaaalaa6171/299%20Happy%20Halloween%20-%20Uta%20-%20Medal%20_Halloween%20Uta_.png?updatedAt=1770076458641</v>
      </c>
      <c r="AD45" s="123" t="str">
        <f>IFERROR(__xludf.DUMMYFUNCTION("""COMPUTED_VALUE"""),"https://ik.imagekit.io/alaaalaa6171/299%20Happy%20Halloween%20-%20Uta%20-%20Medal%20_Halloween%20Uta_%20_Colored_.png?updatedAt=1770076458634")</f>
        <v>https://ik.imagekit.io/alaaalaa6171/299%20Happy%20Halloween%20-%20Uta%20-%20Medal%20_Halloween%20Uta_%20_Colored_.png?updatedAt=1770076458634</v>
      </c>
      <c r="AE45" s="123" t="str">
        <f>IFERROR(__xludf.DUMMYFUNCTION("""COMPUTED_VALUE"""),"https://ik.imagekit.io/alaaalaa6171/299%20Happy%20Halloween%20-%20Uta%20-%20Medal%20_Halloween%20Uta_%20-%20Piece.png?updatedAt=1770076458660")</f>
        <v>https://ik.imagekit.io/alaaalaa6171/299%20Happy%20Halloween%20-%20Uta%20-%20Medal%20_Halloween%20Uta_%20-%20Piece.png?updatedAt=1770076458660</v>
      </c>
      <c r="AF45" s="123" t="str">
        <f>IFERROR(__xludf.DUMMYFUNCTION("""COMPUTED_VALUE"""),"https://ik.imagekit.io/alaaalaa6171/299%20Happy%20Halloween%20-%20Uta%20-%20Medal%20_Halloween%20Uta_%20-%20Piece%20_Colored_.png?updatedAt=1770076458644")</f>
        <v>https://ik.imagekit.io/alaaalaa6171/299%20Happy%20Halloween%20-%20Uta%20-%20Medal%20_Halloween%20Uta_%20-%20Piece%20_Colored_.png?updatedAt=1770076458644</v>
      </c>
      <c r="AG45" s="114"/>
      <c r="AH45" s="114"/>
      <c r="AI45" s="121" t="s">
        <v>2558</v>
      </c>
      <c r="AJ45" s="121" t="str">
        <f>IFERROR(__xludf.DUMMYFUNCTION("regexreplace(regexreplace(AI45, ""  \["", "" ""), ""\]$"", """")"),"044 - Peacock Slasher ~ Nefeltari Vivi - Medal - Crafted [Colored] - Peacock")</f>
        <v>044 - Peacock Slasher ~ Nefeltari Vivi - Medal - Crafted [Colored] - Peacock</v>
      </c>
      <c r="AK45" s="114"/>
      <c r="AL45" s="117" t="s">
        <v>2559</v>
      </c>
      <c r="AM45" s="117" t="s">
        <v>2560</v>
      </c>
      <c r="AN45" s="114"/>
      <c r="AO45" s="122">
        <f>IFERROR(__xludf.DUMMYFUNCTION("""COMPUTED_VALUE"""),264.0)</f>
        <v>264</v>
      </c>
      <c r="AP45" s="114" t="str">
        <f>IFERROR(__xludf.DUMMYFUNCTION("""COMPUTED_VALUE"""),"Nami
(Future Outfit)")</f>
        <v>Nami
(Future Outfit)</v>
      </c>
      <c r="AQ45" s="114" t="str">
        <f>IFERROR(__xludf.DUMMYFUNCTION("""COMPUTED_VALUE"""),"Nami (Future Outfit)")</f>
        <v>Nami (Future Outfit)</v>
      </c>
      <c r="AR45" s="114"/>
      <c r="AS45" s="114"/>
      <c r="AT45" s="123" t="str">
        <f>IFERROR(__xludf.DUMMYFUNCTION("""COMPUTED_VALUE"""),"https://i.postimg.cc/sD4sNFNc/264.png")</f>
        <v>https://i.postimg.cc/sD4sNFNc/264.png</v>
      </c>
      <c r="AU45" s="114"/>
      <c r="AV45" s="114"/>
      <c r="AW45" s="114"/>
      <c r="AX45" s="114" t="str">
        <f t="shared" si="3"/>
        <v>264 - Medal [Event] - Crafted - Nami (Future Outfit)</v>
      </c>
      <c r="AY45" s="114" t="s">
        <v>2561</v>
      </c>
      <c r="AZ45" s="114"/>
      <c r="BA45" s="114"/>
      <c r="BB45" s="114"/>
      <c r="BC45" s="114"/>
      <c r="BD45" s="114"/>
      <c r="BE45" s="114"/>
    </row>
    <row r="46" ht="37.5" customHeight="1">
      <c r="A46" s="118" t="s">
        <v>2562</v>
      </c>
      <c r="B46" s="117" t="s">
        <v>2563</v>
      </c>
      <c r="C46" s="119">
        <f>IFERROR(__xludf.DUMMYFUNCTION("""COMPUTED_VALUE"""),297.0)</f>
        <v>297</v>
      </c>
      <c r="D46" s="114" t="str">
        <f>IFERROR(__xludf.DUMMYFUNCTION("""COMPUTED_VALUE"""),"Dorry")</f>
        <v>Dorry</v>
      </c>
      <c r="E46" s="114" t="str">
        <f>IFERROR(__xludf.DUMMYFUNCTION("""COMPUTED_VALUE"""),"")</f>
        <v/>
      </c>
      <c r="F46" s="114"/>
      <c r="G46" s="114"/>
      <c r="H46" s="114"/>
      <c r="I46" s="114"/>
      <c r="J46" s="114"/>
      <c r="K46" s="114" t="s">
        <v>2564</v>
      </c>
      <c r="L46" s="114" t="s">
        <v>2565</v>
      </c>
      <c r="M46" s="114" t="s">
        <v>2566</v>
      </c>
      <c r="N46" s="114" t="s">
        <v>2567</v>
      </c>
      <c r="O46" s="114"/>
      <c r="P46" s="120">
        <v>297.0</v>
      </c>
      <c r="Q46" s="117" t="s">
        <v>2568</v>
      </c>
      <c r="R46" s="114"/>
      <c r="S46" s="117" t="s">
        <v>2569</v>
      </c>
      <c r="T46" s="114">
        <f t="shared" si="1"/>
        <v>46</v>
      </c>
      <c r="U46" s="114" t="s">
        <v>1791</v>
      </c>
      <c r="V46" s="114" t="str">
        <f>IFERROR(__xludf.DUMMYFUNCTION("REGEXREPLACE(U46, ""\n"", "" "")"),"Eneru")</f>
        <v>Eneru</v>
      </c>
      <c r="W46" s="114"/>
      <c r="X46" s="115" t="str">
        <f t="shared" si="2"/>
        <v>046 Kami - Eneru - Medal [Eneru]</v>
      </c>
      <c r="Y46" s="119"/>
      <c r="Z46" s="117" t="s">
        <v>2570</v>
      </c>
      <c r="AA46" s="117" t="s">
        <v>2123</v>
      </c>
      <c r="AB46" s="114"/>
      <c r="AC46" s="123" t="str">
        <f>IFERROR(__xludf.DUMMYFUNCTION("""COMPUTED_VALUE"""),"https://ik.imagekit.io/alaaalaa6171/298%20The%20Red%20-%20Broggy%20-%20Medal%20_Broggy_.png?updatedAt=1770076458628")</f>
        <v>https://ik.imagekit.io/alaaalaa6171/298%20The%20Red%20-%20Broggy%20-%20Medal%20_Broggy_.png?updatedAt=1770076458628</v>
      </c>
      <c r="AD46" s="123" t="str">
        <f>IFERROR(__xludf.DUMMYFUNCTION("""COMPUTED_VALUE"""),"https://ik.imagekit.io/alaaalaa6171/298%20The%20Red%20-%20Broggy%20-%20Medal%20_Broggy_%20_Colored_.png?updatedAt=1770076458639")</f>
        <v>https://ik.imagekit.io/alaaalaa6171/298%20The%20Red%20-%20Broggy%20-%20Medal%20_Broggy_%20_Colored_.png?updatedAt=1770076458639</v>
      </c>
      <c r="AE46" s="123" t="str">
        <f>IFERROR(__xludf.DUMMYFUNCTION("""COMPUTED_VALUE"""),"https://ik.imagekit.io/alaaalaa6171/298%20The%20Red%20-%20Broggy%20-%20Medal%20_Broggy_%20-%20Piece.png?updatedAt=1770076458609")</f>
        <v>https://ik.imagekit.io/alaaalaa6171/298%20The%20Red%20-%20Broggy%20-%20Medal%20_Broggy_%20-%20Piece.png?updatedAt=1770076458609</v>
      </c>
      <c r="AF46" s="123" t="str">
        <f>IFERROR(__xludf.DUMMYFUNCTION("""COMPUTED_VALUE"""),"https://ik.imagekit.io/alaaalaa6171/298%20The%20Red%20-%20Broggy%20-%20Medal%20_Broggy_%20-%20Piece%20_Colored_.png?updatedAt=1770076458683")</f>
        <v>https://ik.imagekit.io/alaaalaa6171/298%20The%20Red%20-%20Broggy%20-%20Medal%20_Broggy_%20-%20Piece%20_Colored_.png?updatedAt=1770076458683</v>
      </c>
      <c r="AG46" s="114"/>
      <c r="AH46" s="114"/>
      <c r="AI46" s="121" t="s">
        <v>2571</v>
      </c>
      <c r="AJ46" s="121" t="str">
        <f>IFERROR(__xludf.DUMMYFUNCTION("regexreplace(regexreplace(AI46, ""  \["", "" ""), ""\]$"", """")"),"045 - The Seven Warlords of the Sea ~ Crocodile - Medal - Crafted [Colored] - Mr. Zero")</f>
        <v>045 - The Seven Warlords of the Sea ~ Crocodile - Medal - Crafted [Colored] - Mr. Zero</v>
      </c>
      <c r="AK46" s="114"/>
      <c r="AL46" s="117" t="s">
        <v>2572</v>
      </c>
      <c r="AM46" s="117" t="s">
        <v>2573</v>
      </c>
      <c r="AN46" s="114"/>
      <c r="AO46" s="122">
        <f>IFERROR(__xludf.DUMMYFUNCTION("""COMPUTED_VALUE"""),263.0)</f>
        <v>263</v>
      </c>
      <c r="AP46" s="114" t="str">
        <f>IFERROR(__xludf.DUMMYFUNCTION("""COMPUTED_VALUE"""),"Robin
(Future Outfit)")</f>
        <v>Robin
(Future Outfit)</v>
      </c>
      <c r="AQ46" s="114" t="str">
        <f>IFERROR(__xludf.DUMMYFUNCTION("""COMPUTED_VALUE"""),"Robin (Future Outfit)")</f>
        <v>Robin (Future Outfit)</v>
      </c>
      <c r="AR46" s="114"/>
      <c r="AS46" s="114"/>
      <c r="AT46" s="123" t="str">
        <f>IFERROR(__xludf.DUMMYFUNCTION("""COMPUTED_VALUE"""),"https://i.postimg.cc/FHFNtWtQ/263.png")</f>
        <v>https://i.postimg.cc/FHFNtWtQ/263.png</v>
      </c>
      <c r="AU46" s="114"/>
      <c r="AV46" s="114"/>
      <c r="AW46" s="114"/>
      <c r="AX46" s="114" t="str">
        <f t="shared" si="3"/>
        <v>263 - Medal [Event] - Crafted - Robin (Future Outfit)</v>
      </c>
      <c r="AY46" s="114" t="s">
        <v>2574</v>
      </c>
      <c r="AZ46" s="114"/>
      <c r="BA46" s="114"/>
      <c r="BB46" s="114"/>
      <c r="BC46" s="114"/>
      <c r="BD46" s="114"/>
      <c r="BE46" s="114"/>
    </row>
    <row r="47" ht="37.5" customHeight="1">
      <c r="A47" s="118" t="s">
        <v>2575</v>
      </c>
      <c r="B47" s="117" t="s">
        <v>2576</v>
      </c>
      <c r="C47" s="119">
        <f>IFERROR(__xludf.DUMMYFUNCTION("""COMPUTED_VALUE"""),296.0)</f>
        <v>296</v>
      </c>
      <c r="D47" s="114" t="str">
        <f>IFERROR(__xludf.DUMMYFUNCTION("""COMPUTED_VALUE"""),"Red_Haired Divine Departure")</f>
        <v>Red_Haired Divine Departure</v>
      </c>
      <c r="E47" s="114" t="str">
        <f>IFERROR(__xludf.DUMMYFUNCTION("""COMPUTED_VALUE"""),"")</f>
        <v/>
      </c>
      <c r="F47" s="114"/>
      <c r="G47" s="114"/>
      <c r="H47" s="114"/>
      <c r="I47" s="114"/>
      <c r="J47" s="114"/>
      <c r="K47" s="114" t="s">
        <v>2577</v>
      </c>
      <c r="L47" s="114" t="s">
        <v>2578</v>
      </c>
      <c r="M47" s="114" t="s">
        <v>2579</v>
      </c>
      <c r="N47" s="114" t="s">
        <v>2580</v>
      </c>
      <c r="O47" s="114"/>
      <c r="P47" s="120">
        <v>296.0</v>
      </c>
      <c r="Q47" s="117" t="s">
        <v>2581</v>
      </c>
      <c r="R47" s="114"/>
      <c r="S47" s="117" t="s">
        <v>2582</v>
      </c>
      <c r="T47" s="114">
        <f t="shared" si="1"/>
        <v>40</v>
      </c>
      <c r="U47" s="114" t="s">
        <v>1828</v>
      </c>
      <c r="V47" s="114" t="str">
        <f>IFERROR(__xludf.DUMMYFUNCTION("REGEXREPLACE(U47, ""\n"", "" "")"),"Battle_Ax")</f>
        <v>Battle_Ax</v>
      </c>
      <c r="W47" s="114"/>
      <c r="X47" s="115" t="str">
        <f t="shared" si="2"/>
        <v>040 30 Million Berry Bounty - Monkey D. Luffy - Medal [Battle_Ax]</v>
      </c>
      <c r="Y47" s="119"/>
      <c r="Z47" s="117" t="s">
        <v>2583</v>
      </c>
      <c r="AA47" s="117" t="s">
        <v>2135</v>
      </c>
      <c r="AB47" s="114"/>
      <c r="AC47" s="123" t="str">
        <f>IFERROR(__xludf.DUMMYFUNCTION("""COMPUTED_VALUE"""),"https://ik.imagekit.io/alaaalaa6171/297%20The%20Blue%20-%20Dorry%20-%20Medal%20_Dorry_.png?updatedAt=1770076458662")</f>
        <v>https://ik.imagekit.io/alaaalaa6171/297%20The%20Blue%20-%20Dorry%20-%20Medal%20_Dorry_.png?updatedAt=1770076458662</v>
      </c>
      <c r="AD47" s="123" t="str">
        <f>IFERROR(__xludf.DUMMYFUNCTION("""COMPUTED_VALUE"""),"https://ik.imagekit.io/alaaalaa6171/297%20The%20Blue%20-%20Dorry%20-%20Medal%20_Dorry_%20_Colored_.png?updatedAt=1770076458670")</f>
        <v>https://ik.imagekit.io/alaaalaa6171/297%20The%20Blue%20-%20Dorry%20-%20Medal%20_Dorry_%20_Colored_.png?updatedAt=1770076458670</v>
      </c>
      <c r="AE47" s="123" t="str">
        <f>IFERROR(__xludf.DUMMYFUNCTION("""COMPUTED_VALUE"""),"https://ik.imagekit.io/alaaalaa6171/297%20The%20Blue%20-%20Dorry%20-%20Medal%20_Dorry_%20-%20Piece.png?updatedAt=1770076458602")</f>
        <v>https://ik.imagekit.io/alaaalaa6171/297%20The%20Blue%20-%20Dorry%20-%20Medal%20_Dorry_%20-%20Piece.png?updatedAt=1770076458602</v>
      </c>
      <c r="AF47" s="123" t="str">
        <f>IFERROR(__xludf.DUMMYFUNCTION("""COMPUTED_VALUE"""),"https://ik.imagekit.io/alaaalaa6171/297%20The%20Blue%20-%20Dorry%20-%20Medal%20_Dorry_%20-%20Piece%20_Colored_.png?updatedAt=1770076458610")</f>
        <v>https://ik.imagekit.io/alaaalaa6171/297%20The%20Blue%20-%20Dorry%20-%20Medal%20_Dorry_%20-%20Piece%20_Colored_.png?updatedAt=1770076458610</v>
      </c>
      <c r="AG47" s="114"/>
      <c r="AH47" s="114"/>
      <c r="AI47" s="121" t="s">
        <v>2584</v>
      </c>
      <c r="AJ47" s="121" t="str">
        <f>IFERROR(__xludf.DUMMYFUNCTION("regexreplace(regexreplace(AI47, ""  \["", "" ""), ""\]$"", """")"),"046 - Kami ~ Eneru - Medal - Crafted [Colored] - Eneru")</f>
        <v>046 - Kami ~ Eneru - Medal - Crafted [Colored] - Eneru</v>
      </c>
      <c r="AK47" s="114"/>
      <c r="AL47" s="117" t="s">
        <v>2585</v>
      </c>
      <c r="AM47" s="117" t="s">
        <v>2586</v>
      </c>
      <c r="AN47" s="114"/>
      <c r="AO47" s="122">
        <f>IFERROR(__xludf.DUMMYFUNCTION("""COMPUTED_VALUE"""),262.0)</f>
        <v>262</v>
      </c>
      <c r="AP47" s="114" t="str">
        <f>IFERROR(__xludf.DUMMYFUNCTION("""COMPUTED_VALUE"""),"Chopper
(Future Outfit)")</f>
        <v>Chopper
(Future Outfit)</v>
      </c>
      <c r="AQ47" s="114" t="str">
        <f>IFERROR(__xludf.DUMMYFUNCTION("""COMPUTED_VALUE"""),"Chopper (Future Outfit)")</f>
        <v>Chopper (Future Outfit)</v>
      </c>
      <c r="AR47" s="114"/>
      <c r="AS47" s="114"/>
      <c r="AT47" s="123" t="str">
        <f>IFERROR(__xludf.DUMMYFUNCTION("""COMPUTED_VALUE"""),"https://i.postimg.cc/s2s9MScH/262.png")</f>
        <v>https://i.postimg.cc/s2s9MScH/262.png</v>
      </c>
      <c r="AU47" s="114"/>
      <c r="AV47" s="114"/>
      <c r="AW47" s="114"/>
      <c r="AX47" s="114" t="str">
        <f t="shared" si="3"/>
        <v>262 - Medal [Event] - Crafted - Chopper (Future Outfit)</v>
      </c>
      <c r="AY47" s="114" t="s">
        <v>2587</v>
      </c>
      <c r="AZ47" s="114"/>
      <c r="BA47" s="114"/>
      <c r="BB47" s="114"/>
      <c r="BC47" s="114"/>
      <c r="BD47" s="114"/>
      <c r="BE47" s="114"/>
    </row>
    <row r="48" ht="37.5" customHeight="1">
      <c r="A48" s="118" t="s">
        <v>2588</v>
      </c>
      <c r="B48" s="117" t="s">
        <v>2589</v>
      </c>
      <c r="C48" s="119">
        <f>IFERROR(__xludf.DUMMYFUNCTION("""COMPUTED_VALUE"""),295.0)</f>
        <v>295</v>
      </c>
      <c r="D48" s="114" t="str">
        <f>IFERROR(__xludf.DUMMYFUNCTION("""COMPUTED_VALUE"""),"Vegapunk`s Spy")</f>
        <v>Vegapunk`s Spy</v>
      </c>
      <c r="E48" s="114" t="str">
        <f>IFERROR(__xludf.DUMMYFUNCTION("""COMPUTED_VALUE"""),"")</f>
        <v/>
      </c>
      <c r="F48" s="114"/>
      <c r="G48" s="114"/>
      <c r="H48" s="114"/>
      <c r="I48" s="114"/>
      <c r="J48" s="114"/>
      <c r="K48" s="114" t="s">
        <v>2590</v>
      </c>
      <c r="L48" s="114" t="s">
        <v>2591</v>
      </c>
      <c r="M48" s="114" t="s">
        <v>2592</v>
      </c>
      <c r="N48" s="114" t="s">
        <v>2593</v>
      </c>
      <c r="O48" s="114"/>
      <c r="P48" s="120">
        <v>295.0</v>
      </c>
      <c r="Q48" s="117" t="s">
        <v>2594</v>
      </c>
      <c r="R48" s="114"/>
      <c r="S48" s="117" t="s">
        <v>2595</v>
      </c>
      <c r="T48" s="114">
        <f t="shared" si="1"/>
        <v>47</v>
      </c>
      <c r="U48" s="114" t="s">
        <v>1785</v>
      </c>
      <c r="V48" s="114" t="str">
        <f>IFERROR(__xludf.DUMMYFUNCTION("REGEXREPLACE(U48, ""\n"", "" "")"),"Whitebeard")</f>
        <v>Whitebeard</v>
      </c>
      <c r="W48" s="114"/>
      <c r="X48" s="115" t="str">
        <f t="shared" si="2"/>
        <v>047 Whitebeard Pirates / Captain Whitebeard - Edward Newgate - Medal [Whitebeard]</v>
      </c>
      <c r="Y48" s="119"/>
      <c r="Z48" s="117" t="s">
        <v>2596</v>
      </c>
      <c r="AA48" s="117" t="s">
        <v>2137</v>
      </c>
      <c r="AB48" s="114"/>
      <c r="AC48" s="123" t="str">
        <f>IFERROR(__xludf.DUMMYFUNCTION("""COMPUTED_VALUE"""),"https://ik.imagekit.io/alaaalaa6171/296%20Divine%20Departure%20-%20Shanks%20-%20Medal%20_Red_Haired%20Divine%20Departure_.png?updatedAt=1770076458635")</f>
        <v>https://ik.imagekit.io/alaaalaa6171/296%20Divine%20Departure%20-%20Shanks%20-%20Medal%20_Red_Haired%20Divine%20Departure_.png?updatedAt=1770076458635</v>
      </c>
      <c r="AD48" s="123" t="str">
        <f>IFERROR(__xludf.DUMMYFUNCTION("""COMPUTED_VALUE"""),"https://ik.imagekit.io/alaaalaa6171/296%20Divine%20Departure%20-%20Shanks%20-%20Medal%20_Red_Haired%20Divine%20Departure_%20_Colored_.png?updatedAt=1770076458639")</f>
        <v>https://ik.imagekit.io/alaaalaa6171/296%20Divine%20Departure%20-%20Shanks%20-%20Medal%20_Red_Haired%20Divine%20Departure_%20_Colored_.png?updatedAt=1770076458639</v>
      </c>
      <c r="AE48" s="123" t="str">
        <f>IFERROR(__xludf.DUMMYFUNCTION("""COMPUTED_VALUE"""),"https://ik.imagekit.io/alaaalaa6171/296%20Divine%20Departure%20-%20Shanks%20-%20Medal%20_Red_Haired%20Divine%20Departure_%20-%20Piece.png?updatedAt=1770076458607")</f>
        <v>https://ik.imagekit.io/alaaalaa6171/296%20Divine%20Departure%20-%20Shanks%20-%20Medal%20_Red_Haired%20Divine%20Departure_%20-%20Piece.png?updatedAt=1770076458607</v>
      </c>
      <c r="AF48" s="123" t="str">
        <f>IFERROR(__xludf.DUMMYFUNCTION("""COMPUTED_VALUE"""),"https://ik.imagekit.io/alaaalaa6171/296%20Divine%20Departure%20-%20Shanks%20-%20Medal%20_Red_Haired%20Divine%20Departure_%20-%20Piece%20_Colored_.png?updatedAt=1770076458595")</f>
        <v>https://ik.imagekit.io/alaaalaa6171/296%20Divine%20Departure%20-%20Shanks%20-%20Medal%20_Red_Haired%20Divine%20Departure_%20-%20Piece%20_Colored_.png?updatedAt=1770076458595</v>
      </c>
      <c r="AG48" s="114"/>
      <c r="AH48" s="114"/>
      <c r="AI48" s="121" t="s">
        <v>2597</v>
      </c>
      <c r="AJ48" s="121" t="str">
        <f>IFERROR(__xludf.DUMMYFUNCTION("regexreplace(regexreplace(AI48, ""  \["", "" ""), ""\]$"", """")"),"047 - Whitebeard Pirates_Captain Whitebeard ~ Edward Newgate - Medal - Crafted [Colored] - Whitebeard")</f>
        <v>047 - Whitebeard Pirates_Captain Whitebeard ~ Edward Newgate - Medal - Crafted [Colored] - Whitebeard</v>
      </c>
      <c r="AK48" s="114"/>
      <c r="AL48" s="117" t="s">
        <v>2598</v>
      </c>
      <c r="AM48" s="117" t="s">
        <v>2599</v>
      </c>
      <c r="AN48" s="114"/>
      <c r="AO48" s="122">
        <f>IFERROR(__xludf.DUMMYFUNCTION("""COMPUTED_VALUE"""),261.0)</f>
        <v>261</v>
      </c>
      <c r="AP48" s="114" t="str">
        <f>IFERROR(__xludf.DUMMYFUNCTION("""COMPUTED_VALUE"""),"Brook
(Future Outfit)")</f>
        <v>Brook
(Future Outfit)</v>
      </c>
      <c r="AQ48" s="114" t="str">
        <f>IFERROR(__xludf.DUMMYFUNCTION("""COMPUTED_VALUE"""),"Brook (Future Outfit)")</f>
        <v>Brook (Future Outfit)</v>
      </c>
      <c r="AR48" s="114"/>
      <c r="AS48" s="114"/>
      <c r="AT48" s="123" t="str">
        <f>IFERROR(__xludf.DUMMYFUNCTION("""COMPUTED_VALUE"""),"https://i.postimg.cc/MpkY8gjS/261.png")</f>
        <v>https://i.postimg.cc/MpkY8gjS/261.png</v>
      </c>
      <c r="AU48" s="114"/>
      <c r="AV48" s="114"/>
      <c r="AW48" s="114"/>
      <c r="AX48" s="114" t="str">
        <f t="shared" si="3"/>
        <v>261 - Medal [Event] - Crafted - Brook (Future Outfit)</v>
      </c>
      <c r="AY48" s="114" t="s">
        <v>2600</v>
      </c>
      <c r="AZ48" s="114"/>
      <c r="BA48" s="114"/>
      <c r="BB48" s="114"/>
      <c r="BC48" s="114"/>
      <c r="BD48" s="114"/>
      <c r="BE48" s="114"/>
    </row>
    <row r="49" ht="37.5" customHeight="1">
      <c r="A49" s="118" t="s">
        <v>2601</v>
      </c>
      <c r="B49" s="117" t="s">
        <v>2602</v>
      </c>
      <c r="C49" s="119">
        <f>IFERROR(__xludf.DUMMYFUNCTION("""COMPUTED_VALUE"""),294.0)</f>
        <v>294</v>
      </c>
      <c r="D49" s="114" t="str">
        <f>IFERROR(__xludf.DUMMYFUNCTION("""COMPUTED_VALUE"""),"Nose Pistol")</f>
        <v>Nose Pistol</v>
      </c>
      <c r="E49" s="114" t="str">
        <f>IFERROR(__xludf.DUMMYFUNCTION("""COMPUTED_VALUE"""),"")</f>
        <v/>
      </c>
      <c r="F49" s="114"/>
      <c r="G49" s="114"/>
      <c r="H49" s="114"/>
      <c r="I49" s="114"/>
      <c r="J49" s="114"/>
      <c r="K49" s="114" t="s">
        <v>2603</v>
      </c>
      <c r="L49" s="114" t="s">
        <v>2604</v>
      </c>
      <c r="M49" s="114" t="s">
        <v>2605</v>
      </c>
      <c r="N49" s="114" t="s">
        <v>2606</v>
      </c>
      <c r="O49" s="114"/>
      <c r="P49" s="120">
        <v>294.0</v>
      </c>
      <c r="Q49" s="117" t="s">
        <v>2607</v>
      </c>
      <c r="R49" s="114"/>
      <c r="S49" s="117" t="s">
        <v>2608</v>
      </c>
      <c r="T49" s="114">
        <f t="shared" si="1"/>
        <v>50</v>
      </c>
      <c r="U49" s="114" t="s">
        <v>1768</v>
      </c>
      <c r="V49" s="114" t="str">
        <f>IFERROR(__xludf.DUMMYFUNCTION("REGEXREPLACE(U49, ""\n"", "" "")"),"Aokiji")</f>
        <v>Aokiji</v>
      </c>
      <c r="W49" s="114"/>
      <c r="X49" s="115" t="str">
        <f t="shared" si="2"/>
        <v>050 Navy HQ / Admiral Aokiji - [Kuzan] - Medal [Aokiji]</v>
      </c>
      <c r="Y49" s="119"/>
      <c r="Z49" s="117" t="s">
        <v>2609</v>
      </c>
      <c r="AA49" s="117" t="s">
        <v>2138</v>
      </c>
      <c r="AB49" s="114"/>
      <c r="AC49" s="123" t="str">
        <f>IFERROR(__xludf.DUMMYFUNCTION("""COMPUTED_VALUE"""),"https://ik.imagekit.io/alaaalaa6171/295%20Vegapunk's%20Spy%20-%20Stussy%20-%20Medal%20_Vegapunk%60s%20Spy_.png?updatedAt=1770076458577")</f>
        <v>https://ik.imagekit.io/alaaalaa6171/295%20Vegapunk's%20Spy%20-%20Stussy%20-%20Medal%20_Vegapunk%60s%20Spy_.png?updatedAt=1770076458577</v>
      </c>
      <c r="AD49" s="123" t="str">
        <f>IFERROR(__xludf.DUMMYFUNCTION("""COMPUTED_VALUE"""),"https://ik.imagekit.io/alaaalaa6171/295%20Vegapunk's%20Spy%20-%20Stussy%20-%20Medal%20_Vegapunk%60s%20Spy_%20_Colored_.png?updatedAt=1770076458579")</f>
        <v>https://ik.imagekit.io/alaaalaa6171/295%20Vegapunk's%20Spy%20-%20Stussy%20-%20Medal%20_Vegapunk%60s%20Spy_%20_Colored_.png?updatedAt=1770076458579</v>
      </c>
      <c r="AE49" s="123" t="str">
        <f>IFERROR(__xludf.DUMMYFUNCTION("""COMPUTED_VALUE"""),"https://ik.imagekit.io/alaaalaa6171/295%20Vegapunk's%20Spy%20-%20Stussy%20-%20Medal%20_Vegapunk%60s%20Spy_%20-%20Piece.png?updatedAt=1770076458600")</f>
        <v>https://ik.imagekit.io/alaaalaa6171/295%20Vegapunk's%20Spy%20-%20Stussy%20-%20Medal%20_Vegapunk%60s%20Spy_%20-%20Piece.png?updatedAt=1770076458600</v>
      </c>
      <c r="AF49" s="123" t="str">
        <f>IFERROR(__xludf.DUMMYFUNCTION("""COMPUTED_VALUE"""),"https://ik.imagekit.io/alaaalaa6171/295%20Vegapunk's%20Spy%20-%20Stussy%20-%20Medal%20_Vegapunk%60s%20Spy_%20-%20Piece%20_Colored_.png?updatedAt=1770076458591")</f>
        <v>https://ik.imagekit.io/alaaalaa6171/295%20Vegapunk's%20Spy%20-%20Stussy%20-%20Medal%20_Vegapunk%60s%20Spy_%20-%20Piece%20_Colored_.png?updatedAt=1770076458591</v>
      </c>
      <c r="AG49" s="114"/>
      <c r="AH49" s="114"/>
      <c r="AI49" s="121" t="s">
        <v>2610</v>
      </c>
      <c r="AJ49" s="121" t="str">
        <f>IFERROR(__xludf.DUMMYFUNCTION("regexreplace(regexreplace(AI49, ""  \["", "" ""), ""\]$"", """")"),"048 - Whitebeard Pirates_2nd Division Commander ~ Portgaz D. Ace - Medal - Crafted [Colored] - Fire Fist")</f>
        <v>048 - Whitebeard Pirates_2nd Division Commander ~ Portgaz D. Ace - Medal - Crafted [Colored] - Fire Fist</v>
      </c>
      <c r="AK49" s="114"/>
      <c r="AL49" s="117" t="s">
        <v>2611</v>
      </c>
      <c r="AM49" s="117" t="s">
        <v>2612</v>
      </c>
      <c r="AN49" s="114"/>
      <c r="AO49" s="122">
        <f>IFERROR(__xludf.DUMMYFUNCTION("""COMPUTED_VALUE"""),260.0)</f>
        <v>260</v>
      </c>
      <c r="AP49" s="114" t="str">
        <f>IFERROR(__xludf.DUMMYFUNCTION("""COMPUTED_VALUE"""),"Bonney`s Father")</f>
        <v>Bonney`s Father</v>
      </c>
      <c r="AQ49" s="114" t="str">
        <f>IFERROR(__xludf.DUMMYFUNCTION("""COMPUTED_VALUE"""),"Bonney`s Father")</f>
        <v>Bonney`s Father</v>
      </c>
      <c r="AR49" s="114"/>
      <c r="AS49" s="114"/>
      <c r="AT49" s="123" t="str">
        <f>IFERROR(__xludf.DUMMYFUNCTION("""COMPUTED_VALUE"""),"https://i.postimg.cc/FHjVFGjJ/260.png")</f>
        <v>https://i.postimg.cc/FHjVFGjJ/260.png</v>
      </c>
      <c r="AU49" s="114"/>
      <c r="AV49" s="114"/>
      <c r="AW49" s="114"/>
      <c r="AX49" s="114" t="str">
        <f t="shared" si="3"/>
        <v>260 - Medal [Event] - Crafted - Bonney`s Father</v>
      </c>
      <c r="AY49" s="114" t="s">
        <v>2613</v>
      </c>
      <c r="AZ49" s="114"/>
      <c r="BA49" s="114"/>
      <c r="BB49" s="114"/>
      <c r="BC49" s="114"/>
      <c r="BD49" s="114"/>
      <c r="BE49" s="114"/>
    </row>
    <row r="50" ht="37.5" customHeight="1">
      <c r="A50" s="118" t="s">
        <v>2614</v>
      </c>
      <c r="B50" s="117" t="s">
        <v>2615</v>
      </c>
      <c r="C50" s="119">
        <f>IFERROR(__xludf.DUMMYFUNCTION("""COMPUTED_VALUE"""),293.0)</f>
        <v>293</v>
      </c>
      <c r="D50" s="114" t="str">
        <f>IFERROR(__xludf.DUMMYFUNCTION("""COMPUTED_VALUE"""),"Hand Pistol")</f>
        <v>Hand Pistol</v>
      </c>
      <c r="E50" s="114" t="str">
        <f>IFERROR(__xludf.DUMMYFUNCTION("""COMPUTED_VALUE"""),"")</f>
        <v/>
      </c>
      <c r="F50" s="114"/>
      <c r="G50" s="114"/>
      <c r="H50" s="114"/>
      <c r="I50" s="114"/>
      <c r="J50" s="114"/>
      <c r="K50" s="114" t="s">
        <v>2616</v>
      </c>
      <c r="L50" s="114" t="s">
        <v>2617</v>
      </c>
      <c r="M50" s="114" t="s">
        <v>2618</v>
      </c>
      <c r="N50" s="114" t="s">
        <v>2619</v>
      </c>
      <c r="O50" s="114"/>
      <c r="P50" s="120">
        <v>293.0</v>
      </c>
      <c r="Q50" s="117" t="s">
        <v>2620</v>
      </c>
      <c r="R50" s="114"/>
      <c r="S50" s="117" t="s">
        <v>2621</v>
      </c>
      <c r="T50" s="114">
        <f t="shared" si="1"/>
        <v>8</v>
      </c>
      <c r="U50" s="114" t="s">
        <v>1953</v>
      </c>
      <c r="V50" s="114" t="str">
        <f>IFERROR(__xludf.DUMMYFUNCTION("REGEXREPLACE(U50, ""\n"", "" "")"),"Franky")</f>
        <v>Franky</v>
      </c>
      <c r="W50" s="114"/>
      <c r="X50" s="115" t="str">
        <f t="shared" si="2"/>
        <v>008 Straw Hat Pirates / Ship Carpenter - Franky - Medal [Franky]</v>
      </c>
      <c r="Y50" s="119"/>
      <c r="Z50" s="117" t="s">
        <v>2622</v>
      </c>
      <c r="AA50" s="117" t="s">
        <v>2136</v>
      </c>
      <c r="AB50" s="114"/>
      <c r="AC50" s="123" t="str">
        <f>IFERROR(__xludf.DUMMYFUNCTION("""COMPUTED_VALUE"""),"https://ik.imagekit.io/alaaalaa6171/294%20Awakened%20Form%20-%20Kaku%20-%20Medal%20_Nose%20Pistol_.png?updatedAt=1770076458574")</f>
        <v>https://ik.imagekit.io/alaaalaa6171/294%20Awakened%20Form%20-%20Kaku%20-%20Medal%20_Nose%20Pistol_.png?updatedAt=1770076458574</v>
      </c>
      <c r="AD50" s="123" t="str">
        <f>IFERROR(__xludf.DUMMYFUNCTION("""COMPUTED_VALUE"""),"https://ik.imagekit.io/alaaalaa6171/294%20Awakened%20Form%20-%20Kaku%20-%20Medal%20_Nose%20Pistol_%20_Colored_.png?updatedAt=1770076458602")</f>
        <v>https://ik.imagekit.io/alaaalaa6171/294%20Awakened%20Form%20-%20Kaku%20-%20Medal%20_Nose%20Pistol_%20_Colored_.png?updatedAt=1770076458602</v>
      </c>
      <c r="AE50" s="123" t="str">
        <f>IFERROR(__xludf.DUMMYFUNCTION("""COMPUTED_VALUE"""),"https://ik.imagekit.io/alaaalaa6171/294%20Awakened%20Form%20-%20Kaku%20-%20Medal%20_Nose%20Pistol_%20-%20Piece.png?updatedAt=1770076458530")</f>
        <v>https://ik.imagekit.io/alaaalaa6171/294%20Awakened%20Form%20-%20Kaku%20-%20Medal%20_Nose%20Pistol_%20-%20Piece.png?updatedAt=1770076458530</v>
      </c>
      <c r="AF50" s="123" t="str">
        <f>IFERROR(__xludf.DUMMYFUNCTION("""COMPUTED_VALUE"""),"https://ik.imagekit.io/alaaalaa6171/294%20Awakened%20Form%20-%20Kaku%20-%20Medal%20_Nose%20Pistol_%20-%20Piece%20_Colored_.png?updatedAt=1770076458514")</f>
        <v>https://ik.imagekit.io/alaaalaa6171/294%20Awakened%20Form%20-%20Kaku%20-%20Medal%20_Nose%20Pistol_%20-%20Piece%20_Colored_.png?updatedAt=1770076458514</v>
      </c>
      <c r="AG50" s="114"/>
      <c r="AH50" s="114"/>
      <c r="AI50" s="121" t="s">
        <v>2623</v>
      </c>
      <c r="AJ50" s="121" t="str">
        <f>IFERROR(__xludf.DUMMYFUNCTION("regexreplace(regexreplace(AI50, ""  \["", "" ""), ""\]$"", """")"),"049 - Navy HQ_Admiral Akainu ~ [Sakazuki] - Medal - Crafted [Colored] - Akainu")</f>
        <v>049 - Navy HQ_Admiral Akainu ~ [Sakazuki] - Medal - Crafted [Colored] - Akainu</v>
      </c>
      <c r="AK50" s="114"/>
      <c r="AL50" s="117" t="s">
        <v>2624</v>
      </c>
      <c r="AM50" s="117" t="s">
        <v>2625</v>
      </c>
      <c r="AN50" s="114"/>
      <c r="AO50" s="122">
        <f>IFERROR(__xludf.DUMMYFUNCTION("""COMPUTED_VALUE"""),259.0)</f>
        <v>259</v>
      </c>
      <c r="AP50" s="114" t="str">
        <f>IFERROR(__xludf.DUMMYFUNCTION("""COMPUTED_VALUE"""),"Luffy &amp; Lucci")</f>
        <v>Luffy &amp; Lucci</v>
      </c>
      <c r="AQ50" s="114" t="str">
        <f>IFERROR(__xludf.DUMMYFUNCTION("""COMPUTED_VALUE"""),"Luffy &amp; Lucci")</f>
        <v>Luffy &amp; Lucci</v>
      </c>
      <c r="AR50" s="114"/>
      <c r="AS50" s="114"/>
      <c r="AT50" s="123" t="str">
        <f>IFERROR(__xludf.DUMMYFUNCTION("""COMPUTED_VALUE"""),"https://i.postimg.cc/d3pj3xHG/259.png")</f>
        <v>https://i.postimg.cc/d3pj3xHG/259.png</v>
      </c>
      <c r="AU50" s="114"/>
      <c r="AV50" s="114"/>
      <c r="AW50" s="114"/>
      <c r="AX50" s="114" t="str">
        <f t="shared" si="3"/>
        <v>259 - Medal [Event] - Crafted - Luffy &amp; Lucci</v>
      </c>
      <c r="AY50" s="114" t="s">
        <v>2626</v>
      </c>
      <c r="AZ50" s="114"/>
      <c r="BA50" s="114"/>
      <c r="BB50" s="114"/>
      <c r="BC50" s="114"/>
      <c r="BD50" s="114"/>
      <c r="BE50" s="114"/>
    </row>
    <row r="51" ht="37.5" customHeight="1">
      <c r="A51" s="118" t="s">
        <v>2627</v>
      </c>
      <c r="B51" s="117" t="s">
        <v>2628</v>
      </c>
      <c r="C51" s="119">
        <f>IFERROR(__xludf.DUMMYFUNCTION("""COMPUTED_VALUE"""),292.0)</f>
        <v>292</v>
      </c>
      <c r="D51" s="114" t="str">
        <f>IFERROR(__xludf.DUMMYFUNCTION("""COMPUTED_VALUE"""),"Jabra")</f>
        <v>Jabra</v>
      </c>
      <c r="E51" s="114" t="str">
        <f>IFERROR(__xludf.DUMMYFUNCTION("""COMPUTED_VALUE"""),"")</f>
        <v/>
      </c>
      <c r="F51" s="114"/>
      <c r="G51" s="114"/>
      <c r="H51" s="114"/>
      <c r="I51" s="114"/>
      <c r="J51" s="114"/>
      <c r="K51" s="114" t="s">
        <v>2629</v>
      </c>
      <c r="L51" s="114" t="s">
        <v>2630</v>
      </c>
      <c r="M51" s="114" t="s">
        <v>2631</v>
      </c>
      <c r="N51" s="114" t="s">
        <v>2632</v>
      </c>
      <c r="O51" s="114"/>
      <c r="P51" s="120">
        <v>292.0</v>
      </c>
      <c r="Q51" s="117" t="s">
        <v>2633</v>
      </c>
      <c r="R51" s="114"/>
      <c r="S51" s="117" t="s">
        <v>2634</v>
      </c>
      <c r="T51" s="114">
        <f t="shared" si="1"/>
        <v>54</v>
      </c>
      <c r="U51" s="114" t="s">
        <v>1747</v>
      </c>
      <c r="V51" s="114" t="str">
        <f>IFERROR(__xludf.DUMMYFUNCTION("REGEXREPLACE(U51, ""\n"", "" "")"),"Moria")</f>
        <v>Moria</v>
      </c>
      <c r="W51" s="114"/>
      <c r="X51" s="115" t="str">
        <f t="shared" si="2"/>
        <v>054 The Seven Warlords of the Sea - Gecko Moria - Medal [Moria]</v>
      </c>
      <c r="Y51" s="119"/>
      <c r="Z51" s="117" t="s">
        <v>2635</v>
      </c>
      <c r="AA51" s="117" t="s">
        <v>2148</v>
      </c>
      <c r="AB51" s="114"/>
      <c r="AC51" s="123" t="str">
        <f>IFERROR(__xludf.DUMMYFUNCTION("""COMPUTED_VALUE"""),"https://ik.imagekit.io/alaaalaa6171/293%20Awakened%20Form%20-%20Rob%20Lucci%20-%20Medal%20_Hand%20Pistol_.png?updatedAt=1770076458502")</f>
        <v>https://ik.imagekit.io/alaaalaa6171/293%20Awakened%20Form%20-%20Rob%20Lucci%20-%20Medal%20_Hand%20Pistol_.png?updatedAt=1770076458502</v>
      </c>
      <c r="AD51" s="123" t="str">
        <f>IFERROR(__xludf.DUMMYFUNCTION("""COMPUTED_VALUE"""),"https://ik.imagekit.io/alaaalaa6171/293%20Awakened%20Form%20-%20Rob%20Lucci%20-%20Medal%20_Hand%20Pistol_%20_Colored_.png?updatedAt=1770076458564")</f>
        <v>https://ik.imagekit.io/alaaalaa6171/293%20Awakened%20Form%20-%20Rob%20Lucci%20-%20Medal%20_Hand%20Pistol_%20_Colored_.png?updatedAt=1770076458564</v>
      </c>
      <c r="AE51" s="123" t="str">
        <f>IFERROR(__xludf.DUMMYFUNCTION("""COMPUTED_VALUE"""),"https://ik.imagekit.io/alaaalaa6171/293%20Awakened%20Form%20-%20Rob%20Lucci%20-%20Medal%20_Hand%20Pistol_%20-%20Piece.png?updatedAt=1770076458504")</f>
        <v>https://ik.imagekit.io/alaaalaa6171/293%20Awakened%20Form%20-%20Rob%20Lucci%20-%20Medal%20_Hand%20Pistol_%20-%20Piece.png?updatedAt=1770076458504</v>
      </c>
      <c r="AF51" s="123" t="str">
        <f>IFERROR(__xludf.DUMMYFUNCTION("""COMPUTED_VALUE"""),"https://ik.imagekit.io/alaaalaa6171/293%20Awakened%20Form%20-%20Rob%20Lucci%20-%20Medal%20_Hand%20Pistol_%20-%20Piece%20_Colored_.png?updatedAt=1770076458506")</f>
        <v>https://ik.imagekit.io/alaaalaa6171/293%20Awakened%20Form%20-%20Rob%20Lucci%20-%20Medal%20_Hand%20Pistol_%20-%20Piece%20_Colored_.png?updatedAt=1770076458506</v>
      </c>
      <c r="AG51" s="114"/>
      <c r="AH51" s="114"/>
      <c r="AI51" s="121" t="s">
        <v>2636</v>
      </c>
      <c r="AJ51" s="121" t="str">
        <f>IFERROR(__xludf.DUMMYFUNCTION("regexreplace(regexreplace(AI51, ""  \["", "" ""), ""\]$"", """")"),"050 - Navy HQ_Admiral Aokiji ~ [Kuzan] - Medal - Crafted [Colored] - Aokiji")</f>
        <v>050 - Navy HQ_Admiral Aokiji ~ [Kuzan] - Medal - Crafted [Colored] - Aokiji</v>
      </c>
      <c r="AK51" s="114"/>
      <c r="AL51" s="117" t="s">
        <v>2637</v>
      </c>
      <c r="AM51" s="117" t="s">
        <v>2638</v>
      </c>
      <c r="AN51" s="114"/>
      <c r="AO51" s="122">
        <f>IFERROR(__xludf.DUMMYFUNCTION("""COMPUTED_VALUE"""),258.0)</f>
        <v>258</v>
      </c>
      <c r="AP51" s="114" t="str">
        <f>IFERROR(__xludf.DUMMYFUNCTION("""COMPUTED_VALUE"""),"Pythagores")</f>
        <v>Pythagores</v>
      </c>
      <c r="AQ51" s="114" t="str">
        <f>IFERROR(__xludf.DUMMYFUNCTION("""COMPUTED_VALUE"""),"Pythagores")</f>
        <v>Pythagores</v>
      </c>
      <c r="AR51" s="114"/>
      <c r="AS51" s="114"/>
      <c r="AT51" s="123" t="str">
        <f>IFERROR(__xludf.DUMMYFUNCTION("""COMPUTED_VALUE"""),"https://i.postimg.cc/J72qpsrt/258.png")</f>
        <v>https://i.postimg.cc/J72qpsrt/258.png</v>
      </c>
      <c r="AU51" s="114"/>
      <c r="AV51" s="114"/>
      <c r="AW51" s="114"/>
      <c r="AX51" s="114" t="str">
        <f t="shared" si="3"/>
        <v>258 - Medal [Event] - Crafted - Pythagores</v>
      </c>
      <c r="AY51" s="114" t="s">
        <v>2639</v>
      </c>
      <c r="AZ51" s="114"/>
      <c r="BA51" s="114"/>
      <c r="BB51" s="114"/>
      <c r="BC51" s="114"/>
      <c r="BD51" s="114"/>
      <c r="BE51" s="114"/>
    </row>
    <row r="52" ht="37.5" customHeight="1">
      <c r="A52" s="118" t="s">
        <v>2640</v>
      </c>
      <c r="B52" s="117" t="s">
        <v>2641</v>
      </c>
      <c r="C52" s="119">
        <f>IFERROR(__xludf.DUMMYFUNCTION("""COMPUTED_VALUE"""),291.0)</f>
        <v>291</v>
      </c>
      <c r="D52" s="114" t="str">
        <f>IFERROR(__xludf.DUMMYFUNCTION("""COMPUTED_VALUE"""),"Blueno")</f>
        <v>Blueno</v>
      </c>
      <c r="E52" s="114" t="str">
        <f>IFERROR(__xludf.DUMMYFUNCTION("""COMPUTED_VALUE"""),"")</f>
        <v/>
      </c>
      <c r="F52" s="114"/>
      <c r="G52" s="114"/>
      <c r="H52" s="114"/>
      <c r="I52" s="114"/>
      <c r="J52" s="114"/>
      <c r="K52" s="114" t="s">
        <v>2642</v>
      </c>
      <c r="L52" s="114" t="s">
        <v>2643</v>
      </c>
      <c r="M52" s="114" t="s">
        <v>2644</v>
      </c>
      <c r="N52" s="114" t="s">
        <v>2645</v>
      </c>
      <c r="O52" s="114"/>
      <c r="P52" s="120">
        <v>291.0</v>
      </c>
      <c r="Q52" s="117" t="s">
        <v>2646</v>
      </c>
      <c r="R52" s="114"/>
      <c r="S52" s="117" t="s">
        <v>2647</v>
      </c>
      <c r="T52" s="114">
        <f t="shared" si="1"/>
        <v>9</v>
      </c>
      <c r="U52" s="114" t="s">
        <v>1949</v>
      </c>
      <c r="V52" s="114" t="str">
        <f>IFERROR(__xludf.DUMMYFUNCTION("REGEXREPLACE(U52, ""\n"", "" "")"),"Brook")</f>
        <v>Brook</v>
      </c>
      <c r="W52" s="114"/>
      <c r="X52" s="115" t="str">
        <f t="shared" si="2"/>
        <v>009 Straw Hat Pirates / Musician - Brook - Medal [Brook]</v>
      </c>
      <c r="Y52" s="119"/>
      <c r="Z52" s="117" t="s">
        <v>2648</v>
      </c>
      <c r="AA52" s="117" t="s">
        <v>2150</v>
      </c>
      <c r="AB52" s="114"/>
      <c r="AC52" s="123" t="str">
        <f>IFERROR(__xludf.DUMMYFUNCTION("""COMPUTED_VALUE"""),"https://ik.imagekit.io/alaaalaa6171/292%20CP9%20-%20Jabra%20-%20Medal%20_Jabra_.png?updatedAt=1770076458489")</f>
        <v>https://ik.imagekit.io/alaaalaa6171/292%20CP9%20-%20Jabra%20-%20Medal%20_Jabra_.png?updatedAt=1770076458489</v>
      </c>
      <c r="AD52" s="123" t="str">
        <f>IFERROR(__xludf.DUMMYFUNCTION("""COMPUTED_VALUE"""),"https://ik.imagekit.io/alaaalaa6171/292%20CP9%20-%20Jabra%20-%20Medal%20_Jabra_%20_Colored_.png?updatedAt=1770076458480")</f>
        <v>https://ik.imagekit.io/alaaalaa6171/292%20CP9%20-%20Jabra%20-%20Medal%20_Jabra_%20_Colored_.png?updatedAt=1770076458480</v>
      </c>
      <c r="AE52" s="123" t="str">
        <f>IFERROR(__xludf.DUMMYFUNCTION("""COMPUTED_VALUE"""),"https://ik.imagekit.io/alaaalaa6171/292%20CP9%20-%20Jabra%20-%20Medal%20_Jabra_%20-%20Piece.png?updatedAt=1770076458490")</f>
        <v>https://ik.imagekit.io/alaaalaa6171/292%20CP9%20-%20Jabra%20-%20Medal%20_Jabra_%20-%20Piece.png?updatedAt=1770076458490</v>
      </c>
      <c r="AF52" s="123" t="str">
        <f>IFERROR(__xludf.DUMMYFUNCTION("""COMPUTED_VALUE"""),"https://ik.imagekit.io/alaaalaa6171/292%20CP9%20-%20Jabra%20-%20Medal%20_Jabra_%20-%20Piece%20_Colored_.png?updatedAt=1770076458495")</f>
        <v>https://ik.imagekit.io/alaaalaa6171/292%20CP9%20-%20Jabra%20-%20Medal%20_Jabra_%20-%20Piece%20_Colored_.png?updatedAt=1770076458495</v>
      </c>
      <c r="AG52" s="114"/>
      <c r="AH52" s="114"/>
      <c r="AI52" s="121" t="s">
        <v>2649</v>
      </c>
      <c r="AJ52" s="121" t="str">
        <f>IFERROR(__xludf.DUMMYFUNCTION("regexreplace(regexreplace(AI52, ""  \["", "" ""), ""\]$"", """")"),"051 - Baroque Works_Officer Agent ~ Bon Clay, aka Mr. 2 - Medal - Crafted [Colored] - Mr. 2")</f>
        <v>051 - Baroque Works_Officer Agent ~ Bon Clay, aka Mr. 2 - Medal - Crafted [Colored] - Mr. 2</v>
      </c>
      <c r="AK52" s="114"/>
      <c r="AL52" s="117" t="s">
        <v>2650</v>
      </c>
      <c r="AM52" s="117" t="s">
        <v>2651</v>
      </c>
      <c r="AN52" s="114"/>
      <c r="AO52" s="122">
        <f>IFERROR(__xludf.DUMMYFUNCTION("""COMPUTED_VALUE"""),257.0)</f>
        <v>257</v>
      </c>
      <c r="AP52" s="114" t="str">
        <f>IFERROR(__xludf.DUMMYFUNCTION("""COMPUTED_VALUE"""),"Vegaforce_01")</f>
        <v>Vegaforce_01</v>
      </c>
      <c r="AQ52" s="114" t="str">
        <f>IFERROR(__xludf.DUMMYFUNCTION("""COMPUTED_VALUE"""),"Vegaforce_01")</f>
        <v>Vegaforce_01</v>
      </c>
      <c r="AR52" s="114"/>
      <c r="AS52" s="114"/>
      <c r="AT52" s="123" t="str">
        <f>IFERROR(__xludf.DUMMYFUNCTION("""COMPUTED_VALUE"""),"https://i.postimg.cc/VvdFY8RY/257.png")</f>
        <v>https://i.postimg.cc/VvdFY8RY/257.png</v>
      </c>
      <c r="AU52" s="114"/>
      <c r="AV52" s="114"/>
      <c r="AW52" s="114"/>
      <c r="AX52" s="114" t="str">
        <f t="shared" si="3"/>
        <v>257 - Medal [Event] - Crafted - Vegaforce_01</v>
      </c>
      <c r="AY52" s="114" t="s">
        <v>2652</v>
      </c>
      <c r="AZ52" s="114"/>
      <c r="BA52" s="114"/>
      <c r="BB52" s="114"/>
      <c r="BC52" s="114"/>
      <c r="BD52" s="114"/>
      <c r="BE52" s="114"/>
    </row>
    <row r="53" ht="37.5" customHeight="1">
      <c r="A53" s="118" t="s">
        <v>2653</v>
      </c>
      <c r="B53" s="117" t="s">
        <v>2654</v>
      </c>
      <c r="C53" s="119">
        <f>IFERROR(__xludf.DUMMYFUNCTION("""COMPUTED_VALUE"""),290.0)</f>
        <v>290</v>
      </c>
      <c r="D53" s="114" t="str">
        <f>IFERROR(__xludf.DUMMYFUNCTION("""COMPUTED_VALUE"""),"S_Hawk")</f>
        <v>S_Hawk</v>
      </c>
      <c r="E53" s="114" t="str">
        <f>IFERROR(__xludf.DUMMYFUNCTION("""COMPUTED_VALUE"""),"")</f>
        <v/>
      </c>
      <c r="F53" s="114"/>
      <c r="G53" s="114"/>
      <c r="H53" s="114"/>
      <c r="I53" s="114"/>
      <c r="J53" s="114"/>
      <c r="K53" s="114" t="s">
        <v>2655</v>
      </c>
      <c r="L53" s="114" t="s">
        <v>2656</v>
      </c>
      <c r="M53" s="114" t="s">
        <v>2657</v>
      </c>
      <c r="N53" s="114" t="s">
        <v>2658</v>
      </c>
      <c r="O53" s="114"/>
      <c r="P53" s="120">
        <v>290.0</v>
      </c>
      <c r="Q53" s="117" t="s">
        <v>2659</v>
      </c>
      <c r="R53" s="114"/>
      <c r="S53" s="117" t="s">
        <v>2660</v>
      </c>
      <c r="T53" s="114">
        <f t="shared" si="1"/>
        <v>48</v>
      </c>
      <c r="U53" s="114" t="s">
        <v>1778</v>
      </c>
      <c r="V53" s="114" t="str">
        <f>IFERROR(__xludf.DUMMYFUNCTION("REGEXREPLACE(U53, ""\n"", "" "")"),"Fire Fist")</f>
        <v>Fire Fist</v>
      </c>
      <c r="W53" s="114"/>
      <c r="X53" s="115" t="str">
        <f t="shared" si="2"/>
        <v>048 Whitebeard Pirates / 2nd Division Commander - Portgaz D. Ace - Medal [Fire Fist]</v>
      </c>
      <c r="Y53" s="119"/>
      <c r="Z53" s="117" t="s">
        <v>2661</v>
      </c>
      <c r="AA53" s="117" t="s">
        <v>2151</v>
      </c>
      <c r="AB53" s="114"/>
      <c r="AC53" s="123" t="str">
        <f>IFERROR(__xludf.DUMMYFUNCTION("""COMPUTED_VALUE"""),"https://ik.imagekit.io/alaaalaa6171/291%20CP9%20-%20Blueno%20-%20Medal%20_Blueno_.png?updatedAt=1770076458507")</f>
        <v>https://ik.imagekit.io/alaaalaa6171/291%20CP9%20-%20Blueno%20-%20Medal%20_Blueno_.png?updatedAt=1770076458507</v>
      </c>
      <c r="AD53" s="123" t="str">
        <f>IFERROR(__xludf.DUMMYFUNCTION("""COMPUTED_VALUE"""),"https://ik.imagekit.io/alaaalaa6171/291%20CP9%20-%20Blueno%20-%20Medal%20_Blueno_%20_Colored_.png?updatedAt=1770076458497")</f>
        <v>https://ik.imagekit.io/alaaalaa6171/291%20CP9%20-%20Blueno%20-%20Medal%20_Blueno_%20_Colored_.png?updatedAt=1770076458497</v>
      </c>
      <c r="AE53" s="123" t="str">
        <f>IFERROR(__xludf.DUMMYFUNCTION("""COMPUTED_VALUE"""),"https://ik.imagekit.io/alaaalaa6171/291%20CP9%20-%20Blueno%20-%20Medal%20_Blueno_%20-%20Piece.png?updatedAt=1770076458419")</f>
        <v>https://ik.imagekit.io/alaaalaa6171/291%20CP9%20-%20Blueno%20-%20Medal%20_Blueno_%20-%20Piece.png?updatedAt=1770076458419</v>
      </c>
      <c r="AF53" s="123" t="str">
        <f>IFERROR(__xludf.DUMMYFUNCTION("""COMPUTED_VALUE"""),"https://ik.imagekit.io/alaaalaa6171/291%20CP9%20-%20Blueno%20-%20Medal%20_Blueno_%20-%20Piece%20_Colored_.png?updatedAt=1770076458421")</f>
        <v>https://ik.imagekit.io/alaaalaa6171/291%20CP9%20-%20Blueno%20-%20Medal%20_Blueno_%20-%20Piece%20_Colored_.png?updatedAt=1770076458421</v>
      </c>
      <c r="AG53" s="114"/>
      <c r="AH53" s="114"/>
      <c r="AI53" s="121" t="s">
        <v>2662</v>
      </c>
      <c r="AJ53" s="121" t="str">
        <f>IFERROR(__xludf.DUMMYFUNCTION("regexreplace(regexreplace(AI53, ""  \["", "" ""), ""\]$"", """")"),"052 - Baroque Works_Vice President ~ Ms. All Sunday - Medal - Crafted [Colored] - Ms. All Sunday")</f>
        <v>052 - Baroque Works_Vice President ~ Ms. All Sunday - Medal - Crafted [Colored] - Ms. All Sunday</v>
      </c>
      <c r="AK53" s="114"/>
      <c r="AL53" s="117" t="s">
        <v>2663</v>
      </c>
      <c r="AM53" s="117" t="s">
        <v>2664</v>
      </c>
      <c r="AN53" s="114"/>
      <c r="AO53" s="122">
        <f>IFERROR(__xludf.DUMMYFUNCTION("""COMPUTED_VALUE"""),256.0)</f>
        <v>256</v>
      </c>
      <c r="AP53" s="114" t="str">
        <f>IFERROR(__xludf.DUMMYFUNCTION("""COMPUTED_VALUE"""),"Kashii")</f>
        <v>Kashii</v>
      </c>
      <c r="AQ53" s="114" t="str">
        <f>IFERROR(__xludf.DUMMYFUNCTION("""COMPUTED_VALUE"""),"Kashii")</f>
        <v>Kashii</v>
      </c>
      <c r="AR53" s="114"/>
      <c r="AS53" s="114"/>
      <c r="AT53" s="123" t="str">
        <f>IFERROR(__xludf.DUMMYFUNCTION("""COMPUTED_VALUE"""),"https://i.postimg.cc/zBdjZBTt/256.png")</f>
        <v>https://i.postimg.cc/zBdjZBTt/256.png</v>
      </c>
      <c r="AU53" s="114"/>
      <c r="AV53" s="114"/>
      <c r="AW53" s="114"/>
      <c r="AX53" s="114" t="str">
        <f t="shared" si="3"/>
        <v>256 - Medal [Event] - Crafted - Kashii</v>
      </c>
      <c r="AY53" s="114" t="s">
        <v>2665</v>
      </c>
      <c r="AZ53" s="114"/>
      <c r="BA53" s="114"/>
      <c r="BB53" s="114"/>
      <c r="BC53" s="114"/>
      <c r="BD53" s="114"/>
      <c r="BE53" s="114"/>
    </row>
    <row r="54" ht="37.5" customHeight="1">
      <c r="A54" s="118" t="s">
        <v>2666</v>
      </c>
      <c r="B54" s="117" t="s">
        <v>2667</v>
      </c>
      <c r="C54" s="119">
        <f>IFERROR(__xludf.DUMMYFUNCTION("""COMPUTED_VALUE"""),289.0)</f>
        <v>289</v>
      </c>
      <c r="D54" s="114" t="str">
        <f>IFERROR(__xludf.DUMMYFUNCTION("""COMPUTED_VALUE"""),"Egghead Zoro")</f>
        <v>Egghead Zoro</v>
      </c>
      <c r="E54" s="114" t="str">
        <f>IFERROR(__xludf.DUMMYFUNCTION("""COMPUTED_VALUE"""),"")</f>
        <v/>
      </c>
      <c r="F54" s="114"/>
      <c r="G54" s="114"/>
      <c r="H54" s="114"/>
      <c r="I54" s="114"/>
      <c r="J54" s="114"/>
      <c r="K54" s="114" t="s">
        <v>2668</v>
      </c>
      <c r="L54" s="114" t="s">
        <v>2669</v>
      </c>
      <c r="M54" s="114" t="s">
        <v>2670</v>
      </c>
      <c r="N54" s="114" t="s">
        <v>2671</v>
      </c>
      <c r="O54" s="114"/>
      <c r="P54" s="120">
        <v>289.0</v>
      </c>
      <c r="Q54" s="117" t="s">
        <v>2672</v>
      </c>
      <c r="R54" s="114"/>
      <c r="S54" s="117" t="s">
        <v>2673</v>
      </c>
      <c r="T54" s="114">
        <f t="shared" si="1"/>
        <v>53</v>
      </c>
      <c r="U54" s="114" t="s">
        <v>1752</v>
      </c>
      <c r="V54" s="114" t="str">
        <f>IFERROR(__xludf.DUMMYFUNCTION("REGEXREPLACE(U54, ""\n"", "" "")"),"Hancock")</f>
        <v>Hancock</v>
      </c>
      <c r="W54" s="114"/>
      <c r="X54" s="115" t="str">
        <f t="shared" si="2"/>
        <v>053 The Seven Warlords of the Sea - Hancock - Medal [Hancock]</v>
      </c>
      <c r="Y54" s="119"/>
      <c r="Z54" s="117" t="s">
        <v>2674</v>
      </c>
      <c r="AA54" s="117" t="s">
        <v>2149</v>
      </c>
      <c r="AB54" s="114"/>
      <c r="AC54" s="123" t="str">
        <f>IFERROR(__xludf.DUMMYFUNCTION("""COMPUTED_VALUE"""),"https://ik.imagekit.io/alaaalaa6171/290%20Seraphim%20-%20S-Hawk%20-%20Medal%20_S_Hawk_.png?updatedAt=1770076458427")</f>
        <v>https://ik.imagekit.io/alaaalaa6171/290%20Seraphim%20-%20S-Hawk%20-%20Medal%20_S_Hawk_.png?updatedAt=1770076458427</v>
      </c>
      <c r="AD54" s="123" t="str">
        <f>IFERROR(__xludf.DUMMYFUNCTION("""COMPUTED_VALUE"""),"https://ik.imagekit.io/alaaalaa6171/290%20Seraphim%20-%20S-Hawk%20-%20Medal%20_S_Hawk_%20_Colored_.png?updatedAt=1770076458405")</f>
        <v>https://ik.imagekit.io/alaaalaa6171/290%20Seraphim%20-%20S-Hawk%20-%20Medal%20_S_Hawk_%20_Colored_.png?updatedAt=1770076458405</v>
      </c>
      <c r="AE54" s="123" t="str">
        <f>IFERROR(__xludf.DUMMYFUNCTION("""COMPUTED_VALUE"""),"https://ik.imagekit.io/alaaalaa6171/290%20Seraphim%20-%20S-Hawk%20-%20Medal%20_S_Hawk_%20-%20Piece.png?updatedAt=1770076458421")</f>
        <v>https://ik.imagekit.io/alaaalaa6171/290%20Seraphim%20-%20S-Hawk%20-%20Medal%20_S_Hawk_%20-%20Piece.png?updatedAt=1770076458421</v>
      </c>
      <c r="AF54" s="123" t="str">
        <f>IFERROR(__xludf.DUMMYFUNCTION("""COMPUTED_VALUE"""),"https://ik.imagekit.io/alaaalaa6171/290%20Seraphim%20-%20S-Hawk%20-%20Medal%20_S_Hawk_%20-%20Piece%20_Colored_.png?updatedAt=1770076458419")</f>
        <v>https://ik.imagekit.io/alaaalaa6171/290%20Seraphim%20-%20S-Hawk%20-%20Medal%20_S_Hawk_%20-%20Piece%20_Colored_.png?updatedAt=1770076458419</v>
      </c>
      <c r="AG54" s="114"/>
      <c r="AH54" s="114"/>
      <c r="AI54" s="121" t="s">
        <v>2675</v>
      </c>
      <c r="AJ54" s="121" t="str">
        <f>IFERROR(__xludf.DUMMYFUNCTION("regexreplace(regexreplace(AI54, ""  \["", "" ""), ""\]$"", """")"),"053 - The Seven Warlords of the Sea ~ Hancock - Medal - Crafted [Colored] - Hancock")</f>
        <v>053 - The Seven Warlords of the Sea ~ Hancock - Medal - Crafted [Colored] - Hancock</v>
      </c>
      <c r="AK54" s="114"/>
      <c r="AL54" s="117" t="s">
        <v>2676</v>
      </c>
      <c r="AM54" s="117" t="s">
        <v>2677</v>
      </c>
      <c r="AN54" s="114"/>
      <c r="AO54" s="122">
        <f>IFERROR(__xludf.DUMMYFUNCTION("""COMPUTED_VALUE"""),255.0)</f>
        <v>255</v>
      </c>
      <c r="AP54" s="114" t="str">
        <f>IFERROR(__xludf.DUMMYFUNCTION("""COMPUTED_VALUE"""),"Oimo")</f>
        <v>Oimo</v>
      </c>
      <c r="AQ54" s="114" t="str">
        <f>IFERROR(__xludf.DUMMYFUNCTION("""COMPUTED_VALUE"""),"Oimo")</f>
        <v>Oimo</v>
      </c>
      <c r="AR54" s="114"/>
      <c r="AS54" s="114"/>
      <c r="AT54" s="123" t="str">
        <f>IFERROR(__xludf.DUMMYFUNCTION("""COMPUTED_VALUE"""),"https://i.postimg.cc/4NH1qXyP/255.png")</f>
        <v>https://i.postimg.cc/4NH1qXyP/255.png</v>
      </c>
      <c r="AU54" s="114"/>
      <c r="AV54" s="114"/>
      <c r="AW54" s="114"/>
      <c r="AX54" s="114" t="str">
        <f t="shared" si="3"/>
        <v>255 - Medal [Event] - Crafted - Oimo</v>
      </c>
      <c r="AY54" s="114" t="s">
        <v>2678</v>
      </c>
      <c r="AZ54" s="114"/>
      <c r="BA54" s="114"/>
      <c r="BB54" s="114"/>
      <c r="BC54" s="114"/>
      <c r="BD54" s="114"/>
      <c r="BE54" s="114"/>
    </row>
    <row r="55" ht="37.5" customHeight="1">
      <c r="A55" s="118" t="s">
        <v>2679</v>
      </c>
      <c r="B55" s="117" t="s">
        <v>2680</v>
      </c>
      <c r="C55" s="119">
        <f>IFERROR(__xludf.DUMMYFUNCTION("""COMPUTED_VALUE"""),288.0)</f>
        <v>288</v>
      </c>
      <c r="D55" s="114" t="str">
        <f>IFERROR(__xludf.DUMMYFUNCTION("""COMPUTED_VALUE"""),"S_Snake")</f>
        <v>S_Snake</v>
      </c>
      <c r="E55" s="114" t="str">
        <f>IFERROR(__xludf.DUMMYFUNCTION("""COMPUTED_VALUE"""),"")</f>
        <v/>
      </c>
      <c r="F55" s="114"/>
      <c r="G55" s="114"/>
      <c r="H55" s="114"/>
      <c r="I55" s="114"/>
      <c r="J55" s="114"/>
      <c r="K55" s="114" t="s">
        <v>2681</v>
      </c>
      <c r="L55" s="114" t="s">
        <v>2682</v>
      </c>
      <c r="M55" s="114" t="s">
        <v>2683</v>
      </c>
      <c r="N55" s="114" t="s">
        <v>2684</v>
      </c>
      <c r="O55" s="114"/>
      <c r="P55" s="120">
        <v>288.0</v>
      </c>
      <c r="Q55" s="117" t="s">
        <v>2685</v>
      </c>
      <c r="R55" s="114"/>
      <c r="S55" s="117" t="s">
        <v>2686</v>
      </c>
      <c r="T55" s="114">
        <f t="shared" si="1"/>
        <v>49</v>
      </c>
      <c r="U55" s="114" t="s">
        <v>1773</v>
      </c>
      <c r="V55" s="114" t="str">
        <f>IFERROR(__xludf.DUMMYFUNCTION("REGEXREPLACE(U55, ""\n"", "" "")"),"Akainu")</f>
        <v>Akainu</v>
      </c>
      <c r="W55" s="114"/>
      <c r="X55" s="115" t="str">
        <f t="shared" si="2"/>
        <v>049 Navy HQ / Admiral Akainu - [Sakazuki] - Medal [Akainu]</v>
      </c>
      <c r="Y55" s="119"/>
      <c r="Z55" s="117" t="s">
        <v>2687</v>
      </c>
      <c r="AA55" s="117" t="s">
        <v>2161</v>
      </c>
      <c r="AB55" s="114"/>
      <c r="AC55" s="123" t="str">
        <f>IFERROR(__xludf.DUMMYFUNCTION("""COMPUTED_VALUE"""),"https://ik.imagekit.io/alaaalaa6171/289%20Egghead%20-%20Roronoa%20Zoro%20-%20Medal%20_Egghead%20Zoro_.png?updatedAt=1770076458362")</f>
        <v>https://ik.imagekit.io/alaaalaa6171/289%20Egghead%20-%20Roronoa%20Zoro%20-%20Medal%20_Egghead%20Zoro_.png?updatedAt=1770076458362</v>
      </c>
      <c r="AD55" s="123" t="str">
        <f>IFERROR(__xludf.DUMMYFUNCTION("""COMPUTED_VALUE"""),"https://ik.imagekit.io/alaaalaa6171/289%20Egghead%20-%20Roronoa%20Zoro%20-%20Medal%20_Egghead%20Zoro_%20_Colored_.png?updatedAt=1770076458360")</f>
        <v>https://ik.imagekit.io/alaaalaa6171/289%20Egghead%20-%20Roronoa%20Zoro%20-%20Medal%20_Egghead%20Zoro_%20_Colored_.png?updatedAt=1770076458360</v>
      </c>
      <c r="AE55" s="123" t="str">
        <f>IFERROR(__xludf.DUMMYFUNCTION("""COMPUTED_VALUE"""),"https://ik.imagekit.io/alaaalaa6171/289%20Egghead%20-%20Roronoa%20Zoro%20-%20Medal%20_Egghead%20Zoro_%20-%20Piece.png?updatedAt=1770076458363")</f>
        <v>https://ik.imagekit.io/alaaalaa6171/289%20Egghead%20-%20Roronoa%20Zoro%20-%20Medal%20_Egghead%20Zoro_%20-%20Piece.png?updatedAt=1770076458363</v>
      </c>
      <c r="AF55" s="123" t="str">
        <f>IFERROR(__xludf.DUMMYFUNCTION("""COMPUTED_VALUE"""),"https://ik.imagekit.io/alaaalaa6171/289%20Egghead%20-%20Roronoa%20Zoro%20-%20Medal%20_Egghead%20Zoro_%20-%20Piece%20_Colored_.png?updatedAt=1770076458351")</f>
        <v>https://ik.imagekit.io/alaaalaa6171/289%20Egghead%20-%20Roronoa%20Zoro%20-%20Medal%20_Egghead%20Zoro_%20-%20Piece%20_Colored_.png?updatedAt=1770076458351</v>
      </c>
      <c r="AG55" s="114"/>
      <c r="AH55" s="114"/>
      <c r="AI55" s="121" t="s">
        <v>2688</v>
      </c>
      <c r="AJ55" s="121" t="str">
        <f>IFERROR(__xludf.DUMMYFUNCTION("regexreplace(regexreplace(AI55, ""  \["", "" ""), ""\]$"", """")"),"054 - The Seven Warlords of the Sea ~ Gecko Moria - Medal - Crafted [Colored] - Moria")</f>
        <v>054 - The Seven Warlords of the Sea ~ Gecko Moria - Medal - Crafted [Colored] - Moria</v>
      </c>
      <c r="AK55" s="114"/>
      <c r="AL55" s="117" t="s">
        <v>2689</v>
      </c>
      <c r="AM55" s="117" t="s">
        <v>2690</v>
      </c>
      <c r="AN55" s="114"/>
      <c r="AO55" s="122">
        <f>IFERROR(__xludf.DUMMYFUNCTION("""COMPUTED_VALUE"""),254.0)</f>
        <v>254</v>
      </c>
      <c r="AP55" s="114" t="str">
        <f>IFERROR(__xludf.DUMMYFUNCTION("""COMPUTED_VALUE"""),"Izo
(Young)")</f>
        <v>Izo
(Young)</v>
      </c>
      <c r="AQ55" s="114" t="str">
        <f>IFERROR(__xludf.DUMMYFUNCTION("""COMPUTED_VALUE"""),"Izo (Young)")</f>
        <v>Izo (Young)</v>
      </c>
      <c r="AR55" s="114"/>
      <c r="AS55" s="114"/>
      <c r="AT55" s="123" t="str">
        <f>IFERROR(__xludf.DUMMYFUNCTION("""COMPUTED_VALUE"""),"https://i.postimg.cc/QM1xz0d5/254.png")</f>
        <v>https://i.postimg.cc/QM1xz0d5/254.png</v>
      </c>
      <c r="AU55" s="114"/>
      <c r="AV55" s="114"/>
      <c r="AW55" s="114"/>
      <c r="AX55" s="114" t="str">
        <f t="shared" si="3"/>
        <v>254 - Medal [Event] - Crafted - Izo (Young)</v>
      </c>
      <c r="AY55" s="114" t="s">
        <v>2691</v>
      </c>
      <c r="AZ55" s="114"/>
      <c r="BA55" s="114"/>
      <c r="BB55" s="114"/>
      <c r="BC55" s="114"/>
      <c r="BD55" s="114"/>
      <c r="BE55" s="114"/>
    </row>
    <row r="56" ht="37.5" customHeight="1">
      <c r="A56" s="118" t="s">
        <v>2692</v>
      </c>
      <c r="B56" s="117" t="s">
        <v>2693</v>
      </c>
      <c r="C56" s="119">
        <f>IFERROR(__xludf.DUMMYFUNCTION("""COMPUTED_VALUE"""),287.0)</f>
        <v>287</v>
      </c>
      <c r="D56" s="114" t="str">
        <f>IFERROR(__xludf.DUMMYFUNCTION("""COMPUTED_VALUE"""),"Egghead Luffy")</f>
        <v>Egghead Luffy</v>
      </c>
      <c r="E56" s="114" t="str">
        <f>IFERROR(__xludf.DUMMYFUNCTION("""COMPUTED_VALUE"""),"")</f>
        <v/>
      </c>
      <c r="F56" s="114"/>
      <c r="G56" s="114"/>
      <c r="H56" s="114"/>
      <c r="I56" s="114"/>
      <c r="J56" s="114"/>
      <c r="K56" s="114" t="s">
        <v>2694</v>
      </c>
      <c r="L56" s="114" t="s">
        <v>2695</v>
      </c>
      <c r="M56" s="114" t="s">
        <v>2696</v>
      </c>
      <c r="N56" s="114" t="s">
        <v>2697</v>
      </c>
      <c r="O56" s="114"/>
      <c r="P56" s="120">
        <v>287.0</v>
      </c>
      <c r="Q56" s="117" t="s">
        <v>2698</v>
      </c>
      <c r="R56" s="114"/>
      <c r="S56" s="117" t="s">
        <v>2699</v>
      </c>
      <c r="T56" s="114">
        <f t="shared" si="1"/>
        <v>55</v>
      </c>
      <c r="U56" s="114" t="s">
        <v>1740</v>
      </c>
      <c r="V56" s="114" t="str">
        <f>IFERROR(__xludf.DUMMYFUNCTION("REGEXREPLACE(U56, ""\n"", "" "")"),"108 Pound Phoenix")</f>
        <v>108 Pound Phoenix</v>
      </c>
      <c r="W56" s="114"/>
      <c r="X56" s="115" t="str">
        <f t="shared" si="2"/>
        <v>055 108 Pound Phoenix - Roronoa Zoro - Medal [108 Pound Phoenix]</v>
      </c>
      <c r="Y56" s="119"/>
      <c r="Z56" s="117" t="s">
        <v>2700</v>
      </c>
      <c r="AA56" s="117" t="s">
        <v>2163</v>
      </c>
      <c r="AB56" s="114"/>
      <c r="AC56" s="123" t="str">
        <f>IFERROR(__xludf.DUMMYFUNCTION("""COMPUTED_VALUE"""),"https://ik.imagekit.io/alaaalaa6171/288%20Seraphim%20-%20S-Snake%20-%20Medal%20_S_Snake_.png?updatedAt=1770076458346")</f>
        <v>https://ik.imagekit.io/alaaalaa6171/288%20Seraphim%20-%20S-Snake%20-%20Medal%20_S_Snake_.png?updatedAt=1770076458346</v>
      </c>
      <c r="AD56" s="123" t="str">
        <f>IFERROR(__xludf.DUMMYFUNCTION("""COMPUTED_VALUE"""),"https://ik.imagekit.io/alaaalaa6171/288%20Seraphim%20-%20S-Snake%20-%20Medal%20_S_Snake_%20_Colored_.png?updatedAt=1770076458379")</f>
        <v>https://ik.imagekit.io/alaaalaa6171/288%20Seraphim%20-%20S-Snake%20-%20Medal%20_S_Snake_%20_Colored_.png?updatedAt=1770076458379</v>
      </c>
      <c r="AE56" s="123" t="str">
        <f>IFERROR(__xludf.DUMMYFUNCTION("""COMPUTED_VALUE"""),"https://ik.imagekit.io/alaaalaa6171/288%20Seraphim%20-%20S-Snake%20-%20Medal%20_S_Snake_%20-%20Piece.png?updatedAt=1770076458349")</f>
        <v>https://ik.imagekit.io/alaaalaa6171/288%20Seraphim%20-%20S-Snake%20-%20Medal%20_S_Snake_%20-%20Piece.png?updatedAt=1770076458349</v>
      </c>
      <c r="AF56" s="123" t="str">
        <f>IFERROR(__xludf.DUMMYFUNCTION("""COMPUTED_VALUE"""),"https://ik.imagekit.io/alaaalaa6171/288%20Seraphim%20-%20S-Snake%20-%20Medal%20_S_Snake_%20-%20Piece%20_Colored_.png?updatedAt=1770076458299")</f>
        <v>https://ik.imagekit.io/alaaalaa6171/288%20Seraphim%20-%20S-Snake%20-%20Medal%20_S_Snake_%20-%20Piece%20_Colored_.png?updatedAt=1770076458299</v>
      </c>
      <c r="AG56" s="114"/>
      <c r="AH56" s="114"/>
      <c r="AI56" s="121" t="s">
        <v>2701</v>
      </c>
      <c r="AJ56" s="121" t="str">
        <f>IFERROR(__xludf.DUMMYFUNCTION("regexreplace(regexreplace(AI56, ""  \["", "" ""), ""\]$"", """")"),"055 - 108 Pound Phoenix ~ Roronoa Zoro - Medal - Crafted [Colored] - 108 Pound Phoenix")</f>
        <v>055 - 108 Pound Phoenix ~ Roronoa Zoro - Medal - Crafted [Colored] - 108 Pound Phoenix</v>
      </c>
      <c r="AK56" s="114"/>
      <c r="AL56" s="117" t="s">
        <v>2702</v>
      </c>
      <c r="AM56" s="117" t="s">
        <v>2703</v>
      </c>
      <c r="AN56" s="114"/>
      <c r="AO56" s="122">
        <f>IFERROR(__xludf.DUMMYFUNCTION("""COMPUTED_VALUE"""),253.0)</f>
        <v>253</v>
      </c>
      <c r="AP56" s="114" t="str">
        <f>IFERROR(__xludf.DUMMYFUNCTION("""COMPUTED_VALUE"""),"Oden
(2nd Division Commander)")</f>
        <v>Oden
(2nd Division Commander)</v>
      </c>
      <c r="AQ56" s="114" t="str">
        <f>IFERROR(__xludf.DUMMYFUNCTION("""COMPUTED_VALUE"""),"Oden (2nd Division Commander)")</f>
        <v>Oden (2nd Division Commander)</v>
      </c>
      <c r="AR56" s="114"/>
      <c r="AS56" s="114"/>
      <c r="AT56" s="123" t="str">
        <f>IFERROR(__xludf.DUMMYFUNCTION("""COMPUTED_VALUE"""),"https://i.postimg.cc/52Z2pZbb/253.png")</f>
        <v>https://i.postimg.cc/52Z2pZbb/253.png</v>
      </c>
      <c r="AU56" s="114"/>
      <c r="AV56" s="114"/>
      <c r="AW56" s="114"/>
      <c r="AX56" s="114" t="str">
        <f t="shared" si="3"/>
        <v>253 - Medal [Event] - Crafted - Oden (2nd Division Commander)</v>
      </c>
      <c r="AY56" s="114" t="s">
        <v>2704</v>
      </c>
      <c r="AZ56" s="114"/>
      <c r="BA56" s="114"/>
      <c r="BB56" s="114"/>
      <c r="BC56" s="114"/>
      <c r="BD56" s="114"/>
      <c r="BE56" s="114"/>
    </row>
    <row r="57" ht="37.5" customHeight="1">
      <c r="A57" s="118" t="s">
        <v>2705</v>
      </c>
      <c r="B57" s="117" t="s">
        <v>2706</v>
      </c>
      <c r="C57" s="119">
        <f>IFERROR(__xludf.DUMMYFUNCTION("""COMPUTED_VALUE"""),286.0)</f>
        <v>286</v>
      </c>
      <c r="D57" s="114" t="str">
        <f>IFERROR(__xludf.DUMMYFUNCTION("""COMPUTED_VALUE"""),"Pacifista")</f>
        <v>Pacifista</v>
      </c>
      <c r="E57" s="114" t="str">
        <f>IFERROR(__xludf.DUMMYFUNCTION("""COMPUTED_VALUE"""),"")</f>
        <v/>
      </c>
      <c r="F57" s="114"/>
      <c r="G57" s="114"/>
      <c r="H57" s="114"/>
      <c r="I57" s="114"/>
      <c r="J57" s="114"/>
      <c r="K57" s="114" t="s">
        <v>2707</v>
      </c>
      <c r="L57" s="114" t="s">
        <v>2708</v>
      </c>
      <c r="M57" s="114" t="s">
        <v>2709</v>
      </c>
      <c r="N57" s="114" t="s">
        <v>2710</v>
      </c>
      <c r="O57" s="114"/>
      <c r="P57" s="120">
        <v>286.0</v>
      </c>
      <c r="Q57" s="117" t="s">
        <v>2711</v>
      </c>
      <c r="R57" s="114"/>
      <c r="S57" s="117" t="s">
        <v>2712</v>
      </c>
      <c r="T57" s="114">
        <f t="shared" si="1"/>
        <v>56</v>
      </c>
      <c r="U57" s="114" t="s">
        <v>1734</v>
      </c>
      <c r="V57" s="114" t="str">
        <f>IFERROR(__xludf.DUMMYFUNCTION("REGEXREPLACE(U57, ""\n"", "" "")"),"Arm Point")</f>
        <v>Arm Point</v>
      </c>
      <c r="W57" s="114"/>
      <c r="X57" s="115" t="str">
        <f t="shared" si="2"/>
        <v>056 Arm Point - Tony Tony Chopper - Medal [Arm Point]</v>
      </c>
      <c r="Y57" s="119"/>
      <c r="Z57" s="117" t="s">
        <v>2713</v>
      </c>
      <c r="AA57" s="117" t="s">
        <v>2164</v>
      </c>
      <c r="AB57" s="114"/>
      <c r="AC57" s="123" t="str">
        <f>IFERROR(__xludf.DUMMYFUNCTION("""COMPUTED_VALUE"""),"https://ik.imagekit.io/alaaalaa6171/287%20Egghead%20-%20Monkey%20D.%20Luffy%20-%20Medal%20_Egghead%20Luffy_.png?updatedAt=1770076458320")</f>
        <v>https://ik.imagekit.io/alaaalaa6171/287%20Egghead%20-%20Monkey%20D.%20Luffy%20-%20Medal%20_Egghead%20Luffy_.png?updatedAt=1770076458320</v>
      </c>
      <c r="AD57" s="123" t="str">
        <f>IFERROR(__xludf.DUMMYFUNCTION("""COMPUTED_VALUE"""),"https://ik.imagekit.io/alaaalaa6171/287%20Egghead%20-%20Monkey%20D.%20Luffy%20-%20Medal%20_Egghead%20Luffy_%20_Colored_.png?updatedAt=1770076458309")</f>
        <v>https://ik.imagekit.io/alaaalaa6171/287%20Egghead%20-%20Monkey%20D.%20Luffy%20-%20Medal%20_Egghead%20Luffy_%20_Colored_.png?updatedAt=1770076458309</v>
      </c>
      <c r="AE57" s="123" t="str">
        <f>IFERROR(__xludf.DUMMYFUNCTION("""COMPUTED_VALUE"""),"https://ik.imagekit.io/alaaalaa6171/287%20Egghead%20-%20Monkey%20D.%20Luffy%20-%20Medal%20_Egghead%20Luffy_%20-%20Piece.png?updatedAt=1770076458304")</f>
        <v>https://ik.imagekit.io/alaaalaa6171/287%20Egghead%20-%20Monkey%20D.%20Luffy%20-%20Medal%20_Egghead%20Luffy_%20-%20Piece.png?updatedAt=1770076458304</v>
      </c>
      <c r="AF57" s="123" t="str">
        <f>IFERROR(__xludf.DUMMYFUNCTION("""COMPUTED_VALUE"""),"https://ik.imagekit.io/alaaalaa6171/287%20Egghead%20-%20Monkey%20D.%20Luffy%20-%20Medal%20_Egghead%20Luffy_%20-%20Piece%20_Colored_.png?updatedAt=1770076458289")</f>
        <v>https://ik.imagekit.io/alaaalaa6171/287%20Egghead%20-%20Monkey%20D.%20Luffy%20-%20Medal%20_Egghead%20Luffy_%20-%20Piece%20_Colored_.png?updatedAt=1770076458289</v>
      </c>
      <c r="AG57" s="114"/>
      <c r="AH57" s="114"/>
      <c r="AI57" s="121" t="s">
        <v>2714</v>
      </c>
      <c r="AJ57" s="121" t="str">
        <f>IFERROR(__xludf.DUMMYFUNCTION("regexreplace(regexreplace(AI57, ""  \["", "" ""), ""\]$"", """")"),"056 - Arm Point ~ Tony Tony Chopper - Medal - Crafted [Colored] - Arm Point")</f>
        <v>056 - Arm Point ~ Tony Tony Chopper - Medal - Crafted [Colored] - Arm Point</v>
      </c>
      <c r="AK57" s="114"/>
      <c r="AL57" s="117" t="s">
        <v>2715</v>
      </c>
      <c r="AM57" s="117" t="s">
        <v>2716</v>
      </c>
      <c r="AN57" s="114"/>
      <c r="AO57" s="122">
        <f>IFERROR(__xludf.DUMMYFUNCTION("""COMPUTED_VALUE"""),252.0)</f>
        <v>252</v>
      </c>
      <c r="AP57" s="114" t="str">
        <f>IFERROR(__xludf.DUMMYFUNCTION("""COMPUTED_VALUE"""),"Rayleigh
(First Mate)")</f>
        <v>Rayleigh
(First Mate)</v>
      </c>
      <c r="AQ57" s="114" t="str">
        <f>IFERROR(__xludf.DUMMYFUNCTION("""COMPUTED_VALUE"""),"Rayleigh (First Mate)")</f>
        <v>Rayleigh (First Mate)</v>
      </c>
      <c r="AR57" s="114"/>
      <c r="AS57" s="114"/>
      <c r="AT57" s="123" t="str">
        <f>IFERROR(__xludf.DUMMYFUNCTION("""COMPUTED_VALUE"""),"https://i.postimg.cc/y8JNmVqL/252.png")</f>
        <v>https://i.postimg.cc/y8JNmVqL/252.png</v>
      </c>
      <c r="AU57" s="114"/>
      <c r="AV57" s="114"/>
      <c r="AW57" s="114"/>
      <c r="AX57" s="114" t="str">
        <f t="shared" si="3"/>
        <v>252 - Medal [Event] - Crafted - Rayleigh (First Mate)</v>
      </c>
      <c r="AY57" s="114" t="s">
        <v>2717</v>
      </c>
      <c r="AZ57" s="114"/>
      <c r="BA57" s="114"/>
      <c r="BB57" s="114"/>
      <c r="BC57" s="114"/>
      <c r="BD57" s="114"/>
      <c r="BE57" s="114"/>
    </row>
    <row r="58" ht="37.5" customHeight="1">
      <c r="A58" s="118" t="s">
        <v>2718</v>
      </c>
      <c r="B58" s="117" t="s">
        <v>2719</v>
      </c>
      <c r="C58" s="119">
        <f>IFERROR(__xludf.DUMMYFUNCTION("""COMPUTED_VALUE"""),285.0)</f>
        <v>285</v>
      </c>
      <c r="D58" s="114" t="str">
        <f>IFERROR(__xludf.DUMMYFUNCTION("""COMPUTED_VALUE"""),"Axe")</f>
        <v>Axe</v>
      </c>
      <c r="E58" s="114" t="str">
        <f>IFERROR(__xludf.DUMMYFUNCTION("""COMPUTED_VALUE"""),"")</f>
        <v/>
      </c>
      <c r="F58" s="114"/>
      <c r="G58" s="114"/>
      <c r="H58" s="114"/>
      <c r="I58" s="114"/>
      <c r="J58" s="114"/>
      <c r="K58" s="114" t="s">
        <v>2720</v>
      </c>
      <c r="L58" s="114" t="s">
        <v>2721</v>
      </c>
      <c r="M58" s="114" t="s">
        <v>2722</v>
      </c>
      <c r="N58" s="114" t="s">
        <v>2723</v>
      </c>
      <c r="O58" s="114"/>
      <c r="P58" s="120">
        <v>285.0</v>
      </c>
      <c r="Q58" s="117" t="s">
        <v>2724</v>
      </c>
      <c r="R58" s="114"/>
      <c r="S58" s="117" t="s">
        <v>2725</v>
      </c>
      <c r="T58" s="114">
        <f t="shared" si="1"/>
        <v>57</v>
      </c>
      <c r="U58" s="114" t="s">
        <v>1729</v>
      </c>
      <c r="V58" s="114" t="str">
        <f>IFERROR(__xludf.DUMMYFUNCTION("REGEXREPLACE(U58, ""\n"", "" "")"),"Bellamy")</f>
        <v>Bellamy</v>
      </c>
      <c r="W58" s="114"/>
      <c r="X58" s="115" t="str">
        <f t="shared" si="2"/>
        <v>057 Bellamy Pirates / Captain - Bellamy - Medal [Bellamy]</v>
      </c>
      <c r="Y58" s="119"/>
      <c r="Z58" s="117" t="s">
        <v>2726</v>
      </c>
      <c r="AA58" s="117" t="s">
        <v>2162</v>
      </c>
      <c r="AB58" s="114"/>
      <c r="AC58" s="123" t="str">
        <f>IFERROR(__xludf.DUMMYFUNCTION("""COMPUTED_VALUE"""),"https://ik.imagekit.io/alaaalaa6171/286%20The%20Navy's%20Human%20Weapon%20-%20Pacifista%20-%20Medal%20_Pacifista_.png?updatedAt=1770076458266")</f>
        <v>https://ik.imagekit.io/alaaalaa6171/286%20The%20Navy's%20Human%20Weapon%20-%20Pacifista%20-%20Medal%20_Pacifista_.png?updatedAt=1770076458266</v>
      </c>
      <c r="AD58" s="123" t="str">
        <f>IFERROR(__xludf.DUMMYFUNCTION("""COMPUTED_VALUE"""),"https://ik.imagekit.io/alaaalaa6171/286%20The%20Navy's%20Human%20Weapon%20-%20Pacifista%20-%20Medal%20_Pacifista_%20_Colored_.png?updatedAt=1770076458280")</f>
        <v>https://ik.imagekit.io/alaaalaa6171/286%20The%20Navy's%20Human%20Weapon%20-%20Pacifista%20-%20Medal%20_Pacifista_%20_Colored_.png?updatedAt=1770076458280</v>
      </c>
      <c r="AE58" s="123" t="str">
        <f>IFERROR(__xludf.DUMMYFUNCTION("""COMPUTED_VALUE"""),"https://ik.imagekit.io/alaaalaa6171/286%20The%20Navy's%20Human%20Weapon%20-%20Pacifista%20-%20Medal%20_Pacifista_%20-%20Piece.png?updatedAt=1770076458263")</f>
        <v>https://ik.imagekit.io/alaaalaa6171/286%20The%20Navy's%20Human%20Weapon%20-%20Pacifista%20-%20Medal%20_Pacifista_%20-%20Piece.png?updatedAt=1770076458263</v>
      </c>
      <c r="AF58" s="123" t="str">
        <f>IFERROR(__xludf.DUMMYFUNCTION("""COMPUTED_VALUE"""),"https://ik.imagekit.io/alaaalaa6171/286%20The%20Navy's%20Human%20Weapon%20-%20Pacifista%20-%20Medal%20_Pacifista_%20-%20Piece%20_Colored_.png?updatedAt=1770076458298")</f>
        <v>https://ik.imagekit.io/alaaalaa6171/286%20The%20Navy's%20Human%20Weapon%20-%20Pacifista%20-%20Medal%20_Pacifista_%20-%20Piece%20_Colored_.png?updatedAt=1770076458298</v>
      </c>
      <c r="AG58" s="114"/>
      <c r="AH58" s="114"/>
      <c r="AI58" s="121" t="s">
        <v>2727</v>
      </c>
      <c r="AJ58" s="121" t="str">
        <f>IFERROR(__xludf.DUMMYFUNCTION("regexreplace(regexreplace(AI58, ""  \["", "" ""), ""\]$"", """")"),"057 - Bellamy Pirates_Captain ~ Bellamy - Medal - Crafted [Colored] - Bellamy")</f>
        <v>057 - Bellamy Pirates_Captain ~ Bellamy - Medal - Crafted [Colored] - Bellamy</v>
      </c>
      <c r="AK58" s="114"/>
      <c r="AL58" s="117" t="s">
        <v>2728</v>
      </c>
      <c r="AM58" s="117" t="s">
        <v>2729</v>
      </c>
      <c r="AN58" s="114"/>
      <c r="AO58" s="122">
        <f>IFERROR(__xludf.DUMMYFUNCTION("""COMPUTED_VALUE"""),251.0)</f>
        <v>251</v>
      </c>
      <c r="AP58" s="114" t="str">
        <f>IFERROR(__xludf.DUMMYFUNCTION("""COMPUTED_VALUE"""),"Roger
(Captain)")</f>
        <v>Roger
(Captain)</v>
      </c>
      <c r="AQ58" s="114" t="str">
        <f>IFERROR(__xludf.DUMMYFUNCTION("""COMPUTED_VALUE"""),"Roger (Captain)")</f>
        <v>Roger (Captain)</v>
      </c>
      <c r="AR58" s="114"/>
      <c r="AS58" s="114"/>
      <c r="AT58" s="123" t="str">
        <f>IFERROR(__xludf.DUMMYFUNCTION("""COMPUTED_VALUE"""),"https://i.postimg.cc/xT18dv6D/251.png")</f>
        <v>https://i.postimg.cc/xT18dv6D/251.png</v>
      </c>
      <c r="AU58" s="114"/>
      <c r="AV58" s="114"/>
      <c r="AW58" s="114"/>
      <c r="AX58" s="114" t="str">
        <f t="shared" si="3"/>
        <v>251 - Medal [Event] - Crafted - Roger (Captain)</v>
      </c>
      <c r="AY58" s="114" t="s">
        <v>2730</v>
      </c>
      <c r="AZ58" s="114"/>
      <c r="BA58" s="114"/>
      <c r="BB58" s="114"/>
      <c r="BC58" s="114"/>
      <c r="BD58" s="114"/>
      <c r="BE58" s="114"/>
    </row>
    <row r="59" ht="37.5" customHeight="1">
      <c r="A59" s="118" t="s">
        <v>2731</v>
      </c>
      <c r="B59" s="117" t="s">
        <v>2732</v>
      </c>
      <c r="C59" s="119">
        <f>IFERROR(__xludf.DUMMYFUNCTION("""COMPUTED_VALUE"""),284.0)</f>
        <v>284</v>
      </c>
      <c r="D59" s="114" t="str">
        <f>IFERROR(__xludf.DUMMYFUNCTION("""COMPUTED_VALUE"""),"Demaro Black")</f>
        <v>Demaro Black</v>
      </c>
      <c r="E59" s="114" t="str">
        <f>IFERROR(__xludf.DUMMYFUNCTION("""COMPUTED_VALUE"""),"")</f>
        <v/>
      </c>
      <c r="F59" s="114"/>
      <c r="G59" s="114"/>
      <c r="H59" s="114"/>
      <c r="I59" s="114"/>
      <c r="J59" s="114"/>
      <c r="K59" s="114" t="s">
        <v>2733</v>
      </c>
      <c r="L59" s="114" t="s">
        <v>2734</v>
      </c>
      <c r="M59" s="114" t="s">
        <v>2735</v>
      </c>
      <c r="N59" s="114" t="s">
        <v>2736</v>
      </c>
      <c r="O59" s="114"/>
      <c r="P59" s="120">
        <v>284.0</v>
      </c>
      <c r="Q59" s="117" t="s">
        <v>2737</v>
      </c>
      <c r="R59" s="114"/>
      <c r="S59" s="117" t="s">
        <v>2738</v>
      </c>
      <c r="T59" s="114">
        <f t="shared" si="1"/>
        <v>59</v>
      </c>
      <c r="U59" s="114" t="s">
        <v>1717</v>
      </c>
      <c r="V59" s="114" t="str">
        <f>IFERROR(__xludf.DUMMYFUNCTION("REGEXREPLACE(U59, ""\n"", "" "")"),"Law")</f>
        <v>Law</v>
      </c>
      <c r="W59" s="114"/>
      <c r="X59" s="115" t="str">
        <f t="shared" si="2"/>
        <v>059 Heart Pirates / Captain - Trafalger Law - Medal [Law]</v>
      </c>
      <c r="Y59" s="119"/>
      <c r="Z59" s="117" t="s">
        <v>2739</v>
      </c>
      <c r="AA59" s="117" t="s">
        <v>2174</v>
      </c>
      <c r="AB59" s="114"/>
      <c r="AC59" s="123" t="str">
        <f>IFERROR(__xludf.DUMMYFUNCTION("""COMPUTED_VALUE"""),"https://ik.imagekit.io/alaaalaa6171/285%20The%20Most%20Defensive%20Man%20in%20the%20World%20-%20Sentomaru%20-%20Medal%20_Axe_.png?updatedAt=1770076458258")</f>
        <v>https://ik.imagekit.io/alaaalaa6171/285%20The%20Most%20Defensive%20Man%20in%20the%20World%20-%20Sentomaru%20-%20Medal%20_Axe_.png?updatedAt=1770076458258</v>
      </c>
      <c r="AD59" s="123" t="str">
        <f>IFERROR(__xludf.DUMMYFUNCTION("""COMPUTED_VALUE"""),"https://ik.imagekit.io/alaaalaa6171/285%20The%20Most%20Defensive%20Man%20in%20the%20World%20-%20Sentomaru%20-%20Medal%20_Axe_%20_Colored_.png?updatedAt=1770076458270")</f>
        <v>https://ik.imagekit.io/alaaalaa6171/285%20The%20Most%20Defensive%20Man%20in%20the%20World%20-%20Sentomaru%20-%20Medal%20_Axe_%20_Colored_.png?updatedAt=1770076458270</v>
      </c>
      <c r="AE59" s="123" t="str">
        <f>IFERROR(__xludf.DUMMYFUNCTION("""COMPUTED_VALUE"""),"https://ik.imagekit.io/alaaalaa6171/285%20The%20Most%20Defensive%20Man%20in%20the%20World%20-%20Sentomaru%20-%20Medal%20_Axe_%20-%20Piece.png?updatedAt=1770076458260")</f>
        <v>https://ik.imagekit.io/alaaalaa6171/285%20The%20Most%20Defensive%20Man%20in%20the%20World%20-%20Sentomaru%20-%20Medal%20_Axe_%20-%20Piece.png?updatedAt=1770076458260</v>
      </c>
      <c r="AF59" s="123" t="str">
        <f>IFERROR(__xludf.DUMMYFUNCTION("""COMPUTED_VALUE"""),"https://ik.imagekit.io/alaaalaa6171/285%20The%20Most%20Defensive%20Man%20in%20the%20World%20-%20Sentomaru%20-%20Medal%20_Axe_%20-%20Piece%20_Colored_.png?updatedAt=1770076458216")</f>
        <v>https://ik.imagekit.io/alaaalaa6171/285%20The%20Most%20Defensive%20Man%20in%20the%20World%20-%20Sentomaru%20-%20Medal%20_Axe_%20-%20Piece%20_Colored_.png?updatedAt=1770076458216</v>
      </c>
      <c r="AG59" s="114"/>
      <c r="AH59" s="114"/>
      <c r="AI59" s="121" t="s">
        <v>2740</v>
      </c>
      <c r="AJ59" s="121" t="str">
        <f>IFERROR(__xludf.DUMMYFUNCTION("regexreplace(regexreplace(AI59, ""  \["", "" ""), ""\]$"", """")"),"058 - Kid Pirates_Captain ~ Eustass Kid - Medal - Crafted [Colored] - Kid")</f>
        <v>058 - Kid Pirates_Captain ~ Eustass Kid - Medal - Crafted [Colored] - Kid</v>
      </c>
      <c r="AK59" s="114"/>
      <c r="AL59" s="117" t="s">
        <v>2741</v>
      </c>
      <c r="AM59" s="117" t="s">
        <v>2742</v>
      </c>
      <c r="AN59" s="114"/>
      <c r="AO59" s="122">
        <f>IFERROR(__xludf.DUMMYFUNCTION("""COMPUTED_VALUE"""),250.0)</f>
        <v>250</v>
      </c>
      <c r="AP59" s="114" t="str">
        <f>IFERROR(__xludf.DUMMYFUNCTION("""COMPUTED_VALUE"""),"Edison")</f>
        <v>Edison</v>
      </c>
      <c r="AQ59" s="114" t="str">
        <f>IFERROR(__xludf.DUMMYFUNCTION("""COMPUTED_VALUE"""),"Edison")</f>
        <v>Edison</v>
      </c>
      <c r="AR59" s="114"/>
      <c r="AS59" s="114"/>
      <c r="AT59" s="123" t="str">
        <f>IFERROR(__xludf.DUMMYFUNCTION("""COMPUTED_VALUE"""),"https://i.postimg.cc/2896L1tq/250.png")</f>
        <v>https://i.postimg.cc/2896L1tq/250.png</v>
      </c>
      <c r="AU59" s="114"/>
      <c r="AV59" s="114"/>
      <c r="AW59" s="114"/>
      <c r="AX59" s="114" t="str">
        <f t="shared" si="3"/>
        <v>250 - Medal [Event] - Crafted - Edison</v>
      </c>
      <c r="AY59" s="114" t="s">
        <v>2743</v>
      </c>
      <c r="AZ59" s="114"/>
      <c r="BA59" s="114"/>
      <c r="BB59" s="114"/>
      <c r="BC59" s="114"/>
      <c r="BD59" s="114"/>
      <c r="BE59" s="114"/>
    </row>
    <row r="60" ht="37.5" customHeight="1">
      <c r="A60" s="118" t="s">
        <v>2744</v>
      </c>
      <c r="B60" s="117" t="s">
        <v>2745</v>
      </c>
      <c r="C60" s="119">
        <f>IFERROR(__xludf.DUMMYFUNCTION("""COMPUTED_VALUE"""),283.0)</f>
        <v>283</v>
      </c>
      <c r="D60" s="114" t="str">
        <f>IFERROR(__xludf.DUMMYFUNCTION("""COMPUTED_VALUE"""),"Shandia`s Savior")</f>
        <v>Shandia`s Savior</v>
      </c>
      <c r="E60" s="114" t="str">
        <f>IFERROR(__xludf.DUMMYFUNCTION("""COMPUTED_VALUE"""),"")</f>
        <v/>
      </c>
      <c r="F60" s="114"/>
      <c r="G60" s="114"/>
      <c r="H60" s="114"/>
      <c r="I60" s="114"/>
      <c r="J60" s="114"/>
      <c r="K60" s="114" t="s">
        <v>2746</v>
      </c>
      <c r="L60" s="114" t="s">
        <v>2747</v>
      </c>
      <c r="M60" s="114" t="s">
        <v>2748</v>
      </c>
      <c r="N60" s="114" t="s">
        <v>2749</v>
      </c>
      <c r="O60" s="114"/>
      <c r="P60" s="120">
        <v>283.0</v>
      </c>
      <c r="Q60" s="117" t="s">
        <v>2750</v>
      </c>
      <c r="R60" s="114"/>
      <c r="S60" s="117" t="s">
        <v>2751</v>
      </c>
      <c r="T60" s="114">
        <f t="shared" si="1"/>
        <v>58</v>
      </c>
      <c r="U60" s="114" t="s">
        <v>1723</v>
      </c>
      <c r="V60" s="114" t="str">
        <f>IFERROR(__xludf.DUMMYFUNCTION("REGEXREPLACE(U60, ""\n"", "" "")"),"Kid")</f>
        <v>Kid</v>
      </c>
      <c r="W60" s="114"/>
      <c r="X60" s="115" t="str">
        <f t="shared" si="2"/>
        <v>058 Kid Pirates / Captain - Eustass Kid - Medal [Kid]</v>
      </c>
      <c r="Y60" s="119"/>
      <c r="Z60" s="117" t="s">
        <v>2752</v>
      </c>
      <c r="AA60" s="117" t="s">
        <v>2176</v>
      </c>
      <c r="AB60" s="114"/>
      <c r="AC60" s="123" t="str">
        <f>IFERROR(__xludf.DUMMYFUNCTION("""COMPUTED_VALUE"""),"https://ik.imagekit.io/alaaalaa6171/284%20Fake%20Straw%20Hat%20Pirates_Captain%20-%20Demaro%20Black%20-%20Medal%20_Demaro%20Black_.png?updatedAt=1770076458227")</f>
        <v>https://ik.imagekit.io/alaaalaa6171/284%20Fake%20Straw%20Hat%20Pirates_Captain%20-%20Demaro%20Black%20-%20Medal%20_Demaro%20Black_.png?updatedAt=1770076458227</v>
      </c>
      <c r="AD60" s="123" t="str">
        <f>IFERROR(__xludf.DUMMYFUNCTION("""COMPUTED_VALUE"""),"https://ik.imagekit.io/alaaalaa6171/284%20Fake%20Straw%20Hat%20Pirates_Captain%20-%20Demaro%20Black%20-%20Medal%20_Demaro%20Black_%20_Colored_.png?updatedAt=1770076458233")</f>
        <v>https://ik.imagekit.io/alaaalaa6171/284%20Fake%20Straw%20Hat%20Pirates_Captain%20-%20Demaro%20Black%20-%20Medal%20_Demaro%20Black_%20_Colored_.png?updatedAt=1770076458233</v>
      </c>
      <c r="AE60" s="123" t="str">
        <f>IFERROR(__xludf.DUMMYFUNCTION("""COMPUTED_VALUE"""),"https://ik.imagekit.io/alaaalaa6171/284%20Fake%20Straw%20Hat%20Pirates_Captain%20-%20Demaro%20Black%20-%20Medal%20_Demaro%20Black_%20-%20Piece.png?updatedAt=1770076458222")</f>
        <v>https://ik.imagekit.io/alaaalaa6171/284%20Fake%20Straw%20Hat%20Pirates_Captain%20-%20Demaro%20Black%20-%20Medal%20_Demaro%20Black_%20-%20Piece.png?updatedAt=1770076458222</v>
      </c>
      <c r="AF60" s="123" t="str">
        <f>IFERROR(__xludf.DUMMYFUNCTION("""COMPUTED_VALUE"""),"https://ik.imagekit.io/alaaalaa6171/284%20Fake%20Straw%20Hat%20Pirates_Captain%20-%20Demaro%20Black%20-%20Medal%20_Demaro%20Black_%20-%20Piece%20_Colored_.png?updatedAt=1770076458205")</f>
        <v>https://ik.imagekit.io/alaaalaa6171/284%20Fake%20Straw%20Hat%20Pirates_Captain%20-%20Demaro%20Black%20-%20Medal%20_Demaro%20Black_%20-%20Piece%20_Colored_.png?updatedAt=1770076458205</v>
      </c>
      <c r="AG60" s="114"/>
      <c r="AH60" s="114"/>
      <c r="AI60" s="121" t="s">
        <v>2753</v>
      </c>
      <c r="AJ60" s="121" t="str">
        <f>IFERROR(__xludf.DUMMYFUNCTION("regexreplace(regexreplace(AI60, ""  \["", "" ""), ""\]$"", """")"),"059 - Heart Pirates_Captain ~ Trafalger Law - Medal - Crafted [Colored] - Law")</f>
        <v>059 - Heart Pirates_Captain ~ Trafalger Law - Medal - Crafted [Colored] - Law</v>
      </c>
      <c r="AK60" s="114"/>
      <c r="AL60" s="117" t="s">
        <v>2754</v>
      </c>
      <c r="AM60" s="117" t="s">
        <v>2755</v>
      </c>
      <c r="AN60" s="114"/>
      <c r="AO60" s="122">
        <f>IFERROR(__xludf.DUMMYFUNCTION("""COMPUTED_VALUE"""),249.0)</f>
        <v>249</v>
      </c>
      <c r="AP60" s="114" t="str">
        <f>IFERROR(__xludf.DUMMYFUNCTION("""COMPUTED_VALUE"""),"Shaka")</f>
        <v>Shaka</v>
      </c>
      <c r="AQ60" s="114" t="str">
        <f>IFERROR(__xludf.DUMMYFUNCTION("""COMPUTED_VALUE"""),"Shaka")</f>
        <v>Shaka</v>
      </c>
      <c r="AR60" s="114"/>
      <c r="AS60" s="114"/>
      <c r="AT60" s="123" t="str">
        <f>IFERROR(__xludf.DUMMYFUNCTION("""COMPUTED_VALUE"""),"https://i.postimg.cc/J7qtm6c5/249.png")</f>
        <v>https://i.postimg.cc/J7qtm6c5/249.png</v>
      </c>
      <c r="AU60" s="114"/>
      <c r="AV60" s="114"/>
      <c r="AW60" s="114"/>
      <c r="AX60" s="114" t="str">
        <f t="shared" si="3"/>
        <v>249 - Medal [Event] - Crafted - Shaka</v>
      </c>
      <c r="AY60" s="114" t="s">
        <v>2756</v>
      </c>
      <c r="AZ60" s="114"/>
      <c r="BA60" s="114"/>
      <c r="BB60" s="114"/>
      <c r="BC60" s="114"/>
      <c r="BD60" s="114"/>
      <c r="BE60" s="114"/>
    </row>
    <row r="61" ht="37.5" customHeight="1">
      <c r="A61" s="118" t="s">
        <v>2757</v>
      </c>
      <c r="B61" s="117" t="s">
        <v>2758</v>
      </c>
      <c r="C61" s="119">
        <f>IFERROR(__xludf.DUMMYFUNCTION("""COMPUTED_VALUE"""),282.0)</f>
        <v>282</v>
      </c>
      <c r="D61" s="114" t="str">
        <f>IFERROR(__xludf.DUMMYFUNCTION("""COMPUTED_VALUE"""),"The Great Warrior Kalgara")</f>
        <v>The Great Warrior Kalgara</v>
      </c>
      <c r="E61" s="114" t="str">
        <f>IFERROR(__xludf.DUMMYFUNCTION("""COMPUTED_VALUE"""),"")</f>
        <v/>
      </c>
      <c r="F61" s="114"/>
      <c r="G61" s="114"/>
      <c r="H61" s="114"/>
      <c r="I61" s="114"/>
      <c r="J61" s="114"/>
      <c r="K61" s="114" t="s">
        <v>2759</v>
      </c>
      <c r="L61" s="114" t="s">
        <v>2760</v>
      </c>
      <c r="M61" s="114" t="s">
        <v>2761</v>
      </c>
      <c r="N61" s="114" t="s">
        <v>2762</v>
      </c>
      <c r="O61" s="114"/>
      <c r="P61" s="120">
        <v>282.0</v>
      </c>
      <c r="Q61" s="117" t="s">
        <v>2763</v>
      </c>
      <c r="R61" s="114"/>
      <c r="S61" s="117" t="s">
        <v>2764</v>
      </c>
      <c r="T61" s="114">
        <f t="shared" si="1"/>
        <v>60</v>
      </c>
      <c r="U61" s="114" t="s">
        <v>1711</v>
      </c>
      <c r="V61" s="114" t="str">
        <f>IFERROR(__xludf.DUMMYFUNCTION("REGEXREPLACE(U61, ""\n"", "" "")"),"Elephant Gatling")</f>
        <v>Elephant Gatling</v>
      </c>
      <c r="W61" s="114"/>
      <c r="X61" s="115" t="str">
        <f t="shared" si="2"/>
        <v>060 2 Years Later / Captain - Monkey D. Luffy - Medal [Elephant Gatling]</v>
      </c>
      <c r="Y61" s="119"/>
      <c r="Z61" s="117" t="s">
        <v>2765</v>
      </c>
      <c r="AA61" s="117" t="s">
        <v>2177</v>
      </c>
      <c r="AB61" s="114"/>
      <c r="AC61" s="123" t="str">
        <f>IFERROR(__xludf.DUMMYFUNCTION("""COMPUTED_VALUE"""),"https://ik.imagekit.io/alaaalaa6171/283%20Lvneel%20Kingdom_Exploration%20Ship%20Admiral%20-%20Mont%20Blanc%20Noland%20-%20Medal%20_Shandia%60s%20Savior_.png?updatedAt=1770076458281")</f>
        <v>https://ik.imagekit.io/alaaalaa6171/283%20Lvneel%20Kingdom_Exploration%20Ship%20Admiral%20-%20Mont%20Blanc%20Noland%20-%20Medal%20_Shandia%60s%20Savior_.png?updatedAt=1770076458281</v>
      </c>
      <c r="AD61" s="123" t="str">
        <f>IFERROR(__xludf.DUMMYFUNCTION("""COMPUTED_VALUE"""),"https://ik.imagekit.io/alaaalaa6171/283%20Lvneel%20Kingdom_Exploration%20Ship%20Admiral%20-%20Mont%20Blanc%20Noland%20-%20Medal%20_Shandia%60s%20Savior_%20_Colored_.png?updatedAt=1770076458250")</f>
        <v>https://ik.imagekit.io/alaaalaa6171/283%20Lvneel%20Kingdom_Exploration%20Ship%20Admiral%20-%20Mont%20Blanc%20Noland%20-%20Medal%20_Shandia%60s%20Savior_%20_Colored_.png?updatedAt=1770076458250</v>
      </c>
      <c r="AE61" s="123" t="str">
        <f>IFERROR(__xludf.DUMMYFUNCTION("""COMPUTED_VALUE"""),"https://ik.imagekit.io/alaaalaa6171/283%20Lvneel%20Kingdom_Exploration%20Ship%20Admiral%20-%20Mont%20Blanc%20Noland%20-%20Medal%20_Shandia%60s%20Savior_%20-%20Piece.png?updatedAt=1770076458275")</f>
        <v>https://ik.imagekit.io/alaaalaa6171/283%20Lvneel%20Kingdom_Exploration%20Ship%20Admiral%20-%20Mont%20Blanc%20Noland%20-%20Medal%20_Shandia%60s%20Savior_%20-%20Piece.png?updatedAt=1770076458275</v>
      </c>
      <c r="AF61" s="123" t="str">
        <f>IFERROR(__xludf.DUMMYFUNCTION("""COMPUTED_VALUE"""),"https://ik.imagekit.io/alaaalaa6171/283%20Lvneel%20Kingdom_Exploration%20Ship%20Admiral%20-%20Mont%20Blanc%20Noland%20-%20Medal%20_Shandia%60s%20Savior_%20-%20Piece%20_Colored_.png?updatedAt=1770076458280")</f>
        <v>https://ik.imagekit.io/alaaalaa6171/283%20Lvneel%20Kingdom_Exploration%20Ship%20Admiral%20-%20Mont%20Blanc%20Noland%20-%20Medal%20_Shandia%60s%20Savior_%20-%20Piece%20_Colored_.png?updatedAt=1770076458280</v>
      </c>
      <c r="AG61" s="114"/>
      <c r="AH61" s="114"/>
      <c r="AI61" s="121" t="s">
        <v>2766</v>
      </c>
      <c r="AJ61" s="121" t="str">
        <f>IFERROR(__xludf.DUMMYFUNCTION("regexreplace(regexreplace(AI61, ""  \["", "" ""), ""\]$"", """")"),"060 - 2 Years Later_Captain ~ Monkey D. Luffy - Medal - Crafted [Colored] - Elephant Gatling")</f>
        <v>060 - 2 Years Later_Captain ~ Monkey D. Luffy - Medal - Crafted [Colored] - Elephant Gatling</v>
      </c>
      <c r="AK61" s="114"/>
      <c r="AL61" s="117" t="s">
        <v>2767</v>
      </c>
      <c r="AM61" s="117" t="s">
        <v>2768</v>
      </c>
      <c r="AN61" s="114"/>
      <c r="AO61" s="122">
        <f>IFERROR(__xludf.DUMMYFUNCTION("""COMPUTED_VALUE"""),248.0)</f>
        <v>248</v>
      </c>
      <c r="AP61" s="114" t="str">
        <f>IFERROR(__xludf.DUMMYFUNCTION("""COMPUTED_VALUE"""),"Hattori
(CP0)")</f>
        <v>Hattori
(CP0)</v>
      </c>
      <c r="AQ61" s="114" t="str">
        <f>IFERROR(__xludf.DUMMYFUNCTION("""COMPUTED_VALUE"""),"Hattori (CP0)")</f>
        <v>Hattori (CP0)</v>
      </c>
      <c r="AR61" s="114"/>
      <c r="AS61" s="114"/>
      <c r="AT61" s="123" t="str">
        <f>IFERROR(__xludf.DUMMYFUNCTION("""COMPUTED_VALUE"""),"https://i.postimg.cc/T1CP91Y4/248.png")</f>
        <v>https://i.postimg.cc/T1CP91Y4/248.png</v>
      </c>
      <c r="AU61" s="114"/>
      <c r="AV61" s="114"/>
      <c r="AW61" s="114"/>
      <c r="AX61" s="114" t="str">
        <f t="shared" si="3"/>
        <v>248 - Medal [Event] - Crafted - Hattori (CP0)</v>
      </c>
      <c r="AY61" s="114" t="s">
        <v>2769</v>
      </c>
      <c r="AZ61" s="114"/>
      <c r="BA61" s="114"/>
      <c r="BB61" s="114"/>
      <c r="BC61" s="114"/>
      <c r="BD61" s="114"/>
      <c r="BE61" s="114"/>
    </row>
    <row r="62" ht="37.5" customHeight="1">
      <c r="A62" s="118" t="s">
        <v>2770</v>
      </c>
      <c r="B62" s="117" t="s">
        <v>2771</v>
      </c>
      <c r="C62" s="119">
        <f>IFERROR(__xludf.DUMMYFUNCTION("""COMPUTED_VALUE"""),281.0)</f>
        <v>281</v>
      </c>
      <c r="D62" s="114" t="str">
        <f>IFERROR(__xludf.DUMMYFUNCTION("""COMPUTED_VALUE"""),"Ganfor")</f>
        <v>Ganfor</v>
      </c>
      <c r="E62" s="114" t="str">
        <f>IFERROR(__xludf.DUMMYFUNCTION("""COMPUTED_VALUE"""),"")</f>
        <v/>
      </c>
      <c r="F62" s="114"/>
      <c r="G62" s="114"/>
      <c r="H62" s="114"/>
      <c r="I62" s="114"/>
      <c r="J62" s="114"/>
      <c r="K62" s="114" t="s">
        <v>2772</v>
      </c>
      <c r="L62" s="114" t="s">
        <v>2773</v>
      </c>
      <c r="M62" s="114" t="s">
        <v>2774</v>
      </c>
      <c r="N62" s="114" t="s">
        <v>2775</v>
      </c>
      <c r="O62" s="114"/>
      <c r="P62" s="120">
        <v>281.0</v>
      </c>
      <c r="Q62" s="117" t="s">
        <v>2776</v>
      </c>
      <c r="R62" s="114"/>
      <c r="S62" s="117" t="s">
        <v>2777</v>
      </c>
      <c r="T62" s="114">
        <f t="shared" si="1"/>
        <v>62</v>
      </c>
      <c r="U62" s="114" t="s">
        <v>1699</v>
      </c>
      <c r="V62" s="114" t="str">
        <f>IFERROR(__xludf.DUMMYFUNCTION("REGEXREPLACE(U62, ""\n"", "" "")"),"Dragon Quake")</f>
        <v>Dragon Quake</v>
      </c>
      <c r="W62" s="114"/>
      <c r="X62" s="115" t="str">
        <f t="shared" si="2"/>
        <v>062 2 Years Later / Combatant - Roronoa Zoro - Medal [Dragon Quake]</v>
      </c>
      <c r="Y62" s="119"/>
      <c r="Z62" s="117" t="s">
        <v>2778</v>
      </c>
      <c r="AA62" s="117" t="s">
        <v>2175</v>
      </c>
      <c r="AB62" s="114"/>
      <c r="AC62" s="123" t="str">
        <f>IFERROR(__xludf.DUMMYFUNCTION("""COMPUTED_VALUE"""),"https://ik.imagekit.io/alaaalaa6171/282%20The%20Great%20Warrior%20of%20Shandora%20-%20Kalgara%20-%20Medal%20_The%20Great%20Warrior%20Kalgara_.png?updatedAt=1770076458260")</f>
        <v>https://ik.imagekit.io/alaaalaa6171/282%20The%20Great%20Warrior%20of%20Shandora%20-%20Kalgara%20-%20Medal%20_The%20Great%20Warrior%20Kalgara_.png?updatedAt=1770076458260</v>
      </c>
      <c r="AD62" s="123" t="str">
        <f>IFERROR(__xludf.DUMMYFUNCTION("""COMPUTED_VALUE"""),"https://ik.imagekit.io/alaaalaa6171/282%20The%20Great%20Warrior%20of%20Shandora%20-%20Kalgara%20-%20Medal%20_The%20Great%20Warrior%20Kalgara_%20_Colored_.png?updatedAt=1770076458271")</f>
        <v>https://ik.imagekit.io/alaaalaa6171/282%20The%20Great%20Warrior%20of%20Shandora%20-%20Kalgara%20-%20Medal%20_The%20Great%20Warrior%20Kalgara_%20_Colored_.png?updatedAt=1770076458271</v>
      </c>
      <c r="AE62" s="123" t="str">
        <f>IFERROR(__xludf.DUMMYFUNCTION("""COMPUTED_VALUE"""),"https://ik.imagekit.io/alaaalaa6171/282%20The%20Great%20Warrior%20of%20Shandora%20-%20Kalgara%20-%20Medal%20_The%20Great%20Warrior%20Kalgara_%20-%20Piece.png?updatedAt=1770076458248")</f>
        <v>https://ik.imagekit.io/alaaalaa6171/282%20The%20Great%20Warrior%20of%20Shandora%20-%20Kalgara%20-%20Medal%20_The%20Great%20Warrior%20Kalgara_%20-%20Piece.png?updatedAt=1770076458248</v>
      </c>
      <c r="AF62" s="123" t="str">
        <f>IFERROR(__xludf.DUMMYFUNCTION("""COMPUTED_VALUE"""),"https://ik.imagekit.io/alaaalaa6171/282%20The%20Great%20Warrior%20of%20Shandora%20-%20Kalgara%20-%20Medal%20_The%20Great%20Warrior%20Kalgara_%20-%20Piece%20_Colored_.png?updatedAt=1770076458198")</f>
        <v>https://ik.imagekit.io/alaaalaa6171/282%20The%20Great%20Warrior%20of%20Shandora%20-%20Kalgara%20-%20Medal%20_The%20Great%20Warrior%20Kalgara_%20-%20Piece%20_Colored_.png?updatedAt=1770076458198</v>
      </c>
      <c r="AG62" s="114"/>
      <c r="AH62" s="114"/>
      <c r="AI62" s="121" t="s">
        <v>2779</v>
      </c>
      <c r="AJ62" s="121" t="str">
        <f>IFERROR(__xludf.DUMMYFUNCTION("regexreplace(regexreplace(AI62, ""  \["", "" ""), ""\]$"", """")"),"061 - Alabasta_Princess ~ Nefeltari Vivi - Medal - Crafted [Colored] - Vivi")</f>
        <v>061 - Alabasta_Princess ~ Nefeltari Vivi - Medal - Crafted [Colored] - Vivi</v>
      </c>
      <c r="AK62" s="114"/>
      <c r="AL62" s="117" t="s">
        <v>2780</v>
      </c>
      <c r="AM62" s="117" t="s">
        <v>2781</v>
      </c>
      <c r="AN62" s="114"/>
      <c r="AO62" s="122">
        <f>IFERROR(__xludf.DUMMYFUNCTION("""COMPUTED_VALUE"""),247.0)</f>
        <v>247</v>
      </c>
      <c r="AP62" s="114" t="str">
        <f>IFERROR(__xludf.DUMMYFUNCTION("""COMPUTED_VALUE"""),"Stussy
(CP0)")</f>
        <v>Stussy
(CP0)</v>
      </c>
      <c r="AQ62" s="114" t="str">
        <f>IFERROR(__xludf.DUMMYFUNCTION("""COMPUTED_VALUE"""),"Stussy (CP0)")</f>
        <v>Stussy (CP0)</v>
      </c>
      <c r="AR62" s="114"/>
      <c r="AS62" s="114"/>
      <c r="AT62" s="123" t="str">
        <f>IFERROR(__xludf.DUMMYFUNCTION("""COMPUTED_VALUE"""),"https://i.postimg.cc/DZ3mfRMB/247.png")</f>
        <v>https://i.postimg.cc/DZ3mfRMB/247.png</v>
      </c>
      <c r="AU62" s="114"/>
      <c r="AV62" s="114"/>
      <c r="AW62" s="114"/>
      <c r="AX62" s="114" t="str">
        <f t="shared" si="3"/>
        <v>247 - Medal [Event] - Crafted - Stussy (CP0)</v>
      </c>
      <c r="AY62" s="114" t="s">
        <v>2782</v>
      </c>
      <c r="AZ62" s="114"/>
      <c r="BA62" s="114"/>
      <c r="BB62" s="114"/>
      <c r="BC62" s="114"/>
      <c r="BD62" s="114"/>
      <c r="BE62" s="114"/>
    </row>
    <row r="63" ht="37.5" customHeight="1">
      <c r="A63" s="118" t="s">
        <v>2783</v>
      </c>
      <c r="B63" s="117" t="s">
        <v>2784</v>
      </c>
      <c r="C63" s="119">
        <f>IFERROR(__xludf.DUMMYFUNCTION("""COMPUTED_VALUE"""),280.0)</f>
        <v>280</v>
      </c>
      <c r="D63" s="114" t="str">
        <f>IFERROR(__xludf.DUMMYFUNCTION("""COMPUTED_VALUE"""),"The Dark King`s Flash")</f>
        <v>The Dark King`s Flash</v>
      </c>
      <c r="E63" s="114" t="str">
        <f>IFERROR(__xludf.DUMMYFUNCTION("""COMPUTED_VALUE"""),"")</f>
        <v/>
      </c>
      <c r="F63" s="114"/>
      <c r="G63" s="114"/>
      <c r="H63" s="114"/>
      <c r="I63" s="114"/>
      <c r="J63" s="114"/>
      <c r="K63" s="114" t="s">
        <v>2785</v>
      </c>
      <c r="L63" s="114" t="s">
        <v>2786</v>
      </c>
      <c r="M63" s="114" t="s">
        <v>2787</v>
      </c>
      <c r="N63" s="114" t="s">
        <v>2788</v>
      </c>
      <c r="O63" s="114"/>
      <c r="P63" s="120">
        <v>280.0</v>
      </c>
      <c r="Q63" s="117" t="s">
        <v>2789</v>
      </c>
      <c r="R63" s="114"/>
      <c r="S63" s="117" t="s">
        <v>2790</v>
      </c>
      <c r="T63" s="114">
        <f t="shared" si="1"/>
        <v>61</v>
      </c>
      <c r="U63" s="114" t="s">
        <v>1704</v>
      </c>
      <c r="V63" s="114" t="str">
        <f>IFERROR(__xludf.DUMMYFUNCTION("REGEXREPLACE(U63, ""\n"", "" "")"),"Vivi")</f>
        <v>Vivi</v>
      </c>
      <c r="W63" s="114"/>
      <c r="X63" s="115" t="str">
        <f t="shared" si="2"/>
        <v>061 Alabasta / Princess - Nefeltari Vivi - Medal [Vivi]</v>
      </c>
      <c r="Y63" s="119"/>
      <c r="Z63" s="117" t="s">
        <v>2791</v>
      </c>
      <c r="AA63" s="117" t="s">
        <v>2187</v>
      </c>
      <c r="AB63" s="114"/>
      <c r="AC63" s="123" t="str">
        <f>IFERROR(__xludf.DUMMYFUNCTION("""COMPUTED_VALUE"""),"https://ik.imagekit.io/alaaalaa6171/281%20The%20Sky%20Knight%20-%20Ganfor%20-%20Medal%20_Ganfor_.png?updatedAt=1770076458219")</f>
        <v>https://ik.imagekit.io/alaaalaa6171/281%20The%20Sky%20Knight%20-%20Ganfor%20-%20Medal%20_Ganfor_.png?updatedAt=1770076458219</v>
      </c>
      <c r="AD63" s="123" t="str">
        <f>IFERROR(__xludf.DUMMYFUNCTION("""COMPUTED_VALUE"""),"https://ik.imagekit.io/alaaalaa6171/281%20The%20Sky%20Knight%20-%20Ganfor%20-%20Medal%20_Ganfor_%20_Colored_.png?updatedAt=1770076458184")</f>
        <v>https://ik.imagekit.io/alaaalaa6171/281%20The%20Sky%20Knight%20-%20Ganfor%20-%20Medal%20_Ganfor_%20_Colored_.png?updatedAt=1770076458184</v>
      </c>
      <c r="AE63" s="123" t="str">
        <f>IFERROR(__xludf.DUMMYFUNCTION("""COMPUTED_VALUE"""),"https://ik.imagekit.io/alaaalaa6171/281%20The%20Sky%20Knight%20-%20Ganfor%20-%20Medal%20_Ganfor_%20-%20Piece.png?updatedAt=1770076458170")</f>
        <v>https://ik.imagekit.io/alaaalaa6171/281%20The%20Sky%20Knight%20-%20Ganfor%20-%20Medal%20_Ganfor_%20-%20Piece.png?updatedAt=1770076458170</v>
      </c>
      <c r="AF63" s="123" t="str">
        <f>IFERROR(__xludf.DUMMYFUNCTION("""COMPUTED_VALUE"""),"https://ik.imagekit.io/alaaalaa6171/281%20The%20Sky%20Knight%20-%20Ganfor%20-%20Medal%20_Ganfor_%20-%20Piece%20_Colored_.png?updatedAt=1770076458187")</f>
        <v>https://ik.imagekit.io/alaaalaa6171/281%20The%20Sky%20Knight%20-%20Ganfor%20-%20Medal%20_Ganfor_%20-%20Piece%20_Colored_.png?updatedAt=1770076458187</v>
      </c>
      <c r="AG63" s="114"/>
      <c r="AH63" s="114"/>
      <c r="AI63" s="121" t="s">
        <v>2792</v>
      </c>
      <c r="AJ63" s="121" t="str">
        <f>IFERROR(__xludf.DUMMYFUNCTION("regexreplace(regexreplace(AI63, ""  \["", "" ""), ""\]$"", """")"),"062 - 2 Years Later_Combatant ~ Roronoa Zoro - Medal - Crafted [Colored] - Dragon Quake")</f>
        <v>062 - 2 Years Later_Combatant ~ Roronoa Zoro - Medal - Crafted [Colored] - Dragon Quake</v>
      </c>
      <c r="AK63" s="114"/>
      <c r="AL63" s="117" t="s">
        <v>2793</v>
      </c>
      <c r="AM63" s="117" t="s">
        <v>2794</v>
      </c>
      <c r="AN63" s="114"/>
      <c r="AO63" s="122">
        <f>IFERROR(__xludf.DUMMYFUNCTION("""COMPUTED_VALUE"""),246.0)</f>
        <v>246</v>
      </c>
      <c r="AP63" s="114" t="str">
        <f>IFERROR(__xludf.DUMMYFUNCTION("""COMPUTED_VALUE"""),"Zoro
(Future Outfit)")</f>
        <v>Zoro
(Future Outfit)</v>
      </c>
      <c r="AQ63" s="114" t="str">
        <f>IFERROR(__xludf.DUMMYFUNCTION("""COMPUTED_VALUE"""),"Zoro (Future Outfit)")</f>
        <v>Zoro (Future Outfit)</v>
      </c>
      <c r="AR63" s="114"/>
      <c r="AS63" s="114"/>
      <c r="AT63" s="123" t="str">
        <f>IFERROR(__xludf.DUMMYFUNCTION("""COMPUTED_VALUE"""),"https://i.postimg.cc/XvCpbnQr/246.png")</f>
        <v>https://i.postimg.cc/XvCpbnQr/246.png</v>
      </c>
      <c r="AU63" s="114"/>
      <c r="AV63" s="114"/>
      <c r="AW63" s="114"/>
      <c r="AX63" s="114" t="str">
        <f t="shared" si="3"/>
        <v>246 - Medal [Event] - Crafted - Zoro (Future Outfit)</v>
      </c>
      <c r="AY63" s="114" t="s">
        <v>2795</v>
      </c>
      <c r="AZ63" s="114"/>
      <c r="BA63" s="114"/>
      <c r="BB63" s="114"/>
      <c r="BC63" s="114"/>
      <c r="BD63" s="114"/>
      <c r="BE63" s="114"/>
    </row>
    <row r="64" ht="37.5" customHeight="1">
      <c r="A64" s="118" t="s">
        <v>2796</v>
      </c>
      <c r="B64" s="117" t="s">
        <v>2797</v>
      </c>
      <c r="C64" s="119">
        <f>IFERROR(__xludf.DUMMYFUNCTION("""COMPUTED_VALUE"""),279.0)</f>
        <v>279</v>
      </c>
      <c r="D64" s="114" t="str">
        <f>IFERROR(__xludf.DUMMYFUNCTION("""COMPUTED_VALUE"""),"The Man Who Had Everything")</f>
        <v>The Man Who Had Everything</v>
      </c>
      <c r="E64" s="114" t="str">
        <f>IFERROR(__xludf.DUMMYFUNCTION("""COMPUTED_VALUE"""),"")</f>
        <v/>
      </c>
      <c r="F64" s="114"/>
      <c r="G64" s="114"/>
      <c r="H64" s="114"/>
      <c r="I64" s="114"/>
      <c r="J64" s="114"/>
      <c r="K64" s="114" t="s">
        <v>2798</v>
      </c>
      <c r="L64" s="114" t="s">
        <v>2799</v>
      </c>
      <c r="M64" s="114" t="s">
        <v>2800</v>
      </c>
      <c r="N64" s="114" t="s">
        <v>2801</v>
      </c>
      <c r="O64" s="114"/>
      <c r="P64" s="120">
        <v>279.0</v>
      </c>
      <c r="Q64" s="117" t="s">
        <v>2802</v>
      </c>
      <c r="R64" s="114"/>
      <c r="S64" s="117" t="s">
        <v>2803</v>
      </c>
      <c r="T64" s="114">
        <f t="shared" si="1"/>
        <v>63</v>
      </c>
      <c r="U64" s="114" t="s">
        <v>1693</v>
      </c>
      <c r="V64" s="114" t="str">
        <f>IFERROR(__xludf.DUMMYFUNCTION("REGEXREPLACE(U64, ""\n"", "" "")"),"Thunder")</f>
        <v>Thunder</v>
      </c>
      <c r="W64" s="114"/>
      <c r="X64" s="115" t="str">
        <f t="shared" si="2"/>
        <v>063 2 Years Later / Navigator - Nami - Medal [Thunder]</v>
      </c>
      <c r="Y64" s="119"/>
      <c r="Z64" s="117" t="s">
        <v>2804</v>
      </c>
      <c r="AA64" s="117" t="s">
        <v>2189</v>
      </c>
      <c r="AB64" s="114"/>
      <c r="AC64" s="123" t="str">
        <f>IFERROR(__xludf.DUMMYFUNCTION("""COMPUTED_VALUE"""),"https://ik.imagekit.io/alaaalaa6171/280%20Ex-Roger%20Pirates_First%20Mate%20-%20Silvers%20Rayleigh%20-%20Medal%20_The%20Dark%20King%60s%20Flash_.png?updatedAt=1770076458183")</f>
        <v>https://ik.imagekit.io/alaaalaa6171/280%20Ex-Roger%20Pirates_First%20Mate%20-%20Silvers%20Rayleigh%20-%20Medal%20_The%20Dark%20King%60s%20Flash_.png?updatedAt=1770076458183</v>
      </c>
      <c r="AD64" s="123" t="str">
        <f>IFERROR(__xludf.DUMMYFUNCTION("""COMPUTED_VALUE"""),"https://ik.imagekit.io/alaaalaa6171/280%20Ex-Roger%20Pirates_First%20Mate%20-%20Silvers%20Rayleigh%20-%20Medal%20_The%20Dark%20King%60s%20Flash_%20_Colored_.png?updatedAt=1770076458180")</f>
        <v>https://ik.imagekit.io/alaaalaa6171/280%20Ex-Roger%20Pirates_First%20Mate%20-%20Silvers%20Rayleigh%20-%20Medal%20_The%20Dark%20King%60s%20Flash_%20_Colored_.png?updatedAt=1770076458180</v>
      </c>
      <c r="AE64" s="123" t="str">
        <f>IFERROR(__xludf.DUMMYFUNCTION("""COMPUTED_VALUE"""),"https://ik.imagekit.io/alaaalaa6171/280%20Ex-Roger%20Pirates_First%20Mate%20-%20Silvers%20Rayleigh%20-%20Medal%20_The%20Dark%20King%60s%20Flash_%20-%20Piece.png?updatedAt=1770076457048")</f>
        <v>https://ik.imagekit.io/alaaalaa6171/280%20Ex-Roger%20Pirates_First%20Mate%20-%20Silvers%20Rayleigh%20-%20Medal%20_The%20Dark%20King%60s%20Flash_%20-%20Piece.png?updatedAt=1770076457048</v>
      </c>
      <c r="AF64" s="123" t="str">
        <f>IFERROR(__xludf.DUMMYFUNCTION("""COMPUTED_VALUE"""),"https://ik.imagekit.io/alaaalaa6171/280%20Ex-Roger%20Pirates_First%20Mate%20-%20Silvers%20Rayleigh%20-%20Medal%20_The%20Dark%20King%60s%20Flash_%20-%20Piece%20_Colored_.png?updatedAt=1770076456526")</f>
        <v>https://ik.imagekit.io/alaaalaa6171/280%20Ex-Roger%20Pirates_First%20Mate%20-%20Silvers%20Rayleigh%20-%20Medal%20_The%20Dark%20King%60s%20Flash_%20-%20Piece%20_Colored_.png?updatedAt=1770076456526</v>
      </c>
      <c r="AG64" s="114"/>
      <c r="AH64" s="114"/>
      <c r="AI64" s="121" t="s">
        <v>2805</v>
      </c>
      <c r="AJ64" s="121" t="str">
        <f>IFERROR(__xludf.DUMMYFUNCTION("regexreplace(regexreplace(AI64, ""  \["", "" ""), ""\]$"", """")"),"063 - 2 Years Later_Navigator ~ Nami - Medal - Crafted [Colored] - Thunder")</f>
        <v>063 - 2 Years Later_Navigator ~ Nami - Medal - Crafted [Colored] - Thunder</v>
      </c>
      <c r="AK64" s="114"/>
      <c r="AL64" s="117" t="s">
        <v>2806</v>
      </c>
      <c r="AM64" s="117" t="s">
        <v>2807</v>
      </c>
      <c r="AN64" s="114"/>
      <c r="AO64" s="122">
        <f>IFERROR(__xludf.DUMMYFUNCTION("""COMPUTED_VALUE"""),245.0)</f>
        <v>245</v>
      </c>
      <c r="AP64" s="114" t="str">
        <f>IFERROR(__xludf.DUMMYFUNCTION("""COMPUTED_VALUE"""),"Luffy
(Future Outfit)")</f>
        <v>Luffy
(Future Outfit)</v>
      </c>
      <c r="AQ64" s="114" t="str">
        <f>IFERROR(__xludf.DUMMYFUNCTION("""COMPUTED_VALUE"""),"Luffy (Future Outfit)")</f>
        <v>Luffy (Future Outfit)</v>
      </c>
      <c r="AR64" s="114"/>
      <c r="AS64" s="114"/>
      <c r="AT64" s="123" t="str">
        <f>IFERROR(__xludf.DUMMYFUNCTION("""COMPUTED_VALUE"""),"https://i.postimg.cc/4xnYW6cb/245.png")</f>
        <v>https://i.postimg.cc/4xnYW6cb/245.png</v>
      </c>
      <c r="AU64" s="114"/>
      <c r="AV64" s="114"/>
      <c r="AW64" s="114"/>
      <c r="AX64" s="114" t="str">
        <f t="shared" si="3"/>
        <v>245 - Medal [Event] - Crafted - Luffy (Future Outfit)</v>
      </c>
      <c r="AY64" s="114" t="s">
        <v>2808</v>
      </c>
      <c r="AZ64" s="114"/>
      <c r="BA64" s="114"/>
      <c r="BB64" s="114"/>
      <c r="BC64" s="114"/>
      <c r="BD64" s="114"/>
      <c r="BE64" s="114"/>
    </row>
    <row r="65" ht="37.5" customHeight="1">
      <c r="A65" s="118" t="s">
        <v>2809</v>
      </c>
      <c r="B65" s="117" t="s">
        <v>2810</v>
      </c>
      <c r="C65" s="119">
        <f>IFERROR(__xludf.DUMMYFUNCTION("""COMPUTED_VALUE"""),278.0)</f>
        <v>278</v>
      </c>
      <c r="D65" s="114" t="str">
        <f>IFERROR(__xludf.DUMMYFUNCTION("""COMPUTED_VALUE"""),"Carrot
(Whole Cake Island)")</f>
        <v>Carrot
(Whole Cake Island)</v>
      </c>
      <c r="E65" s="114" t="str">
        <f>IFERROR(__xludf.DUMMYFUNCTION("""COMPUTED_VALUE"""),"")</f>
        <v/>
      </c>
      <c r="F65" s="114"/>
      <c r="G65" s="114"/>
      <c r="H65" s="114"/>
      <c r="I65" s="114"/>
      <c r="J65" s="114"/>
      <c r="K65" s="114" t="s">
        <v>2811</v>
      </c>
      <c r="L65" s="114" t="s">
        <v>2812</v>
      </c>
      <c r="M65" s="114" t="s">
        <v>2813</v>
      </c>
      <c r="N65" s="114" t="s">
        <v>2814</v>
      </c>
      <c r="O65" s="114"/>
      <c r="P65" s="120">
        <v>278.0</v>
      </c>
      <c r="Q65" s="117" t="s">
        <v>2815</v>
      </c>
      <c r="R65" s="114"/>
      <c r="S65" s="117" t="s">
        <v>2816</v>
      </c>
      <c r="T65" s="114">
        <f t="shared" si="1"/>
        <v>64</v>
      </c>
      <c r="U65" s="114" t="s">
        <v>1687</v>
      </c>
      <c r="V65" s="114" t="str">
        <f>IFERROR(__xludf.DUMMYFUNCTION("REGEXREPLACE(U65, ""\n"", "" "")"),"Sabo")</f>
        <v>Sabo</v>
      </c>
      <c r="W65" s="114"/>
      <c r="X65" s="115" t="str">
        <f t="shared" si="2"/>
        <v>064 Revolutoonary Army / Chief of Staff - Sabo - Medal [Sabo]</v>
      </c>
      <c r="Y65" s="119"/>
      <c r="Z65" s="117" t="s">
        <v>2817</v>
      </c>
      <c r="AA65" s="117" t="s">
        <v>2190</v>
      </c>
      <c r="AB65" s="114"/>
      <c r="AC65" s="123" t="str">
        <f>IFERROR(__xludf.DUMMYFUNCTION("""COMPUTED_VALUE"""),"https://ik.imagekit.io/alaaalaa6171/279%20Great%20Pirate%20-%20Gol%20D.%20Roger%20-%20Medal%20_The%20Man%20Who%20Had%20Everything_.png?updatedAt=1770076456023")</f>
        <v>https://ik.imagekit.io/alaaalaa6171/279%20Great%20Pirate%20-%20Gol%20D.%20Roger%20-%20Medal%20_The%20Man%20Who%20Had%20Everything_.png?updatedAt=1770076456023</v>
      </c>
      <c r="AD65" s="123" t="str">
        <f>IFERROR(__xludf.DUMMYFUNCTION("""COMPUTED_VALUE"""),"https://ik.imagekit.io/alaaalaa6171/279%20Great%20Pirate%20-%20Gol%20D.%20Roger%20-%20Medal%20_The%20Man%20Who%20Had%20Everything_%20_Colored_.png?updatedAt=1770076455786")</f>
        <v>https://ik.imagekit.io/alaaalaa6171/279%20Great%20Pirate%20-%20Gol%20D.%20Roger%20-%20Medal%20_The%20Man%20Who%20Had%20Everything_%20_Colored_.png?updatedAt=1770076455786</v>
      </c>
      <c r="AE65" s="123" t="str">
        <f>IFERROR(__xludf.DUMMYFUNCTION("""COMPUTED_VALUE"""),"https://ik.imagekit.io/alaaalaa6171/279%20Great%20Pirate%20-%20Gol%20D.%20Roger%20-%20Medal%20_The%20Man%20Who%20Had%20Everything_%20-%20Piece.png?updatedAt=1770076455512")</f>
        <v>https://ik.imagekit.io/alaaalaa6171/279%20Great%20Pirate%20-%20Gol%20D.%20Roger%20-%20Medal%20_The%20Man%20Who%20Had%20Everything_%20-%20Piece.png?updatedAt=1770076455512</v>
      </c>
      <c r="AF65" s="123" t="str">
        <f>IFERROR(__xludf.DUMMYFUNCTION("""COMPUTED_VALUE"""),"https://ik.imagekit.io/alaaalaa6171/279%20Great%20Pirate%20-%20Gol%20D.%20Roger%20-%20Medal%20_The%20Man%20Who%20Had%20Everything_%20-%20Piece%20_Colored_.png?updatedAt=1770076455302")</f>
        <v>https://ik.imagekit.io/alaaalaa6171/279%20Great%20Pirate%20-%20Gol%20D.%20Roger%20-%20Medal%20_The%20Man%20Who%20Had%20Everything_%20-%20Piece%20_Colored_.png?updatedAt=1770076455302</v>
      </c>
      <c r="AG65" s="114"/>
      <c r="AH65" s="114"/>
      <c r="AI65" s="121" t="s">
        <v>2818</v>
      </c>
      <c r="AJ65" s="121" t="str">
        <f>IFERROR(__xludf.DUMMYFUNCTION("regexreplace(regexreplace(AI65, ""  \["", "" ""), ""\]$"", """")"),"064 - Revolutoonary Army_Chief of Staff ~ Sabo - Medal - Crafted [Colored] - Sabo")</f>
        <v>064 - Revolutoonary Army_Chief of Staff ~ Sabo - Medal - Crafted [Colored] - Sabo</v>
      </c>
      <c r="AK65" s="114"/>
      <c r="AL65" s="117" t="s">
        <v>2819</v>
      </c>
      <c r="AM65" s="117" t="s">
        <v>2820</v>
      </c>
      <c r="AN65" s="114"/>
      <c r="AO65" s="122">
        <f>IFERROR(__xludf.DUMMYFUNCTION("""COMPUTED_VALUE"""),244.0)</f>
        <v>244</v>
      </c>
      <c r="AP65" s="114" t="str">
        <f>IFERROR(__xludf.DUMMYFUNCTION("""COMPUTED_VALUE"""),"Kumadori")</f>
        <v>Kumadori</v>
      </c>
      <c r="AQ65" s="114" t="str">
        <f>IFERROR(__xludf.DUMMYFUNCTION("""COMPUTED_VALUE"""),"Kumadori")</f>
        <v>Kumadori</v>
      </c>
      <c r="AR65" s="114"/>
      <c r="AS65" s="114"/>
      <c r="AT65" s="123" t="str">
        <f>IFERROR(__xludf.DUMMYFUNCTION("""COMPUTED_VALUE"""),"https://i.postimg.cc/FsTfbWYH/244.png")</f>
        <v>https://i.postimg.cc/FsTfbWYH/244.png</v>
      </c>
      <c r="AU65" s="114"/>
      <c r="AV65" s="114"/>
      <c r="AW65" s="114"/>
      <c r="AX65" s="114" t="str">
        <f t="shared" si="3"/>
        <v>244 - Medal [Event] - Crafted - Kumadori</v>
      </c>
      <c r="AY65" s="114" t="s">
        <v>2821</v>
      </c>
      <c r="AZ65" s="114"/>
      <c r="BA65" s="114"/>
      <c r="BB65" s="114"/>
      <c r="BC65" s="114"/>
      <c r="BD65" s="114"/>
      <c r="BE65" s="114"/>
    </row>
    <row r="66" ht="37.5" customHeight="1">
      <c r="A66" s="118" t="s">
        <v>2822</v>
      </c>
      <c r="B66" s="117" t="s">
        <v>2823</v>
      </c>
      <c r="C66" s="119">
        <f>IFERROR(__xludf.DUMMYFUNCTION("""COMPUTED_VALUE"""),277.0)</f>
        <v>277</v>
      </c>
      <c r="D66" s="114" t="str">
        <f>IFERROR(__xludf.DUMMYFUNCTION("""COMPUTED_VALUE"""),"Paradise Waterfall")</f>
        <v>Paradise Waterfall</v>
      </c>
      <c r="E66" s="114" t="str">
        <f>IFERROR(__xludf.DUMMYFUNCTION("""COMPUTED_VALUE"""),"")</f>
        <v/>
      </c>
      <c r="F66" s="114"/>
      <c r="G66" s="114"/>
      <c r="H66" s="114"/>
      <c r="I66" s="114"/>
      <c r="J66" s="114"/>
      <c r="K66" s="114" t="s">
        <v>2824</v>
      </c>
      <c r="L66" s="114" t="s">
        <v>2825</v>
      </c>
      <c r="M66" s="114" t="s">
        <v>2826</v>
      </c>
      <c r="N66" s="114" t="s">
        <v>2827</v>
      </c>
      <c r="O66" s="114"/>
      <c r="P66" s="120">
        <v>277.0</v>
      </c>
      <c r="Q66" s="117" t="s">
        <v>2828</v>
      </c>
      <c r="R66" s="114"/>
      <c r="S66" s="117" t="s">
        <v>2829</v>
      </c>
      <c r="T66" s="114">
        <f t="shared" si="1"/>
        <v>65</v>
      </c>
      <c r="U66" s="114" t="s">
        <v>1679</v>
      </c>
      <c r="V66" s="114" t="str">
        <f>IFERROR(__xludf.DUMMYFUNCTION("REGEXREPLACE(U66, ""\n"", "" "")"),"Concasser")</f>
        <v>Concasser</v>
      </c>
      <c r="W66" s="114"/>
      <c r="X66" s="115" t="str">
        <f t="shared" si="2"/>
        <v>065 2 Years Later / Cook - Sanji - Medal [Concasser]</v>
      </c>
      <c r="Y66" s="119"/>
      <c r="Z66" s="117" t="s">
        <v>2830</v>
      </c>
      <c r="AA66" s="117" t="s">
        <v>2188</v>
      </c>
      <c r="AB66" s="114"/>
      <c r="AC66" s="123" t="str">
        <f>IFERROR(__xludf.DUMMYFUNCTION("""COMPUTED_VALUE"""),"https://ik.imagekit.io/alaaalaa6171/278%20Whole%20Cake%20Island%20-%20Carrot%20-%20Medal%20_Carrot%20(Whole%20Cake%20Island)_.png?updatedAt=1770076454778")</f>
        <v>https://ik.imagekit.io/alaaalaa6171/278%20Whole%20Cake%20Island%20-%20Carrot%20-%20Medal%20_Carrot%20(Whole%20Cake%20Island)_.png?updatedAt=1770076454778</v>
      </c>
      <c r="AD66" s="123" t="str">
        <f>IFERROR(__xludf.DUMMYFUNCTION("""COMPUTED_VALUE"""),"https://ik.imagekit.io/alaaalaa6171/278%20Whole%20Cake%20Island%20-%20Carrot%20-%20Medal%20_Carrot%20(Whole%20Cake%20Island)_%20_Colored_.png?updatedAt=1770076454662")</f>
        <v>https://ik.imagekit.io/alaaalaa6171/278%20Whole%20Cake%20Island%20-%20Carrot%20-%20Medal%20_Carrot%20(Whole%20Cake%20Island)_%20_Colored_.png?updatedAt=1770076454662</v>
      </c>
      <c r="AE66" s="123" t="str">
        <f>IFERROR(__xludf.DUMMYFUNCTION("""COMPUTED_VALUE"""),"https://ik.imagekit.io/alaaalaa6171/278%20Whole%20Cake%20Island%20-%20Carrot%20-%20Medal%20_Carrot%20(Whole%20Cake%20Island)_%20-%20Piece.png?updatedAt=1770076453614")</f>
        <v>https://ik.imagekit.io/alaaalaa6171/278%20Whole%20Cake%20Island%20-%20Carrot%20-%20Medal%20_Carrot%20(Whole%20Cake%20Island)_%20-%20Piece.png?updatedAt=1770076453614</v>
      </c>
      <c r="AF66" s="123" t="str">
        <f>IFERROR(__xludf.DUMMYFUNCTION("""COMPUTED_VALUE"""),"https://ik.imagekit.io/alaaalaa6171/278%20Whole%20Cake%20Island%20-%20Carrot%20-%20Medal%20_Carrot%20(Whole%20Cake%20Island)_%20-%20Piece%20_Colored_.png?updatedAt=1770076453340")</f>
        <v>https://ik.imagekit.io/alaaalaa6171/278%20Whole%20Cake%20Island%20-%20Carrot%20-%20Medal%20_Carrot%20(Whole%20Cake%20Island)_%20-%20Piece%20_Colored_.png?updatedAt=1770076453340</v>
      </c>
      <c r="AG66" s="114"/>
      <c r="AH66" s="114"/>
      <c r="AI66" s="121" t="s">
        <v>2831</v>
      </c>
      <c r="AJ66" s="121" t="str">
        <f>IFERROR(__xludf.DUMMYFUNCTION("regexreplace(regexreplace(AI66, ""  \["", "" ""), ""\]$"", """")"),"065 - 2 Years Later_Cook ~ Sanji - Medal - Crafted [Colored] - Concasser")</f>
        <v>065 - 2 Years Later_Cook ~ Sanji - Medal - Crafted [Colored] - Concasser</v>
      </c>
      <c r="AK66" s="114"/>
      <c r="AL66" s="117" t="s">
        <v>2832</v>
      </c>
      <c r="AM66" s="117" t="s">
        <v>2833</v>
      </c>
      <c r="AN66" s="114"/>
      <c r="AO66" s="122">
        <f>IFERROR(__xludf.DUMMYFUNCTION("""COMPUTED_VALUE"""),243.0)</f>
        <v>243</v>
      </c>
      <c r="AP66" s="114" t="str">
        <f>IFERROR(__xludf.DUMMYFUNCTION("""COMPUTED_VALUE"""),"Fukuro")</f>
        <v>Fukuro</v>
      </c>
      <c r="AQ66" s="114" t="str">
        <f>IFERROR(__xludf.DUMMYFUNCTION("""COMPUTED_VALUE"""),"Fukuro")</f>
        <v>Fukuro</v>
      </c>
      <c r="AR66" s="114"/>
      <c r="AS66" s="114"/>
      <c r="AT66" s="123" t="str">
        <f>IFERROR(__xludf.DUMMYFUNCTION("""COMPUTED_VALUE"""),"https://i.postimg.cc/RVS6H5VY/243.png")</f>
        <v>https://i.postimg.cc/RVS6H5VY/243.png</v>
      </c>
      <c r="AU66" s="114"/>
      <c r="AV66" s="114"/>
      <c r="AW66" s="114"/>
      <c r="AX66" s="114" t="str">
        <f t="shared" si="3"/>
        <v>243 - Medal [Event] - Crafted - Fukuro</v>
      </c>
      <c r="AY66" s="114" t="s">
        <v>2834</v>
      </c>
      <c r="AZ66" s="114"/>
      <c r="BA66" s="114"/>
      <c r="BB66" s="114"/>
      <c r="BC66" s="114"/>
      <c r="BD66" s="114"/>
      <c r="BE66" s="114"/>
    </row>
    <row r="67" ht="37.5" customHeight="1">
      <c r="A67" s="118" t="s">
        <v>2835</v>
      </c>
      <c r="B67" s="117" t="s">
        <v>2836</v>
      </c>
      <c r="C67" s="119">
        <f>IFERROR(__xludf.DUMMYFUNCTION("""COMPUTED_VALUE"""),276.0)</f>
        <v>276</v>
      </c>
      <c r="D67" s="114" t="str">
        <f>IFERROR(__xludf.DUMMYFUNCTION("""COMPUTED_VALUE"""),"The Man Who Shook the World")</f>
        <v>The Man Who Shook the World</v>
      </c>
      <c r="E67" s="114" t="str">
        <f>IFERROR(__xludf.DUMMYFUNCTION("""COMPUTED_VALUE"""),"")</f>
        <v/>
      </c>
      <c r="F67" s="114"/>
      <c r="G67" s="114"/>
      <c r="H67" s="114"/>
      <c r="I67" s="114"/>
      <c r="J67" s="114"/>
      <c r="K67" s="114" t="s">
        <v>2837</v>
      </c>
      <c r="L67" s="114" t="s">
        <v>2838</v>
      </c>
      <c r="M67" s="114" t="s">
        <v>2839</v>
      </c>
      <c r="N67" s="114" t="s">
        <v>2840</v>
      </c>
      <c r="O67" s="114"/>
      <c r="P67" s="120">
        <v>276.0</v>
      </c>
      <c r="Q67" s="117" t="s">
        <v>2841</v>
      </c>
      <c r="R67" s="114"/>
      <c r="S67" s="117" t="s">
        <v>2842</v>
      </c>
      <c r="T67" s="114">
        <f t="shared" si="1"/>
        <v>67</v>
      </c>
      <c r="U67" s="114" t="s">
        <v>1666</v>
      </c>
      <c r="V67" s="114" t="str">
        <f>IFERROR(__xludf.DUMMYFUNCTION("REGEXREPLACE(U67, ""\n"", "" "")"),"Bonney")</f>
        <v>Bonney</v>
      </c>
      <c r="W67" s="114"/>
      <c r="X67" s="115" t="str">
        <f t="shared" si="2"/>
        <v>067 Bonney Pirates / Captain - Jewelry Bonney - Medal [Bonney]</v>
      </c>
      <c r="Y67" s="119"/>
      <c r="Z67" s="117" t="s">
        <v>2843</v>
      </c>
      <c r="AA67" s="117" t="s">
        <v>2200</v>
      </c>
      <c r="AB67" s="114"/>
      <c r="AC67" s="123" t="str">
        <f>IFERROR(__xludf.DUMMYFUNCTION("""COMPUTED_VALUE"""),"https://ik.imagekit.io/alaaalaa6171/277%20Heir%20to%20the%20Shogun%20of%20Wano%20-%20Kozuki%20Oden%20-%20Medal%20_Paradise%20Waterfall_.png?updatedAt=1770076453333")</f>
        <v>https://ik.imagekit.io/alaaalaa6171/277%20Heir%20to%20the%20Shogun%20of%20Wano%20-%20Kozuki%20Oden%20-%20Medal%20_Paradise%20Waterfall_.png?updatedAt=1770076453333</v>
      </c>
      <c r="AD67" s="123" t="str">
        <f>IFERROR(__xludf.DUMMYFUNCTION("""COMPUTED_VALUE"""),"https://ik.imagekit.io/alaaalaa6171/277%20Heir%20to%20the%20Shogun%20of%20Wano%20-%20Kozuki%20Oden%20-%20Medal%20_Paradise%20Waterfall_%20_Colored_.png?updatedAt=1770076453323")</f>
        <v>https://ik.imagekit.io/alaaalaa6171/277%20Heir%20to%20the%20Shogun%20of%20Wano%20-%20Kozuki%20Oden%20-%20Medal%20_Paradise%20Waterfall_%20_Colored_.png?updatedAt=1770076453323</v>
      </c>
      <c r="AE67" s="123" t="str">
        <f>IFERROR(__xludf.DUMMYFUNCTION("""COMPUTED_VALUE"""),"https://ik.imagekit.io/alaaalaa6171/277%20Heir%20to%20the%20Shogun%20of%20Wano%20-%20Kozuki%20Oden%20-%20Medal%20_Paradise%20Waterfall_%20-%20Piece.png?updatedAt=1770076453343")</f>
        <v>https://ik.imagekit.io/alaaalaa6171/277%20Heir%20to%20the%20Shogun%20of%20Wano%20-%20Kozuki%20Oden%20-%20Medal%20_Paradise%20Waterfall_%20-%20Piece.png?updatedAt=1770076453343</v>
      </c>
      <c r="AF67" s="123" t="str">
        <f>IFERROR(__xludf.DUMMYFUNCTION("""COMPUTED_VALUE"""),"https://ik.imagekit.io/alaaalaa6171/277%20Heir%20to%20the%20Shogun%20of%20Wano%20-%20Kozuki%20Oden%20-%20Medal%20_Paradise%20Waterfall_%20-%20Piece%20_Colored_.png?updatedAt=1770076453555")</f>
        <v>https://ik.imagekit.io/alaaalaa6171/277%20Heir%20to%20the%20Shogun%20of%20Wano%20-%20Kozuki%20Oden%20-%20Medal%20_Paradise%20Waterfall_%20-%20Piece%20_Colored_.png?updatedAt=1770076453555</v>
      </c>
      <c r="AG67" s="114"/>
      <c r="AH67" s="114"/>
      <c r="AI67" s="121" t="s">
        <v>2844</v>
      </c>
      <c r="AJ67" s="121" t="str">
        <f>IFERROR(__xludf.DUMMYFUNCTION("regexreplace(regexreplace(AI67, ""  \["", "" ""), ""\]$"", """")"),"066 - 2 Years Later_Sharp Shooter ~ Usopp - Medal - Crafted [Colored] - Green Star")</f>
        <v>066 - 2 Years Later_Sharp Shooter ~ Usopp - Medal - Crafted [Colored] - Green Star</v>
      </c>
      <c r="AK67" s="114"/>
      <c r="AL67" s="117" t="s">
        <v>2845</v>
      </c>
      <c r="AM67" s="117" t="s">
        <v>2846</v>
      </c>
      <c r="AN67" s="114"/>
      <c r="AO67" s="122">
        <f>IFERROR(__xludf.DUMMYFUNCTION("""COMPUTED_VALUE"""),242.0)</f>
        <v>242</v>
      </c>
      <c r="AP67" s="114" t="str">
        <f>IFERROR(__xludf.DUMMYFUNCTION("""COMPUTED_VALUE"""),"Mini_Merry")</f>
        <v>Mini_Merry</v>
      </c>
      <c r="AQ67" s="114" t="str">
        <f>IFERROR(__xludf.DUMMYFUNCTION("""COMPUTED_VALUE"""),"Mini_Merry")</f>
        <v>Mini_Merry</v>
      </c>
      <c r="AR67" s="114"/>
      <c r="AS67" s="114"/>
      <c r="AT67" s="123" t="str">
        <f>IFERROR(__xludf.DUMMYFUNCTION("""COMPUTED_VALUE"""),"https://i.postimg.cc/zDSHvX5W/242.png")</f>
        <v>https://i.postimg.cc/zDSHvX5W/242.png</v>
      </c>
      <c r="AU67" s="114"/>
      <c r="AV67" s="114"/>
      <c r="AW67" s="114"/>
      <c r="AX67" s="114" t="str">
        <f t="shared" si="3"/>
        <v>242 - Medal [Event] - Crafted - Mini_Merry</v>
      </c>
      <c r="AY67" s="114" t="s">
        <v>2847</v>
      </c>
      <c r="AZ67" s="114"/>
      <c r="BA67" s="114"/>
      <c r="BB67" s="114"/>
      <c r="BC67" s="114"/>
      <c r="BD67" s="114"/>
      <c r="BE67" s="114"/>
    </row>
    <row r="68" ht="37.5" customHeight="1">
      <c r="A68" s="118" t="s">
        <v>2848</v>
      </c>
      <c r="B68" s="117" t="s">
        <v>2849</v>
      </c>
      <c r="C68" s="119">
        <f>IFERROR(__xludf.DUMMYFUNCTION("""COMPUTED_VALUE"""),275.0)</f>
        <v>275</v>
      </c>
      <c r="D68" s="114" t="str">
        <f>IFERROR(__xludf.DUMMYFUNCTION("""COMPUTED_VALUE"""),"Ace &amp; Yamato")</f>
        <v>Ace &amp; Yamato</v>
      </c>
      <c r="E68" s="114" t="str">
        <f>IFERROR(__xludf.DUMMYFUNCTION("""COMPUTED_VALUE"""),"")</f>
        <v/>
      </c>
      <c r="F68" s="114"/>
      <c r="G68" s="114"/>
      <c r="H68" s="114"/>
      <c r="I68" s="114"/>
      <c r="J68" s="114"/>
      <c r="K68" s="114" t="s">
        <v>2850</v>
      </c>
      <c r="L68" s="114" t="s">
        <v>2851</v>
      </c>
      <c r="M68" s="114" t="s">
        <v>2852</v>
      </c>
      <c r="N68" s="114" t="s">
        <v>2853</v>
      </c>
      <c r="O68" s="114"/>
      <c r="P68" s="120">
        <v>275.0</v>
      </c>
      <c r="Q68" s="117" t="s">
        <v>2854</v>
      </c>
      <c r="R68" s="114"/>
      <c r="S68" s="117" t="s">
        <v>2855</v>
      </c>
      <c r="T68" s="114">
        <f t="shared" si="1"/>
        <v>66</v>
      </c>
      <c r="U68" s="114" t="s">
        <v>1673</v>
      </c>
      <c r="V68" s="114" t="str">
        <f>IFERROR(__xludf.DUMMYFUNCTION("REGEXREPLACE(U68, ""\n"", "" "")"),"Green Star")</f>
        <v>Green Star</v>
      </c>
      <c r="W68" s="114"/>
      <c r="X68" s="115" t="str">
        <f t="shared" si="2"/>
        <v>066 2 Years Later / Sharp Shooter - Usopp - Medal [Green Star]</v>
      </c>
      <c r="Y68" s="119"/>
      <c r="Z68" s="117" t="s">
        <v>2856</v>
      </c>
      <c r="AA68" s="117" t="s">
        <v>2202</v>
      </c>
      <c r="AB68" s="114"/>
      <c r="AC68" s="123" t="str">
        <f>IFERROR(__xludf.DUMMYFUNCTION("""COMPUTED_VALUE"""),"https://ik.imagekit.io/alaaalaa6171/276%20Great%20Pirate%20-%20Edward%20Newgate%20-%20Medal%20_The%20Man%20Who%20Shook%20the%20World_.png?updatedAt=1770076453305")</f>
        <v>https://ik.imagekit.io/alaaalaa6171/276%20Great%20Pirate%20-%20Edward%20Newgate%20-%20Medal%20_The%20Man%20Who%20Shook%20the%20World_.png?updatedAt=1770076453305</v>
      </c>
      <c r="AD68" s="123" t="str">
        <f>IFERROR(__xludf.DUMMYFUNCTION("""COMPUTED_VALUE"""),"https://ik.imagekit.io/alaaalaa6171/276%20Great%20Pirate%20-%20Edward%20Newgate%20-%20Medal%20_The%20Man%20Who%20Shook%20the%20World_%20_Colored_.png?updatedAt=1770076453337")</f>
        <v>https://ik.imagekit.io/alaaalaa6171/276%20Great%20Pirate%20-%20Edward%20Newgate%20-%20Medal%20_The%20Man%20Who%20Shook%20the%20World_%20_Colored_.png?updatedAt=1770076453337</v>
      </c>
      <c r="AE68" s="123" t="str">
        <f>IFERROR(__xludf.DUMMYFUNCTION("""COMPUTED_VALUE"""),"https://ik.imagekit.io/alaaalaa6171/276%20Great%20Pirate%20-%20Edward%20Newgate%20-%20Medal%20_The%20Man%20Who%20Shook%20the%20World_%20-%20Piece.png?updatedAt=1770076453292")</f>
        <v>https://ik.imagekit.io/alaaalaa6171/276%20Great%20Pirate%20-%20Edward%20Newgate%20-%20Medal%20_The%20Man%20Who%20Shook%20the%20World_%20-%20Piece.png?updatedAt=1770076453292</v>
      </c>
      <c r="AF68" s="123" t="str">
        <f>IFERROR(__xludf.DUMMYFUNCTION("""COMPUTED_VALUE"""),"https://ik.imagekit.io/alaaalaa6171/276%20Great%20Pirate%20-%20Edward%20Newgate%20-%20Medal%20_The%20Man%20Who%20Shook%20the%20World_%20-%20Piece%20_Colored_.png?updatedAt=1770076453202")</f>
        <v>https://ik.imagekit.io/alaaalaa6171/276%20Great%20Pirate%20-%20Edward%20Newgate%20-%20Medal%20_The%20Man%20Who%20Shook%20the%20World_%20-%20Piece%20_Colored_.png?updatedAt=1770076453202</v>
      </c>
      <c r="AG68" s="114"/>
      <c r="AH68" s="114"/>
      <c r="AI68" s="121" t="s">
        <v>2857</v>
      </c>
      <c r="AJ68" s="121" t="str">
        <f>IFERROR(__xludf.DUMMYFUNCTION("regexreplace(regexreplace(AI68, ""  \["", "" ""), ""\]$"", """")"),"067 - Bonney Pirates_Captain ~ Jewelry Bonney - Medal - Crafted [Colored] - Bonney")</f>
        <v>067 - Bonney Pirates_Captain ~ Jewelry Bonney - Medal - Crafted [Colored] - Bonney</v>
      </c>
      <c r="AK68" s="114"/>
      <c r="AL68" s="117" t="s">
        <v>2858</v>
      </c>
      <c r="AM68" s="117" t="s">
        <v>2859</v>
      </c>
      <c r="AN68" s="114"/>
      <c r="AO68" s="122">
        <f>IFERROR(__xludf.DUMMYFUNCTION("""COMPUTED_VALUE"""),241.0)</f>
        <v>241</v>
      </c>
      <c r="AP68" s="114" t="str">
        <f>IFERROR(__xludf.DUMMYFUNCTION("""COMPUTED_VALUE"""),"Thousand Sunny")</f>
        <v>Thousand Sunny</v>
      </c>
      <c r="AQ68" s="114" t="str">
        <f>IFERROR(__xludf.DUMMYFUNCTION("""COMPUTED_VALUE"""),"Thousand Sunny")</f>
        <v>Thousand Sunny</v>
      </c>
      <c r="AR68" s="114"/>
      <c r="AS68" s="114"/>
      <c r="AT68" s="123" t="str">
        <f>IFERROR(__xludf.DUMMYFUNCTION("""COMPUTED_VALUE"""),"https://i.postimg.cc/TwTG4xSM/241.png")</f>
        <v>https://i.postimg.cc/TwTG4xSM/241.png</v>
      </c>
      <c r="AU68" s="114"/>
      <c r="AV68" s="114"/>
      <c r="AW68" s="114"/>
      <c r="AX68" s="114" t="str">
        <f t="shared" si="3"/>
        <v>241 - Medal [Event] - Crafted - Thousand Sunny</v>
      </c>
      <c r="AY68" s="114" t="s">
        <v>2860</v>
      </c>
      <c r="AZ68" s="114"/>
      <c r="BA68" s="114"/>
      <c r="BB68" s="114"/>
      <c r="BC68" s="114"/>
      <c r="BD68" s="114"/>
      <c r="BE68" s="114"/>
    </row>
    <row r="69" ht="37.5" customHeight="1">
      <c r="A69" s="118" t="s">
        <v>2861</v>
      </c>
      <c r="B69" s="117" t="s">
        <v>2862</v>
      </c>
      <c r="C69" s="119">
        <f>IFERROR(__xludf.DUMMYFUNCTION("""COMPUTED_VALUE"""),274.0)</f>
        <v>274</v>
      </c>
      <c r="D69" s="114" t="str">
        <f>IFERROR(__xludf.DUMMYFUNCTION("""COMPUTED_VALUE"""),"Shogun of Wano")</f>
        <v>Shogun of Wano</v>
      </c>
      <c r="E69" s="114" t="str">
        <f>IFERROR(__xludf.DUMMYFUNCTION("""COMPUTED_VALUE"""),"")</f>
        <v/>
      </c>
      <c r="F69" s="114"/>
      <c r="G69" s="114"/>
      <c r="H69" s="114"/>
      <c r="I69" s="114"/>
      <c r="J69" s="114"/>
      <c r="K69" s="114" t="s">
        <v>2863</v>
      </c>
      <c r="L69" s="114" t="s">
        <v>2864</v>
      </c>
      <c r="M69" s="114" t="s">
        <v>2865</v>
      </c>
      <c r="N69" s="114" t="s">
        <v>2866</v>
      </c>
      <c r="O69" s="114"/>
      <c r="P69" s="120">
        <v>274.0</v>
      </c>
      <c r="Q69" s="117" t="s">
        <v>2867</v>
      </c>
      <c r="R69" s="114"/>
      <c r="S69" s="117" t="s">
        <v>2868</v>
      </c>
      <c r="T69" s="114">
        <f t="shared" si="1"/>
        <v>68</v>
      </c>
      <c r="U69" s="114" t="s">
        <v>1658</v>
      </c>
      <c r="V69" s="114" t="str">
        <f>IFERROR(__xludf.DUMMYFUNCTION("REGEXREPLACE(U69, ""\n"", "" "")"),"Kizaru")</f>
        <v>Kizaru</v>
      </c>
      <c r="W69" s="114"/>
      <c r="X69" s="115" t="str">
        <f t="shared" si="2"/>
        <v>068 Navy HQ / Admiral Kizaru - [Borsalino] - Medal [Kizaru]</v>
      </c>
      <c r="Y69" s="119"/>
      <c r="Z69" s="117" t="s">
        <v>2869</v>
      </c>
      <c r="AA69" s="117" t="s">
        <v>2203</v>
      </c>
      <c r="AB69" s="114"/>
      <c r="AC69" s="123" t="str">
        <f>IFERROR(__xludf.DUMMYFUNCTION("""COMPUTED_VALUE"""),"https://ik.imagekit.io/alaaalaa6171/275%20Fire%20Fist%20Ogre%20Princess%20-%20Ace%20&amp;%20Yamato%20-%20Medal%20_Ace%20&amp;%20Yamato_.png?updatedAt=1770076453216")</f>
        <v>https://ik.imagekit.io/alaaalaa6171/275%20Fire%20Fist%20Ogre%20Princess%20-%20Ace%20&amp;%20Yamato%20-%20Medal%20_Ace%20&amp;%20Yamato_.png?updatedAt=1770076453216</v>
      </c>
      <c r="AD69" s="123" t="str">
        <f>IFERROR(__xludf.DUMMYFUNCTION("""COMPUTED_VALUE"""),"https://ik.imagekit.io/alaaalaa6171/275%20Fire%20Fist%20Ogre%20Princess%20-%20Ace%20&amp;%20Yamato%20-%20Medal%20_Ace%20&amp;%20Yamato_%20_Colored_.png?updatedAt=1770076453265")</f>
        <v>https://ik.imagekit.io/alaaalaa6171/275%20Fire%20Fist%20Ogre%20Princess%20-%20Ace%20&amp;%20Yamato%20-%20Medal%20_Ace%20&amp;%20Yamato_%20_Colored_.png?updatedAt=1770076453265</v>
      </c>
      <c r="AE69" s="123" t="str">
        <f>IFERROR(__xludf.DUMMYFUNCTION("""COMPUTED_VALUE"""),"https://ik.imagekit.io/alaaalaa6171/275%20Fire%20Fist%20Ogre%20Princess%20-%20Ace%20&amp;%20Yamato%20-%20Medal%20_Ace%20&amp;%20Yamato_%20-%20Piece.png?updatedAt=1770076453229")</f>
        <v>https://ik.imagekit.io/alaaalaa6171/275%20Fire%20Fist%20Ogre%20Princess%20-%20Ace%20&amp;%20Yamato%20-%20Medal%20_Ace%20&amp;%20Yamato_%20-%20Piece.png?updatedAt=1770076453229</v>
      </c>
      <c r="AF69" s="123" t="str">
        <f>IFERROR(__xludf.DUMMYFUNCTION("""COMPUTED_VALUE"""),"https://ik.imagekit.io/alaaalaa6171/275%20Fire%20Fist%20Ogre%20Princess%20-%20Ace%20&amp;%20Yamato%20-%20Medal%20_Ace%20&amp;%20Yamato_%20-%20Piece%20_Colored_.png?updatedAt=1770076453214")</f>
        <v>https://ik.imagekit.io/alaaalaa6171/275%20Fire%20Fist%20Ogre%20Princess%20-%20Ace%20&amp;%20Yamato%20-%20Medal%20_Ace%20&amp;%20Yamato_%20-%20Piece%20_Colored_.png?updatedAt=1770076453214</v>
      </c>
      <c r="AG69" s="114"/>
      <c r="AH69" s="114"/>
      <c r="AI69" s="121" t="s">
        <v>2870</v>
      </c>
      <c r="AJ69" s="121" t="str">
        <f>IFERROR(__xludf.DUMMYFUNCTION("regexreplace(regexreplace(AI69, ""  \["", "" ""), ""\]$"", """")"),"068 - Navy HQ_Admiral Kizaru ~ [Borsalino] - Medal - Crafted [Colored] - Kizaru")</f>
        <v>068 - Navy HQ_Admiral Kizaru ~ [Borsalino] - Medal - Crafted [Colored] - Kizaru</v>
      </c>
      <c r="AK69" s="114"/>
      <c r="AL69" s="117" t="s">
        <v>2871</v>
      </c>
      <c r="AM69" s="117" t="s">
        <v>2872</v>
      </c>
      <c r="AN69" s="114"/>
      <c r="AO69" s="122">
        <f>IFERROR(__xludf.DUMMYFUNCTION("""COMPUTED_VALUE"""),240.0)</f>
        <v>240</v>
      </c>
      <c r="AP69" s="114" t="str">
        <f>IFERROR(__xludf.DUMMYFUNCTION("""COMPUTED_VALUE"""),"Dr. Vegapunk")</f>
        <v>Dr. Vegapunk</v>
      </c>
      <c r="AQ69" s="114" t="str">
        <f>IFERROR(__xludf.DUMMYFUNCTION("""COMPUTED_VALUE"""),"Dr. Vegapunk")</f>
        <v>Dr. Vegapunk</v>
      </c>
      <c r="AR69" s="114"/>
      <c r="AS69" s="114"/>
      <c r="AT69" s="123" t="str">
        <f>IFERROR(__xludf.DUMMYFUNCTION("""COMPUTED_VALUE"""),"https://i.postimg.cc/tgQ9FWNg/240.png")</f>
        <v>https://i.postimg.cc/tgQ9FWNg/240.png</v>
      </c>
      <c r="AU69" s="114"/>
      <c r="AV69" s="114"/>
      <c r="AW69" s="114"/>
      <c r="AX69" s="114" t="str">
        <f t="shared" si="3"/>
        <v>240 - Medal [Event] - Crafted - Dr. Vegapunk</v>
      </c>
      <c r="AY69" s="114" t="s">
        <v>2873</v>
      </c>
      <c r="AZ69" s="114"/>
      <c r="BA69" s="114"/>
      <c r="BB69" s="114"/>
      <c r="BC69" s="114"/>
      <c r="BD69" s="114"/>
      <c r="BE69" s="114"/>
    </row>
    <row r="70" ht="37.5" customHeight="1">
      <c r="A70" s="118" t="s">
        <v>2874</v>
      </c>
      <c r="B70" s="117" t="s">
        <v>2875</v>
      </c>
      <c r="C70" s="119">
        <f>IFERROR(__xludf.DUMMYFUNCTION("""COMPUTED_VALUE"""),273.0)</f>
        <v>273</v>
      </c>
      <c r="D70" s="114" t="str">
        <f>IFERROR(__xludf.DUMMYFUNCTION("""COMPUTED_VALUE"""),"Ryokugyu")</f>
        <v>Ryokugyu</v>
      </c>
      <c r="E70" s="114" t="str">
        <f>IFERROR(__xludf.DUMMYFUNCTION("""COMPUTED_VALUE"""),"")</f>
        <v/>
      </c>
      <c r="F70" s="114"/>
      <c r="G70" s="114"/>
      <c r="H70" s="114"/>
      <c r="I70" s="114"/>
      <c r="J70" s="114"/>
      <c r="K70" s="114" t="s">
        <v>2876</v>
      </c>
      <c r="L70" s="114" t="s">
        <v>2877</v>
      </c>
      <c r="M70" s="114" t="s">
        <v>2878</v>
      </c>
      <c r="N70" s="114" t="s">
        <v>2879</v>
      </c>
      <c r="O70" s="114"/>
      <c r="P70" s="120">
        <v>273.0</v>
      </c>
      <c r="Q70" s="117" t="s">
        <v>2880</v>
      </c>
      <c r="R70" s="114"/>
      <c r="S70" s="117" t="s">
        <v>2881</v>
      </c>
      <c r="T70" s="114">
        <f t="shared" si="1"/>
        <v>69</v>
      </c>
      <c r="U70" s="114" t="s">
        <v>1651</v>
      </c>
      <c r="V70" s="114" t="str">
        <f>IFERROR(__xludf.DUMMYFUNCTION("REGEXREPLACE(U70, ""\n"", "" "")"),"Bed Rest")</f>
        <v>Bed Rest</v>
      </c>
      <c r="W70" s="114"/>
      <c r="X70" s="115" t="str">
        <f t="shared" si="2"/>
        <v>069 2 Years Later / Doctor - Tony Tony Chopper - Medal [Bed Rest]</v>
      </c>
      <c r="Y70" s="119"/>
      <c r="Z70" s="117" t="s">
        <v>2882</v>
      </c>
      <c r="AA70" s="117" t="s">
        <v>2201</v>
      </c>
      <c r="AB70" s="114"/>
      <c r="AC70" s="123" t="str">
        <f>IFERROR(__xludf.DUMMYFUNCTION("""COMPUTED_VALUE"""),"https://ik.imagekit.io/alaaalaa6171/274%20Shogun%20of%20Wano%20-%20Kozuki%20Momonosuke%20-%20Medal%20_Shogun%20of%20Wano_.png?updatedAt=1770076453235")</f>
        <v>https://ik.imagekit.io/alaaalaa6171/274%20Shogun%20of%20Wano%20-%20Kozuki%20Momonosuke%20-%20Medal%20_Shogun%20of%20Wano_.png?updatedAt=1770076453235</v>
      </c>
      <c r="AD70" s="123" t="str">
        <f>IFERROR(__xludf.DUMMYFUNCTION("""COMPUTED_VALUE"""),"https://ik.imagekit.io/alaaalaa6171/274%20Shogun%20of%20Wano%20-%20Kozuki%20Momonosuke%20-%20Medal%20_Shogun%20of%20Wano_%20_Colored_.png?updatedAt=1770076453286")</f>
        <v>https://ik.imagekit.io/alaaalaa6171/274%20Shogun%20of%20Wano%20-%20Kozuki%20Momonosuke%20-%20Medal%20_Shogun%20of%20Wano_%20_Colored_.png?updatedAt=1770076453286</v>
      </c>
      <c r="AE70" s="123" t="str">
        <f>IFERROR(__xludf.DUMMYFUNCTION("""COMPUTED_VALUE"""),"https://ik.imagekit.io/alaaalaa6171/274%20Shogun%20of%20Wano%20-%20Kozuki%20Momonosuke%20-%20Medal%20_Shogun%20of%20Wano_%20-%20Piece.png?updatedAt=1770076453260")</f>
        <v>https://ik.imagekit.io/alaaalaa6171/274%20Shogun%20of%20Wano%20-%20Kozuki%20Momonosuke%20-%20Medal%20_Shogun%20of%20Wano_%20-%20Piece.png?updatedAt=1770076453260</v>
      </c>
      <c r="AF70" s="123" t="str">
        <f>IFERROR(__xludf.DUMMYFUNCTION("""COMPUTED_VALUE"""),"https://ik.imagekit.io/alaaalaa6171/274%20Shogun%20of%20Wano%20-%20Kozuki%20Momonosuke%20-%20Medal%20_Shogun%20of%20Wano_%20-%20Piece%20_Colored_.png?updatedAt=1770076453209")</f>
        <v>https://ik.imagekit.io/alaaalaa6171/274%20Shogun%20of%20Wano%20-%20Kozuki%20Momonosuke%20-%20Medal%20_Shogun%20of%20Wano_%20-%20Piece%20_Colored_.png?updatedAt=1770076453209</v>
      </c>
      <c r="AG70" s="114"/>
      <c r="AH70" s="114"/>
      <c r="AI70" s="121" t="s">
        <v>2883</v>
      </c>
      <c r="AJ70" s="121" t="str">
        <f>IFERROR(__xludf.DUMMYFUNCTION("regexreplace(regexreplace(AI70, ""  \["", "" ""), ""\]$"", """")"),"069 - 2 Years Later_Doctor ~ Tony Tony Chopper - Medal - Crafted [Colored] - Bed Rest")</f>
        <v>069 - 2 Years Later_Doctor ~ Tony Tony Chopper - Medal - Crafted [Colored] - Bed Rest</v>
      </c>
      <c r="AK70" s="114"/>
      <c r="AL70" s="117" t="s">
        <v>2884</v>
      </c>
      <c r="AM70" s="117" t="s">
        <v>2885</v>
      </c>
      <c r="AN70" s="114"/>
      <c r="AO70" s="122">
        <f>IFERROR(__xludf.DUMMYFUNCTION("""COMPUTED_VALUE"""),239.0)</f>
        <v>239</v>
      </c>
      <c r="AP70" s="114" t="str">
        <f>IFERROR(__xludf.DUMMYFUNCTION("""COMPUTED_VALUE"""),"Slave Arrow")</f>
        <v>Slave Arrow</v>
      </c>
      <c r="AQ70" s="114" t="str">
        <f>IFERROR(__xludf.DUMMYFUNCTION("""COMPUTED_VALUE"""),"Slave Arrow")</f>
        <v>Slave Arrow</v>
      </c>
      <c r="AR70" s="114"/>
      <c r="AS70" s="114"/>
      <c r="AT70" s="123" t="str">
        <f>IFERROR(__xludf.DUMMYFUNCTION("""COMPUTED_VALUE"""),"https://i.postimg.cc/QdWXB05P/239.png")</f>
        <v>https://i.postimg.cc/QdWXB05P/239.png</v>
      </c>
      <c r="AU70" s="114"/>
      <c r="AV70" s="114"/>
      <c r="AW70" s="114"/>
      <c r="AX70" s="114" t="str">
        <f t="shared" si="3"/>
        <v>239 - Medal [Event] - Crafted - Slave Arrow</v>
      </c>
      <c r="AY70" s="114" t="s">
        <v>2886</v>
      </c>
      <c r="AZ70" s="114"/>
      <c r="BA70" s="114"/>
      <c r="BB70" s="114"/>
      <c r="BC70" s="114"/>
      <c r="BD70" s="114"/>
      <c r="BE70" s="114"/>
    </row>
    <row r="71" ht="37.5" customHeight="1">
      <c r="A71" s="118" t="s">
        <v>2887</v>
      </c>
      <c r="B71" s="117" t="s">
        <v>2888</v>
      </c>
      <c r="C71" s="119">
        <f>IFERROR(__xludf.DUMMYFUNCTION("""COMPUTED_VALUE"""),272.0)</f>
        <v>272</v>
      </c>
      <c r="D71" s="114" t="str">
        <f>IFERROR(__xludf.DUMMYFUNCTION("""COMPUTED_VALUE"""),"Otama &amp; Komachiyo")</f>
        <v>Otama &amp; Komachiyo</v>
      </c>
      <c r="E71" s="114" t="str">
        <f>IFERROR(__xludf.DUMMYFUNCTION("""COMPUTED_VALUE"""),"")</f>
        <v/>
      </c>
      <c r="F71" s="114"/>
      <c r="G71" s="114"/>
      <c r="H71" s="114"/>
      <c r="I71" s="114"/>
      <c r="J71" s="114"/>
      <c r="K71" s="114" t="s">
        <v>2889</v>
      </c>
      <c r="L71" s="114" t="s">
        <v>2890</v>
      </c>
      <c r="M71" s="114" t="s">
        <v>2891</v>
      </c>
      <c r="N71" s="114" t="s">
        <v>2892</v>
      </c>
      <c r="O71" s="114"/>
      <c r="P71" s="120">
        <v>272.0</v>
      </c>
      <c r="Q71" s="117" t="s">
        <v>2893</v>
      </c>
      <c r="R71" s="114"/>
      <c r="S71" s="117" t="s">
        <v>2894</v>
      </c>
      <c r="T71" s="114">
        <f t="shared" si="1"/>
        <v>70</v>
      </c>
      <c r="U71" s="114" t="s">
        <v>1644</v>
      </c>
      <c r="V71" s="114" t="str">
        <f>IFERROR(__xludf.DUMMYFUNCTION("REGEXREPLACE(U71, ""\n"", "" "")"),"Mille Fleurs")</f>
        <v>Mille Fleurs</v>
      </c>
      <c r="W71" s="114"/>
      <c r="X71" s="115" t="str">
        <f t="shared" si="2"/>
        <v>070 2 Years Later / Archaeologist - Nico Robin - Medal [Mille Fleurs]</v>
      </c>
      <c r="Y71" s="119"/>
      <c r="Z71" s="117" t="s">
        <v>2895</v>
      </c>
      <c r="AA71" s="117" t="s">
        <v>2213</v>
      </c>
      <c r="AB71" s="114"/>
      <c r="AC71" s="123" t="str">
        <f>IFERROR(__xludf.DUMMYFUNCTION("""COMPUTED_VALUE"""),"https://ik.imagekit.io/alaaalaa6171/273%20Navy%20HQ_Admiral%20Ryokugyu%20-%20_Aramaki_%20-%20Medal%20_Ryokugyu_.png?updatedAt=1770076453208")</f>
        <v>https://ik.imagekit.io/alaaalaa6171/273%20Navy%20HQ_Admiral%20Ryokugyu%20-%20_Aramaki_%20-%20Medal%20_Ryokugyu_.png?updatedAt=1770076453208</v>
      </c>
      <c r="AD71" s="123" t="str">
        <f>IFERROR(__xludf.DUMMYFUNCTION("""COMPUTED_VALUE"""),"https://ik.imagekit.io/alaaalaa6171/273%20Navy%20HQ_Admiral%20Ryokugyu%20-%20_Aramaki_%20-%20Medal%20_Ryokugyu_%20_Colored_.png?updatedAt=1770076453198")</f>
        <v>https://ik.imagekit.io/alaaalaa6171/273%20Navy%20HQ_Admiral%20Ryokugyu%20-%20_Aramaki_%20-%20Medal%20_Ryokugyu_%20_Colored_.png?updatedAt=1770076453198</v>
      </c>
      <c r="AE71" s="123" t="str">
        <f>IFERROR(__xludf.DUMMYFUNCTION("""COMPUTED_VALUE"""),"https://ik.imagekit.io/alaaalaa6171/273%20Navy%20HQ_Admiral%20Ryokugyu%20-%20_Aramaki_%20-%20Medal%20_Ryokugyu_%20-%20Piece.png?updatedAt=1770076453225")</f>
        <v>https://ik.imagekit.io/alaaalaa6171/273%20Navy%20HQ_Admiral%20Ryokugyu%20-%20_Aramaki_%20-%20Medal%20_Ryokugyu_%20-%20Piece.png?updatedAt=1770076453225</v>
      </c>
      <c r="AF71" s="123" t="str">
        <f>IFERROR(__xludf.DUMMYFUNCTION("""COMPUTED_VALUE"""),"https://ik.imagekit.io/alaaalaa6171/273%20Navy%20HQ_Admiral%20Ryokugyu%20-%20_Aramaki_%20-%20Medal%20_Ryokugyu_%20-%20Piece%20_Colored_.png?updatedAt=1770076453241")</f>
        <v>https://ik.imagekit.io/alaaalaa6171/273%20Navy%20HQ_Admiral%20Ryokugyu%20-%20_Aramaki_%20-%20Medal%20_Ryokugyu_%20-%20Piece%20_Colored_.png?updatedAt=1770076453241</v>
      </c>
      <c r="AG71" s="114"/>
      <c r="AH71" s="114"/>
      <c r="AI71" s="121" t="s">
        <v>2896</v>
      </c>
      <c r="AJ71" s="121" t="str">
        <f>IFERROR(__xludf.DUMMYFUNCTION("regexreplace(regexreplace(AI71, ""  \["", "" ""), ""\]$"", """")"),"070 - 2 Years Later_Archaeologist ~ Nico Robin - Medal - Crafted [Colored] - Mille Fleurs")</f>
        <v>070 - 2 Years Later_Archaeologist ~ Nico Robin - Medal - Crafted [Colored] - Mille Fleurs</v>
      </c>
      <c r="AK71" s="114"/>
      <c r="AL71" s="117" t="s">
        <v>2897</v>
      </c>
      <c r="AM71" s="117" t="s">
        <v>2898</v>
      </c>
      <c r="AN71" s="114"/>
      <c r="AO71" s="122">
        <f>IFERROR(__xludf.DUMMYFUNCTION("""COMPUTED_VALUE"""),238.0)</f>
        <v>238</v>
      </c>
      <c r="AP71" s="114" t="str">
        <f>IFERROR(__xludf.DUMMYFUNCTION("""COMPUTED_VALUE"""),"Lilith")</f>
        <v>Lilith</v>
      </c>
      <c r="AQ71" s="114" t="str">
        <f>IFERROR(__xludf.DUMMYFUNCTION("""COMPUTED_VALUE"""),"Lilith")</f>
        <v>Lilith</v>
      </c>
      <c r="AR71" s="114"/>
      <c r="AS71" s="114"/>
      <c r="AT71" s="123" t="str">
        <f>IFERROR(__xludf.DUMMYFUNCTION("""COMPUTED_VALUE"""),"https://i.postimg.cc/wTrqTStL/238.png")</f>
        <v>https://i.postimg.cc/wTrqTStL/238.png</v>
      </c>
      <c r="AU71" s="114"/>
      <c r="AV71" s="114"/>
      <c r="AW71" s="114"/>
      <c r="AX71" s="114" t="str">
        <f t="shared" si="3"/>
        <v>238 - Medal [Event] - Crafted - Lilith</v>
      </c>
      <c r="AY71" s="114" t="s">
        <v>2899</v>
      </c>
      <c r="AZ71" s="114"/>
      <c r="BA71" s="114"/>
      <c r="BB71" s="114"/>
      <c r="BC71" s="114"/>
      <c r="BD71" s="114"/>
      <c r="BE71" s="114"/>
    </row>
    <row r="72" ht="37.5" customHeight="1">
      <c r="A72" s="118" t="s">
        <v>2900</v>
      </c>
      <c r="B72" s="117" t="s">
        <v>2901</v>
      </c>
      <c r="C72" s="119">
        <f>IFERROR(__xludf.DUMMYFUNCTION("""COMPUTED_VALUE"""),271.0)</f>
        <v>271</v>
      </c>
      <c r="D72" s="114" t="str">
        <f>IFERROR(__xludf.DUMMYFUNCTION("""COMPUTED_VALUE"""),"Raid Franky")</f>
        <v>Raid Franky</v>
      </c>
      <c r="E72" s="114" t="str">
        <f>IFERROR(__xludf.DUMMYFUNCTION("""COMPUTED_VALUE"""),"")</f>
        <v/>
      </c>
      <c r="F72" s="114"/>
      <c r="G72" s="114"/>
      <c r="H72" s="114"/>
      <c r="I72" s="114"/>
      <c r="J72" s="114"/>
      <c r="K72" s="114" t="s">
        <v>2902</v>
      </c>
      <c r="L72" s="114" t="s">
        <v>2903</v>
      </c>
      <c r="M72" s="114" t="s">
        <v>2904</v>
      </c>
      <c r="N72" s="114" t="s">
        <v>2905</v>
      </c>
      <c r="O72" s="114"/>
      <c r="P72" s="120">
        <v>271.0</v>
      </c>
      <c r="Q72" s="117" t="s">
        <v>2906</v>
      </c>
      <c r="R72" s="114"/>
      <c r="S72" s="117" t="s">
        <v>2907</v>
      </c>
      <c r="T72" s="114">
        <f t="shared" si="1"/>
        <v>71</v>
      </c>
      <c r="U72" s="114" t="s">
        <v>1638</v>
      </c>
      <c r="V72" s="114" t="str">
        <f>IFERROR(__xludf.DUMMYFUNCTION("REGEXREPLACE(U72, ""\n"", "" "")"),"Blizzard Slice")</f>
        <v>Blizzard Slice</v>
      </c>
      <c r="W72" s="114"/>
      <c r="X72" s="115" t="str">
        <f t="shared" si="2"/>
        <v>071 2 Years Later / Musician - Brook - Medal [Blizzard Slice]</v>
      </c>
      <c r="Y72" s="119"/>
      <c r="Z72" s="117" t="s">
        <v>2908</v>
      </c>
      <c r="AA72" s="117" t="s">
        <v>2215</v>
      </c>
      <c r="AB72" s="114"/>
      <c r="AC72" s="123" t="str">
        <f>IFERROR(__xludf.DUMMYFUNCTION("""COMPUTED_VALUE"""),"https://ik.imagekit.io/alaaalaa6171/272%20Land%20of%20Wano%20-%20Otama%20&amp;%20Komachiyo%20-%20Medal%20_Otama%20&amp;%20Komachiyo_.png?updatedAt=1770076453268")</f>
        <v>https://ik.imagekit.io/alaaalaa6171/272%20Land%20of%20Wano%20-%20Otama%20&amp;%20Komachiyo%20-%20Medal%20_Otama%20&amp;%20Komachiyo_.png?updatedAt=1770076453268</v>
      </c>
      <c r="AD72" s="123" t="str">
        <f>IFERROR(__xludf.DUMMYFUNCTION("""COMPUTED_VALUE"""),"https://ik.imagekit.io/alaaalaa6171/272%20Land%20of%20Wano%20-%20Otama%20&amp;%20Komachiyo%20-%20Medal%20_Otama%20&amp;%20Komachiyo_%20_Colored_.png?updatedAt=1770076453205")</f>
        <v>https://ik.imagekit.io/alaaalaa6171/272%20Land%20of%20Wano%20-%20Otama%20&amp;%20Komachiyo%20-%20Medal%20_Otama%20&amp;%20Komachiyo_%20_Colored_.png?updatedAt=1770076453205</v>
      </c>
      <c r="AE72" s="123" t="str">
        <f>IFERROR(__xludf.DUMMYFUNCTION("""COMPUTED_VALUE"""),"https://ik.imagekit.io/alaaalaa6171/272%20Land%20of%20Wano%20-%20Otama%20&amp;%20Komachiyo%20-%20Medal%20_Otama%20&amp;%20Komachiyo_%20-%20Piece.png?updatedAt=1770076453169")</f>
        <v>https://ik.imagekit.io/alaaalaa6171/272%20Land%20of%20Wano%20-%20Otama%20&amp;%20Komachiyo%20-%20Medal%20_Otama%20&amp;%20Komachiyo_%20-%20Piece.png?updatedAt=1770076453169</v>
      </c>
      <c r="AF72" s="123" t="str">
        <f>IFERROR(__xludf.DUMMYFUNCTION("""COMPUTED_VALUE"""),"https://ik.imagekit.io/alaaalaa6171/272%20Land%20of%20Wano%20-%20Otama%20&amp;%20Komachiyo%20-%20Medal%20_Otama%20&amp;%20Komachiyo_%20-%20Piece%20_Colored_.png?updatedAt=1770076453256")</f>
        <v>https://ik.imagekit.io/alaaalaa6171/272%20Land%20of%20Wano%20-%20Otama%20&amp;%20Komachiyo%20-%20Medal%20_Otama%20&amp;%20Komachiyo_%20-%20Piece%20_Colored_.png?updatedAt=1770076453256</v>
      </c>
      <c r="AG72" s="114"/>
      <c r="AH72" s="114"/>
      <c r="AI72" s="121" t="s">
        <v>2909</v>
      </c>
      <c r="AJ72" s="121" t="str">
        <f>IFERROR(__xludf.DUMMYFUNCTION("regexreplace(regexreplace(AI72, ""  \["", "" ""), ""\]$"", """")"),"071 - 2 Years Later_Musician ~ Brook - Medal - Crafted [Colored] - Blizzard Slice")</f>
        <v>071 - 2 Years Later_Musician ~ Brook - Medal - Crafted [Colored] - Blizzard Slice</v>
      </c>
      <c r="AK72" s="114"/>
      <c r="AL72" s="117" t="s">
        <v>2910</v>
      </c>
      <c r="AM72" s="117" t="s">
        <v>2911</v>
      </c>
      <c r="AN72" s="114"/>
      <c r="AO72" s="122">
        <f>IFERROR(__xludf.DUMMYFUNCTION("""COMPUTED_VALUE"""),237.0)</f>
        <v>237</v>
      </c>
      <c r="AP72" s="114" t="str">
        <f>IFERROR(__xludf.DUMMYFUNCTION("""COMPUTED_VALUE"""),"Bonney
(Kid)")</f>
        <v>Bonney
(Kid)</v>
      </c>
      <c r="AQ72" s="114" t="str">
        <f>IFERROR(__xludf.DUMMYFUNCTION("""COMPUTED_VALUE"""),"Bonney (Kid)")</f>
        <v>Bonney (Kid)</v>
      </c>
      <c r="AR72" s="114"/>
      <c r="AS72" s="114"/>
      <c r="AT72" s="123" t="str">
        <f>IFERROR(__xludf.DUMMYFUNCTION("""COMPUTED_VALUE"""),"https://i.postimg.cc/bNrYPzvq/237.png")</f>
        <v>https://i.postimg.cc/bNrYPzvq/237.png</v>
      </c>
      <c r="AU72" s="114"/>
      <c r="AV72" s="114"/>
      <c r="AW72" s="114"/>
      <c r="AX72" s="114" t="str">
        <f t="shared" si="3"/>
        <v>237 - Medal [Event] - Crafted - Bonney (Kid)</v>
      </c>
      <c r="AY72" s="114" t="s">
        <v>2912</v>
      </c>
      <c r="AZ72" s="114"/>
      <c r="BA72" s="114"/>
      <c r="BB72" s="114"/>
      <c r="BC72" s="114"/>
      <c r="BD72" s="114"/>
      <c r="BE72" s="114"/>
    </row>
    <row r="73" ht="37.5" customHeight="1">
      <c r="A73" s="118" t="s">
        <v>2913</v>
      </c>
      <c r="B73" s="117" t="s">
        <v>2914</v>
      </c>
      <c r="C73" s="119">
        <f>IFERROR(__xludf.DUMMYFUNCTION("""COMPUTED_VALUE"""),270.0)</f>
        <v>270</v>
      </c>
      <c r="D73" s="114" t="str">
        <f>IFERROR(__xludf.DUMMYFUNCTION("""COMPUTED_VALUE"""),"Raid Chopper")</f>
        <v>Raid Chopper</v>
      </c>
      <c r="E73" s="114" t="str">
        <f>IFERROR(__xludf.DUMMYFUNCTION("""COMPUTED_VALUE"""),"")</f>
        <v/>
      </c>
      <c r="F73" s="114"/>
      <c r="G73" s="114"/>
      <c r="H73" s="114"/>
      <c r="I73" s="114"/>
      <c r="J73" s="114"/>
      <c r="K73" s="114" t="s">
        <v>2915</v>
      </c>
      <c r="L73" s="114" t="s">
        <v>2916</v>
      </c>
      <c r="M73" s="114" t="s">
        <v>2917</v>
      </c>
      <c r="N73" s="114" t="s">
        <v>2918</v>
      </c>
      <c r="O73" s="114"/>
      <c r="P73" s="120">
        <v>270.0</v>
      </c>
      <c r="Q73" s="117" t="s">
        <v>2919</v>
      </c>
      <c r="R73" s="114"/>
      <c r="S73" s="117" t="s">
        <v>2920</v>
      </c>
      <c r="T73" s="114">
        <f t="shared" si="1"/>
        <v>72</v>
      </c>
      <c r="U73" s="114" t="s">
        <v>1632</v>
      </c>
      <c r="V73" s="114" t="str">
        <f>IFERROR(__xludf.DUMMYFUNCTION("REGEXREPLACE(U73, ""\n"", "" "")"),"Radical")</f>
        <v>Radical</v>
      </c>
      <c r="W73" s="114"/>
      <c r="X73" s="115" t="str">
        <f t="shared" si="2"/>
        <v>072 2 Years Later / Ship Carpenter - Franky - Medal [Radical]</v>
      </c>
      <c r="Y73" s="119"/>
      <c r="Z73" s="117" t="s">
        <v>2921</v>
      </c>
      <c r="AA73" s="117" t="s">
        <v>2216</v>
      </c>
      <c r="AB73" s="114"/>
      <c r="AC73" s="123" t="str">
        <f>IFERROR(__xludf.DUMMYFUNCTION("""COMPUTED_VALUE"""),"https://ik.imagekit.io/alaaalaa6171/271%20Raid%20on%20Onigashima%20-%20Franky%20-%20Medal%20_Raid%20Franky_.png?updatedAt=1770076453222")</f>
        <v>https://ik.imagekit.io/alaaalaa6171/271%20Raid%20on%20Onigashima%20-%20Franky%20-%20Medal%20_Raid%20Franky_.png?updatedAt=1770076453222</v>
      </c>
      <c r="AD73" s="123" t="str">
        <f>IFERROR(__xludf.DUMMYFUNCTION("""COMPUTED_VALUE"""),"https://ik.imagekit.io/alaaalaa6171/271%20Raid%20on%20Onigashima%20-%20Franky%20-%20Medal%20_Raid%20Franky_%20_Colored_.png?updatedAt=1770076453203")</f>
        <v>https://ik.imagekit.io/alaaalaa6171/271%20Raid%20on%20Onigashima%20-%20Franky%20-%20Medal%20_Raid%20Franky_%20_Colored_.png?updatedAt=1770076453203</v>
      </c>
      <c r="AE73" s="123" t="str">
        <f>IFERROR(__xludf.DUMMYFUNCTION("""COMPUTED_VALUE"""),"https://ik.imagekit.io/alaaalaa6171/271%20Raid%20on%20Onigashima%20-%20Franky%20-%20Medal%20_Raid%20Franky_%20-%20Piece.png?updatedAt=1770076453137")</f>
        <v>https://ik.imagekit.io/alaaalaa6171/271%20Raid%20on%20Onigashima%20-%20Franky%20-%20Medal%20_Raid%20Franky_%20-%20Piece.png?updatedAt=1770076453137</v>
      </c>
      <c r="AF73" s="123" t="str">
        <f>IFERROR(__xludf.DUMMYFUNCTION("""COMPUTED_VALUE"""),"https://ik.imagekit.io/alaaalaa6171/271%20Raid%20on%20Onigashima%20-%20Franky%20-%20Medal%20_Raid%20Franky_%20-%20Piece%20_Colored_.png?updatedAt=1770076453279")</f>
        <v>https://ik.imagekit.io/alaaalaa6171/271%20Raid%20on%20Onigashima%20-%20Franky%20-%20Medal%20_Raid%20Franky_%20-%20Piece%20_Colored_.png?updatedAt=1770076453279</v>
      </c>
      <c r="AG73" s="114"/>
      <c r="AH73" s="114"/>
      <c r="AI73" s="121" t="s">
        <v>2922</v>
      </c>
      <c r="AJ73" s="121" t="str">
        <f>IFERROR(__xludf.DUMMYFUNCTION("regexreplace(regexreplace(AI73, ""  \["", "" ""), ""\]$"", """")"),"072 - 2 Years Later_Ship Carpenter ~ Franky - Medal - Crafted [Colored] - Radical")</f>
        <v>072 - 2 Years Later_Ship Carpenter ~ Franky - Medal - Crafted [Colored] - Radical</v>
      </c>
      <c r="AK73" s="114"/>
      <c r="AL73" s="117" t="s">
        <v>2923</v>
      </c>
      <c r="AM73" s="117" t="s">
        <v>2924</v>
      </c>
      <c r="AN73" s="114"/>
      <c r="AO73" s="122">
        <f>IFERROR(__xludf.DUMMYFUNCTION("""COMPUTED_VALUE"""),236.0)</f>
        <v>236</v>
      </c>
      <c r="AP73" s="114" t="str">
        <f>IFERROR(__xludf.DUMMYFUNCTION("""COMPUTED_VALUE"""),"The Pirate King``s Right Arm")</f>
        <v>The Pirate King``s Right Arm</v>
      </c>
      <c r="AQ73" s="114" t="str">
        <f>IFERROR(__xludf.DUMMYFUNCTION("""COMPUTED_VALUE"""),"The Pirate King``s Right Arm")</f>
        <v>The Pirate King``s Right Arm</v>
      </c>
      <c r="AR73" s="114"/>
      <c r="AS73" s="114"/>
      <c r="AT73" s="123" t="str">
        <f>IFERROR(__xludf.DUMMYFUNCTION("""COMPUTED_VALUE"""),"https://i.postimg.cc/NMxGsFTj/236.png")</f>
        <v>https://i.postimg.cc/NMxGsFTj/236.png</v>
      </c>
      <c r="AU73" s="114"/>
      <c r="AV73" s="114"/>
      <c r="AW73" s="114"/>
      <c r="AX73" s="114" t="str">
        <f t="shared" si="3"/>
        <v>236 - Medal [Event] - Crafted - The Pirate King``s Right Arm</v>
      </c>
      <c r="AY73" s="114" t="s">
        <v>2925</v>
      </c>
      <c r="AZ73" s="114"/>
      <c r="BA73" s="114"/>
      <c r="BB73" s="114"/>
      <c r="BC73" s="114"/>
      <c r="BD73" s="114"/>
      <c r="BE73" s="114"/>
    </row>
    <row r="74" ht="37.5" customHeight="1">
      <c r="A74" s="118" t="s">
        <v>2926</v>
      </c>
      <c r="B74" s="117" t="s">
        <v>2927</v>
      </c>
      <c r="C74" s="119">
        <f>IFERROR(__xludf.DUMMYFUNCTION("""COMPUTED_VALUE"""),269.0)</f>
        <v>269</v>
      </c>
      <c r="D74" s="114" t="str">
        <f>IFERROR(__xludf.DUMMYFUNCTION("""COMPUTED_VALUE"""),"Spider_Spider")</f>
        <v>Spider_Spider</v>
      </c>
      <c r="E74" s="114" t="str">
        <f>IFERROR(__xludf.DUMMYFUNCTION("""COMPUTED_VALUE"""),"")</f>
        <v/>
      </c>
      <c r="F74" s="114"/>
      <c r="G74" s="114"/>
      <c r="H74" s="114"/>
      <c r="I74" s="114"/>
      <c r="J74" s="114"/>
      <c r="K74" s="114" t="s">
        <v>2928</v>
      </c>
      <c r="L74" s="114" t="s">
        <v>2929</v>
      </c>
      <c r="M74" s="114" t="s">
        <v>2930</v>
      </c>
      <c r="N74" s="114" t="s">
        <v>2931</v>
      </c>
      <c r="O74" s="114"/>
      <c r="P74" s="120">
        <v>269.0</v>
      </c>
      <c r="Q74" s="117" t="s">
        <v>2932</v>
      </c>
      <c r="R74" s="114"/>
      <c r="S74" s="117" t="s">
        <v>2933</v>
      </c>
      <c r="T74" s="114">
        <f t="shared" si="1"/>
        <v>73</v>
      </c>
      <c r="U74" s="114" t="s">
        <v>1626</v>
      </c>
      <c r="V74" s="114" t="str">
        <f>IFERROR(__xludf.DUMMYFUNCTION("REGEXREPLACE(U74, ""\n"", "" "")"),"Bikini Nami")</f>
        <v>Bikini Nami</v>
      </c>
      <c r="W74" s="114"/>
      <c r="X74" s="115" t="str">
        <f t="shared" si="2"/>
        <v>073 Bikini - Nami - Medal [Bikini Nami]</v>
      </c>
      <c r="Y74" s="119"/>
      <c r="Z74" s="117" t="s">
        <v>2934</v>
      </c>
      <c r="AA74" s="117" t="s">
        <v>2214</v>
      </c>
      <c r="AB74" s="114"/>
      <c r="AC74" s="123" t="str">
        <f>IFERROR(__xludf.DUMMYFUNCTION("""COMPUTED_VALUE"""),"https://ik.imagekit.io/alaaalaa6171/270%20Raid%20on%20Onigashima%20-%20Tony%20Tony%20Chopper%20-%20Medal%20_Raid%20Chopper_.png?updatedAt=1770076453227")</f>
        <v>https://ik.imagekit.io/alaaalaa6171/270%20Raid%20on%20Onigashima%20-%20Tony%20Tony%20Chopper%20-%20Medal%20_Raid%20Chopper_.png?updatedAt=1770076453227</v>
      </c>
      <c r="AD74" s="123" t="str">
        <f>IFERROR(__xludf.DUMMYFUNCTION("""COMPUTED_VALUE"""),"https://ik.imagekit.io/alaaalaa6171/270%20Raid%20on%20Onigashima%20-%20Tony%20Tony%20Chopper%20-%20Medal%20_Raid%20Chopper_%20_Colored_.png?updatedAt=1770076453165")</f>
        <v>https://ik.imagekit.io/alaaalaa6171/270%20Raid%20on%20Onigashima%20-%20Tony%20Tony%20Chopper%20-%20Medal%20_Raid%20Chopper_%20_Colored_.png?updatedAt=1770076453165</v>
      </c>
      <c r="AE74" s="123" t="str">
        <f>IFERROR(__xludf.DUMMYFUNCTION("""COMPUTED_VALUE"""),"https://ik.imagekit.io/alaaalaa6171/270%20Raid%20on%20Onigashima%20-%20Tony%20Tony%20Chopper%20-%20Medal%20_Raid%20Chopper_%20-%20Piece.png?updatedAt=1770076453239")</f>
        <v>https://ik.imagekit.io/alaaalaa6171/270%20Raid%20on%20Onigashima%20-%20Tony%20Tony%20Chopper%20-%20Medal%20_Raid%20Chopper_%20-%20Piece.png?updatedAt=1770076453239</v>
      </c>
      <c r="AF74" s="123" t="str">
        <f>IFERROR(__xludf.DUMMYFUNCTION("""COMPUTED_VALUE"""),"https://ik.imagekit.io/alaaalaa6171/270%20Raid%20on%20Onigashima%20-%20Tony%20Tony%20Chopper%20-%20Medal%20_Raid%20Chopper_%20-%20Piece%20_Colored_.png?updatedAt=1770076453205")</f>
        <v>https://ik.imagekit.io/alaaalaa6171/270%20Raid%20on%20Onigashima%20-%20Tony%20Tony%20Chopper%20-%20Medal%20_Raid%20Chopper_%20-%20Piece%20_Colored_.png?updatedAt=1770076453205</v>
      </c>
      <c r="AG74" s="114"/>
      <c r="AH74" s="114"/>
      <c r="AI74" s="121" t="s">
        <v>2935</v>
      </c>
      <c r="AJ74" s="121" t="str">
        <f>IFERROR(__xludf.DUMMYFUNCTION("regexreplace(regexreplace(AI74, ""  \["", "" ""), ""\]$"", """")"),"073 - Bikini ~ Nami - Medal - Crafted [Colored] - Bikini Nami")</f>
        <v>073 - Bikini ~ Nami - Medal - Crafted [Colored] - Bikini Nami</v>
      </c>
      <c r="AK74" s="114"/>
      <c r="AL74" s="117" t="s">
        <v>2936</v>
      </c>
      <c r="AM74" s="117" t="s">
        <v>2937</v>
      </c>
      <c r="AN74" s="114"/>
      <c r="AO74" s="122">
        <f>IFERROR(__xludf.DUMMYFUNCTION("""COMPUTED_VALUE"""),235.0)</f>
        <v>235</v>
      </c>
      <c r="AP74" s="114" t="str">
        <f>IFERROR(__xludf.DUMMYFUNCTION("""COMPUTED_VALUE"""),"Light Human")</f>
        <v>Light Human</v>
      </c>
      <c r="AQ74" s="114" t="str">
        <f>IFERROR(__xludf.DUMMYFUNCTION("""COMPUTED_VALUE"""),"Light Human")</f>
        <v>Light Human</v>
      </c>
      <c r="AR74" s="114"/>
      <c r="AS74" s="114"/>
      <c r="AT74" s="123" t="str">
        <f>IFERROR(__xludf.DUMMYFUNCTION("""COMPUTED_VALUE"""),"https://i.postimg.cc/sXzDC7ML/235.png")</f>
        <v>https://i.postimg.cc/sXzDC7ML/235.png</v>
      </c>
      <c r="AU74" s="114"/>
      <c r="AV74" s="114"/>
      <c r="AW74" s="114"/>
      <c r="AX74" s="114" t="str">
        <f t="shared" si="3"/>
        <v>235 - Medal [Event] - Crafted - Light Human</v>
      </c>
      <c r="AY74" s="114" t="s">
        <v>2938</v>
      </c>
      <c r="AZ74" s="114"/>
      <c r="BA74" s="114"/>
      <c r="BB74" s="114"/>
      <c r="BC74" s="114"/>
      <c r="BD74" s="114"/>
      <c r="BE74" s="114"/>
    </row>
    <row r="75" ht="37.5" customHeight="1">
      <c r="A75" s="118" t="s">
        <v>2939</v>
      </c>
      <c r="B75" s="117" t="s">
        <v>2940</v>
      </c>
      <c r="C75" s="119">
        <f>IFERROR(__xludf.DUMMYFUNCTION("""COMPUTED_VALUE"""),268.0)</f>
        <v>268</v>
      </c>
      <c r="D75" s="114" t="str">
        <f>IFERROR(__xludf.DUMMYFUNCTION("""COMPUTED_VALUE"""),"Belo Betty")</f>
        <v>Belo Betty</v>
      </c>
      <c r="E75" s="114" t="str">
        <f>IFERROR(__xludf.DUMMYFUNCTION("""COMPUTED_VALUE"""),"")</f>
        <v/>
      </c>
      <c r="F75" s="114"/>
      <c r="G75" s="114"/>
      <c r="H75" s="114"/>
      <c r="I75" s="114"/>
      <c r="J75" s="114"/>
      <c r="K75" s="114" t="s">
        <v>2941</v>
      </c>
      <c r="L75" s="114" t="s">
        <v>2942</v>
      </c>
      <c r="M75" s="114" t="s">
        <v>2943</v>
      </c>
      <c r="N75" s="114" t="s">
        <v>2944</v>
      </c>
      <c r="O75" s="114"/>
      <c r="P75" s="120">
        <v>268.0</v>
      </c>
      <c r="Q75" s="117" t="s">
        <v>2945</v>
      </c>
      <c r="R75" s="114"/>
      <c r="S75" s="117" t="s">
        <v>2946</v>
      </c>
      <c r="T75" s="114">
        <f t="shared" si="1"/>
        <v>74</v>
      </c>
      <c r="U75" s="114" t="s">
        <v>1620</v>
      </c>
      <c r="V75" s="114" t="str">
        <f>IFERROR(__xludf.DUMMYFUNCTION("REGEXREPLACE(U75, ""\n"", "" "")"),"Bikini Hancock")</f>
        <v>Bikini Hancock</v>
      </c>
      <c r="W75" s="114"/>
      <c r="X75" s="115" t="str">
        <f t="shared" si="2"/>
        <v>074 Bikini - Boa Hancock - Medal [Bikini Hancock]</v>
      </c>
      <c r="Y75" s="119"/>
      <c r="Z75" s="117" t="s">
        <v>2947</v>
      </c>
      <c r="AA75" s="117" t="s">
        <v>2226</v>
      </c>
      <c r="AB75" s="114"/>
      <c r="AC75" s="123" t="str">
        <f>IFERROR(__xludf.DUMMYFUNCTION("""COMPUTED_VALUE"""),"https://ik.imagekit.io/alaaalaa6171/269%20Animal%20Kingdom%20Pirates_Tobi%20Roppo%20-%20Black%20Maria%20-%20Medal%20_Spider_Spider_.png?updatedAt=1770076453191")</f>
        <v>https://ik.imagekit.io/alaaalaa6171/269%20Animal%20Kingdom%20Pirates_Tobi%20Roppo%20-%20Black%20Maria%20-%20Medal%20_Spider_Spider_.png?updatedAt=1770076453191</v>
      </c>
      <c r="AD75" s="123" t="str">
        <f>IFERROR(__xludf.DUMMYFUNCTION("""COMPUTED_VALUE"""),"https://ik.imagekit.io/alaaalaa6171/269%20Animal%20Kingdom%20Pirates_Tobi%20Roppo%20-%20Black%20Maria%20-%20Medal%20_Spider_Spider_%20_Colored_.png?updatedAt=1770076453212")</f>
        <v>https://ik.imagekit.io/alaaalaa6171/269%20Animal%20Kingdom%20Pirates_Tobi%20Roppo%20-%20Black%20Maria%20-%20Medal%20_Spider_Spider_%20_Colored_.png?updatedAt=1770076453212</v>
      </c>
      <c r="AE75" s="123" t="str">
        <f>IFERROR(__xludf.DUMMYFUNCTION("""COMPUTED_VALUE"""),"https://ik.imagekit.io/alaaalaa6171/269%20Animal%20Kingdom%20Pirates_Tobi%20Roppo%20-%20Black%20Maria%20-%20Medal%20_Spider_Spider_%20-%20Piece.png?updatedAt=1770076453165")</f>
        <v>https://ik.imagekit.io/alaaalaa6171/269%20Animal%20Kingdom%20Pirates_Tobi%20Roppo%20-%20Black%20Maria%20-%20Medal%20_Spider_Spider_%20-%20Piece.png?updatedAt=1770076453165</v>
      </c>
      <c r="AF75" s="123" t="str">
        <f>IFERROR(__xludf.DUMMYFUNCTION("""COMPUTED_VALUE"""),"https://ik.imagekit.io/alaaalaa6171/269%20Animal%20Kingdom%20Pirates_Tobi%20Roppo%20-%20Black%20Maria%20-%20Medal%20_Spider_Spider_%20-%20Piece%20_Colored_.png?updatedAt=1770076453131")</f>
        <v>https://ik.imagekit.io/alaaalaa6171/269%20Animal%20Kingdom%20Pirates_Tobi%20Roppo%20-%20Black%20Maria%20-%20Medal%20_Spider_Spider_%20-%20Piece%20_Colored_.png?updatedAt=1770076453131</v>
      </c>
      <c r="AG75" s="114"/>
      <c r="AH75" s="114"/>
      <c r="AI75" s="121" t="s">
        <v>2948</v>
      </c>
      <c r="AJ75" s="121" t="str">
        <f>IFERROR(__xludf.DUMMYFUNCTION("regexreplace(regexreplace(AI75, ""  \["", "" ""), ""\]$"", """")"),"074 - Bikini ~ Boa Hancock - Medal - Crafted [Colored] - Bikini Hancock")</f>
        <v>074 - Bikini ~ Boa Hancock - Medal - Crafted [Colored] - Bikini Hancock</v>
      </c>
      <c r="AK75" s="114"/>
      <c r="AL75" s="117" t="s">
        <v>2949</v>
      </c>
      <c r="AM75" s="117" t="s">
        <v>2950</v>
      </c>
      <c r="AN75" s="114"/>
      <c r="AO75" s="122">
        <f>IFERROR(__xludf.DUMMYFUNCTION("""COMPUTED_VALUE"""),234.0)</f>
        <v>234</v>
      </c>
      <c r="AP75" s="114" t="str">
        <f>IFERROR(__xludf.DUMMYFUNCTION("""COMPUTED_VALUE"""),"Fake Sniper King")</f>
        <v>Fake Sniper King</v>
      </c>
      <c r="AQ75" s="114" t="str">
        <f>IFERROR(__xludf.DUMMYFUNCTION("""COMPUTED_VALUE"""),"Fake Sniper King")</f>
        <v>Fake Sniper King</v>
      </c>
      <c r="AR75" s="114"/>
      <c r="AS75" s="114"/>
      <c r="AT75" s="123" t="str">
        <f>IFERROR(__xludf.DUMMYFUNCTION("""COMPUTED_VALUE"""),"https://i.postimg.cc/5NxcmX3y/234.png")</f>
        <v>https://i.postimg.cc/5NxcmX3y/234.png</v>
      </c>
      <c r="AU75" s="114"/>
      <c r="AV75" s="114"/>
      <c r="AW75" s="114"/>
      <c r="AX75" s="114" t="str">
        <f t="shared" si="3"/>
        <v>234 - Medal [Event] - Crafted - Fake Sniper King</v>
      </c>
      <c r="AY75" s="114" t="s">
        <v>2951</v>
      </c>
      <c r="AZ75" s="114"/>
      <c r="BA75" s="114"/>
      <c r="BB75" s="114"/>
      <c r="BC75" s="114"/>
      <c r="BD75" s="114"/>
      <c r="BE75" s="114"/>
    </row>
    <row r="76" ht="37.5" customHeight="1">
      <c r="A76" s="118" t="s">
        <v>2952</v>
      </c>
      <c r="B76" s="117" t="s">
        <v>2953</v>
      </c>
      <c r="C76" s="119">
        <f>IFERROR(__xludf.DUMMYFUNCTION("""COMPUTED_VALUE"""),267.0)</f>
        <v>267</v>
      </c>
      <c r="D76" s="114" t="str">
        <f>IFERROR(__xludf.DUMMYFUNCTION("""COMPUTED_VALUE"""),"Karasu")</f>
        <v>Karasu</v>
      </c>
      <c r="E76" s="114" t="str">
        <f>IFERROR(__xludf.DUMMYFUNCTION("""COMPUTED_VALUE"""),"")</f>
        <v/>
      </c>
      <c r="F76" s="114"/>
      <c r="G76" s="114"/>
      <c r="H76" s="114"/>
      <c r="I76" s="114"/>
      <c r="J76" s="114"/>
      <c r="K76" s="114" t="s">
        <v>2954</v>
      </c>
      <c r="L76" s="114" t="s">
        <v>2955</v>
      </c>
      <c r="M76" s="114" t="s">
        <v>2956</v>
      </c>
      <c r="N76" s="114" t="s">
        <v>2957</v>
      </c>
      <c r="O76" s="114"/>
      <c r="P76" s="120">
        <v>267.0</v>
      </c>
      <c r="Q76" s="117" t="s">
        <v>2958</v>
      </c>
      <c r="R76" s="114"/>
      <c r="S76" s="117" t="s">
        <v>2959</v>
      </c>
      <c r="T76" s="114">
        <f t="shared" si="1"/>
        <v>78</v>
      </c>
      <c r="U76" s="114" t="s">
        <v>2960</v>
      </c>
      <c r="V76" s="114" t="str">
        <f>IFERROR(__xludf.DUMMYFUNCTION("REGEXREPLACE(U76, ""\n"", "" "")"),"Luffy (STAMPEDE)")</f>
        <v>Luffy (STAMPEDE)</v>
      </c>
      <c r="W76" s="114"/>
      <c r="X76" s="115" t="str">
        <f t="shared" si="2"/>
        <v>078 STAMPEDE - Monkey D. Luffy - Medal [Luffy (STAMPEDE)]</v>
      </c>
      <c r="Y76" s="119"/>
      <c r="Z76" s="117" t="s">
        <v>2961</v>
      </c>
      <c r="AA76" s="117" t="s">
        <v>2228</v>
      </c>
      <c r="AB76" s="114"/>
      <c r="AC76" s="123" t="str">
        <f>IFERROR(__xludf.DUMMYFUNCTION("""COMPUTED_VALUE"""),"https://ik.imagekit.io/alaaalaa6171/268%20Revolutionary%20Army_Captain%20of%20the%20Eastern%20Forces%20-%20Belo%20Betty%20-%20Medal%20_Belo%20Betty_.png?updatedAt=1770076453149")</f>
        <v>https://ik.imagekit.io/alaaalaa6171/268%20Revolutionary%20Army_Captain%20of%20the%20Eastern%20Forces%20-%20Belo%20Betty%20-%20Medal%20_Belo%20Betty_.png?updatedAt=1770076453149</v>
      </c>
      <c r="AD76" s="123" t="str">
        <f>IFERROR(__xludf.DUMMYFUNCTION("""COMPUTED_VALUE"""),"https://ik.imagekit.io/alaaalaa6171/268%20Revolutionary%20Army_Captain%20of%20the%20Eastern%20Forces%20-%20Belo%20Betty%20-%20Medal%20_Belo%20Betty_%20_Colored_.png?updatedAt=1770076453235")</f>
        <v>https://ik.imagekit.io/alaaalaa6171/268%20Revolutionary%20Army_Captain%20of%20the%20Eastern%20Forces%20-%20Belo%20Betty%20-%20Medal%20_Belo%20Betty_%20_Colored_.png?updatedAt=1770076453235</v>
      </c>
      <c r="AE76" s="123" t="str">
        <f>IFERROR(__xludf.DUMMYFUNCTION("""COMPUTED_VALUE"""),"https://ik.imagekit.io/alaaalaa6171/268%20Revolutionary%20Army_Captain%20of%20the%20Eastern%20Forces%20-%20Belo%20Betty%20-%20Medal%20_Belo%20Betty_%20-%20Piece.png?updatedAt=1770076453176")</f>
        <v>https://ik.imagekit.io/alaaalaa6171/268%20Revolutionary%20Army_Captain%20of%20the%20Eastern%20Forces%20-%20Belo%20Betty%20-%20Medal%20_Belo%20Betty_%20-%20Piece.png?updatedAt=1770076453176</v>
      </c>
      <c r="AF76" s="123" t="str">
        <f>IFERROR(__xludf.DUMMYFUNCTION("""COMPUTED_VALUE"""),"https://ik.imagekit.io/alaaalaa6171/268%20Revolutionary%20Army_Captain%20of%20the%20Eastern%20Forces%20-%20Belo%20Betty%20-%20Medal%20_Belo%20Betty_%20-%20Piece%20_Colored_.png?updatedAt=1770076453167")</f>
        <v>https://ik.imagekit.io/alaaalaa6171/268%20Revolutionary%20Army_Captain%20of%20the%20Eastern%20Forces%20-%20Belo%20Betty%20-%20Medal%20_Belo%20Betty_%20-%20Piece%20_Colored_.png?updatedAt=1770076453167</v>
      </c>
      <c r="AG76" s="114"/>
      <c r="AH76" s="114"/>
      <c r="AI76" s="121" t="s">
        <v>2962</v>
      </c>
      <c r="AJ76" s="121" t="str">
        <f>IFERROR(__xludf.DUMMYFUNCTION("regexreplace(regexreplace(AI76, ""  \["", "" ""), ""\]$"", """")"),"075 - Impel Down_Prisoner ~ Crocodile - Medal - Crafted [Colored] - Sables")</f>
        <v>075 - Impel Down_Prisoner ~ Crocodile - Medal - Crafted [Colored] - Sables</v>
      </c>
      <c r="AK76" s="114"/>
      <c r="AL76" s="117" t="s">
        <v>2963</v>
      </c>
      <c r="AM76" s="117" t="s">
        <v>2964</v>
      </c>
      <c r="AN76" s="114"/>
      <c r="AO76" s="122">
        <f>IFERROR(__xludf.DUMMYFUNCTION("""COMPUTED_VALUE"""),233.0)</f>
        <v>233</v>
      </c>
      <c r="AP76" s="114" t="str">
        <f>IFERROR(__xludf.DUMMYFUNCTION("""COMPUTED_VALUE"""),"Wyper
(Young)")</f>
        <v>Wyper
(Young)</v>
      </c>
      <c r="AQ76" s="114" t="str">
        <f>IFERROR(__xludf.DUMMYFUNCTION("""COMPUTED_VALUE"""),"Wyper (Young)")</f>
        <v>Wyper (Young)</v>
      </c>
      <c r="AR76" s="114"/>
      <c r="AS76" s="114"/>
      <c r="AT76" s="123" t="str">
        <f>IFERROR(__xludf.DUMMYFUNCTION("""COMPUTED_VALUE"""),"https://i.postimg.cc/c4Tpkd9m/233.png")</f>
        <v>https://i.postimg.cc/c4Tpkd9m/233.png</v>
      </c>
      <c r="AU76" s="114"/>
      <c r="AV76" s="114"/>
      <c r="AW76" s="114"/>
      <c r="AX76" s="114" t="str">
        <f t="shared" si="3"/>
        <v>233 - Medal [Event] - Crafted - Wyper (Young)</v>
      </c>
      <c r="AY76" s="114" t="s">
        <v>2965</v>
      </c>
      <c r="AZ76" s="114"/>
      <c r="BA76" s="114"/>
      <c r="BB76" s="114"/>
      <c r="BC76" s="114"/>
      <c r="BD76" s="114"/>
      <c r="BE76" s="114"/>
    </row>
    <row r="77" ht="37.5" customHeight="1">
      <c r="A77" s="118" t="s">
        <v>2966</v>
      </c>
      <c r="B77" s="117" t="s">
        <v>2967</v>
      </c>
      <c r="C77" s="119">
        <f>IFERROR(__xludf.DUMMYFUNCTION("""COMPUTED_VALUE"""),266.0)</f>
        <v>266</v>
      </c>
      <c r="D77" s="114" t="str">
        <f>IFERROR(__xludf.DUMMYFUNCTION("""COMPUTED_VALUE"""),"Inazuma")</f>
        <v>Inazuma</v>
      </c>
      <c r="E77" s="114" t="str">
        <f>IFERROR(__xludf.DUMMYFUNCTION("""COMPUTED_VALUE"""),"")</f>
        <v/>
      </c>
      <c r="F77" s="114"/>
      <c r="G77" s="114"/>
      <c r="H77" s="114"/>
      <c r="I77" s="114"/>
      <c r="J77" s="114"/>
      <c r="K77" s="114" t="s">
        <v>2968</v>
      </c>
      <c r="L77" s="114" t="s">
        <v>2969</v>
      </c>
      <c r="M77" s="114" t="s">
        <v>2970</v>
      </c>
      <c r="N77" s="114" t="s">
        <v>2971</v>
      </c>
      <c r="O77" s="114"/>
      <c r="P77" s="120">
        <v>266.0</v>
      </c>
      <c r="Q77" s="117" t="s">
        <v>2972</v>
      </c>
      <c r="R77" s="114"/>
      <c r="S77" s="117" t="s">
        <v>2973</v>
      </c>
      <c r="T77" s="114">
        <f t="shared" si="1"/>
        <v>77</v>
      </c>
      <c r="U77" s="114" t="s">
        <v>2974</v>
      </c>
      <c r="V77" s="114" t="str">
        <f>IFERROR(__xludf.DUMMYFUNCTION("REGEXREPLACE(U77, ""\n"", "" "")"),"Smoker (STAMPEDE)")</f>
        <v>Smoker (STAMPEDE)</v>
      </c>
      <c r="W77" s="114"/>
      <c r="X77" s="115" t="str">
        <f t="shared" si="2"/>
        <v>077 STAMPEDE - Smoker - Medal [Smoker (STAMPEDE)]</v>
      </c>
      <c r="Y77" s="119"/>
      <c r="Z77" s="117" t="s">
        <v>2975</v>
      </c>
      <c r="AA77" s="117" t="s">
        <v>2229</v>
      </c>
      <c r="AB77" s="114"/>
      <c r="AC77" s="123" t="str">
        <f>IFERROR(__xludf.DUMMYFUNCTION("""COMPUTED_VALUE"""),"https://ik.imagekit.io/alaaalaa6171/267%20Revolutionary%20Army_Captain%20of%20the%20Northern%20Forces%20-%20Karasu%20-%20Medal%20_Karasu_.png?updatedAt=1770076453189")</f>
        <v>https://ik.imagekit.io/alaaalaa6171/267%20Revolutionary%20Army_Captain%20of%20the%20Northern%20Forces%20-%20Karasu%20-%20Medal%20_Karasu_.png?updatedAt=1770076453189</v>
      </c>
      <c r="AD77" s="123" t="str">
        <f>IFERROR(__xludf.DUMMYFUNCTION("""COMPUTED_VALUE"""),"https://ik.imagekit.io/alaaalaa6171/267%20Revolutionary%20Army_Captain%20of%20the%20Northern%20Forces%20-%20Karasu%20-%20Medal%20_Karasu_%20_Colored_.png?updatedAt=1770076453096")</f>
        <v>https://ik.imagekit.io/alaaalaa6171/267%20Revolutionary%20Army_Captain%20of%20the%20Northern%20Forces%20-%20Karasu%20-%20Medal%20_Karasu_%20_Colored_.png?updatedAt=1770076453096</v>
      </c>
      <c r="AE77" s="123" t="str">
        <f>IFERROR(__xludf.DUMMYFUNCTION("""COMPUTED_VALUE"""),"https://ik.imagekit.io/alaaalaa6171/267%20Revolutionary%20Army_Captain%20of%20the%20Northern%20Forces%20-%20Karasu%20-%20Medal%20_Karasu_%20-%20Piece.png?updatedAt=1770076453121")</f>
        <v>https://ik.imagekit.io/alaaalaa6171/267%20Revolutionary%20Army_Captain%20of%20the%20Northern%20Forces%20-%20Karasu%20-%20Medal%20_Karasu_%20-%20Piece.png?updatedAt=1770076453121</v>
      </c>
      <c r="AF77" s="123" t="str">
        <f>IFERROR(__xludf.DUMMYFUNCTION("""COMPUTED_VALUE"""),"https://ik.imagekit.io/alaaalaa6171/267%20Revolutionary%20Army_Captain%20of%20the%20Northern%20Forces%20-%20Karasu%20-%20Medal%20_Karasu_%20-%20Piece%20_Colored_.png?updatedAt=1770076453098")</f>
        <v>https://ik.imagekit.io/alaaalaa6171/267%20Revolutionary%20Army_Captain%20of%20the%20Northern%20Forces%20-%20Karasu%20-%20Medal%20_Karasu_%20-%20Piece%20_Colored_.png?updatedAt=1770076453098</v>
      </c>
      <c r="AG77" s="114"/>
      <c r="AH77" s="114"/>
      <c r="AI77" s="121" t="s">
        <v>2976</v>
      </c>
      <c r="AJ77" s="121" t="str">
        <f>IFERROR(__xludf.DUMMYFUNCTION("regexreplace(regexreplace(AI77, ""  \["", "" ""), ""\]$"", """")"),"076 - Navy Infiltrator ~ Portgaz D. Ace - Medal - Crafted [Colored] - Fire Pillar")</f>
        <v>076 - Navy Infiltrator ~ Portgaz D. Ace - Medal - Crafted [Colored] - Fire Pillar</v>
      </c>
      <c r="AK77" s="114"/>
      <c r="AL77" s="117" t="s">
        <v>2977</v>
      </c>
      <c r="AM77" s="117" t="s">
        <v>2978</v>
      </c>
      <c r="AN77" s="114"/>
      <c r="AO77" s="122">
        <f>IFERROR(__xludf.DUMMYFUNCTION("""COMPUTED_VALUE"""),232.0)</f>
        <v>232</v>
      </c>
      <c r="AP77" s="114" t="str">
        <f>IFERROR(__xludf.DUMMYFUNCTION("""COMPUTED_VALUE"""),"Cricket")</f>
        <v>Cricket</v>
      </c>
      <c r="AQ77" s="114" t="str">
        <f>IFERROR(__xludf.DUMMYFUNCTION("""COMPUTED_VALUE"""),"Cricket")</f>
        <v>Cricket</v>
      </c>
      <c r="AR77" s="114"/>
      <c r="AS77" s="114"/>
      <c r="AT77" s="123" t="str">
        <f>IFERROR(__xludf.DUMMYFUNCTION("""COMPUTED_VALUE"""),"https://i.postimg.cc/kgpk9fdR/232.png")</f>
        <v>https://i.postimg.cc/kgpk9fdR/232.png</v>
      </c>
      <c r="AU77" s="114"/>
      <c r="AV77" s="114"/>
      <c r="AW77" s="114"/>
      <c r="AX77" s="114" t="str">
        <f t="shared" si="3"/>
        <v>232 - Medal [Event] - Crafted - Cricket</v>
      </c>
      <c r="AY77" s="114" t="s">
        <v>2979</v>
      </c>
      <c r="AZ77" s="114"/>
      <c r="BA77" s="114"/>
      <c r="BB77" s="114"/>
      <c r="BC77" s="114"/>
      <c r="BD77" s="114"/>
      <c r="BE77" s="114"/>
    </row>
    <row r="78" ht="37.5" customHeight="1">
      <c r="A78" s="118" t="s">
        <v>2980</v>
      </c>
      <c r="B78" s="117" t="s">
        <v>2981</v>
      </c>
      <c r="C78" s="119">
        <f>IFERROR(__xludf.DUMMYFUNCTION("""COMPUTED_VALUE"""),265.0)</f>
        <v>265</v>
      </c>
      <c r="D78" s="114" t="str">
        <f>IFERROR(__xludf.DUMMYFUNCTION("""COMPUTED_VALUE"""),"Hack")</f>
        <v>Hack</v>
      </c>
      <c r="E78" s="114" t="str">
        <f>IFERROR(__xludf.DUMMYFUNCTION("""COMPUTED_VALUE"""),"")</f>
        <v/>
      </c>
      <c r="F78" s="114"/>
      <c r="G78" s="114"/>
      <c r="H78" s="114"/>
      <c r="I78" s="114"/>
      <c r="J78" s="114"/>
      <c r="K78" s="114" t="s">
        <v>2982</v>
      </c>
      <c r="L78" s="114" t="s">
        <v>2983</v>
      </c>
      <c r="M78" s="114" t="s">
        <v>2984</v>
      </c>
      <c r="N78" s="114" t="s">
        <v>2985</v>
      </c>
      <c r="O78" s="114"/>
      <c r="P78" s="120">
        <v>265.0</v>
      </c>
      <c r="Q78" s="117" t="s">
        <v>2986</v>
      </c>
      <c r="R78" s="114"/>
      <c r="S78" s="117" t="s">
        <v>2987</v>
      </c>
      <c r="T78" s="114">
        <f t="shared" si="1"/>
        <v>75</v>
      </c>
      <c r="U78" s="114" t="s">
        <v>1614</v>
      </c>
      <c r="V78" s="114" t="str">
        <f>IFERROR(__xludf.DUMMYFUNCTION("REGEXREPLACE(U78, ""\n"", "" "")"),"Sables")</f>
        <v>Sables</v>
      </c>
      <c r="W78" s="114"/>
      <c r="X78" s="115" t="str">
        <f t="shared" si="2"/>
        <v>075 Impel Down / Prisoner - Crocodile - Medal [Sables]</v>
      </c>
      <c r="Y78" s="119"/>
      <c r="Z78" s="117" t="s">
        <v>2988</v>
      </c>
      <c r="AA78" s="117" t="s">
        <v>2227</v>
      </c>
      <c r="AB78" s="114"/>
      <c r="AC78" s="123" t="str">
        <f>IFERROR(__xludf.DUMMYFUNCTION("""COMPUTED_VALUE"""),"https://ik.imagekit.io/alaaalaa6171/266%20Revolutionary%20Army_Officer%20-%20Inazuma%20-%20Medal%20_Inazuma_.png?updatedAt=1770076453132")</f>
        <v>https://ik.imagekit.io/alaaalaa6171/266%20Revolutionary%20Army_Officer%20-%20Inazuma%20-%20Medal%20_Inazuma_.png?updatedAt=1770076453132</v>
      </c>
      <c r="AD78" s="123" t="str">
        <f>IFERROR(__xludf.DUMMYFUNCTION("""COMPUTED_VALUE"""),"https://ik.imagekit.io/alaaalaa6171/266%20Revolutionary%20Army_Officer%20-%20Inazuma%20-%20Medal%20_Inazuma_%20_Colored_.png?updatedAt=1770076453148")</f>
        <v>https://ik.imagekit.io/alaaalaa6171/266%20Revolutionary%20Army_Officer%20-%20Inazuma%20-%20Medal%20_Inazuma_%20_Colored_.png?updatedAt=1770076453148</v>
      </c>
      <c r="AE78" s="123" t="str">
        <f>IFERROR(__xludf.DUMMYFUNCTION("""COMPUTED_VALUE"""),"https://ik.imagekit.io/alaaalaa6171/266%20Revolutionary%20Army_Officer%20-%20Inazuma%20-%20Medal%20_Inazuma_%20-%20Piece.png?updatedAt=1770076453139")</f>
        <v>https://ik.imagekit.io/alaaalaa6171/266%20Revolutionary%20Army_Officer%20-%20Inazuma%20-%20Medal%20_Inazuma_%20-%20Piece.png?updatedAt=1770076453139</v>
      </c>
      <c r="AF78" s="123" t="str">
        <f>IFERROR(__xludf.DUMMYFUNCTION("""COMPUTED_VALUE"""),"https://ik.imagekit.io/alaaalaa6171/266%20Revolutionary%20Army_Officer%20-%20Inazuma%20-%20Medal%20_Inazuma_%20-%20Piece%20_Colored_.png?updatedAt=1770076453161")</f>
        <v>https://ik.imagekit.io/alaaalaa6171/266%20Revolutionary%20Army_Officer%20-%20Inazuma%20-%20Medal%20_Inazuma_%20-%20Piece%20_Colored_.png?updatedAt=1770076453161</v>
      </c>
      <c r="AG78" s="114"/>
      <c r="AH78" s="114"/>
      <c r="AI78" s="121" t="s">
        <v>2989</v>
      </c>
      <c r="AJ78" s="121" t="str">
        <f>IFERROR(__xludf.DUMMYFUNCTION("regexreplace(regexreplace(AI78, ""  \["", "" ""), ""\]$"", """")"),"077 - STAMPEDE ~ Smoker - Medal - Crafted [Colored] - Smoker (STAMPEDE)")</f>
        <v>077 - STAMPEDE ~ Smoker - Medal - Crafted [Colored] - Smoker (STAMPEDE)</v>
      </c>
      <c r="AK78" s="114"/>
      <c r="AL78" s="117" t="s">
        <v>2990</v>
      </c>
      <c r="AM78" s="117" t="s">
        <v>2991</v>
      </c>
      <c r="AN78" s="114"/>
      <c r="AO78" s="122">
        <f>IFERROR(__xludf.DUMMYFUNCTION("""COMPUTED_VALUE"""),231.0)</f>
        <v>231</v>
      </c>
      <c r="AP78" s="114" t="str">
        <f>IFERROR(__xludf.DUMMYFUNCTION("""COMPUTED_VALUE"""),"Pierre")</f>
        <v>Pierre</v>
      </c>
      <c r="AQ78" s="114" t="str">
        <f>IFERROR(__xludf.DUMMYFUNCTION("""COMPUTED_VALUE"""),"Pierre")</f>
        <v>Pierre</v>
      </c>
      <c r="AR78" s="114"/>
      <c r="AS78" s="114"/>
      <c r="AT78" s="123" t="str">
        <f>IFERROR(__xludf.DUMMYFUNCTION("""COMPUTED_VALUE"""),"https://i.postimg.cc/YC9JJTTw/231.png")</f>
        <v>https://i.postimg.cc/YC9JJTTw/231.png</v>
      </c>
      <c r="AU78" s="114"/>
      <c r="AV78" s="114"/>
      <c r="AW78" s="114"/>
      <c r="AX78" s="114" t="str">
        <f t="shared" si="3"/>
        <v>231 - Medal [Event] - Crafted - Pierre</v>
      </c>
      <c r="AY78" s="114" t="s">
        <v>2992</v>
      </c>
      <c r="AZ78" s="114"/>
      <c r="BA78" s="114"/>
      <c r="BB78" s="114"/>
      <c r="BC78" s="114"/>
      <c r="BD78" s="114"/>
      <c r="BE78" s="114"/>
    </row>
    <row r="79" ht="37.5" customHeight="1">
      <c r="A79" s="118" t="s">
        <v>2993</v>
      </c>
      <c r="B79" s="117" t="s">
        <v>2994</v>
      </c>
      <c r="C79" s="119">
        <f>IFERROR(__xludf.DUMMYFUNCTION("""COMPUTED_VALUE"""),264.0)</f>
        <v>264</v>
      </c>
      <c r="D79" s="114" t="str">
        <f>IFERROR(__xludf.DUMMYFUNCTION("""COMPUTED_VALUE"""),"Flying Pan")</f>
        <v>Flying Pan</v>
      </c>
      <c r="E79" s="114" t="str">
        <f>IFERROR(__xludf.DUMMYFUNCTION("""COMPUTED_VALUE"""),"")</f>
        <v/>
      </c>
      <c r="F79" s="114"/>
      <c r="G79" s="114"/>
      <c r="H79" s="114"/>
      <c r="I79" s="114"/>
      <c r="J79" s="114"/>
      <c r="K79" s="114" t="s">
        <v>2995</v>
      </c>
      <c r="L79" s="114" t="s">
        <v>2996</v>
      </c>
      <c r="M79" s="114" t="s">
        <v>2997</v>
      </c>
      <c r="N79" s="114" t="s">
        <v>2998</v>
      </c>
      <c r="O79" s="114"/>
      <c r="P79" s="120">
        <v>264.0</v>
      </c>
      <c r="Q79" s="117" t="s">
        <v>2999</v>
      </c>
      <c r="R79" s="114"/>
      <c r="S79" s="117" t="s">
        <v>3000</v>
      </c>
      <c r="T79" s="114">
        <f t="shared" si="1"/>
        <v>76</v>
      </c>
      <c r="U79" s="114" t="s">
        <v>1610</v>
      </c>
      <c r="V79" s="114" t="str">
        <f>IFERROR(__xludf.DUMMYFUNCTION("REGEXREPLACE(U79, ""\n"", "" "")"),"Fire Pillar")</f>
        <v>Fire Pillar</v>
      </c>
      <c r="W79" s="114"/>
      <c r="X79" s="115" t="str">
        <f t="shared" si="2"/>
        <v>076 Navy Infiltrator - Portgaz D. Ace - Medal [Fire Pillar]</v>
      </c>
      <c r="Y79" s="119"/>
      <c r="Z79" s="117" t="s">
        <v>3001</v>
      </c>
      <c r="AA79" s="117" t="s">
        <v>2239</v>
      </c>
      <c r="AB79" s="114"/>
      <c r="AC79" s="123" t="str">
        <f>IFERROR(__xludf.DUMMYFUNCTION("""COMPUTED_VALUE"""),"https://ik.imagekit.io/alaaalaa6171/265%20Revolutionary%20Army_Solider%20-%20Hack%20-%20Medal%20_Hack_.png?updatedAt=1770076453104")</f>
        <v>https://ik.imagekit.io/alaaalaa6171/265%20Revolutionary%20Army_Solider%20-%20Hack%20-%20Medal%20_Hack_.png?updatedAt=1770076453104</v>
      </c>
      <c r="AD79" s="123" t="str">
        <f>IFERROR(__xludf.DUMMYFUNCTION("""COMPUTED_VALUE"""),"https://ik.imagekit.io/alaaalaa6171/265%20Revolutionary%20Army_Solider%20-%20Hack%20-%20Medal%20_Hack_%20_Colored_.png?updatedAt=1770076453039")</f>
        <v>https://ik.imagekit.io/alaaalaa6171/265%20Revolutionary%20Army_Solider%20-%20Hack%20-%20Medal%20_Hack_%20_Colored_.png?updatedAt=1770076453039</v>
      </c>
      <c r="AE79" s="123" t="str">
        <f>IFERROR(__xludf.DUMMYFUNCTION("""COMPUTED_VALUE"""),"https://ik.imagekit.io/alaaalaa6171/265%20Revolutionary%20Army_Solider%20-%20Hack%20-%20Medal%20_Hack_%20-%20Piece.png?updatedAt=1770076453077")</f>
        <v>https://ik.imagekit.io/alaaalaa6171/265%20Revolutionary%20Army_Solider%20-%20Hack%20-%20Medal%20_Hack_%20-%20Piece.png?updatedAt=1770076453077</v>
      </c>
      <c r="AF79" s="123" t="str">
        <f>IFERROR(__xludf.DUMMYFUNCTION("""COMPUTED_VALUE"""),"https://ik.imagekit.io/alaaalaa6171/265%20Revolutionary%20Army_Solider%20-%20Hack%20-%20Medal%20_Hack_%20-%20Piece%20_Colored_.png?updatedAt=1770076453071")</f>
        <v>https://ik.imagekit.io/alaaalaa6171/265%20Revolutionary%20Army_Solider%20-%20Hack%20-%20Medal%20_Hack_%20-%20Piece%20_Colored_.png?updatedAt=1770076453071</v>
      </c>
      <c r="AG79" s="114"/>
      <c r="AH79" s="114"/>
      <c r="AI79" s="121" t="s">
        <v>3002</v>
      </c>
      <c r="AJ79" s="121" t="str">
        <f>IFERROR(__xludf.DUMMYFUNCTION("regexreplace(regexreplace(AI79, ""  \["", "" ""), ""\]$"", """")"),"078 - STAMPEDE ~ Monkey D. Luffy - Medal - Crafted [Colored] - Luffy (STAMPEDE)")</f>
        <v>078 - STAMPEDE ~ Monkey D. Luffy - Medal - Crafted [Colored] - Luffy (STAMPEDE)</v>
      </c>
      <c r="AK79" s="114"/>
      <c r="AL79" s="117" t="s">
        <v>3003</v>
      </c>
      <c r="AM79" s="117" t="s">
        <v>3004</v>
      </c>
      <c r="AN79" s="114"/>
      <c r="AO79" s="122">
        <f>IFERROR(__xludf.DUMMYFUNCTION("""COMPUTED_VALUE"""),230.0)</f>
        <v>230</v>
      </c>
      <c r="AP79" s="114" t="str">
        <f>IFERROR(__xludf.DUMMYFUNCTION("""COMPUTED_VALUE"""),"String Challenge")</f>
        <v>String Challenge</v>
      </c>
      <c r="AQ79" s="114" t="str">
        <f>IFERROR(__xludf.DUMMYFUNCTION("""COMPUTED_VALUE"""),"String Challenge")</f>
        <v>String Challenge</v>
      </c>
      <c r="AR79" s="114"/>
      <c r="AS79" s="114"/>
      <c r="AT79" s="123" t="str">
        <f>IFERROR(__xludf.DUMMYFUNCTION("""COMPUTED_VALUE"""),"https://i.postimg.cc/1zVbzw9C/230.png")</f>
        <v>https://i.postimg.cc/1zVbzw9C/230.png</v>
      </c>
      <c r="AU79" s="114"/>
      <c r="AV79" s="114"/>
      <c r="AW79" s="114"/>
      <c r="AX79" s="114" t="str">
        <f t="shared" si="3"/>
        <v>230 - Medal [Event] - Crafted - String Challenge</v>
      </c>
      <c r="AY79" s="114" t="s">
        <v>3005</v>
      </c>
      <c r="AZ79" s="114"/>
      <c r="BA79" s="114"/>
      <c r="BB79" s="114"/>
      <c r="BC79" s="114"/>
      <c r="BD79" s="114"/>
      <c r="BE79" s="114"/>
    </row>
    <row r="80" ht="37.5" customHeight="1">
      <c r="A80" s="118" t="s">
        <v>3006</v>
      </c>
      <c r="B80" s="117" t="s">
        <v>3007</v>
      </c>
      <c r="C80" s="119">
        <f>IFERROR(__xludf.DUMMYFUNCTION("""COMPUTED_VALUE"""),263.0)</f>
        <v>263</v>
      </c>
      <c r="D80" s="114" t="str">
        <f>IFERROR(__xludf.DUMMYFUNCTION("""COMPUTED_VALUE"""),"Imperial Flame")</f>
        <v>Imperial Flame</v>
      </c>
      <c r="E80" s="114" t="str">
        <f>IFERROR(__xludf.DUMMYFUNCTION("""COMPUTED_VALUE"""),"")</f>
        <v/>
      </c>
      <c r="F80" s="114"/>
      <c r="G80" s="114"/>
      <c r="H80" s="114"/>
      <c r="I80" s="114"/>
      <c r="J80" s="114"/>
      <c r="K80" s="114" t="s">
        <v>3008</v>
      </c>
      <c r="L80" s="114" t="s">
        <v>3009</v>
      </c>
      <c r="M80" s="114" t="s">
        <v>3010</v>
      </c>
      <c r="N80" s="114" t="s">
        <v>3011</v>
      </c>
      <c r="O80" s="114"/>
      <c r="P80" s="120">
        <v>263.0</v>
      </c>
      <c r="Q80" s="117" t="s">
        <v>3012</v>
      </c>
      <c r="R80" s="114"/>
      <c r="S80" s="117" t="s">
        <v>3013</v>
      </c>
      <c r="T80" s="114">
        <f t="shared" si="1"/>
        <v>79</v>
      </c>
      <c r="U80" s="114" t="s">
        <v>3014</v>
      </c>
      <c r="V80" s="114" t="str">
        <f>IFERROR(__xludf.DUMMYFUNCTION("REGEXREPLACE(U80, ""\n"", "" "")"),"Sabo (STAMPEDE)")</f>
        <v>Sabo (STAMPEDE)</v>
      </c>
      <c r="W80" s="114"/>
      <c r="X80" s="115" t="str">
        <f t="shared" si="2"/>
        <v>079 STAMPEDE - Sabo - Medal [Sabo (STAMPEDE)]</v>
      </c>
      <c r="Y80" s="119"/>
      <c r="Z80" s="117" t="s">
        <v>3015</v>
      </c>
      <c r="AA80" s="117" t="s">
        <v>2241</v>
      </c>
      <c r="AB80" s="114"/>
      <c r="AC80" s="123" t="str">
        <f>IFERROR(__xludf.DUMMYFUNCTION("""COMPUTED_VALUE"""),"https://ik.imagekit.io/alaaalaa6171/264%20Cyborg%20-%20Queen%20-%20Medal%20_Flying%20Pan_.png?updatedAt=1770076453125")</f>
        <v>https://ik.imagekit.io/alaaalaa6171/264%20Cyborg%20-%20Queen%20-%20Medal%20_Flying%20Pan_.png?updatedAt=1770076453125</v>
      </c>
      <c r="AD80" s="123" t="str">
        <f>IFERROR(__xludf.DUMMYFUNCTION("""COMPUTED_VALUE"""),"https://ik.imagekit.io/alaaalaa6171/264%20Cyborg%20-%20Queen%20-%20Medal%20_Flying%20Pan_%20_Colored_.png?updatedAt=1770076453054")</f>
        <v>https://ik.imagekit.io/alaaalaa6171/264%20Cyborg%20-%20Queen%20-%20Medal%20_Flying%20Pan_%20_Colored_.png?updatedAt=1770076453054</v>
      </c>
      <c r="AE80" s="123" t="str">
        <f>IFERROR(__xludf.DUMMYFUNCTION("""COMPUTED_VALUE"""),"https://ik.imagekit.io/alaaalaa6171/264%20Cyborg%20-%20Queen%20-%20Medal%20_Flying%20Pan_%20-%20Piece.png?updatedAt=1770076453184")</f>
        <v>https://ik.imagekit.io/alaaalaa6171/264%20Cyborg%20-%20Queen%20-%20Medal%20_Flying%20Pan_%20-%20Piece.png?updatedAt=1770076453184</v>
      </c>
      <c r="AF80" s="123" t="str">
        <f>IFERROR(__xludf.DUMMYFUNCTION("""COMPUTED_VALUE"""),"https://ik.imagekit.io/alaaalaa6171/264%20Cyborg%20-%20Queen%20-%20Medal%20_Flying%20Pan_%20-%20Piece%20_Colored_.png?updatedAt=1770076453019")</f>
        <v>https://ik.imagekit.io/alaaalaa6171/264%20Cyborg%20-%20Queen%20-%20Medal%20_Flying%20Pan_%20-%20Piece%20_Colored_.png?updatedAt=1770076453019</v>
      </c>
      <c r="AG80" s="114"/>
      <c r="AH80" s="114"/>
      <c r="AI80" s="121" t="s">
        <v>3016</v>
      </c>
      <c r="AJ80" s="121" t="str">
        <f>IFERROR(__xludf.DUMMYFUNCTION("regexreplace(regexreplace(AI80, ""  \["", "" ""), ""\]$"", """")"),"079 - STAMPEDE ~ Sabo - Medal - Crafted [Colored] - Sabo (STAMPEDE)")</f>
        <v>079 - STAMPEDE ~ Sabo - Medal - Crafted [Colored] - Sabo (STAMPEDE)</v>
      </c>
      <c r="AK80" s="114"/>
      <c r="AL80" s="117" t="s">
        <v>3017</v>
      </c>
      <c r="AM80" s="117" t="s">
        <v>3018</v>
      </c>
      <c r="AN80" s="114"/>
      <c r="AO80" s="122">
        <f>IFERROR(__xludf.DUMMYFUNCTION("""COMPUTED_VALUE"""),229.0)</f>
        <v>229</v>
      </c>
      <c r="AP80" s="114" t="str">
        <f>IFERROR(__xludf.DUMMYFUNCTION("""COMPUTED_VALUE"""),"Crocus
(Roger Pirates)")</f>
        <v>Crocus
(Roger Pirates)</v>
      </c>
      <c r="AQ80" s="114" t="str">
        <f>IFERROR(__xludf.DUMMYFUNCTION("""COMPUTED_VALUE"""),"Crocus (Roger Pirates)")</f>
        <v>Crocus (Roger Pirates)</v>
      </c>
      <c r="AR80" s="114"/>
      <c r="AS80" s="114"/>
      <c r="AT80" s="123" t="str">
        <f>IFERROR(__xludf.DUMMYFUNCTION("""COMPUTED_VALUE"""),"https://i.postimg.cc/TYDSgS7r/229.png")</f>
        <v>https://i.postimg.cc/TYDSgS7r/229.png</v>
      </c>
      <c r="AU80" s="114"/>
      <c r="AV80" s="114"/>
      <c r="AW80" s="114"/>
      <c r="AX80" s="114" t="str">
        <f t="shared" si="3"/>
        <v>229 - Medal [Event] - Crafted - Crocus (Roger Pirates)</v>
      </c>
      <c r="AY80" s="114" t="s">
        <v>3019</v>
      </c>
      <c r="AZ80" s="114"/>
      <c r="BA80" s="114"/>
      <c r="BB80" s="114"/>
      <c r="BC80" s="114"/>
      <c r="BD80" s="114"/>
      <c r="BE80" s="114"/>
    </row>
    <row r="81" ht="37.5" customHeight="1">
      <c r="A81" s="118" t="s">
        <v>3020</v>
      </c>
      <c r="B81" s="117" t="s">
        <v>3021</v>
      </c>
      <c r="C81" s="119">
        <f>IFERROR(__xludf.DUMMYFUNCTION("""COMPUTED_VALUE"""),262.0)</f>
        <v>262</v>
      </c>
      <c r="D81" s="114" t="str">
        <f>IFERROR(__xludf.DUMMYFUNCTION("""COMPUTED_VALUE"""),"Heliceratops")</f>
        <v>Heliceratops</v>
      </c>
      <c r="E81" s="114" t="str">
        <f>IFERROR(__xludf.DUMMYFUNCTION("""COMPUTED_VALUE"""),"")</f>
        <v/>
      </c>
      <c r="F81" s="114"/>
      <c r="G81" s="114"/>
      <c r="H81" s="114"/>
      <c r="I81" s="114"/>
      <c r="J81" s="114"/>
      <c r="K81" s="114" t="s">
        <v>3022</v>
      </c>
      <c r="L81" s="114" t="s">
        <v>3023</v>
      </c>
      <c r="M81" s="114" t="s">
        <v>3024</v>
      </c>
      <c r="N81" s="114" t="s">
        <v>3025</v>
      </c>
      <c r="O81" s="114"/>
      <c r="P81" s="120">
        <v>262.0</v>
      </c>
      <c r="Q81" s="117" t="s">
        <v>3026</v>
      </c>
      <c r="R81" s="114"/>
      <c r="S81" s="117" t="s">
        <v>3027</v>
      </c>
      <c r="T81" s="114">
        <f t="shared" si="1"/>
        <v>81</v>
      </c>
      <c r="U81" s="114" t="s">
        <v>1581</v>
      </c>
      <c r="V81" s="114" t="str">
        <f>IFERROR(__xludf.DUMMYFUNCTION("REGEXREPLACE(U81, ""\n"", "" "")"),"Billow_White")</f>
        <v>Billow_White</v>
      </c>
      <c r="W81" s="114"/>
      <c r="X81" s="115" t="str">
        <f t="shared" si="2"/>
        <v>081 The Seven Warlords of the Sea - Don Quixote Doflamingo - Medal [Billow_White]</v>
      </c>
      <c r="Y81" s="119"/>
      <c r="Z81" s="117" t="s">
        <v>3028</v>
      </c>
      <c r="AA81" s="117" t="s">
        <v>2242</v>
      </c>
      <c r="AB81" s="114"/>
      <c r="AC81" s="123" t="str">
        <f>IFERROR(__xludf.DUMMYFUNCTION("""COMPUTED_VALUE"""),"https://ik.imagekit.io/alaaalaa6171/263%20Lunarian%20-%20Alber%20-%20Medal%20_Imperial%20Flame_.png?updatedAt=1770076453065")</f>
        <v>https://ik.imagekit.io/alaaalaa6171/263%20Lunarian%20-%20Alber%20-%20Medal%20_Imperial%20Flame_.png?updatedAt=1770076453065</v>
      </c>
      <c r="AD81" s="123" t="str">
        <f>IFERROR(__xludf.DUMMYFUNCTION("""COMPUTED_VALUE"""),"https://ik.imagekit.io/alaaalaa6171/263%20Lunarian%20-%20Alber%20-%20Medal%20_Imperial%20Flame_%20_Colored_.png?updatedAt=1770076453137")</f>
        <v>https://ik.imagekit.io/alaaalaa6171/263%20Lunarian%20-%20Alber%20-%20Medal%20_Imperial%20Flame_%20_Colored_.png?updatedAt=1770076453137</v>
      </c>
      <c r="AE81" s="123" t="str">
        <f>IFERROR(__xludf.DUMMYFUNCTION("""COMPUTED_VALUE"""),"https://ik.imagekit.io/alaaalaa6171/263%20Lunarian%20-%20Alber%20-%20Medal%20_Imperial%20Flame_%20-%20Piece.png?updatedAt=1770076453066")</f>
        <v>https://ik.imagekit.io/alaaalaa6171/263%20Lunarian%20-%20Alber%20-%20Medal%20_Imperial%20Flame_%20-%20Piece.png?updatedAt=1770076453066</v>
      </c>
      <c r="AF81" s="123" t="str">
        <f>IFERROR(__xludf.DUMMYFUNCTION("""COMPUTED_VALUE"""),"https://ik.imagekit.io/alaaalaa6171/263%20Lunarian%20-%20Alber%20-%20Medal%20_Imperial%20Flame_%20-%20Piece%20_Colored_.png?updatedAt=1770076453143")</f>
        <v>https://ik.imagekit.io/alaaalaa6171/263%20Lunarian%20-%20Alber%20-%20Medal%20_Imperial%20Flame_%20-%20Piece%20_Colored_.png?updatedAt=1770076453143</v>
      </c>
      <c r="AG81" s="114"/>
      <c r="AH81" s="114"/>
      <c r="AI81" s="121" t="s">
        <v>3029</v>
      </c>
      <c r="AJ81" s="121" t="str">
        <f>IFERROR(__xludf.DUMMYFUNCTION("regexreplace(regexreplace(AI81, ""  \["", "" ""), ""\]$"", """")"),"080 - Gear Four_Bounceman ~ Monkey D. Luffy - Medal - Crafted [Colored] - King Kong Gun")</f>
        <v>080 - Gear Four_Bounceman ~ Monkey D. Luffy - Medal - Crafted [Colored] - King Kong Gun</v>
      </c>
      <c r="AK81" s="114"/>
      <c r="AL81" s="117" t="s">
        <v>3030</v>
      </c>
      <c r="AM81" s="117" t="s">
        <v>3031</v>
      </c>
      <c r="AN81" s="114"/>
      <c r="AO81" s="122">
        <f>IFERROR(__xludf.DUMMYFUNCTION("""COMPUTED_VALUE"""),228.0)</f>
        <v>228</v>
      </c>
      <c r="AP81" s="114" t="str">
        <f>IFERROR(__xludf.DUMMYFUNCTION("""COMPUTED_VALUE"""),"Oden
(Roger Pirates)")</f>
        <v>Oden
(Roger Pirates)</v>
      </c>
      <c r="AQ81" s="114" t="str">
        <f>IFERROR(__xludf.DUMMYFUNCTION("""COMPUTED_VALUE"""),"Oden (Roger Pirates)")</f>
        <v>Oden (Roger Pirates)</v>
      </c>
      <c r="AR81" s="114"/>
      <c r="AS81" s="114"/>
      <c r="AT81" s="123" t="str">
        <f>IFERROR(__xludf.DUMMYFUNCTION("""COMPUTED_VALUE"""),"https://i.postimg.cc/rFcTYn88/228.png")</f>
        <v>https://i.postimg.cc/rFcTYn88/228.png</v>
      </c>
      <c r="AU81" s="114"/>
      <c r="AV81" s="114"/>
      <c r="AW81" s="114"/>
      <c r="AX81" s="114" t="str">
        <f t="shared" si="3"/>
        <v>228 - Medal [Event] - Crafted - Oden (Roger Pirates)</v>
      </c>
      <c r="AY81" s="114" t="s">
        <v>3032</v>
      </c>
      <c r="AZ81" s="114"/>
      <c r="BA81" s="114"/>
      <c r="BB81" s="114"/>
      <c r="BC81" s="114"/>
      <c r="BD81" s="114"/>
      <c r="BE81" s="114"/>
    </row>
    <row r="82" ht="37.5" customHeight="1">
      <c r="A82" s="118" t="s">
        <v>3033</v>
      </c>
      <c r="B82" s="117" t="s">
        <v>3034</v>
      </c>
      <c r="C82" s="119">
        <f>IFERROR(__xludf.DUMMYFUNCTION("""COMPUTED_VALUE"""),261.0)</f>
        <v>261</v>
      </c>
      <c r="D82" s="114" t="str">
        <f>IFERROR(__xludf.DUMMYFUNCTION("""COMPUTED_VALUE"""),"Raid Sanji")</f>
        <v>Raid Sanji</v>
      </c>
      <c r="E82" s="114" t="str">
        <f>IFERROR(__xludf.DUMMYFUNCTION("""COMPUTED_VALUE"""),"")</f>
        <v/>
      </c>
      <c r="F82" s="114"/>
      <c r="G82" s="114"/>
      <c r="H82" s="114"/>
      <c r="I82" s="114"/>
      <c r="J82" s="114"/>
      <c r="K82" s="114" t="s">
        <v>3035</v>
      </c>
      <c r="L82" s="114" t="s">
        <v>3036</v>
      </c>
      <c r="M82" s="114" t="s">
        <v>3037</v>
      </c>
      <c r="N82" s="114" t="s">
        <v>3038</v>
      </c>
      <c r="O82" s="114"/>
      <c r="P82" s="120">
        <v>261.0</v>
      </c>
      <c r="Q82" s="117" t="s">
        <v>3039</v>
      </c>
      <c r="R82" s="114"/>
      <c r="S82" s="117" t="s">
        <v>3040</v>
      </c>
      <c r="T82" s="114">
        <f t="shared" si="1"/>
        <v>80</v>
      </c>
      <c r="U82" s="114" t="s">
        <v>1586</v>
      </c>
      <c r="V82" s="114" t="str">
        <f>IFERROR(__xludf.DUMMYFUNCTION("REGEXREPLACE(U82, ""\n"", "" "")"),"King Kong Gun")</f>
        <v>King Kong Gun</v>
      </c>
      <c r="W82" s="114"/>
      <c r="X82" s="115" t="str">
        <f t="shared" si="2"/>
        <v>080 Gear Four / Bounceman - Monkey D. Luffy - Medal [King Kong Gun]</v>
      </c>
      <c r="Y82" s="119"/>
      <c r="Z82" s="117" t="s">
        <v>3041</v>
      </c>
      <c r="AA82" s="117" t="s">
        <v>2240</v>
      </c>
      <c r="AB82" s="114"/>
      <c r="AC82" s="123" t="str">
        <f>IFERROR(__xludf.DUMMYFUNCTION("""COMPUTED_VALUE"""),"https://ik.imagekit.io/alaaalaa6171/262%20Animal%20Kingdom%20Pirates_Tobi%20Roppo%20-%20Sasaki%20-%20Medal%20_Heliceratops_.png?updatedAt=1770076453135")</f>
        <v>https://ik.imagekit.io/alaaalaa6171/262%20Animal%20Kingdom%20Pirates_Tobi%20Roppo%20-%20Sasaki%20-%20Medal%20_Heliceratops_.png?updatedAt=1770076453135</v>
      </c>
      <c r="AD82" s="123" t="str">
        <f>IFERROR(__xludf.DUMMYFUNCTION("""COMPUTED_VALUE"""),"https://ik.imagekit.io/alaaalaa6171/262%20Animal%20Kingdom%20Pirates_Tobi%20Roppo%20-%20Sasaki%20-%20Medal%20_Heliceratops_%20_Colored_.png?updatedAt=1770076453024")</f>
        <v>https://ik.imagekit.io/alaaalaa6171/262%20Animal%20Kingdom%20Pirates_Tobi%20Roppo%20-%20Sasaki%20-%20Medal%20_Heliceratops_%20_Colored_.png?updatedAt=1770076453024</v>
      </c>
      <c r="AE82" s="123" t="str">
        <f>IFERROR(__xludf.DUMMYFUNCTION("""COMPUTED_VALUE"""),"https://ik.imagekit.io/alaaalaa6171/262%20Animal%20Kingdom%20Pirates_Tobi%20Roppo%20-%20Sasaki%20-%20Medal%20_Heliceratops_%20-%20Piece.png?updatedAt=1770076453048")</f>
        <v>https://ik.imagekit.io/alaaalaa6171/262%20Animal%20Kingdom%20Pirates_Tobi%20Roppo%20-%20Sasaki%20-%20Medal%20_Heliceratops_%20-%20Piece.png?updatedAt=1770076453048</v>
      </c>
      <c r="AF82" s="123" t="str">
        <f>IFERROR(__xludf.DUMMYFUNCTION("""COMPUTED_VALUE"""),"https://ik.imagekit.io/alaaalaa6171/262%20Animal%20Kingdom%20Pirates_Tobi%20Roppo%20-%20Sasaki%20-%20Medal%20_Heliceratops_%20-%20Piece%20_Colored_.png?updatedAt=1770076453065")</f>
        <v>https://ik.imagekit.io/alaaalaa6171/262%20Animal%20Kingdom%20Pirates_Tobi%20Roppo%20-%20Sasaki%20-%20Medal%20_Heliceratops_%20-%20Piece%20_Colored_.png?updatedAt=1770076453065</v>
      </c>
      <c r="AG82" s="114"/>
      <c r="AH82" s="114"/>
      <c r="AI82" s="121" t="s">
        <v>3042</v>
      </c>
      <c r="AJ82" s="121" t="str">
        <f>IFERROR(__xludf.DUMMYFUNCTION("regexreplace(regexreplace(AI82, ""  \["", "" ""), ""\]$"", """")"),"081 - The Seven Warlords of the Sea ~ Don Quixote Doflamingo - Medal - Crafted [Colored] - Billow_White")</f>
        <v>081 - The Seven Warlords of the Sea ~ Don Quixote Doflamingo - Medal - Crafted [Colored] - Billow_White</v>
      </c>
      <c r="AK82" s="114"/>
      <c r="AL82" s="117" t="s">
        <v>3043</v>
      </c>
      <c r="AM82" s="117" t="s">
        <v>3044</v>
      </c>
      <c r="AN82" s="114"/>
      <c r="AO82" s="122">
        <f>IFERROR(__xludf.DUMMYFUNCTION("""COMPUTED_VALUE"""),227.0)</f>
        <v>227</v>
      </c>
      <c r="AP82" s="114" t="str">
        <f>IFERROR(__xludf.DUMMYFUNCTION("""COMPUTED_VALUE"""),"Tristan")</f>
        <v>Tristan</v>
      </c>
      <c r="AQ82" s="114" t="str">
        <f>IFERROR(__xludf.DUMMYFUNCTION("""COMPUTED_VALUE"""),"Tristan")</f>
        <v>Tristan</v>
      </c>
      <c r="AR82" s="114"/>
      <c r="AS82" s="114"/>
      <c r="AT82" s="123" t="str">
        <f>IFERROR(__xludf.DUMMYFUNCTION("""COMPUTED_VALUE"""),"https://i.postimg.cc/NFvttbmk/227.png")</f>
        <v>https://i.postimg.cc/NFvttbmk/227.png</v>
      </c>
      <c r="AU82" s="114"/>
      <c r="AV82" s="114"/>
      <c r="AW82" s="114"/>
      <c r="AX82" s="114" t="str">
        <f t="shared" si="3"/>
        <v>227 - Medal [Event] - Crafted - Tristan</v>
      </c>
      <c r="AY82" s="114" t="s">
        <v>3045</v>
      </c>
      <c r="AZ82" s="114"/>
      <c r="BA82" s="114"/>
      <c r="BB82" s="114"/>
      <c r="BC82" s="114"/>
      <c r="BD82" s="114"/>
      <c r="BE82" s="114"/>
    </row>
    <row r="83" ht="37.5" customHeight="1">
      <c r="A83" s="118" t="s">
        <v>3046</v>
      </c>
      <c r="B83" s="117" t="s">
        <v>3047</v>
      </c>
      <c r="C83" s="119">
        <f>IFERROR(__xludf.DUMMYFUNCTION("""COMPUTED_VALUE"""),260.0)</f>
        <v>260</v>
      </c>
      <c r="D83" s="114" t="str">
        <f>IFERROR(__xludf.DUMMYFUNCTION("""COMPUTED_VALUE"""),"Gear Five")</f>
        <v>Gear Five</v>
      </c>
      <c r="E83" s="114" t="str">
        <f>IFERROR(__xludf.DUMMYFUNCTION("""COMPUTED_VALUE"""),"")</f>
        <v/>
      </c>
      <c r="F83" s="114"/>
      <c r="G83" s="114"/>
      <c r="H83" s="114"/>
      <c r="I83" s="114"/>
      <c r="J83" s="114"/>
      <c r="K83" s="114" t="s">
        <v>3048</v>
      </c>
      <c r="L83" s="114" t="s">
        <v>3049</v>
      </c>
      <c r="M83" s="114" t="s">
        <v>3050</v>
      </c>
      <c r="N83" s="114" t="s">
        <v>3051</v>
      </c>
      <c r="O83" s="114"/>
      <c r="P83" s="120">
        <v>260.0</v>
      </c>
      <c r="Q83" s="117" t="s">
        <v>3052</v>
      </c>
      <c r="R83" s="114"/>
      <c r="S83" s="117" t="s">
        <v>3053</v>
      </c>
      <c r="T83" s="114">
        <f t="shared" si="1"/>
        <v>82</v>
      </c>
      <c r="U83" s="114" t="s">
        <v>1575</v>
      </c>
      <c r="V83" s="114" t="str">
        <f>IFERROR(__xludf.DUMMYFUNCTION("REGEXREPLACE(U83, ""\n"", "" "")"),"ROOM")</f>
        <v>ROOM</v>
      </c>
      <c r="W83" s="114"/>
      <c r="X83" s="115" t="str">
        <f t="shared" si="2"/>
        <v>082 Land of Wano - Trafalgar Law - Medal [ROOM]</v>
      </c>
      <c r="Y83" s="119"/>
      <c r="Z83" s="117" t="s">
        <v>3054</v>
      </c>
      <c r="AA83" s="117" t="s">
        <v>2252</v>
      </c>
      <c r="AB83" s="114"/>
      <c r="AC83" s="123" t="str">
        <f>IFERROR(__xludf.DUMMYFUNCTION("""COMPUTED_VALUE"""),"https://ik.imagekit.io/alaaalaa6171/261%20Raid%20on%20Onigashima%20-%20Sanji%20-%20Medal%20_Raid%20Sanji_.png?updatedAt=1770076453076")</f>
        <v>https://ik.imagekit.io/alaaalaa6171/261%20Raid%20on%20Onigashima%20-%20Sanji%20-%20Medal%20_Raid%20Sanji_.png?updatedAt=1770076453076</v>
      </c>
      <c r="AD83" s="123" t="str">
        <f>IFERROR(__xludf.DUMMYFUNCTION("""COMPUTED_VALUE"""),"https://ik.imagekit.io/alaaalaa6171/261%20Raid%20on%20Onigashima%20-%20Sanji%20-%20Medal%20_Raid%20Sanji_%20_Colored_.png?updatedAt=1770076453080")</f>
        <v>https://ik.imagekit.io/alaaalaa6171/261%20Raid%20on%20Onigashima%20-%20Sanji%20-%20Medal%20_Raid%20Sanji_%20_Colored_.png?updatedAt=1770076453080</v>
      </c>
      <c r="AE83" s="123" t="str">
        <f>IFERROR(__xludf.DUMMYFUNCTION("""COMPUTED_VALUE"""),"https://ik.imagekit.io/alaaalaa6171/261%20Raid%20on%20Onigashima%20-%20Sanji%20-%20Medal%20_Raid%20Sanji_%20-%20Piece.png?updatedAt=1770076453000")</f>
        <v>https://ik.imagekit.io/alaaalaa6171/261%20Raid%20on%20Onigashima%20-%20Sanji%20-%20Medal%20_Raid%20Sanji_%20-%20Piece.png?updatedAt=1770076453000</v>
      </c>
      <c r="AF83" s="123" t="str">
        <f>IFERROR(__xludf.DUMMYFUNCTION("""COMPUTED_VALUE"""),"https://ik.imagekit.io/alaaalaa6171/261%20Raid%20on%20Onigashima%20-%20Sanji%20-%20Medal%20_Raid%20Sanji_%20-%20Piece%20_Colored_.png?updatedAt=1770076453097")</f>
        <v>https://ik.imagekit.io/alaaalaa6171/261%20Raid%20on%20Onigashima%20-%20Sanji%20-%20Medal%20_Raid%20Sanji_%20-%20Piece%20_Colored_.png?updatedAt=1770076453097</v>
      </c>
      <c r="AG83" s="114"/>
      <c r="AH83" s="114"/>
      <c r="AI83" s="121" t="s">
        <v>3055</v>
      </c>
      <c r="AJ83" s="121" t="str">
        <f>IFERROR(__xludf.DUMMYFUNCTION("regexreplace(regexreplace(AI83, ""  \["", "" ""), ""\]$"", """")"),"082 - Land of Wano ~ Trafalgar Law - Medal - Crafted [Colored] - ROOM")</f>
        <v>082 - Land of Wano ~ Trafalgar Law - Medal - Crafted [Colored] - ROOM</v>
      </c>
      <c r="AK83" s="114"/>
      <c r="AL83" s="117" t="s">
        <v>3056</v>
      </c>
      <c r="AM83" s="117" t="s">
        <v>3057</v>
      </c>
      <c r="AN83" s="114"/>
      <c r="AO83" s="122">
        <f>IFERROR(__xludf.DUMMYFUNCTION("""COMPUTED_VALUE"""),226.0)</f>
        <v>226</v>
      </c>
      <c r="AP83" s="114" t="str">
        <f>IFERROR(__xludf.DUMMYFUNCTION("""COMPUTED_VALUE"""),"Milky")</f>
        <v>Milky</v>
      </c>
      <c r="AQ83" s="114" t="str">
        <f>IFERROR(__xludf.DUMMYFUNCTION("""COMPUTED_VALUE"""),"Milky")</f>
        <v>Milky</v>
      </c>
      <c r="AR83" s="114"/>
      <c r="AS83" s="114"/>
      <c r="AT83" s="123" t="str">
        <f>IFERROR(__xludf.DUMMYFUNCTION("""COMPUTED_VALUE"""),"https://i.postimg.cc/KctFfShq/226.png")</f>
        <v>https://i.postimg.cc/KctFfShq/226.png</v>
      </c>
      <c r="AU83" s="114"/>
      <c r="AV83" s="114"/>
      <c r="AW83" s="114"/>
      <c r="AX83" s="114" t="str">
        <f t="shared" si="3"/>
        <v>226 - Medal [Event] - Crafted - Milky</v>
      </c>
      <c r="AY83" s="114" t="s">
        <v>3058</v>
      </c>
      <c r="AZ83" s="114"/>
      <c r="BA83" s="114"/>
      <c r="BB83" s="114"/>
      <c r="BC83" s="114"/>
      <c r="BD83" s="114"/>
      <c r="BE83" s="114"/>
    </row>
    <row r="84" ht="37.5" customHeight="1">
      <c r="A84" s="118" t="s">
        <v>3059</v>
      </c>
      <c r="B84" s="117" t="s">
        <v>3060</v>
      </c>
      <c r="C84" s="119">
        <f>IFERROR(__xludf.DUMMYFUNCTION("""COMPUTED_VALUE"""),259.0)</f>
        <v>259</v>
      </c>
      <c r="D84" s="114" t="str">
        <f>IFERROR(__xludf.DUMMYFUNCTION("""COMPUTED_VALUE"""),"Shanks`` Daughter")</f>
        <v>Shanks`` Daughter</v>
      </c>
      <c r="E84" s="114" t="str">
        <f>IFERROR(__xludf.DUMMYFUNCTION("""COMPUTED_VALUE"""),"")</f>
        <v/>
      </c>
      <c r="F84" s="114"/>
      <c r="G84" s="114"/>
      <c r="H84" s="114"/>
      <c r="I84" s="114"/>
      <c r="J84" s="114"/>
      <c r="K84" s="114" t="s">
        <v>3061</v>
      </c>
      <c r="L84" s="114" t="s">
        <v>3062</v>
      </c>
      <c r="M84" s="114" t="s">
        <v>3063</v>
      </c>
      <c r="N84" s="114" t="s">
        <v>3064</v>
      </c>
      <c r="O84" s="114"/>
      <c r="P84" s="120">
        <v>259.0</v>
      </c>
      <c r="Q84" s="117" t="s">
        <v>3065</v>
      </c>
      <c r="R84" s="114"/>
      <c r="S84" s="117" t="s">
        <v>3066</v>
      </c>
      <c r="T84" s="114">
        <f t="shared" si="1"/>
        <v>83</v>
      </c>
      <c r="U84" s="114" t="s">
        <v>1569</v>
      </c>
      <c r="V84" s="114" t="str">
        <f>IFERROR(__xludf.DUMMYFUNCTION("REGEXREPLACE(U84, ""\n"", "" "")"),"Hawkins")</f>
        <v>Hawkins</v>
      </c>
      <c r="W84" s="114"/>
      <c r="X84" s="115" t="str">
        <f t="shared" si="2"/>
        <v>083 Land of Wano - Basil Hawkins - Medal [Hawkins]</v>
      </c>
      <c r="Y84" s="119"/>
      <c r="Z84" s="117" t="s">
        <v>3067</v>
      </c>
      <c r="AA84" s="117" t="s">
        <v>2254</v>
      </c>
      <c r="AB84" s="114"/>
      <c r="AC84" s="123" t="str">
        <f>IFERROR(__xludf.DUMMYFUNCTION("""COMPUTED_VALUE"""),"https://ik.imagekit.io/alaaalaa6171/260%20Gear%20Five%20-%20Monkey%20D.%20Luffy%20-%20Medal%20_Gear%20Five_.png?updatedAt=1770076453180")</f>
        <v>https://ik.imagekit.io/alaaalaa6171/260%20Gear%20Five%20-%20Monkey%20D.%20Luffy%20-%20Medal%20_Gear%20Five_.png?updatedAt=1770076453180</v>
      </c>
      <c r="AD84" s="123" t="str">
        <f>IFERROR(__xludf.DUMMYFUNCTION("""COMPUTED_VALUE"""),"https://ik.imagekit.io/alaaalaa6171/260%20Gear%20Five%20-%20Monkey%20D.%20Luffy%20-%20Medal%20_Gear%20Five_%20_Colored_.png?updatedAt=1770076452990")</f>
        <v>https://ik.imagekit.io/alaaalaa6171/260%20Gear%20Five%20-%20Monkey%20D.%20Luffy%20-%20Medal%20_Gear%20Five_%20_Colored_.png?updatedAt=1770076452990</v>
      </c>
      <c r="AE84" s="123" t="str">
        <f>IFERROR(__xludf.DUMMYFUNCTION("""COMPUTED_VALUE"""),"https://ik.imagekit.io/alaaalaa6171/260%20Gear%20Five%20-%20Monkey%20D.%20Luffy%20-%20Medal%20_Gear%20Five_%20-%20Piece.png?updatedAt=1770076452990")</f>
        <v>https://ik.imagekit.io/alaaalaa6171/260%20Gear%20Five%20-%20Monkey%20D.%20Luffy%20-%20Medal%20_Gear%20Five_%20-%20Piece.png?updatedAt=1770076452990</v>
      </c>
      <c r="AF84" s="123" t="str">
        <f>IFERROR(__xludf.DUMMYFUNCTION("""COMPUTED_VALUE"""),"https://ik.imagekit.io/alaaalaa6171/260%20Gear%20Five%20-%20Monkey%20D.%20Luffy%20-%20Medal%20_Gear%20Five_%20-%20Piece%20_Colored_.png?updatedAt=1770076453042")</f>
        <v>https://ik.imagekit.io/alaaalaa6171/260%20Gear%20Five%20-%20Monkey%20D.%20Luffy%20-%20Medal%20_Gear%20Five_%20-%20Piece%20_Colored_.png?updatedAt=1770076453042</v>
      </c>
      <c r="AG84" s="114"/>
      <c r="AH84" s="114"/>
      <c r="AI84" s="121" t="s">
        <v>3068</v>
      </c>
      <c r="AJ84" s="121" t="str">
        <f>IFERROR(__xludf.DUMMYFUNCTION("regexreplace(regexreplace(AI84, ""  \["", "" ""), ""\]$"", """")"),"083 - Land of Wano ~ Basil Hawkins - Medal - Crafted [Colored] - Hawkins")</f>
        <v>083 - Land of Wano ~ Basil Hawkins - Medal - Crafted [Colored] - Hawkins</v>
      </c>
      <c r="AK84" s="114"/>
      <c r="AL84" s="117" t="s">
        <v>3069</v>
      </c>
      <c r="AM84" s="117" t="s">
        <v>3070</v>
      </c>
      <c r="AN84" s="114"/>
      <c r="AO84" s="122">
        <f>IFERROR(__xludf.DUMMYFUNCTION("""COMPUTED_VALUE"""),225.0)</f>
        <v>225</v>
      </c>
      <c r="AP84" s="114" t="str">
        <f>IFERROR(__xludf.DUMMYFUNCTION("""COMPUTED_VALUE"""),"Vista
(Land of Wano Memoir)")</f>
        <v>Vista
(Land of Wano Memoir)</v>
      </c>
      <c r="AQ84" s="114" t="str">
        <f>IFERROR(__xludf.DUMMYFUNCTION("""COMPUTED_VALUE"""),"Vista (Land of Wano Memoir)")</f>
        <v>Vista (Land of Wano Memoir)</v>
      </c>
      <c r="AR84" s="114"/>
      <c r="AS84" s="114"/>
      <c r="AT84" s="123" t="str">
        <f>IFERROR(__xludf.DUMMYFUNCTION("""COMPUTED_VALUE"""),"https://i.postimg.cc/x8G21HPD/225.png")</f>
        <v>https://i.postimg.cc/x8G21HPD/225.png</v>
      </c>
      <c r="AU84" s="114"/>
      <c r="AV84" s="114"/>
      <c r="AW84" s="114"/>
      <c r="AX84" s="114" t="str">
        <f t="shared" si="3"/>
        <v>225 - Medal [Event] - Crafted - Vista (Land of Wano Memoir)</v>
      </c>
      <c r="AY84" s="114" t="s">
        <v>3071</v>
      </c>
      <c r="AZ84" s="114"/>
      <c r="BA84" s="114"/>
      <c r="BB84" s="114"/>
      <c r="BC84" s="114"/>
      <c r="BD84" s="114"/>
      <c r="BE84" s="114"/>
    </row>
    <row r="85" ht="37.5" customHeight="1">
      <c r="A85" s="118" t="s">
        <v>3072</v>
      </c>
      <c r="B85" s="117" t="s">
        <v>3073</v>
      </c>
      <c r="C85" s="119">
        <f>IFERROR(__xludf.DUMMYFUNCTION("""COMPUTED_VALUE"""),258.0)</f>
        <v>258</v>
      </c>
      <c r="D85" s="114" t="str">
        <f>IFERROR(__xludf.DUMMYFUNCTION("""COMPUTED_VALUE"""),"Raid Killer")</f>
        <v>Raid Killer</v>
      </c>
      <c r="E85" s="114" t="str">
        <f>IFERROR(__xludf.DUMMYFUNCTION("""COMPUTED_VALUE"""),"")</f>
        <v/>
      </c>
      <c r="F85" s="114"/>
      <c r="G85" s="114"/>
      <c r="H85" s="114"/>
      <c r="I85" s="114"/>
      <c r="J85" s="114"/>
      <c r="K85" s="114" t="s">
        <v>3074</v>
      </c>
      <c r="L85" s="114" t="s">
        <v>3075</v>
      </c>
      <c r="M85" s="114" t="s">
        <v>3076</v>
      </c>
      <c r="N85" s="114" t="s">
        <v>3077</v>
      </c>
      <c r="O85" s="114"/>
      <c r="P85" s="120">
        <v>258.0</v>
      </c>
      <c r="Q85" s="117" t="s">
        <v>3078</v>
      </c>
      <c r="R85" s="114"/>
      <c r="S85" s="117" t="s">
        <v>3079</v>
      </c>
      <c r="T85" s="114">
        <f t="shared" si="1"/>
        <v>84</v>
      </c>
      <c r="U85" s="114" t="s">
        <v>1563</v>
      </c>
      <c r="V85" s="114" t="str">
        <f>IFERROR(__xludf.DUMMYFUNCTION("REGEXREPLACE(U85, ""\n"", "" "")"),"Ultra Tiger Hunt")</f>
        <v>Ultra Tiger Hunt</v>
      </c>
      <c r="W85" s="114"/>
      <c r="X85" s="115" t="str">
        <f t="shared" si="2"/>
        <v>084 Land of Wano - Zorojuro - Medal [Ultra Tiger Hunt]</v>
      </c>
      <c r="Y85" s="119"/>
      <c r="Z85" s="117" t="s">
        <v>3080</v>
      </c>
      <c r="AA85" s="117" t="s">
        <v>2255</v>
      </c>
      <c r="AB85" s="114"/>
      <c r="AC85" s="123" t="str">
        <f>IFERROR(__xludf.DUMMYFUNCTION("""COMPUTED_VALUE"""),"https://ik.imagekit.io/alaaalaa6171/259%20Singer%20of%20the%20New%20Genesis%20-%20Uta%20-%20Medal%20_Shanks%60%60%20Daughter_.png?updatedAt=1770076452993")</f>
        <v>https://ik.imagekit.io/alaaalaa6171/259%20Singer%20of%20the%20New%20Genesis%20-%20Uta%20-%20Medal%20_Shanks%60%60%20Daughter_.png?updatedAt=1770076452993</v>
      </c>
      <c r="AD85" s="123" t="str">
        <f>IFERROR(__xludf.DUMMYFUNCTION("""COMPUTED_VALUE"""),"https://ik.imagekit.io/alaaalaa6171/259%20Singer%20of%20the%20New%20Genesis%20-%20Uta%20-%20Medal%20_Shanks%60%60%20Daughter_%20_Colored_.png?updatedAt=1770076452975")</f>
        <v>https://ik.imagekit.io/alaaalaa6171/259%20Singer%20of%20the%20New%20Genesis%20-%20Uta%20-%20Medal%20_Shanks%60%60%20Daughter_%20_Colored_.png?updatedAt=1770076452975</v>
      </c>
      <c r="AE85" s="123" t="str">
        <f>IFERROR(__xludf.DUMMYFUNCTION("""COMPUTED_VALUE"""),"https://ik.imagekit.io/alaaalaa6171/259%20Singer%20of%20the%20New%20Genesis%20-%20Uta%20-%20Medal%20_Shanks%60%60%20Daughter_%20-%20Piece.png?updatedAt=1770076452996")</f>
        <v>https://ik.imagekit.io/alaaalaa6171/259%20Singer%20of%20the%20New%20Genesis%20-%20Uta%20-%20Medal%20_Shanks%60%60%20Daughter_%20-%20Piece.png?updatedAt=1770076452996</v>
      </c>
      <c r="AF85" s="123" t="str">
        <f>IFERROR(__xludf.DUMMYFUNCTION("""COMPUTED_VALUE"""),"https://ik.imagekit.io/alaaalaa6171/259%20Singer%20of%20the%20New%20Genesis%20-%20Uta%20-%20Medal%20_Shanks%60%60%20Daughter_%20-%20Piece%20_Colored_.png?updatedAt=1770076452988")</f>
        <v>https://ik.imagekit.io/alaaalaa6171/259%20Singer%20of%20the%20New%20Genesis%20-%20Uta%20-%20Medal%20_Shanks%60%60%20Daughter_%20-%20Piece%20_Colored_.png?updatedAt=1770076452988</v>
      </c>
      <c r="AG85" s="114"/>
      <c r="AH85" s="114"/>
      <c r="AI85" s="121" t="s">
        <v>3081</v>
      </c>
      <c r="AJ85" s="121" t="str">
        <f>IFERROR(__xludf.DUMMYFUNCTION("regexreplace(regexreplace(AI85, ""  \["", "" ""), ""\]$"", """")"),"084 - Land of Wano ~ Zorojuro - Medal - Crafted [Colored] - Ultra Tiger Hunt")</f>
        <v>084 - Land of Wano ~ Zorojuro - Medal - Crafted [Colored] - Ultra Tiger Hunt</v>
      </c>
      <c r="AK85" s="114"/>
      <c r="AL85" s="117" t="s">
        <v>3082</v>
      </c>
      <c r="AM85" s="117" t="s">
        <v>3083</v>
      </c>
      <c r="AN85" s="114"/>
      <c r="AO85" s="122">
        <f>IFERROR(__xludf.DUMMYFUNCTION("""COMPUTED_VALUE"""),224.0)</f>
        <v>224</v>
      </c>
      <c r="AP85" s="114" t="str">
        <f>IFERROR(__xludf.DUMMYFUNCTION("""COMPUTED_VALUE"""),"Marco
(Land of Wano Memoir)")</f>
        <v>Marco
(Land of Wano Memoir)</v>
      </c>
      <c r="AQ85" s="114" t="str">
        <f>IFERROR(__xludf.DUMMYFUNCTION("""COMPUTED_VALUE"""),"Marco (Land of Wano Memoir)")</f>
        <v>Marco (Land of Wano Memoir)</v>
      </c>
      <c r="AR85" s="114"/>
      <c r="AS85" s="114"/>
      <c r="AT85" s="123" t="str">
        <f>IFERROR(__xludf.DUMMYFUNCTION("""COMPUTED_VALUE"""),"https://i.postimg.cc/3JBhMXR2/224.png")</f>
        <v>https://i.postimg.cc/3JBhMXR2/224.png</v>
      </c>
      <c r="AU85" s="114"/>
      <c r="AV85" s="114"/>
      <c r="AW85" s="114"/>
      <c r="AX85" s="114" t="str">
        <f t="shared" si="3"/>
        <v>224 - Medal [Event] - Crafted - Marco (Land of Wano Memoir)</v>
      </c>
      <c r="AY85" s="114" t="s">
        <v>3084</v>
      </c>
      <c r="AZ85" s="114"/>
      <c r="BA85" s="114"/>
      <c r="BB85" s="114"/>
      <c r="BC85" s="114"/>
      <c r="BD85" s="114"/>
      <c r="BE85" s="114"/>
    </row>
    <row r="86" ht="37.5" customHeight="1">
      <c r="A86" s="118" t="s">
        <v>3085</v>
      </c>
      <c r="B86" s="117" t="s">
        <v>3086</v>
      </c>
      <c r="C86" s="119">
        <f>IFERROR(__xludf.DUMMYFUNCTION("""COMPUTED_VALUE"""),257.0)</f>
        <v>257</v>
      </c>
      <c r="D86" s="114" t="str">
        <f>IFERROR(__xludf.DUMMYFUNCTION("""COMPUTED_VALUE"""),"Kid &amp; Law")</f>
        <v>Kid &amp; Law</v>
      </c>
      <c r="E86" s="114" t="str">
        <f>IFERROR(__xludf.DUMMYFUNCTION("""COMPUTED_VALUE"""),"")</f>
        <v/>
      </c>
      <c r="F86" s="114"/>
      <c r="G86" s="114"/>
      <c r="H86" s="114"/>
      <c r="I86" s="114"/>
      <c r="J86" s="114"/>
      <c r="K86" s="114" t="s">
        <v>3087</v>
      </c>
      <c r="L86" s="114" t="s">
        <v>3088</v>
      </c>
      <c r="M86" s="114" t="s">
        <v>3089</v>
      </c>
      <c r="N86" s="114" t="s">
        <v>3090</v>
      </c>
      <c r="O86" s="114"/>
      <c r="P86" s="120">
        <v>257.0</v>
      </c>
      <c r="Q86" s="117" t="s">
        <v>3091</v>
      </c>
      <c r="R86" s="114"/>
      <c r="S86" s="117" t="s">
        <v>3092</v>
      </c>
      <c r="T86" s="114">
        <f t="shared" si="1"/>
        <v>86</v>
      </c>
      <c r="U86" s="114" t="s">
        <v>1555</v>
      </c>
      <c r="V86" s="114" t="str">
        <f>IFERROR(__xludf.DUMMYFUNCTION("REGEXREPLACE(U86, ""\n"", "" "")"),"Katakuri")</f>
        <v>Katakuri</v>
      </c>
      <c r="W86" s="114"/>
      <c r="X86" s="115" t="str">
        <f t="shared" si="2"/>
        <v>086 Big Mom Pirates / "Sweet 3" General - Charlotte Katakuri - Medal [Katakuri]</v>
      </c>
      <c r="Y86" s="119"/>
      <c r="Z86" s="117" t="s">
        <v>3093</v>
      </c>
      <c r="AA86" s="117" t="s">
        <v>2253</v>
      </c>
      <c r="AB86" s="114"/>
      <c r="AC86" s="123" t="str">
        <f>IFERROR(__xludf.DUMMYFUNCTION("""COMPUTED_VALUE"""),"https://ik.imagekit.io/alaaalaa6171/258%20Raid%20on%20Onigashima%20-%20Killer%20-%20Medal%20_Raid%20Killer_.png?updatedAt=1770076452978")</f>
        <v>https://ik.imagekit.io/alaaalaa6171/258%20Raid%20on%20Onigashima%20-%20Killer%20-%20Medal%20_Raid%20Killer_.png?updatedAt=1770076452978</v>
      </c>
      <c r="AD86" s="123" t="str">
        <f>IFERROR(__xludf.DUMMYFUNCTION("""COMPUTED_VALUE"""),"https://ik.imagekit.io/alaaalaa6171/258%20Raid%20on%20Onigashima%20-%20Killer%20-%20Medal%20_Raid%20Killer_%20_Colored_.png?updatedAt=1770076452966")</f>
        <v>https://ik.imagekit.io/alaaalaa6171/258%20Raid%20on%20Onigashima%20-%20Killer%20-%20Medal%20_Raid%20Killer_%20_Colored_.png?updatedAt=1770076452966</v>
      </c>
      <c r="AE86" s="123" t="str">
        <f>IFERROR(__xludf.DUMMYFUNCTION("""COMPUTED_VALUE"""),"https://ik.imagekit.io/alaaalaa6171/258%20Raid%20on%20Onigashima%20-%20Killer%20-%20Medal%20_Raid%20Killer_%20-%20Piece.png?updatedAt=1770076452962")</f>
        <v>https://ik.imagekit.io/alaaalaa6171/258%20Raid%20on%20Onigashima%20-%20Killer%20-%20Medal%20_Raid%20Killer_%20-%20Piece.png?updatedAt=1770076452962</v>
      </c>
      <c r="AF86" s="123" t="str">
        <f>IFERROR(__xludf.DUMMYFUNCTION("""COMPUTED_VALUE"""),"https://ik.imagekit.io/alaaalaa6171/258%20Raid%20on%20Onigashima%20-%20Killer%20-%20Medal%20_Raid%20Killer_%20-%20Piece%20_Colored_.png?updatedAt=1770076452974")</f>
        <v>https://ik.imagekit.io/alaaalaa6171/258%20Raid%20on%20Onigashima%20-%20Killer%20-%20Medal%20_Raid%20Killer_%20-%20Piece%20_Colored_.png?updatedAt=1770076452974</v>
      </c>
      <c r="AG86" s="114"/>
      <c r="AH86" s="114"/>
      <c r="AI86" s="121" t="s">
        <v>3094</v>
      </c>
      <c r="AJ86" s="121" t="str">
        <f>IFERROR(__xludf.DUMMYFUNCTION("regexreplace(regexreplace(AI86, ""  \["", "" ""), ""\]$"", """")"),"085 - Big Mom Pirates_Captain ~ Charlotte Linlin - Medal - Crafted [Colored] - Big Mom")</f>
        <v>085 - Big Mom Pirates_Captain ~ Charlotte Linlin - Medal - Crafted [Colored] - Big Mom</v>
      </c>
      <c r="AK86" s="114"/>
      <c r="AL86" s="117" t="s">
        <v>3095</v>
      </c>
      <c r="AM86" s="117" t="s">
        <v>3096</v>
      </c>
      <c r="AN86" s="114"/>
      <c r="AO86" s="122">
        <f>IFERROR(__xludf.DUMMYFUNCTION("""COMPUTED_VALUE"""),223.0)</f>
        <v>223</v>
      </c>
      <c r="AP86" s="114" t="str">
        <f>IFERROR(__xludf.DUMMYFUNCTION("""COMPUTED_VALUE"""),"Otama
(Post_Onigashima)")</f>
        <v>Otama
(Post_Onigashima)</v>
      </c>
      <c r="AQ86" s="114" t="str">
        <f>IFERROR(__xludf.DUMMYFUNCTION("""COMPUTED_VALUE"""),"Otama (Post_Onigashima)")</f>
        <v>Otama (Post_Onigashima)</v>
      </c>
      <c r="AR86" s="114"/>
      <c r="AS86" s="114"/>
      <c r="AT86" s="123" t="str">
        <f>IFERROR(__xludf.DUMMYFUNCTION("""COMPUTED_VALUE"""),"https://i.postimg.cc/Qdd3jF9w/223.png")</f>
        <v>https://i.postimg.cc/Qdd3jF9w/223.png</v>
      </c>
      <c r="AU86" s="114"/>
      <c r="AV86" s="114"/>
      <c r="AW86" s="114"/>
      <c r="AX86" s="114" t="str">
        <f t="shared" si="3"/>
        <v>223 - Medal [Event] - Crafted - Otama (Post_Onigashima)</v>
      </c>
      <c r="AY86" s="114" t="s">
        <v>3097</v>
      </c>
      <c r="AZ86" s="114"/>
      <c r="BA86" s="114"/>
      <c r="BB86" s="114"/>
      <c r="BC86" s="114"/>
      <c r="BD86" s="114"/>
      <c r="BE86" s="114"/>
    </row>
    <row r="87" ht="37.5" customHeight="1">
      <c r="A87" s="118" t="s">
        <v>3098</v>
      </c>
      <c r="B87" s="117" t="s">
        <v>3099</v>
      </c>
      <c r="C87" s="119">
        <f>IFERROR(__xludf.DUMMYFUNCTION("""COMPUTED_VALUE"""),256.0)</f>
        <v>256</v>
      </c>
      <c r="D87" s="114" t="str">
        <f>IFERROR(__xludf.DUMMYFUNCTION("""COMPUTED_VALUE"""),"Shark Pack")</f>
        <v>Shark Pack</v>
      </c>
      <c r="E87" s="114" t="str">
        <f>IFERROR(__xludf.DUMMYFUNCTION("""COMPUTED_VALUE"""),"")</f>
        <v/>
      </c>
      <c r="F87" s="114"/>
      <c r="G87" s="114"/>
      <c r="H87" s="114"/>
      <c r="I87" s="114"/>
      <c r="J87" s="114"/>
      <c r="K87" s="114" t="s">
        <v>3100</v>
      </c>
      <c r="L87" s="114" t="s">
        <v>3101</v>
      </c>
      <c r="M87" s="114" t="s">
        <v>3102</v>
      </c>
      <c r="N87" s="114" t="s">
        <v>3103</v>
      </c>
      <c r="O87" s="114"/>
      <c r="P87" s="120">
        <v>256.0</v>
      </c>
      <c r="Q87" s="117" t="s">
        <v>3104</v>
      </c>
      <c r="R87" s="114"/>
      <c r="S87" s="117" t="s">
        <v>3105</v>
      </c>
      <c r="T87" s="114">
        <f t="shared" si="1"/>
        <v>85</v>
      </c>
      <c r="U87" s="114" t="s">
        <v>1559</v>
      </c>
      <c r="V87" s="114" t="str">
        <f>IFERROR(__xludf.DUMMYFUNCTION("REGEXREPLACE(U87, ""\n"", "" "")"),"Big Mom")</f>
        <v>Big Mom</v>
      </c>
      <c r="W87" s="114"/>
      <c r="X87" s="115" t="str">
        <f t="shared" si="2"/>
        <v>085 Big Mom Pirates / Captain - Charlotte Linlin - Medal [Big Mom]</v>
      </c>
      <c r="Y87" s="119"/>
      <c r="Z87" s="117" t="s">
        <v>3106</v>
      </c>
      <c r="AA87" s="117" t="s">
        <v>2265</v>
      </c>
      <c r="AB87" s="114"/>
      <c r="AC87" s="123" t="str">
        <f>IFERROR(__xludf.DUMMYFUNCTION("""COMPUTED_VALUE"""),"https://ik.imagekit.io/alaaalaa6171/257%20Battle%20of%20Monsters%20on%20Onigashima%20-%20Kid%20&amp;%20Law%20-%20Medal%20_Kid%20&amp;%20Law_.png?updatedAt=1770076453018")</f>
        <v>https://ik.imagekit.io/alaaalaa6171/257%20Battle%20of%20Monsters%20on%20Onigashima%20-%20Kid%20&amp;%20Law%20-%20Medal%20_Kid%20&amp;%20Law_.png?updatedAt=1770076453018</v>
      </c>
      <c r="AD87" s="123" t="str">
        <f>IFERROR(__xludf.DUMMYFUNCTION("""COMPUTED_VALUE"""),"https://ik.imagekit.io/alaaalaa6171/257%20Battle%20of%20Monsters%20on%20Onigashima%20-%20Kid%20&amp;%20Law%20-%20Medal%20_Kid%20&amp;%20Law_%20_Colored_.png?updatedAt=1770076452952")</f>
        <v>https://ik.imagekit.io/alaaalaa6171/257%20Battle%20of%20Monsters%20on%20Onigashima%20-%20Kid%20&amp;%20Law%20-%20Medal%20_Kid%20&amp;%20Law_%20_Colored_.png?updatedAt=1770076452952</v>
      </c>
      <c r="AE87" s="123" t="str">
        <f>IFERROR(__xludf.DUMMYFUNCTION("""COMPUTED_VALUE"""),"https://ik.imagekit.io/alaaalaa6171/257%20Battle%20of%20Monsters%20on%20Onigashima%20-%20Kid%20&amp;%20Law%20-%20Medal%20_Kid%20&amp;%20Law_%20-%20Piece.png?updatedAt=1770076452939")</f>
        <v>https://ik.imagekit.io/alaaalaa6171/257%20Battle%20of%20Monsters%20on%20Onigashima%20-%20Kid%20&amp;%20Law%20-%20Medal%20_Kid%20&amp;%20Law_%20-%20Piece.png?updatedAt=1770076452939</v>
      </c>
      <c r="AF87" s="123" t="str">
        <f>IFERROR(__xludf.DUMMYFUNCTION("""COMPUTED_VALUE"""),"https://ik.imagekit.io/alaaalaa6171/257%20Battle%20of%20Monsters%20on%20Onigashima%20-%20Kid%20&amp;%20Law%20-%20Medal%20_Kid%20&amp;%20Law_%20-%20Piece%20_Colored_.png?updatedAt=1770076452936")</f>
        <v>https://ik.imagekit.io/alaaalaa6171/257%20Battle%20of%20Monsters%20on%20Onigashima%20-%20Kid%20&amp;%20Law%20-%20Medal%20_Kid%20&amp;%20Law_%20-%20Piece%20_Colored_.png?updatedAt=1770076452936</v>
      </c>
      <c r="AG87" s="114"/>
      <c r="AH87" s="114"/>
      <c r="AI87" s="121" t="s">
        <v>3107</v>
      </c>
      <c r="AJ87" s="121" t="str">
        <f>IFERROR(__xludf.DUMMYFUNCTION("regexreplace(regexreplace(AI87, ""  \["", "" ""), ""\]$"", """")"),"086 - Big Mom Pirates_'Sweet 3' General ~ Charlotte Katakuri - Medal - Crafted [Colored] - Katakuri")</f>
        <v>086 - Big Mom Pirates_'Sweet 3' General ~ Charlotte Katakuri - Medal - Crafted [Colored] - Katakuri</v>
      </c>
      <c r="AK87" s="114"/>
      <c r="AL87" s="117" t="s">
        <v>3108</v>
      </c>
      <c r="AM87" s="117" t="s">
        <v>3109</v>
      </c>
      <c r="AN87" s="114"/>
      <c r="AO87" s="122">
        <f>IFERROR(__xludf.DUMMYFUNCTION("""COMPUTED_VALUE"""),222.0)</f>
        <v>222</v>
      </c>
      <c r="AP87" s="114" t="str">
        <f>IFERROR(__xludf.DUMMYFUNCTION("""COMPUTED_VALUE"""),"Luffy
(Post_Onigashima)")</f>
        <v>Luffy
(Post_Onigashima)</v>
      </c>
      <c r="AQ87" s="114" t="str">
        <f>IFERROR(__xludf.DUMMYFUNCTION("""COMPUTED_VALUE"""),"Luffy (Post_Onigashima)")</f>
        <v>Luffy (Post_Onigashima)</v>
      </c>
      <c r="AR87" s="114"/>
      <c r="AS87" s="114"/>
      <c r="AT87" s="123" t="str">
        <f>IFERROR(__xludf.DUMMYFUNCTION("""COMPUTED_VALUE"""),"https://i.postimg.cc/XY10qn9J/222.png")</f>
        <v>https://i.postimg.cc/XY10qn9J/222.png</v>
      </c>
      <c r="AU87" s="114"/>
      <c r="AV87" s="114"/>
      <c r="AW87" s="114"/>
      <c r="AX87" s="114" t="str">
        <f t="shared" si="3"/>
        <v>222 - Medal [Event] - Crafted - Luffy (Post_Onigashima)</v>
      </c>
      <c r="AY87" s="114" t="s">
        <v>3110</v>
      </c>
      <c r="AZ87" s="114"/>
      <c r="BA87" s="114"/>
      <c r="BB87" s="114"/>
      <c r="BC87" s="114"/>
      <c r="BD87" s="114"/>
      <c r="BE87" s="114"/>
    </row>
    <row r="88" ht="37.5" customHeight="1">
      <c r="A88" s="118" t="s">
        <v>3111</v>
      </c>
      <c r="B88" s="117" t="s">
        <v>3112</v>
      </c>
      <c r="C88" s="119">
        <f>IFERROR(__xludf.DUMMYFUNCTION("""COMPUTED_VALUE"""),255.0)</f>
        <v>255</v>
      </c>
      <c r="D88" s="114" t="str">
        <f>IFERROR(__xludf.DUMMYFUNCTION("""COMPUTED_VALUE"""),"Neptune")</f>
        <v>Neptune</v>
      </c>
      <c r="E88" s="114" t="str">
        <f>IFERROR(__xludf.DUMMYFUNCTION("""COMPUTED_VALUE"""),"")</f>
        <v/>
      </c>
      <c r="F88" s="114"/>
      <c r="G88" s="114"/>
      <c r="H88" s="114"/>
      <c r="I88" s="114"/>
      <c r="J88" s="114"/>
      <c r="K88" s="114" t="s">
        <v>3113</v>
      </c>
      <c r="L88" s="114" t="s">
        <v>3114</v>
      </c>
      <c r="M88" s="114" t="s">
        <v>3115</v>
      </c>
      <c r="N88" s="114" t="s">
        <v>3116</v>
      </c>
      <c r="O88" s="114"/>
      <c r="P88" s="120">
        <v>255.0</v>
      </c>
      <c r="Q88" s="117" t="s">
        <v>3117</v>
      </c>
      <c r="R88" s="114"/>
      <c r="S88" s="117" t="s">
        <v>3118</v>
      </c>
      <c r="T88" s="114">
        <f t="shared" si="1"/>
        <v>87</v>
      </c>
      <c r="U88" s="114" t="s">
        <v>1548</v>
      </c>
      <c r="V88" s="114" t="str">
        <f>IFERROR(__xludf.DUMMYFUNCTION("REGEXREPLACE(U88, ""\n"", "" "")"),"Nightmare")</f>
        <v>Nightmare</v>
      </c>
      <c r="W88" s="114"/>
      <c r="X88" s="115" t="str">
        <f t="shared" si="2"/>
        <v>087 Ray of Hope - Nightmare Luffy - Medal [Nightmare]</v>
      </c>
      <c r="Y88" s="119"/>
      <c r="Z88" s="117" t="s">
        <v>3119</v>
      </c>
      <c r="AA88" s="117" t="s">
        <v>2267</v>
      </c>
      <c r="AB88" s="114"/>
      <c r="AC88" s="123" t="str">
        <f>IFERROR(__xludf.DUMMYFUNCTION("""COMPUTED_VALUE"""),"https://ik.imagekit.io/alaaalaa6171/256%20New%20Fish-Man%20Pirates_Captain%20-%20Hody%20Jones%20-%20Medal%20_Shark%20Pack_.png?updatedAt=1770076452936")</f>
        <v>https://ik.imagekit.io/alaaalaa6171/256%20New%20Fish-Man%20Pirates_Captain%20-%20Hody%20Jones%20-%20Medal%20_Shark%20Pack_.png?updatedAt=1770076452936</v>
      </c>
      <c r="AD88" s="123" t="str">
        <f>IFERROR(__xludf.DUMMYFUNCTION("""COMPUTED_VALUE"""),"https://ik.imagekit.io/alaaalaa6171/256%20New%20Fish-Man%20Pirates_Captain%20-%20Hody%20Jones%20-%20Medal%20_Shark%20Pack_%20_Colored_.png?updatedAt=1770076452934")</f>
        <v>https://ik.imagekit.io/alaaalaa6171/256%20New%20Fish-Man%20Pirates_Captain%20-%20Hody%20Jones%20-%20Medal%20_Shark%20Pack_%20_Colored_.png?updatedAt=1770076452934</v>
      </c>
      <c r="AE88" s="123" t="str">
        <f>IFERROR(__xludf.DUMMYFUNCTION("""COMPUTED_VALUE"""),"https://ik.imagekit.io/alaaalaa6171/256%20New%20Fish-Man%20Pirates_Captain%20-%20Hody%20Jones%20-%20Medal%20_Shark%20Pack_%20-%20Piece.png?updatedAt=1770076452931")</f>
        <v>https://ik.imagekit.io/alaaalaa6171/256%20New%20Fish-Man%20Pirates_Captain%20-%20Hody%20Jones%20-%20Medal%20_Shark%20Pack_%20-%20Piece.png?updatedAt=1770076452931</v>
      </c>
      <c r="AF88" s="123" t="str">
        <f>IFERROR(__xludf.DUMMYFUNCTION("""COMPUTED_VALUE"""),"https://ik.imagekit.io/alaaalaa6171/256%20New%20Fish-Man%20Pirates_Captain%20-%20Hody%20Jones%20-%20Medal%20_Shark%20Pack_%20-%20Piece%20_Colored_.png?updatedAt=1770076452951")</f>
        <v>https://ik.imagekit.io/alaaalaa6171/256%20New%20Fish-Man%20Pirates_Captain%20-%20Hody%20Jones%20-%20Medal%20_Shark%20Pack_%20-%20Piece%20_Colored_.png?updatedAt=1770076452951</v>
      </c>
      <c r="AG88" s="114"/>
      <c r="AH88" s="114"/>
      <c r="AI88" s="121" t="s">
        <v>3120</v>
      </c>
      <c r="AJ88" s="121" t="str">
        <f>IFERROR(__xludf.DUMMYFUNCTION("regexreplace(regexreplace(AI88, ""  \["", "" ""), ""\]$"", """")"),"087 - Ray of Hope ~ Nightmare Luffy - Medal - Crafted [Colored] - Nightmare")</f>
        <v>087 - Ray of Hope ~ Nightmare Luffy - Medal - Crafted [Colored] - Nightmare</v>
      </c>
      <c r="AK88" s="114"/>
      <c r="AL88" s="117" t="s">
        <v>3121</v>
      </c>
      <c r="AM88" s="117" t="s">
        <v>3122</v>
      </c>
      <c r="AN88" s="114"/>
      <c r="AO88" s="122">
        <f>IFERROR(__xludf.DUMMYFUNCTION("""COMPUTED_VALUE"""),221.0)</f>
        <v>221</v>
      </c>
      <c r="AP88" s="114" t="str">
        <f>IFERROR(__xludf.DUMMYFUNCTION("""COMPUTED_VALUE"""),"Princess Hiyori")</f>
        <v>Princess Hiyori</v>
      </c>
      <c r="AQ88" s="114" t="str">
        <f>IFERROR(__xludf.DUMMYFUNCTION("""COMPUTED_VALUE"""),"Princess Hiyori")</f>
        <v>Princess Hiyori</v>
      </c>
      <c r="AR88" s="114"/>
      <c r="AS88" s="114"/>
      <c r="AT88" s="123" t="str">
        <f>IFERROR(__xludf.DUMMYFUNCTION("""COMPUTED_VALUE"""),"https://i.postimg.cc/7LCrTjNN/221.png")</f>
        <v>https://i.postimg.cc/7LCrTjNN/221.png</v>
      </c>
      <c r="AU88" s="114"/>
      <c r="AV88" s="114"/>
      <c r="AW88" s="114"/>
      <c r="AX88" s="114" t="str">
        <f t="shared" si="3"/>
        <v>221 - Medal [Event] - Crafted - Princess Hiyori</v>
      </c>
      <c r="AY88" s="114" t="s">
        <v>3123</v>
      </c>
      <c r="AZ88" s="114"/>
      <c r="BA88" s="114"/>
      <c r="BB88" s="114"/>
      <c r="BC88" s="114"/>
      <c r="BD88" s="114"/>
      <c r="BE88" s="114"/>
    </row>
    <row r="89" ht="37.5" customHeight="1">
      <c r="A89" s="118" t="s">
        <v>3124</v>
      </c>
      <c r="B89" s="117" t="s">
        <v>3125</v>
      </c>
      <c r="C89" s="119">
        <f>IFERROR(__xludf.DUMMYFUNCTION("""COMPUTED_VALUE"""),254.0)</f>
        <v>254</v>
      </c>
      <c r="D89" s="114" t="str">
        <f>IFERROR(__xludf.DUMMYFUNCTION("""COMPUTED_VALUE"""),"Caribou")</f>
        <v>Caribou</v>
      </c>
      <c r="E89" s="114" t="str">
        <f>IFERROR(__xludf.DUMMYFUNCTION("""COMPUTED_VALUE"""),"")</f>
        <v/>
      </c>
      <c r="F89" s="114"/>
      <c r="G89" s="114"/>
      <c r="H89" s="114"/>
      <c r="I89" s="114"/>
      <c r="J89" s="114"/>
      <c r="K89" s="114" t="s">
        <v>3126</v>
      </c>
      <c r="L89" s="114" t="s">
        <v>3127</v>
      </c>
      <c r="M89" s="114" t="s">
        <v>3128</v>
      </c>
      <c r="N89" s="114" t="s">
        <v>3129</v>
      </c>
      <c r="O89" s="114"/>
      <c r="P89" s="120">
        <v>254.0</v>
      </c>
      <c r="Q89" s="117" t="s">
        <v>3130</v>
      </c>
      <c r="R89" s="114"/>
      <c r="S89" s="117" t="s">
        <v>3131</v>
      </c>
      <c r="T89" s="114">
        <f t="shared" si="1"/>
        <v>88</v>
      </c>
      <c r="U89" s="114" t="s">
        <v>1541</v>
      </c>
      <c r="V89" s="114" t="str">
        <f>IFERROR(__xludf.DUMMYFUNCTION("REGEXREPLACE(U89, ""\n"", "" "")"),"Ryuma")</f>
        <v>Ryuma</v>
      </c>
      <c r="W89" s="114"/>
      <c r="X89" s="115" t="str">
        <f t="shared" si="2"/>
        <v>088 Legendary Samurai Zombie - Ryuma - Medal [Ryuma]</v>
      </c>
      <c r="Y89" s="119"/>
      <c r="Z89" s="117" t="s">
        <v>3132</v>
      </c>
      <c r="AA89" s="117" t="s">
        <v>2268</v>
      </c>
      <c r="AB89" s="114"/>
      <c r="AC89" s="123" t="str">
        <f>IFERROR(__xludf.DUMMYFUNCTION("""COMPUTED_VALUE"""),"https://ik.imagekit.io/alaaalaa6171/255%20Ryugu%20Kingdom_King%20-%20Neptune%20-%20Medal%20_Neptune_.png?updatedAt=1770076452926")</f>
        <v>https://ik.imagekit.io/alaaalaa6171/255%20Ryugu%20Kingdom_King%20-%20Neptune%20-%20Medal%20_Neptune_.png?updatedAt=1770076452926</v>
      </c>
      <c r="AD89" s="123" t="str">
        <f>IFERROR(__xludf.DUMMYFUNCTION("""COMPUTED_VALUE"""),"https://ik.imagekit.io/alaaalaa6171/255%20Ryugu%20Kingdom_King%20-%20Neptune%20-%20Medal%20_Neptune_%20_Colored_.png?updatedAt=1770076452983")</f>
        <v>https://ik.imagekit.io/alaaalaa6171/255%20Ryugu%20Kingdom_King%20-%20Neptune%20-%20Medal%20_Neptune_%20_Colored_.png?updatedAt=1770076452983</v>
      </c>
      <c r="AE89" s="123" t="str">
        <f>IFERROR(__xludf.DUMMYFUNCTION("""COMPUTED_VALUE"""),"https://ik.imagekit.io/alaaalaa6171/255%20Ryugu%20Kingdom_King%20-%20Neptune%20-%20Medal%20_Neptune_%20-%20Piece.png?updatedAt=1770076452729")</f>
        <v>https://ik.imagekit.io/alaaalaa6171/255%20Ryugu%20Kingdom_King%20-%20Neptune%20-%20Medal%20_Neptune_%20-%20Piece.png?updatedAt=1770076452729</v>
      </c>
      <c r="AF89" s="123" t="str">
        <f>IFERROR(__xludf.DUMMYFUNCTION("""COMPUTED_VALUE"""),"https://ik.imagekit.io/alaaalaa6171/255%20Ryugu%20Kingdom_King%20-%20Neptune%20-%20Medal%20_Neptune_%20-%20Piece%20_Colored_.png?updatedAt=1770076452756")</f>
        <v>https://ik.imagekit.io/alaaalaa6171/255%20Ryugu%20Kingdom_King%20-%20Neptune%20-%20Medal%20_Neptune_%20-%20Piece%20_Colored_.png?updatedAt=1770076452756</v>
      </c>
      <c r="AG89" s="114"/>
      <c r="AH89" s="114"/>
      <c r="AI89" s="121" t="s">
        <v>3133</v>
      </c>
      <c r="AJ89" s="121" t="str">
        <f>IFERROR(__xludf.DUMMYFUNCTION("regexreplace(regexreplace(AI89, ""  \["", "" ""), ""\]$"", """")"),"088 - Legendary Samurai Zombie ~ Ryuma - Medal - Crafted [Colored] - Ryuma")</f>
        <v>088 - Legendary Samurai Zombie ~ Ryuma - Medal - Crafted [Colored] - Ryuma</v>
      </c>
      <c r="AK89" s="114"/>
      <c r="AL89" s="117" t="s">
        <v>3134</v>
      </c>
      <c r="AM89" s="117" t="s">
        <v>3135</v>
      </c>
      <c r="AN89" s="114"/>
      <c r="AO89" s="122">
        <f>IFERROR(__xludf.DUMMYFUNCTION("""COMPUTED_VALUE"""),220.0)</f>
        <v>220</v>
      </c>
      <c r="AP89" s="114" t="str">
        <f>IFERROR(__xludf.DUMMYFUNCTION("""COMPUTED_VALUE"""),"Yamato
(Post_Onigashima)")</f>
        <v>Yamato
(Post_Onigashima)</v>
      </c>
      <c r="AQ89" s="114" t="str">
        <f>IFERROR(__xludf.DUMMYFUNCTION("""COMPUTED_VALUE"""),"Yamato (Post_Onigashima)")</f>
        <v>Yamato (Post_Onigashima)</v>
      </c>
      <c r="AR89" s="114"/>
      <c r="AS89" s="114"/>
      <c r="AT89" s="123" t="str">
        <f>IFERROR(__xludf.DUMMYFUNCTION("""COMPUTED_VALUE"""),"https://i.postimg.cc/Jh9V3K6C/220.png")</f>
        <v>https://i.postimg.cc/Jh9V3K6C/220.png</v>
      </c>
      <c r="AU89" s="114"/>
      <c r="AV89" s="114"/>
      <c r="AW89" s="114"/>
      <c r="AX89" s="114" t="str">
        <f t="shared" si="3"/>
        <v>220 - Medal [Event] - Crafted - Yamato (Post_Onigashima)</v>
      </c>
      <c r="AY89" s="114" t="s">
        <v>3136</v>
      </c>
      <c r="AZ89" s="114"/>
      <c r="BA89" s="114"/>
      <c r="BB89" s="114"/>
      <c r="BC89" s="114"/>
      <c r="BD89" s="114"/>
      <c r="BE89" s="114"/>
    </row>
    <row r="90" ht="37.5" customHeight="1">
      <c r="A90" s="118" t="s">
        <v>3137</v>
      </c>
      <c r="B90" s="117" t="s">
        <v>3138</v>
      </c>
      <c r="C90" s="119">
        <f>IFERROR(__xludf.DUMMYFUNCTION("""COMPUTED_VALUE"""),253.0)</f>
        <v>253</v>
      </c>
      <c r="D90" s="114" t="str">
        <f>IFERROR(__xludf.DUMMYFUNCTION("""COMPUTED_VALUE"""),"Vander Decken IX")</f>
        <v>Vander Decken IX</v>
      </c>
      <c r="E90" s="114" t="str">
        <f>IFERROR(__xludf.DUMMYFUNCTION("""COMPUTED_VALUE"""),"")</f>
        <v/>
      </c>
      <c r="F90" s="114"/>
      <c r="G90" s="114"/>
      <c r="H90" s="114"/>
      <c r="I90" s="114"/>
      <c r="J90" s="114"/>
      <c r="K90" s="114" t="s">
        <v>3139</v>
      </c>
      <c r="L90" s="114" t="s">
        <v>3140</v>
      </c>
      <c r="M90" s="114" t="s">
        <v>3141</v>
      </c>
      <c r="N90" s="114" t="s">
        <v>3142</v>
      </c>
      <c r="O90" s="114"/>
      <c r="P90" s="120">
        <v>253.0</v>
      </c>
      <c r="Q90" s="117" t="s">
        <v>3143</v>
      </c>
      <c r="R90" s="114"/>
      <c r="S90" s="117" t="s">
        <v>3144</v>
      </c>
      <c r="T90" s="114">
        <f t="shared" si="1"/>
        <v>89</v>
      </c>
      <c r="U90" s="114" t="s">
        <v>1535</v>
      </c>
      <c r="V90" s="114" t="str">
        <f>IFERROR(__xludf.DUMMYFUNCTION("REGEXREPLACE(U90, ""\n"", "" "")"),"Perona")</f>
        <v>Perona</v>
      </c>
      <c r="W90" s="114"/>
      <c r="X90" s="115" t="str">
        <f t="shared" si="2"/>
        <v>089 Thriller Park Pirates / Mysterious Four - Perona - Medal [Perona]</v>
      </c>
      <c r="Y90" s="119"/>
      <c r="Z90" s="117" t="s">
        <v>3145</v>
      </c>
      <c r="AA90" s="117" t="s">
        <v>2266</v>
      </c>
      <c r="AB90" s="114"/>
      <c r="AC90" s="123" t="str">
        <f>IFERROR(__xludf.DUMMYFUNCTION("""COMPUTED_VALUE"""),"https://ik.imagekit.io/alaaalaa6171/254%20Caribou%20Pirates_Captain%20-%20Caribou%20-%20Medal%20_Caribou_.png?updatedAt=1770076452725")</f>
        <v>https://ik.imagekit.io/alaaalaa6171/254%20Caribou%20Pirates_Captain%20-%20Caribou%20-%20Medal%20_Caribou_.png?updatedAt=1770076452725</v>
      </c>
      <c r="AD90" s="123" t="str">
        <f>IFERROR(__xludf.DUMMYFUNCTION("""COMPUTED_VALUE"""),"https://ik.imagekit.io/alaaalaa6171/254%20Caribou%20Pirates_Captain%20-%20Caribou%20-%20Medal%20_Caribou_%20_Colored_.png?updatedAt=1770076452753")</f>
        <v>https://ik.imagekit.io/alaaalaa6171/254%20Caribou%20Pirates_Captain%20-%20Caribou%20-%20Medal%20_Caribou_%20_Colored_.png?updatedAt=1770076452753</v>
      </c>
      <c r="AE90" s="123" t="str">
        <f>IFERROR(__xludf.DUMMYFUNCTION("""COMPUTED_VALUE"""),"https://ik.imagekit.io/alaaalaa6171/254%20Caribou%20Pirates_Captain%20-%20Caribou%20-%20Medal%20_Caribou_%20-%20Piece.png?updatedAt=1770076452737")</f>
        <v>https://ik.imagekit.io/alaaalaa6171/254%20Caribou%20Pirates_Captain%20-%20Caribou%20-%20Medal%20_Caribou_%20-%20Piece.png?updatedAt=1770076452737</v>
      </c>
      <c r="AF90" s="123" t="str">
        <f>IFERROR(__xludf.DUMMYFUNCTION("""COMPUTED_VALUE"""),"https://ik.imagekit.io/alaaalaa6171/254%20Caribou%20Pirates_Captain%20-%20Caribou%20-%20Medal%20_Caribou_%20-%20Piece%20_Colored_.png?updatedAt=1770076452720")</f>
        <v>https://ik.imagekit.io/alaaalaa6171/254%20Caribou%20Pirates_Captain%20-%20Caribou%20-%20Medal%20_Caribou_%20-%20Piece%20_Colored_.png?updatedAt=1770076452720</v>
      </c>
      <c r="AG90" s="114"/>
      <c r="AH90" s="114"/>
      <c r="AI90" s="121" t="s">
        <v>3146</v>
      </c>
      <c r="AJ90" s="121" t="str">
        <f>IFERROR(__xludf.DUMMYFUNCTION("regexreplace(regexreplace(AI90, ""  \["", "" ""), ""\]$"", """")"),"089 - Thriller Park Pirates_Mysterious Four ~ Perona - Medal - Crafted [Colored] - Perona")</f>
        <v>089 - Thriller Park Pirates_Mysterious Four ~ Perona - Medal - Crafted [Colored] - Perona</v>
      </c>
      <c r="AK90" s="114"/>
      <c r="AL90" s="117" t="s">
        <v>3147</v>
      </c>
      <c r="AM90" s="117" t="s">
        <v>3148</v>
      </c>
      <c r="AN90" s="114"/>
      <c r="AO90" s="122">
        <f>IFERROR(__xludf.DUMMYFUNCTION("""COMPUTED_VALUE"""),219.0)</f>
        <v>219</v>
      </c>
      <c r="AP90" s="114" t="str">
        <f>IFERROR(__xludf.DUMMYFUNCTION("""COMPUTED_VALUE"""),"Daifugo")</f>
        <v>Daifugo</v>
      </c>
      <c r="AQ90" s="114" t="str">
        <f>IFERROR(__xludf.DUMMYFUNCTION("""COMPUTED_VALUE"""),"Daifugo")</f>
        <v>Daifugo</v>
      </c>
      <c r="AR90" s="114"/>
      <c r="AS90" s="114"/>
      <c r="AT90" s="123" t="str">
        <f>IFERROR(__xludf.DUMMYFUNCTION("""COMPUTED_VALUE"""),"https://i.postimg.cc/63nsMRg2/219.png")</f>
        <v>https://i.postimg.cc/63nsMRg2/219.png</v>
      </c>
      <c r="AU90" s="114"/>
      <c r="AV90" s="114"/>
      <c r="AW90" s="114"/>
      <c r="AX90" s="114" t="str">
        <f t="shared" si="3"/>
        <v>219 - Medal [Event] - Crafted - Daifugo</v>
      </c>
      <c r="AY90" s="114" t="s">
        <v>3149</v>
      </c>
      <c r="AZ90" s="114"/>
      <c r="BA90" s="114"/>
      <c r="BB90" s="114"/>
      <c r="BC90" s="114"/>
      <c r="BD90" s="114"/>
      <c r="BE90" s="114"/>
    </row>
    <row r="91" ht="37.5" customHeight="1">
      <c r="A91" s="118" t="s">
        <v>3150</v>
      </c>
      <c r="B91" s="117" t="s">
        <v>3151</v>
      </c>
      <c r="C91" s="119">
        <f>IFERROR(__xludf.DUMMYFUNCTION("""COMPUTED_VALUE"""),252.0)</f>
        <v>252</v>
      </c>
      <c r="D91" s="114" t="str">
        <f>IFERROR(__xludf.DUMMYFUNCTION("""COMPUTED_VALUE"""),"Raid Usopp")</f>
        <v>Raid Usopp</v>
      </c>
      <c r="E91" s="114" t="str">
        <f>IFERROR(__xludf.DUMMYFUNCTION("""COMPUTED_VALUE"""),"")</f>
        <v/>
      </c>
      <c r="F91" s="114"/>
      <c r="G91" s="114"/>
      <c r="H91" s="114"/>
      <c r="I91" s="114"/>
      <c r="J91" s="114"/>
      <c r="K91" s="114" t="s">
        <v>3152</v>
      </c>
      <c r="L91" s="114" t="s">
        <v>3153</v>
      </c>
      <c r="M91" s="114" t="s">
        <v>3154</v>
      </c>
      <c r="N91" s="114" t="s">
        <v>3155</v>
      </c>
      <c r="O91" s="114"/>
      <c r="P91" s="120">
        <v>252.0</v>
      </c>
      <c r="Q91" s="117" t="s">
        <v>3156</v>
      </c>
      <c r="R91" s="114"/>
      <c r="S91" s="117" t="s">
        <v>3157</v>
      </c>
      <c r="T91" s="114">
        <f t="shared" si="1"/>
        <v>90</v>
      </c>
      <c r="U91" s="114" t="s">
        <v>1528</v>
      </c>
      <c r="V91" s="114" t="str">
        <f>IFERROR(__xludf.DUMMYFUNCTION("REGEXREPLACE(U91, ""\n"", "" "")"),"Bride")</f>
        <v>Bride</v>
      </c>
      <c r="W91" s="114"/>
      <c r="X91" s="115" t="str">
        <f t="shared" si="2"/>
        <v>090 Imprisoned Bride - Nami - Medal [Bride]</v>
      </c>
      <c r="Y91" s="119"/>
      <c r="Z91" s="117" t="s">
        <v>3158</v>
      </c>
      <c r="AA91" s="117" t="s">
        <v>2278</v>
      </c>
      <c r="AB91" s="114"/>
      <c r="AC91" s="123" t="str">
        <f>IFERROR(__xludf.DUMMYFUNCTION("""COMPUTED_VALUE"""),"https://ik.imagekit.io/alaaalaa6171/253%20Flying%20Pirates_Captain%20-%20Vander%20Decken%20IX%20-%20Medal%20_Vander%20Decken%20IX_.png?updatedAt=1770076452705")</f>
        <v>https://ik.imagekit.io/alaaalaa6171/253%20Flying%20Pirates_Captain%20-%20Vander%20Decken%20IX%20-%20Medal%20_Vander%20Decken%20IX_.png?updatedAt=1770076452705</v>
      </c>
      <c r="AD91" s="123" t="str">
        <f>IFERROR(__xludf.DUMMYFUNCTION("""COMPUTED_VALUE"""),"https://ik.imagekit.io/alaaalaa6171/253%20Flying%20Pirates_Captain%20-%20Vander%20Decken%20IX%20-%20Medal%20_Vander%20Decken%20IX_%20_Colored_.png?updatedAt=1770076452704")</f>
        <v>https://ik.imagekit.io/alaaalaa6171/253%20Flying%20Pirates_Captain%20-%20Vander%20Decken%20IX%20-%20Medal%20_Vander%20Decken%20IX_%20_Colored_.png?updatedAt=1770076452704</v>
      </c>
      <c r="AE91" s="123" t="str">
        <f>IFERROR(__xludf.DUMMYFUNCTION("""COMPUTED_VALUE"""),"https://ik.imagekit.io/alaaalaa6171/253%20Flying%20Pirates_Captain%20-%20Vander%20Decken%20IX%20-%20Medal%20_Vander%20Decken%20IX_%20-%20Piece.png?updatedAt=1770076452099")</f>
        <v>https://ik.imagekit.io/alaaalaa6171/253%20Flying%20Pirates_Captain%20-%20Vander%20Decken%20IX%20-%20Medal%20_Vander%20Decken%20IX_%20-%20Piece.png?updatedAt=1770076452099</v>
      </c>
      <c r="AF91" s="123" t="str">
        <f>IFERROR(__xludf.DUMMYFUNCTION("""COMPUTED_VALUE"""),"https://ik.imagekit.io/alaaalaa6171/253%20Flying%20Pirates_Captain%20-%20Vander%20Decken%20IX%20-%20Medal%20_Vander%20Decken%20IX_%20-%20Piece%20_Colored_.png?updatedAt=1770076451280")</f>
        <v>https://ik.imagekit.io/alaaalaa6171/253%20Flying%20Pirates_Captain%20-%20Vander%20Decken%20IX%20-%20Medal%20_Vander%20Decken%20IX_%20-%20Piece%20_Colored_.png?updatedAt=1770076451280</v>
      </c>
      <c r="AG91" s="114"/>
      <c r="AH91" s="114"/>
      <c r="AI91" s="121" t="s">
        <v>3159</v>
      </c>
      <c r="AJ91" s="121" t="str">
        <f>IFERROR(__xludf.DUMMYFUNCTION("regexreplace(regexreplace(AI91, ""  \["", "" ""), ""\]$"", """")"),"090 - Imprisoned Bride ~ Nami - Medal - Crafted [Colored] - Bride")</f>
        <v>090 - Imprisoned Bride ~ Nami - Medal - Crafted [Colored] - Bride</v>
      </c>
      <c r="AK91" s="114"/>
      <c r="AL91" s="117" t="s">
        <v>3160</v>
      </c>
      <c r="AM91" s="117" t="s">
        <v>3161</v>
      </c>
      <c r="AN91" s="114"/>
      <c r="AO91" s="122">
        <f>IFERROR(__xludf.DUMMYFUNCTION("""COMPUTED_VALUE"""),218.0)</f>
        <v>218</v>
      </c>
      <c r="AP91" s="114" t="str">
        <f>IFERROR(__xludf.DUMMYFUNCTION("""COMPUTED_VALUE"""),"Speed")</f>
        <v>Speed</v>
      </c>
      <c r="AQ91" s="114" t="str">
        <f>IFERROR(__xludf.DUMMYFUNCTION("""COMPUTED_VALUE"""),"Speed")</f>
        <v>Speed</v>
      </c>
      <c r="AR91" s="114"/>
      <c r="AS91" s="114"/>
      <c r="AT91" s="123" t="str">
        <f>IFERROR(__xludf.DUMMYFUNCTION("""COMPUTED_VALUE"""),"https://i.postimg.cc/D0T9H03C/218.png")</f>
        <v>https://i.postimg.cc/D0T9H03C/218.png</v>
      </c>
      <c r="AU91" s="114"/>
      <c r="AV91" s="114"/>
      <c r="AW91" s="114"/>
      <c r="AX91" s="114" t="str">
        <f t="shared" si="3"/>
        <v>218 - Medal [Event] - Crafted - Speed</v>
      </c>
      <c r="AY91" s="114" t="s">
        <v>3162</v>
      </c>
      <c r="AZ91" s="114"/>
      <c r="BA91" s="114"/>
      <c r="BB91" s="114"/>
      <c r="BC91" s="114"/>
      <c r="BD91" s="114"/>
      <c r="BE91" s="114"/>
    </row>
    <row r="92" ht="37.5" customHeight="1">
      <c r="A92" s="118" t="s">
        <v>3163</v>
      </c>
      <c r="B92" s="117" t="s">
        <v>3164</v>
      </c>
      <c r="C92" s="119">
        <f>IFERROR(__xludf.DUMMYFUNCTION("""COMPUTED_VALUE"""),251.0)</f>
        <v>251</v>
      </c>
      <c r="D92" s="114" t="str">
        <f>IFERROR(__xludf.DUMMYFUNCTION("""COMPUTED_VALUE"""),"Raid Nami")</f>
        <v>Raid Nami</v>
      </c>
      <c r="E92" s="114" t="str">
        <f>IFERROR(__xludf.DUMMYFUNCTION("""COMPUTED_VALUE"""),"")</f>
        <v/>
      </c>
      <c r="F92" s="114"/>
      <c r="G92" s="114"/>
      <c r="H92" s="114"/>
      <c r="I92" s="114"/>
      <c r="J92" s="114"/>
      <c r="K92" s="114" t="s">
        <v>3165</v>
      </c>
      <c r="L92" s="114" t="s">
        <v>3166</v>
      </c>
      <c r="M92" s="114" t="s">
        <v>3167</v>
      </c>
      <c r="N92" s="114" t="s">
        <v>3168</v>
      </c>
      <c r="O92" s="114"/>
      <c r="P92" s="120">
        <v>251.0</v>
      </c>
      <c r="Q92" s="117" t="s">
        <v>3169</v>
      </c>
      <c r="R92" s="114"/>
      <c r="S92" s="117" t="s">
        <v>3170</v>
      </c>
      <c r="T92" s="114">
        <f t="shared" si="1"/>
        <v>91</v>
      </c>
      <c r="U92" s="114" t="s">
        <v>1520</v>
      </c>
      <c r="V92" s="114" t="str">
        <f>IFERROR(__xludf.DUMMYFUNCTION("REGEXREPLACE(U92, ""\n"", "" "")"),"Jinbe")</f>
        <v>Jinbe</v>
      </c>
      <c r="W92" s="114"/>
      <c r="X92" s="115" t="str">
        <f t="shared" si="2"/>
        <v>091 The Seven Warlords of the Sea - Jinbe - Medal [Jinbe]</v>
      </c>
      <c r="Y92" s="119"/>
      <c r="Z92" s="117" t="s">
        <v>3171</v>
      </c>
      <c r="AA92" s="117" t="s">
        <v>2280</v>
      </c>
      <c r="AB92" s="114"/>
      <c r="AC92" s="123" t="str">
        <f>IFERROR(__xludf.DUMMYFUNCTION("""COMPUTED_VALUE"""),"https://ik.imagekit.io/alaaalaa6171/252%20Raid%20on%20Onigashima%20-%20Usopp%20-%20Medal%20_Raid%20Usopp_.png?updatedAt=1770076450763")</f>
        <v>https://ik.imagekit.io/alaaalaa6171/252%20Raid%20on%20Onigashima%20-%20Usopp%20-%20Medal%20_Raid%20Usopp_.png?updatedAt=1770076450763</v>
      </c>
      <c r="AD92" s="123" t="str">
        <f>IFERROR(__xludf.DUMMYFUNCTION("""COMPUTED_VALUE"""),"https://ik.imagekit.io/alaaalaa6171/252%20Raid%20on%20Onigashima%20-%20Usopp%20-%20Medal%20_Raid%20Usopp_%20_Colored_.png?updatedAt=1770076448937")</f>
        <v>https://ik.imagekit.io/alaaalaa6171/252%20Raid%20on%20Onigashima%20-%20Usopp%20-%20Medal%20_Raid%20Usopp_%20_Colored_.png?updatedAt=1770076448937</v>
      </c>
      <c r="AE92" s="123" t="str">
        <f>IFERROR(__xludf.DUMMYFUNCTION("""COMPUTED_VALUE"""),"https://ik.imagekit.io/alaaalaa6171/252%20Raid%20on%20Onigashima%20-%20Usopp%20-%20Medal%20_Raid%20Usopp_%20-%20Piece.png?updatedAt=1770076448947")</f>
        <v>https://ik.imagekit.io/alaaalaa6171/252%20Raid%20on%20Onigashima%20-%20Usopp%20-%20Medal%20_Raid%20Usopp_%20-%20Piece.png?updatedAt=1770076448947</v>
      </c>
      <c r="AF92" s="123" t="str">
        <f>IFERROR(__xludf.DUMMYFUNCTION("""COMPUTED_VALUE"""),"https://ik.imagekit.io/alaaalaa6171/252%20Raid%20on%20Onigashima%20-%20Usopp%20-%20Medal%20_Raid%20Usopp_%20-%20Piece%20_Colored_.png?updatedAt=1770076448127")</f>
        <v>https://ik.imagekit.io/alaaalaa6171/252%20Raid%20on%20Onigashima%20-%20Usopp%20-%20Medal%20_Raid%20Usopp_%20-%20Piece%20_Colored_.png?updatedAt=1770076448127</v>
      </c>
      <c r="AG92" s="114"/>
      <c r="AH92" s="114"/>
      <c r="AI92" s="121" t="s">
        <v>3172</v>
      </c>
      <c r="AJ92" s="121" t="str">
        <f>IFERROR(__xludf.DUMMYFUNCTION("regexreplace(regexreplace(AI92, ""  \["", "" ""), ""\]$"", """")"),"091 - The Seven Warlords of the Sea ~ Jinbe - Medal - Crafted [Colored] - Jinbe")</f>
        <v>091 - The Seven Warlords of the Sea ~ Jinbe - Medal - Crafted [Colored] - Jinbe</v>
      </c>
      <c r="AK92" s="114"/>
      <c r="AL92" s="117" t="s">
        <v>3173</v>
      </c>
      <c r="AM92" s="117" t="s">
        <v>3174</v>
      </c>
      <c r="AN92" s="114"/>
      <c r="AO92" s="122">
        <f>IFERROR(__xludf.DUMMYFUNCTION("""COMPUTED_VALUE"""),217.0)</f>
        <v>217</v>
      </c>
      <c r="AP92" s="114" t="str">
        <f>IFERROR(__xludf.DUMMYFUNCTION("""COMPUTED_VALUE"""),"Robin
(Onigashima Infiltration)")</f>
        <v>Robin
(Onigashima Infiltration)</v>
      </c>
      <c r="AQ92" s="114" t="str">
        <f>IFERROR(__xludf.DUMMYFUNCTION("""COMPUTED_VALUE"""),"Robin (Onigashima Infiltration)")</f>
        <v>Robin (Onigashima Infiltration)</v>
      </c>
      <c r="AR92" s="114"/>
      <c r="AS92" s="114"/>
      <c r="AT92" s="123" t="str">
        <f>IFERROR(__xludf.DUMMYFUNCTION("""COMPUTED_VALUE"""),"https://i.postimg.cc/v87F9r5C/217.png")</f>
        <v>https://i.postimg.cc/v87F9r5C/217.png</v>
      </c>
      <c r="AU92" s="114"/>
      <c r="AV92" s="114"/>
      <c r="AW92" s="114"/>
      <c r="AX92" s="114" t="str">
        <f t="shared" si="3"/>
        <v>217 - Medal [Event] - Crafted - Robin (Onigashima Infiltration)</v>
      </c>
      <c r="AY92" s="114" t="s">
        <v>3175</v>
      </c>
      <c r="AZ92" s="114"/>
      <c r="BA92" s="114"/>
      <c r="BB92" s="114"/>
      <c r="BC92" s="114"/>
      <c r="BD92" s="114"/>
      <c r="BE92" s="114"/>
    </row>
    <row r="93" ht="37.5" customHeight="1">
      <c r="A93" s="118" t="s">
        <v>3176</v>
      </c>
      <c r="B93" s="117" t="s">
        <v>3177</v>
      </c>
      <c r="C93" s="119">
        <f>IFERROR(__xludf.DUMMYFUNCTION("""COMPUTED_VALUE"""),250.0)</f>
        <v>250</v>
      </c>
      <c r="D93" s="114" t="str">
        <f>IFERROR(__xludf.DUMMYFUNCTION("""COMPUTED_VALUE"""),"Namuji Glacier Fang")</f>
        <v>Namuji Glacier Fang</v>
      </c>
      <c r="E93" s="114" t="str">
        <f>IFERROR(__xludf.DUMMYFUNCTION("""COMPUTED_VALUE"""),"")</f>
        <v/>
      </c>
      <c r="F93" s="114"/>
      <c r="G93" s="114"/>
      <c r="H93" s="114"/>
      <c r="I93" s="114"/>
      <c r="J93" s="114"/>
      <c r="K93" s="114" t="s">
        <v>3178</v>
      </c>
      <c r="L93" s="114" t="s">
        <v>3179</v>
      </c>
      <c r="M93" s="114" t="s">
        <v>3180</v>
      </c>
      <c r="N93" s="114" t="s">
        <v>3181</v>
      </c>
      <c r="O93" s="114"/>
      <c r="P93" s="120">
        <v>250.0</v>
      </c>
      <c r="Q93" s="117" t="s">
        <v>3182</v>
      </c>
      <c r="R93" s="114"/>
      <c r="S93" s="117" t="s">
        <v>3183</v>
      </c>
      <c r="T93" s="114">
        <f t="shared" si="1"/>
        <v>92</v>
      </c>
      <c r="U93" s="114" t="s">
        <v>1516</v>
      </c>
      <c r="V93" s="114" t="str">
        <f>IFERROR(__xludf.DUMMYFUNCTION("REGEXREPLACE(U93, ""\n"", "" "")"),"Boeuf Jarret Jarrer")</f>
        <v>Boeuf Jarret Jarrer</v>
      </c>
      <c r="W93" s="114"/>
      <c r="X93" s="115" t="str">
        <f t="shared" si="2"/>
        <v>092 Whole Cake Island - Sanji - Medal [Boeuf Jarret Jarrer]</v>
      </c>
      <c r="Y93" s="119"/>
      <c r="Z93" s="117" t="s">
        <v>3184</v>
      </c>
      <c r="AA93" s="117" t="s">
        <v>2281</v>
      </c>
      <c r="AB93" s="114"/>
      <c r="AC93" s="123" t="str">
        <f>IFERROR(__xludf.DUMMYFUNCTION("""COMPUTED_VALUE"""),"https://ik.imagekit.io/alaaalaa6171/251%20Raid%20on%20Onigashima%20-%20Nami%20-%20Medal%20_Raid%20Nami_.png?updatedAt=1770076447975")</f>
        <v>https://ik.imagekit.io/alaaalaa6171/251%20Raid%20on%20Onigashima%20-%20Nami%20-%20Medal%20_Raid%20Nami_.png?updatedAt=1770076447975</v>
      </c>
      <c r="AD93" s="123" t="str">
        <f>IFERROR(__xludf.DUMMYFUNCTION("""COMPUTED_VALUE"""),"https://ik.imagekit.io/alaaalaa6171/251%20Raid%20on%20Onigashima%20-%20Nami%20-%20Medal%20_Raid%20Nami_%20_Colored_.png?updatedAt=1770076448380")</f>
        <v>https://ik.imagekit.io/alaaalaa6171/251%20Raid%20on%20Onigashima%20-%20Nami%20-%20Medal%20_Raid%20Nami_%20_Colored_.png?updatedAt=1770076448380</v>
      </c>
      <c r="AE93" s="123" t="str">
        <f>IFERROR(__xludf.DUMMYFUNCTION("""COMPUTED_VALUE"""),"https://ik.imagekit.io/alaaalaa6171/251%20Raid%20on%20Onigashima%20-%20Nami%20-%20Medal%20_Raid%20Nami_%20-%20Piece.png?updatedAt=1770076448266")</f>
        <v>https://ik.imagekit.io/alaaalaa6171/251%20Raid%20on%20Onigashima%20-%20Nami%20-%20Medal%20_Raid%20Nami_%20-%20Piece.png?updatedAt=1770076448266</v>
      </c>
      <c r="AF93" s="123" t="str">
        <f>IFERROR(__xludf.DUMMYFUNCTION("""COMPUTED_VALUE"""),"https://ik.imagekit.io/alaaalaa6171/251%20Raid%20on%20Onigashima%20-%20Nami%20-%20Medal%20_Raid%20Nami_%20-%20Piece%20_Colored_.png?updatedAt=1770076448267")</f>
        <v>https://ik.imagekit.io/alaaalaa6171/251%20Raid%20on%20Onigashima%20-%20Nami%20-%20Medal%20_Raid%20Nami_%20-%20Piece%20_Colored_.png?updatedAt=1770076448267</v>
      </c>
      <c r="AG93" s="114"/>
      <c r="AH93" s="114"/>
      <c r="AI93" s="121" t="s">
        <v>3185</v>
      </c>
      <c r="AJ93" s="121" t="str">
        <f>IFERROR(__xludf.DUMMYFUNCTION("regexreplace(regexreplace(AI93, ""  \["", "" ""), ""\]$"", """")"),"092 - Whole Cake Island ~ Sanji - Medal - Crafted [Colored] - Boeuf Jarret Jarrer")</f>
        <v>092 - Whole Cake Island ~ Sanji - Medal - Crafted [Colored] - Boeuf Jarret Jarrer</v>
      </c>
      <c r="AK93" s="114"/>
      <c r="AL93" s="117" t="s">
        <v>3186</v>
      </c>
      <c r="AM93" s="117" t="s">
        <v>3187</v>
      </c>
      <c r="AN93" s="114"/>
      <c r="AO93" s="122">
        <f>IFERROR(__xludf.DUMMYFUNCTION("""COMPUTED_VALUE"""),216.0)</f>
        <v>216</v>
      </c>
      <c r="AP93" s="114" t="str">
        <f>IFERROR(__xludf.DUMMYFUNCTION("""COMPUTED_VALUE"""),"Jinbe
(Onigashima Infiltration)")</f>
        <v>Jinbe
(Onigashima Infiltration)</v>
      </c>
      <c r="AQ93" s="114" t="str">
        <f>IFERROR(__xludf.DUMMYFUNCTION("""COMPUTED_VALUE"""),"Jinbe (Onigashima Infiltration)")</f>
        <v>Jinbe (Onigashima Infiltration)</v>
      </c>
      <c r="AR93" s="114"/>
      <c r="AS93" s="114"/>
      <c r="AT93" s="123" t="str">
        <f>IFERROR(__xludf.DUMMYFUNCTION("""COMPUTED_VALUE"""),"https://i.postimg.cc/T1Jz6xRT/216.png")</f>
        <v>https://i.postimg.cc/T1Jz6xRT/216.png</v>
      </c>
      <c r="AU93" s="114"/>
      <c r="AV93" s="114"/>
      <c r="AW93" s="114"/>
      <c r="AX93" s="114" t="str">
        <f t="shared" si="3"/>
        <v>216 - Medal [Event] - Crafted - Jinbe (Onigashima Infiltration)</v>
      </c>
      <c r="AY93" s="114" t="s">
        <v>3188</v>
      </c>
      <c r="AZ93" s="114"/>
      <c r="BA93" s="114"/>
      <c r="BB93" s="114"/>
      <c r="BC93" s="114"/>
      <c r="BD93" s="114"/>
      <c r="BE93" s="114"/>
    </row>
    <row r="94" ht="37.5" customHeight="1">
      <c r="A94" s="118" t="s">
        <v>3189</v>
      </c>
      <c r="B94" s="117" t="s">
        <v>3190</v>
      </c>
      <c r="C94" s="119">
        <f>IFERROR(__xludf.DUMMYFUNCTION("""COMPUTED_VALUE"""),249.0)</f>
        <v>249</v>
      </c>
      <c r="D94" s="114" t="str">
        <f>IFERROR(__xludf.DUMMYFUNCTION("""COMPUTED_VALUE"""),"Raid Brook")</f>
        <v>Raid Brook</v>
      </c>
      <c r="E94" s="114" t="str">
        <f>IFERROR(__xludf.DUMMYFUNCTION("""COMPUTED_VALUE"""),"")</f>
        <v/>
      </c>
      <c r="F94" s="114"/>
      <c r="G94" s="114"/>
      <c r="H94" s="114"/>
      <c r="I94" s="114"/>
      <c r="J94" s="114"/>
      <c r="K94" s="114" t="s">
        <v>3191</v>
      </c>
      <c r="L94" s="114" t="s">
        <v>3192</v>
      </c>
      <c r="M94" s="114" t="s">
        <v>3193</v>
      </c>
      <c r="N94" s="114" t="s">
        <v>3194</v>
      </c>
      <c r="O94" s="114"/>
      <c r="P94" s="120">
        <v>249.0</v>
      </c>
      <c r="Q94" s="117" t="s">
        <v>3195</v>
      </c>
      <c r="R94" s="114"/>
      <c r="S94" s="117" t="s">
        <v>3196</v>
      </c>
      <c r="T94" s="114">
        <f t="shared" si="1"/>
        <v>93</v>
      </c>
      <c r="U94" s="114" t="s">
        <v>1511</v>
      </c>
      <c r="V94" s="114" t="str">
        <f>IFERROR(__xludf.DUMMYFUNCTION("REGEXREPLACE(U94, ""\n"", "" "")"),"Bege")</f>
        <v>Bege</v>
      </c>
      <c r="W94" s="114"/>
      <c r="X94" s="115" t="str">
        <f t="shared" si="2"/>
        <v>093 Firetank Pirates / Godfather - Capone Bege - Medal [Bege]</v>
      </c>
      <c r="Y94" s="119"/>
      <c r="Z94" s="117" t="s">
        <v>3197</v>
      </c>
      <c r="AA94" s="117" t="s">
        <v>2279</v>
      </c>
      <c r="AB94" s="114"/>
      <c r="AC94" s="123" t="str">
        <f>IFERROR(__xludf.DUMMYFUNCTION("""COMPUTED_VALUE"""),"https://ik.imagekit.io/alaaalaa6171/250%20Okuchi-no-Makami%20-%20Yamato%20-%20Medal%20_Namuji%20Glacier%20Fang_.png?updatedAt=1770076447919")</f>
        <v>https://ik.imagekit.io/alaaalaa6171/250%20Okuchi-no-Makami%20-%20Yamato%20-%20Medal%20_Namuji%20Glacier%20Fang_.png?updatedAt=1770076447919</v>
      </c>
      <c r="AD94" s="123" t="str">
        <f>IFERROR(__xludf.DUMMYFUNCTION("""COMPUTED_VALUE"""),"https://ik.imagekit.io/alaaalaa6171/250%20Okuchi-no-Makami%20-%20Yamato%20-%20Medal%20_Namuji%20Glacier%20Fang_%20_Colored_.png?updatedAt=1770076447915")</f>
        <v>https://ik.imagekit.io/alaaalaa6171/250%20Okuchi-no-Makami%20-%20Yamato%20-%20Medal%20_Namuji%20Glacier%20Fang_%20_Colored_.png?updatedAt=1770076447915</v>
      </c>
      <c r="AE94" s="123" t="str">
        <f>IFERROR(__xludf.DUMMYFUNCTION("""COMPUTED_VALUE"""),"https://ik.imagekit.io/alaaalaa6171/250%20Okuchi-no-Makami%20-%20Yamato%20-%20Medal%20_Namuji%20Glacier%20Fang_%20-%20Piece.png?updatedAt=1770076447906")</f>
        <v>https://ik.imagekit.io/alaaalaa6171/250%20Okuchi-no-Makami%20-%20Yamato%20-%20Medal%20_Namuji%20Glacier%20Fang_%20-%20Piece.png?updatedAt=1770076447906</v>
      </c>
      <c r="AF94" s="123" t="str">
        <f>IFERROR(__xludf.DUMMYFUNCTION("""COMPUTED_VALUE"""),"https://ik.imagekit.io/alaaalaa6171/250%20Okuchi-no-Makami%20-%20Yamato%20-%20Medal%20_Namuji%20Glacier%20Fang_%20-%20Piece%20_Colored_.png?updatedAt=1770076448303")</f>
        <v>https://ik.imagekit.io/alaaalaa6171/250%20Okuchi-no-Makami%20-%20Yamato%20-%20Medal%20_Namuji%20Glacier%20Fang_%20-%20Piece%20_Colored_.png?updatedAt=1770076448303</v>
      </c>
      <c r="AG94" s="114"/>
      <c r="AH94" s="114"/>
      <c r="AI94" s="121" t="s">
        <v>3198</v>
      </c>
      <c r="AJ94" s="121" t="str">
        <f>IFERROR(__xludf.DUMMYFUNCTION("regexreplace(regexreplace(AI94, ""  \["", "" ""), ""\]$"", """")"),"093 - Firetank Pirates_Godfather ~ Capone Bege - Medal - Crafted [Colored] - Bege")</f>
        <v>093 - Firetank Pirates_Godfather ~ Capone Bege - Medal - Crafted [Colored] - Bege</v>
      </c>
      <c r="AK94" s="114"/>
      <c r="AL94" s="117" t="s">
        <v>3199</v>
      </c>
      <c r="AM94" s="117" t="s">
        <v>3200</v>
      </c>
      <c r="AN94" s="114"/>
      <c r="AO94" s="122">
        <f>IFERROR(__xludf.DUMMYFUNCTION("""COMPUTED_VALUE"""),215.0)</f>
        <v>215</v>
      </c>
      <c r="AP94" s="114" t="str">
        <f>IFERROR(__xludf.DUMMYFUNCTION("""COMPUTED_VALUE"""),"Page One
(Human_Monster Form)")</f>
        <v>Page One
(Human_Monster Form)</v>
      </c>
      <c r="AQ94" s="114" t="str">
        <f>IFERROR(__xludf.DUMMYFUNCTION("""COMPUTED_VALUE"""),"Page One (Human_Monster Form)")</f>
        <v>Page One (Human_Monster Form)</v>
      </c>
      <c r="AR94" s="114"/>
      <c r="AS94" s="114"/>
      <c r="AT94" s="123" t="str">
        <f>IFERROR(__xludf.DUMMYFUNCTION("""COMPUTED_VALUE"""),"https://i.postimg.cc/VLgJqTsr/215.png")</f>
        <v>https://i.postimg.cc/VLgJqTsr/215.png</v>
      </c>
      <c r="AU94" s="114"/>
      <c r="AV94" s="114"/>
      <c r="AW94" s="114"/>
      <c r="AX94" s="114" t="str">
        <f t="shared" si="3"/>
        <v>215 - Medal [Event] - Crafted - Page One (Human_Monster Form)</v>
      </c>
      <c r="AY94" s="114" t="s">
        <v>3201</v>
      </c>
      <c r="AZ94" s="114"/>
      <c r="BA94" s="114"/>
      <c r="BB94" s="114"/>
      <c r="BC94" s="114"/>
      <c r="BD94" s="114"/>
      <c r="BE94" s="114"/>
    </row>
    <row r="95" ht="37.5" customHeight="1">
      <c r="A95" s="118" t="s">
        <v>3202</v>
      </c>
      <c r="B95" s="117" t="s">
        <v>3203</v>
      </c>
      <c r="C95" s="119">
        <f>IFERROR(__xludf.DUMMYFUNCTION("""COMPUTED_VALUE"""),248.0)</f>
        <v>248</v>
      </c>
      <c r="D95" s="114" t="str">
        <f>IFERROR(__xludf.DUMMYFUNCTION("""COMPUTED_VALUE"""),"Raid Robin")</f>
        <v>Raid Robin</v>
      </c>
      <c r="E95" s="114" t="str">
        <f>IFERROR(__xludf.DUMMYFUNCTION("""COMPUTED_VALUE"""),"")</f>
        <v/>
      </c>
      <c r="F95" s="114"/>
      <c r="G95" s="114"/>
      <c r="H95" s="114"/>
      <c r="I95" s="114"/>
      <c r="J95" s="114"/>
      <c r="K95" s="114" t="s">
        <v>3204</v>
      </c>
      <c r="L95" s="114" t="s">
        <v>3205</v>
      </c>
      <c r="M95" s="114" t="s">
        <v>3206</v>
      </c>
      <c r="N95" s="114" t="s">
        <v>3207</v>
      </c>
      <c r="O95" s="114"/>
      <c r="P95" s="120">
        <v>248.0</v>
      </c>
      <c r="Q95" s="117" t="s">
        <v>3208</v>
      </c>
      <c r="R95" s="114"/>
      <c r="S95" s="117" t="s">
        <v>3209</v>
      </c>
      <c r="T95" s="114">
        <f t="shared" si="1"/>
        <v>94</v>
      </c>
      <c r="U95" s="114" t="s">
        <v>1507</v>
      </c>
      <c r="V95" s="114" t="str">
        <f>IFERROR(__xludf.DUMMYFUNCTION("REGEXREPLACE(U95, ""\n"", "" "")"),"Reiju")</f>
        <v>Reiju</v>
      </c>
      <c r="W95" s="114"/>
      <c r="X95" s="115" t="str">
        <f t="shared" si="2"/>
        <v>094 Germa 66 - Vinsmoke Reiju - Medal [Reiju]</v>
      </c>
      <c r="Y95" s="119"/>
      <c r="Z95" s="117" t="s">
        <v>3210</v>
      </c>
      <c r="AA95" s="117" t="s">
        <v>2291</v>
      </c>
      <c r="AB95" s="114"/>
      <c r="AC95" s="123" t="str">
        <f>IFERROR(__xludf.DUMMYFUNCTION("""COMPUTED_VALUE"""),"https://ik.imagekit.io/alaaalaa6171/249%20Raid%20on%20Onigashima%20-%20Brook%20-%20Medal%20_Raid%20Brook_.png?updatedAt=1770076447851")</f>
        <v>https://ik.imagekit.io/alaaalaa6171/249%20Raid%20on%20Onigashima%20-%20Brook%20-%20Medal%20_Raid%20Brook_.png?updatedAt=1770076447851</v>
      </c>
      <c r="AD95" s="123" t="str">
        <f>IFERROR(__xludf.DUMMYFUNCTION("""COMPUTED_VALUE"""),"https://ik.imagekit.io/alaaalaa6171/249%20Raid%20on%20Onigashima%20-%20Brook%20-%20Medal%20_Raid%20Brook_%20_Colored_.png?updatedAt=1770076447847")</f>
        <v>https://ik.imagekit.io/alaaalaa6171/249%20Raid%20on%20Onigashima%20-%20Brook%20-%20Medal%20_Raid%20Brook_%20_Colored_.png?updatedAt=1770076447847</v>
      </c>
      <c r="AE95" s="123" t="str">
        <f>IFERROR(__xludf.DUMMYFUNCTION("""COMPUTED_VALUE"""),"https://ik.imagekit.io/alaaalaa6171/249%20Raid%20on%20Onigashima%20-%20Brook%20-%20Medal%20_Raid%20Brook_%20-%20Piece.png?updatedAt=1770076447868")</f>
        <v>https://ik.imagekit.io/alaaalaa6171/249%20Raid%20on%20Onigashima%20-%20Brook%20-%20Medal%20_Raid%20Brook_%20-%20Piece.png?updatedAt=1770076447868</v>
      </c>
      <c r="AF95" s="123" t="str">
        <f>IFERROR(__xludf.DUMMYFUNCTION("""COMPUTED_VALUE"""),"https://ik.imagekit.io/alaaalaa6171/249%20Raid%20on%20Onigashima%20-%20Brook%20-%20Medal%20_Raid%20Brook_%20-%20Piece%20_Colored_.png?updatedAt=1770076447908")</f>
        <v>https://ik.imagekit.io/alaaalaa6171/249%20Raid%20on%20Onigashima%20-%20Brook%20-%20Medal%20_Raid%20Brook_%20-%20Piece%20_Colored_.png?updatedAt=1770076447908</v>
      </c>
      <c r="AG95" s="114"/>
      <c r="AH95" s="114"/>
      <c r="AI95" s="121" t="s">
        <v>3211</v>
      </c>
      <c r="AJ95" s="121" t="str">
        <f>IFERROR(__xludf.DUMMYFUNCTION("regexreplace(regexreplace(AI95, ""  \["", "" ""), ""\]$"", """")"),"094 - Germa 66 ~ Vinsmoke Reiju - Medal - Crafted [Colored] - Reiju")</f>
        <v>094 - Germa 66 ~ Vinsmoke Reiju - Medal - Crafted [Colored] - Reiju</v>
      </c>
      <c r="AK95" s="114"/>
      <c r="AL95" s="117" t="s">
        <v>3212</v>
      </c>
      <c r="AM95" s="117" t="s">
        <v>3213</v>
      </c>
      <c r="AN95" s="114"/>
      <c r="AO95" s="122">
        <f>IFERROR(__xludf.DUMMYFUNCTION("""COMPUTED_VALUE"""),214.0)</f>
        <v>214</v>
      </c>
      <c r="AP95" s="114" t="str">
        <f>IFERROR(__xludf.DUMMYFUNCTION("""COMPUTED_VALUE"""),"Ulti
(Human_Monster Form)")</f>
        <v>Ulti
(Human_Monster Form)</v>
      </c>
      <c r="AQ95" s="114" t="str">
        <f>IFERROR(__xludf.DUMMYFUNCTION("""COMPUTED_VALUE"""),"Ulti (Human_Monster Form)")</f>
        <v>Ulti (Human_Monster Form)</v>
      </c>
      <c r="AR95" s="114"/>
      <c r="AS95" s="114"/>
      <c r="AT95" s="123" t="str">
        <f>IFERROR(__xludf.DUMMYFUNCTION("""COMPUTED_VALUE"""),"https://i.postimg.cc/zGP3Mggq/214.png")</f>
        <v>https://i.postimg.cc/zGP3Mggq/214.png</v>
      </c>
      <c r="AU95" s="114"/>
      <c r="AV95" s="114"/>
      <c r="AW95" s="114"/>
      <c r="AX95" s="114" t="str">
        <f t="shared" si="3"/>
        <v>214 - Medal [Event] - Crafted - Ulti (Human_Monster Form)</v>
      </c>
      <c r="AY95" s="114" t="s">
        <v>3214</v>
      </c>
      <c r="AZ95" s="114"/>
      <c r="BA95" s="114"/>
      <c r="BB95" s="114"/>
      <c r="BC95" s="114"/>
      <c r="BD95" s="114"/>
      <c r="BE95" s="114"/>
    </row>
    <row r="96" ht="37.5" customHeight="1">
      <c r="A96" s="118" t="s">
        <v>3215</v>
      </c>
      <c r="B96" s="117" t="s">
        <v>3216</v>
      </c>
      <c r="C96" s="119">
        <f>IFERROR(__xludf.DUMMYFUNCTION("""COMPUTED_VALUE"""),247.0)</f>
        <v>247</v>
      </c>
      <c r="D96" s="114" t="str">
        <f>IFERROR(__xludf.DUMMYFUNCTION("""COMPUTED_VALUE"""),"Ideo")</f>
        <v>Ideo</v>
      </c>
      <c r="E96" s="114" t="str">
        <f>IFERROR(__xludf.DUMMYFUNCTION("""COMPUTED_VALUE"""),"")</f>
        <v/>
      </c>
      <c r="F96" s="114"/>
      <c r="G96" s="114"/>
      <c r="H96" s="114"/>
      <c r="I96" s="114"/>
      <c r="J96" s="114"/>
      <c r="K96" s="114" t="s">
        <v>3217</v>
      </c>
      <c r="L96" s="114" t="s">
        <v>3218</v>
      </c>
      <c r="M96" s="114" t="s">
        <v>3219</v>
      </c>
      <c r="N96" s="114" t="s">
        <v>3220</v>
      </c>
      <c r="O96" s="114"/>
      <c r="P96" s="120">
        <v>247.0</v>
      </c>
      <c r="Q96" s="117" t="s">
        <v>3221</v>
      </c>
      <c r="R96" s="114"/>
      <c r="S96" s="117" t="s">
        <v>3222</v>
      </c>
      <c r="T96" s="114">
        <f t="shared" si="1"/>
        <v>95</v>
      </c>
      <c r="U96" s="114" t="s">
        <v>1500</v>
      </c>
      <c r="V96" s="114" t="str">
        <f>IFERROR(__xludf.DUMMYFUNCTION("REGEXREPLACE(U96, ""\n"", "" "")"),"Kuma")</f>
        <v>Kuma</v>
      </c>
      <c r="W96" s="114"/>
      <c r="X96" s="115" t="str">
        <f t="shared" si="2"/>
        <v>095 The Seven Warlords of the Sea - Bartholomew Kuma - Medal [Kuma]</v>
      </c>
      <c r="Y96" s="119"/>
      <c r="Z96" s="117" t="s">
        <v>3223</v>
      </c>
      <c r="AA96" s="117" t="s">
        <v>2293</v>
      </c>
      <c r="AB96" s="114"/>
      <c r="AC96" s="123" t="str">
        <f>IFERROR(__xludf.DUMMYFUNCTION("""COMPUTED_VALUE"""),"https://ik.imagekit.io/alaaalaa6171/248%20Raid%20on%20Onigashima%20-%20Nico%20Robin%20-%20Medal%20_Raid%20Robin_.png?updatedAt=1770076447874")</f>
        <v>https://ik.imagekit.io/alaaalaa6171/248%20Raid%20on%20Onigashima%20-%20Nico%20Robin%20-%20Medal%20_Raid%20Robin_.png?updatedAt=1770076447874</v>
      </c>
      <c r="AD96" s="123" t="str">
        <f>IFERROR(__xludf.DUMMYFUNCTION("""COMPUTED_VALUE"""),"https://ik.imagekit.io/alaaalaa6171/248%20Raid%20on%20Onigashima%20-%20Nico%20Robin%20-%20Medal%20_Raid%20Robin_%20_Colored_.png?updatedAt=1770076447913")</f>
        <v>https://ik.imagekit.io/alaaalaa6171/248%20Raid%20on%20Onigashima%20-%20Nico%20Robin%20-%20Medal%20_Raid%20Robin_%20_Colored_.png?updatedAt=1770076447913</v>
      </c>
      <c r="AE96" s="123" t="str">
        <f>IFERROR(__xludf.DUMMYFUNCTION("""COMPUTED_VALUE"""),"https://ik.imagekit.io/alaaalaa6171/248%20Raid%20on%20Onigashima%20-%20Nico%20Robin%20-%20Medal%20_Raid%20Robin_%20-%20Piece.png?updatedAt=1770076447918")</f>
        <v>https://ik.imagekit.io/alaaalaa6171/248%20Raid%20on%20Onigashima%20-%20Nico%20Robin%20-%20Medal%20_Raid%20Robin_%20-%20Piece.png?updatedAt=1770076447918</v>
      </c>
      <c r="AF96" s="123" t="str">
        <f>IFERROR(__xludf.DUMMYFUNCTION("""COMPUTED_VALUE"""),"https://ik.imagekit.io/alaaalaa6171/248%20Raid%20on%20Onigashima%20-%20Nico%20Robin%20-%20Medal%20_Raid%20Robin_%20-%20Piece%20_Colored_.png?updatedAt=1770076447827")</f>
        <v>https://ik.imagekit.io/alaaalaa6171/248%20Raid%20on%20Onigashima%20-%20Nico%20Robin%20-%20Medal%20_Raid%20Robin_%20-%20Piece%20_Colored_.png?updatedAt=1770076447827</v>
      </c>
      <c r="AG96" s="114"/>
      <c r="AH96" s="114"/>
      <c r="AI96" s="121" t="s">
        <v>3224</v>
      </c>
      <c r="AJ96" s="121" t="str">
        <f>IFERROR(__xludf.DUMMYFUNCTION("regexreplace(regexreplace(AI96, ""  \["", "" ""), ""\]$"", """")"),"095 - The Seven Warlords of the Sea ~ Bartholomew Kuma - Medal - Crafted [Colored] - Kuma")</f>
        <v>095 - The Seven Warlords of the Sea ~ Bartholomew Kuma - Medal - Crafted [Colored] - Kuma</v>
      </c>
      <c r="AK96" s="114"/>
      <c r="AL96" s="117" t="s">
        <v>3225</v>
      </c>
      <c r="AM96" s="117" t="s">
        <v>3226</v>
      </c>
      <c r="AN96" s="114"/>
      <c r="AO96" s="122">
        <f>IFERROR(__xludf.DUMMYFUNCTION("""COMPUTED_VALUE"""),213.0)</f>
        <v>213</v>
      </c>
      <c r="AP96" s="114" t="str">
        <f>IFERROR(__xludf.DUMMYFUNCTION("""COMPUTED_VALUE"""),"Inventor")</f>
        <v>Inventor</v>
      </c>
      <c r="AQ96" s="114" t="str">
        <f>IFERROR(__xludf.DUMMYFUNCTION("""COMPUTED_VALUE"""),"Inventor")</f>
        <v>Inventor</v>
      </c>
      <c r="AR96" s="114"/>
      <c r="AS96" s="114"/>
      <c r="AT96" s="123" t="str">
        <f>IFERROR(__xludf.DUMMYFUNCTION("""COMPUTED_VALUE"""),"https://i.postimg.cc/kg5BfcDj/213.png")</f>
        <v>https://i.postimg.cc/kg5BfcDj/213.png</v>
      </c>
      <c r="AU96" s="114"/>
      <c r="AV96" s="114"/>
      <c r="AW96" s="114"/>
      <c r="AX96" s="114" t="str">
        <f t="shared" si="3"/>
        <v>213 - Medal [Event] - Crafted - Inventor</v>
      </c>
      <c r="AY96" s="114" t="s">
        <v>3227</v>
      </c>
      <c r="AZ96" s="114"/>
      <c r="BA96" s="114"/>
      <c r="BB96" s="114"/>
      <c r="BC96" s="114"/>
      <c r="BD96" s="114"/>
      <c r="BE96" s="114"/>
    </row>
    <row r="97" ht="37.5" customHeight="1">
      <c r="A97" s="118" t="s">
        <v>3228</v>
      </c>
      <c r="B97" s="117" t="s">
        <v>3229</v>
      </c>
      <c r="C97" s="119">
        <f>IFERROR(__xludf.DUMMYFUNCTION("""COMPUTED_VALUE"""),246.0)</f>
        <v>246</v>
      </c>
      <c r="D97" s="114" t="str">
        <f>IFERROR(__xludf.DUMMYFUNCTION("""COMPUTED_VALUE"""),"Elizabello II")</f>
        <v>Elizabello II</v>
      </c>
      <c r="E97" s="114" t="str">
        <f>IFERROR(__xludf.DUMMYFUNCTION("""COMPUTED_VALUE"""),"")</f>
        <v/>
      </c>
      <c r="F97" s="114"/>
      <c r="G97" s="114"/>
      <c r="H97" s="114"/>
      <c r="I97" s="114"/>
      <c r="J97" s="114"/>
      <c r="K97" s="114" t="s">
        <v>3230</v>
      </c>
      <c r="L97" s="114" t="s">
        <v>3231</v>
      </c>
      <c r="M97" s="114" t="s">
        <v>3232</v>
      </c>
      <c r="N97" s="114" t="s">
        <v>3233</v>
      </c>
      <c r="O97" s="114"/>
      <c r="P97" s="120">
        <v>246.0</v>
      </c>
      <c r="Q97" s="117" t="s">
        <v>3234</v>
      </c>
      <c r="R97" s="114"/>
      <c r="S97" s="117" t="s">
        <v>3235</v>
      </c>
      <c r="T97" s="114">
        <f t="shared" si="1"/>
        <v>96</v>
      </c>
      <c r="U97" s="114" t="s">
        <v>1493</v>
      </c>
      <c r="V97" s="114" t="str">
        <f>IFERROR(__xludf.DUMMYFUNCTION("REGEXREPLACE(U97, ""\n"", "" "")"),"Snow Creature")</f>
        <v>Snow Creature</v>
      </c>
      <c r="W97" s="114"/>
      <c r="X97" s="115" t="str">
        <f t="shared" si="2"/>
        <v>096 Happy Holiday - Tony Tony Chopper - Medal [Snow Creature]</v>
      </c>
      <c r="Y97" s="119"/>
      <c r="Z97" s="117" t="s">
        <v>3236</v>
      </c>
      <c r="AA97" s="117" t="s">
        <v>2294</v>
      </c>
      <c r="AB97" s="114"/>
      <c r="AC97" s="123" t="str">
        <f>IFERROR(__xludf.DUMMYFUNCTION("""COMPUTED_VALUE"""),"https://ik.imagekit.io/alaaalaa6171/247%20Triple-X-Level%20Boxer%20-%20Ideo%20-%20Medal%20_Ideo_.png?updatedAt=1770076447825")</f>
        <v>https://ik.imagekit.io/alaaalaa6171/247%20Triple-X-Level%20Boxer%20-%20Ideo%20-%20Medal%20_Ideo_.png?updatedAt=1770076447825</v>
      </c>
      <c r="AD97" s="123" t="str">
        <f>IFERROR(__xludf.DUMMYFUNCTION("""COMPUTED_VALUE"""),"https://ik.imagekit.io/alaaalaa6171/247%20Triple-X-Level%20Boxer%20-%20Ideo%20-%20Medal%20_Ideo_%20_Colored_.png?updatedAt=1770076447861")</f>
        <v>https://ik.imagekit.io/alaaalaa6171/247%20Triple-X-Level%20Boxer%20-%20Ideo%20-%20Medal%20_Ideo_%20_Colored_.png?updatedAt=1770076447861</v>
      </c>
      <c r="AE97" s="123" t="str">
        <f>IFERROR(__xludf.DUMMYFUNCTION("""COMPUTED_VALUE"""),"https://ik.imagekit.io/alaaalaa6171/247%20Triple-X-Level%20Boxer%20-%20Ideo%20-%20Medal%20_Ideo_%20-%20Piece.png?updatedAt=1770076447897")</f>
        <v>https://ik.imagekit.io/alaaalaa6171/247%20Triple-X-Level%20Boxer%20-%20Ideo%20-%20Medal%20_Ideo_%20-%20Piece.png?updatedAt=1770076447897</v>
      </c>
      <c r="AF97" s="123" t="str">
        <f>IFERROR(__xludf.DUMMYFUNCTION("""COMPUTED_VALUE"""),"https://ik.imagekit.io/alaaalaa6171/247%20Triple-X-Level%20Boxer%20-%20Ideo%20-%20Medal%20_Ideo_%20-%20Piece%20_Colored_.png?updatedAt=1770076447908")</f>
        <v>https://ik.imagekit.io/alaaalaa6171/247%20Triple-X-Level%20Boxer%20-%20Ideo%20-%20Medal%20_Ideo_%20-%20Piece%20_Colored_.png?updatedAt=1770076447908</v>
      </c>
      <c r="AG97" s="114"/>
      <c r="AH97" s="114"/>
      <c r="AI97" s="121" t="s">
        <v>3237</v>
      </c>
      <c r="AJ97" s="121" t="str">
        <f>IFERROR(__xludf.DUMMYFUNCTION("regexreplace(regexreplace(AI97, ""  \["", "" ""), ""\]$"", """")"),"096 - Happy Holiday ~ Tony Tony Chopper - Medal - Crafted [Colored] - Snow Creature")</f>
        <v>096 - Happy Holiday ~ Tony Tony Chopper - Medal - Crafted [Colored] - Snow Creature</v>
      </c>
      <c r="AK97" s="114"/>
      <c r="AL97" s="117" t="s">
        <v>3238</v>
      </c>
      <c r="AM97" s="117" t="s">
        <v>3239</v>
      </c>
      <c r="AN97" s="114"/>
      <c r="AO97" s="122">
        <f>IFERROR(__xludf.DUMMYFUNCTION("""COMPUTED_VALUE"""),212.0)</f>
        <v>212</v>
      </c>
      <c r="AP97" s="114" t="str">
        <f>IFERROR(__xludf.DUMMYFUNCTION("""COMPUTED_VALUE"""),"Horm_Horm")</f>
        <v>Horm_Horm</v>
      </c>
      <c r="AQ97" s="114" t="str">
        <f>IFERROR(__xludf.DUMMYFUNCTION("""COMPUTED_VALUE"""),"Horm_Horm")</f>
        <v>Horm_Horm</v>
      </c>
      <c r="AR97" s="114"/>
      <c r="AS97" s="114"/>
      <c r="AT97" s="123" t="str">
        <f>IFERROR(__xludf.DUMMYFUNCTION("""COMPUTED_VALUE"""),"https://i.postimg.cc/sDsBZyzC/212.png")</f>
        <v>https://i.postimg.cc/sDsBZyzC/212.png</v>
      </c>
      <c r="AU97" s="114"/>
      <c r="AV97" s="114"/>
      <c r="AW97" s="114"/>
      <c r="AX97" s="114" t="str">
        <f t="shared" si="3"/>
        <v>212 - Medal [Event] - Crafted - Horm_Horm</v>
      </c>
      <c r="AY97" s="114" t="s">
        <v>3240</v>
      </c>
      <c r="AZ97" s="114"/>
      <c r="BA97" s="114"/>
      <c r="BB97" s="114"/>
      <c r="BC97" s="114"/>
      <c r="BD97" s="114"/>
      <c r="BE97" s="114"/>
    </row>
    <row r="98" ht="37.5" customHeight="1">
      <c r="A98" s="118" t="s">
        <v>3241</v>
      </c>
      <c r="B98" s="117" t="s">
        <v>3242</v>
      </c>
      <c r="C98" s="119">
        <f>IFERROR(__xludf.DUMMYFUNCTION("""COMPUTED_VALUE"""),245.0)</f>
        <v>245</v>
      </c>
      <c r="D98" s="114" t="str">
        <f>IFERROR(__xludf.DUMMYFUNCTION("""COMPUTED_VALUE"""),"Kung Fu Jugon")</f>
        <v>Kung Fu Jugon</v>
      </c>
      <c r="E98" s="114" t="str">
        <f>IFERROR(__xludf.DUMMYFUNCTION("""COMPUTED_VALUE"""),"")</f>
        <v/>
      </c>
      <c r="F98" s="114"/>
      <c r="G98" s="114"/>
      <c r="H98" s="114"/>
      <c r="I98" s="114"/>
      <c r="J98" s="114"/>
      <c r="K98" s="114" t="s">
        <v>3243</v>
      </c>
      <c r="L98" s="114" t="s">
        <v>3244</v>
      </c>
      <c r="M98" s="114" t="s">
        <v>3245</v>
      </c>
      <c r="N98" s="114" t="s">
        <v>3246</v>
      </c>
      <c r="O98" s="114"/>
      <c r="P98" s="120">
        <v>245.0</v>
      </c>
      <c r="Q98" s="117" t="s">
        <v>3247</v>
      </c>
      <c r="R98" s="114"/>
      <c r="S98" s="117" t="s">
        <v>3248</v>
      </c>
      <c r="T98" s="114">
        <f t="shared" si="1"/>
        <v>97</v>
      </c>
      <c r="U98" s="114" t="s">
        <v>1487</v>
      </c>
      <c r="V98" s="114" t="str">
        <f>IFERROR(__xludf.DUMMYFUNCTION("REGEXREPLACE(U98, ""\n"", "" "")"),"Nipple Iight")</f>
        <v>Nipple Iight</v>
      </c>
      <c r="W98" s="114"/>
      <c r="X98" s="115" t="str">
        <f t="shared" si="2"/>
        <v>097 Happy Holiday - Franky - Medal [Nipple Iight]</v>
      </c>
      <c r="Y98" s="119"/>
      <c r="Z98" s="117" t="s">
        <v>3249</v>
      </c>
      <c r="AA98" s="117" t="s">
        <v>2292</v>
      </c>
      <c r="AB98" s="114"/>
      <c r="AC98" s="123" t="str">
        <f>IFERROR(__xludf.DUMMYFUNCTION("""COMPUTED_VALUE"""),"https://ik.imagekit.io/alaaalaa6171/246%20The%20Kingdom%20of%20Prodence_King%20-%20Elizabello%20II%20-%20Medal%20_Elizabello%20II_.png?updatedAt=1770076447898")</f>
        <v>https://ik.imagekit.io/alaaalaa6171/246%20The%20Kingdom%20of%20Prodence_King%20-%20Elizabello%20II%20-%20Medal%20_Elizabello%20II_.png?updatedAt=1770076447898</v>
      </c>
      <c r="AD98" s="123" t="str">
        <f>IFERROR(__xludf.DUMMYFUNCTION("""COMPUTED_VALUE"""),"https://ik.imagekit.io/alaaalaa6171/246%20The%20Kingdom%20of%20Prodence_King%20-%20Elizabello%20II%20-%20Medal%20_Elizabello%20II_%20_Colored_.png?updatedAt=1770076447808")</f>
        <v>https://ik.imagekit.io/alaaalaa6171/246%20The%20Kingdom%20of%20Prodence_King%20-%20Elizabello%20II%20-%20Medal%20_Elizabello%20II_%20_Colored_.png?updatedAt=1770076447808</v>
      </c>
      <c r="AE98" s="123" t="str">
        <f>IFERROR(__xludf.DUMMYFUNCTION("""COMPUTED_VALUE"""),"https://ik.imagekit.io/alaaalaa6171/246%20The%20Kingdom%20of%20Prodence_King%20-%20Elizabello%20II%20-%20Medal%20_Elizabello%20II_%20-%20Piece.png?updatedAt=1770076447818")</f>
        <v>https://ik.imagekit.io/alaaalaa6171/246%20The%20Kingdom%20of%20Prodence_King%20-%20Elizabello%20II%20-%20Medal%20_Elizabello%20II_%20-%20Piece.png?updatedAt=1770076447818</v>
      </c>
      <c r="AF98" s="123" t="str">
        <f>IFERROR(__xludf.DUMMYFUNCTION("""COMPUTED_VALUE"""),"https://ik.imagekit.io/alaaalaa6171/246%20The%20Kingdom%20of%20Prodence_King%20-%20Elizabello%20II%20-%20Medal%20_Elizabello%20II_%20-%20Piece%20_Colored_.png?updatedAt=1770076447821")</f>
        <v>https://ik.imagekit.io/alaaalaa6171/246%20The%20Kingdom%20of%20Prodence_King%20-%20Elizabello%20II%20-%20Medal%20_Elizabello%20II_%20-%20Piece%20_Colored_.png?updatedAt=1770076447821</v>
      </c>
      <c r="AG98" s="114"/>
      <c r="AH98" s="114"/>
      <c r="AI98" s="121" t="s">
        <v>3250</v>
      </c>
      <c r="AJ98" s="121" t="str">
        <f>IFERROR(__xludf.DUMMYFUNCTION("regexreplace(regexreplace(AI98, ""  \["", "" ""), ""\]$"", """")"),"097 - Happy Holiday ~ Franky - Medal - Crafted [Colored] - Nipple Iight")</f>
        <v>097 - Happy Holiday ~ Franky - Medal - Crafted [Colored] - Nipple Iight</v>
      </c>
      <c r="AK98" s="114"/>
      <c r="AL98" s="117" t="s">
        <v>3251</v>
      </c>
      <c r="AM98" s="117" t="s">
        <v>3252</v>
      </c>
      <c r="AN98" s="114"/>
      <c r="AO98" s="122">
        <f>IFERROR(__xludf.DUMMYFUNCTION("""COMPUTED_VALUE"""),211.0)</f>
        <v>211</v>
      </c>
      <c r="AP98" s="114" t="str">
        <f>IFERROR(__xludf.DUMMYFUNCTION("""COMPUTED_VALUE"""),"Push_Push")</f>
        <v>Push_Push</v>
      </c>
      <c r="AQ98" s="114" t="str">
        <f>IFERROR(__xludf.DUMMYFUNCTION("""COMPUTED_VALUE"""),"Push_Push")</f>
        <v>Push_Push</v>
      </c>
      <c r="AR98" s="114"/>
      <c r="AS98" s="114"/>
      <c r="AT98" s="123" t="str">
        <f>IFERROR(__xludf.DUMMYFUNCTION("""COMPUTED_VALUE"""),"https://i.postimg.cc/mZQzDk0S/211.png")</f>
        <v>https://i.postimg.cc/mZQzDk0S/211.png</v>
      </c>
      <c r="AU98" s="114"/>
      <c r="AV98" s="114"/>
      <c r="AW98" s="114"/>
      <c r="AX98" s="114" t="str">
        <f t="shared" si="3"/>
        <v>211 - Medal [Event] - Crafted - Push_Push</v>
      </c>
      <c r="AY98" s="114" t="s">
        <v>3253</v>
      </c>
      <c r="AZ98" s="114"/>
      <c r="BA98" s="114"/>
      <c r="BB98" s="114"/>
      <c r="BC98" s="114"/>
      <c r="BD98" s="114"/>
      <c r="BE98" s="114"/>
    </row>
    <row r="99" ht="37.5" customHeight="1">
      <c r="A99" s="118" t="s">
        <v>3254</v>
      </c>
      <c r="B99" s="117" t="s">
        <v>3255</v>
      </c>
      <c r="C99" s="119">
        <f>IFERROR(__xludf.DUMMYFUNCTION("""COMPUTED_VALUE"""),244.0)</f>
        <v>244</v>
      </c>
      <c r="D99" s="114" t="str">
        <f>IFERROR(__xludf.DUMMYFUNCTION("""COMPUTED_VALUE"""),"Hakuba")</f>
        <v>Hakuba</v>
      </c>
      <c r="E99" s="114" t="str">
        <f>IFERROR(__xludf.DUMMYFUNCTION("""COMPUTED_VALUE"""),"")</f>
        <v/>
      </c>
      <c r="F99" s="114"/>
      <c r="G99" s="114"/>
      <c r="H99" s="114"/>
      <c r="I99" s="114"/>
      <c r="J99" s="114"/>
      <c r="K99" s="114" t="s">
        <v>3256</v>
      </c>
      <c r="L99" s="114" t="s">
        <v>3257</v>
      </c>
      <c r="M99" s="114" t="s">
        <v>3258</v>
      </c>
      <c r="N99" s="114" t="s">
        <v>3259</v>
      </c>
      <c r="O99" s="114"/>
      <c r="P99" s="120">
        <v>244.0</v>
      </c>
      <c r="Q99" s="117" t="s">
        <v>3260</v>
      </c>
      <c r="R99" s="114"/>
      <c r="S99" s="117" t="s">
        <v>3261</v>
      </c>
      <c r="T99" s="114">
        <f t="shared" si="1"/>
        <v>98</v>
      </c>
      <c r="U99" s="114" t="s">
        <v>1481</v>
      </c>
      <c r="V99" s="114" t="str">
        <f>IFERROR(__xludf.DUMMYFUNCTION("REGEXREPLACE(U99, ""\n"", "" "")"),"Cuerpo Fleurs")</f>
        <v>Cuerpo Fleurs</v>
      </c>
      <c r="W99" s="114"/>
      <c r="X99" s="115" t="str">
        <f t="shared" si="2"/>
        <v>098 Happy Holiday - Nico Robin - Medal [Cuerpo Fleurs]</v>
      </c>
      <c r="Y99" s="119"/>
      <c r="Z99" s="117" t="s">
        <v>3262</v>
      </c>
      <c r="AA99" s="117" t="s">
        <v>2304</v>
      </c>
      <c r="AB99" s="114"/>
      <c r="AC99" s="123" t="str">
        <f>IFERROR(__xludf.DUMMYFUNCTION("""COMPUTED_VALUE"""),"https://ik.imagekit.io/alaaalaa6171/245%20Disciple%20of%20the%20Martial%20Arts%20-%20Kung%20Fu%20Jugon%20-%20Medal%20_Kung%20Fu%20Jugon_.png?updatedAt=1770076447852")</f>
        <v>https://ik.imagekit.io/alaaalaa6171/245%20Disciple%20of%20the%20Martial%20Arts%20-%20Kung%20Fu%20Jugon%20-%20Medal%20_Kung%20Fu%20Jugon_.png?updatedAt=1770076447852</v>
      </c>
      <c r="AD99" s="123" t="str">
        <f>IFERROR(__xludf.DUMMYFUNCTION("""COMPUTED_VALUE"""),"https://ik.imagekit.io/alaaalaa6171/245%20Disciple%20of%20the%20Martial%20Arts%20-%20Kung%20Fu%20Jugon%20-%20Medal%20_Kung%20Fu%20Jugon_%20_Colored_.png?updatedAt=1770076447883")</f>
        <v>https://ik.imagekit.io/alaaalaa6171/245%20Disciple%20of%20the%20Martial%20Arts%20-%20Kung%20Fu%20Jugon%20-%20Medal%20_Kung%20Fu%20Jugon_%20_Colored_.png?updatedAt=1770076447883</v>
      </c>
      <c r="AE99" s="123" t="str">
        <f>IFERROR(__xludf.DUMMYFUNCTION("""COMPUTED_VALUE"""),"https://ik.imagekit.io/alaaalaa6171/245%20Disciple%20of%20the%20Martial%20Arts%20-%20Kung%20Fu%20Jugon%20-%20Medal%20_Kung%20Fu%20Jugon_%20-%20Piece.png?updatedAt=1770076447903")</f>
        <v>https://ik.imagekit.io/alaaalaa6171/245%20Disciple%20of%20the%20Martial%20Arts%20-%20Kung%20Fu%20Jugon%20-%20Medal%20_Kung%20Fu%20Jugon_%20-%20Piece.png?updatedAt=1770076447903</v>
      </c>
      <c r="AF99" s="123" t="str">
        <f>IFERROR(__xludf.DUMMYFUNCTION("""COMPUTED_VALUE"""),"https://ik.imagekit.io/alaaalaa6171/245%20Disciple%20of%20the%20Martial%20Arts%20-%20Kung%20Fu%20Jugon%20-%20Medal%20_Kung%20Fu%20Jugon_%20-%20Piece%20_Colored_.png?updatedAt=1770076447829")</f>
        <v>https://ik.imagekit.io/alaaalaa6171/245%20Disciple%20of%20the%20Martial%20Arts%20-%20Kung%20Fu%20Jugon%20-%20Medal%20_Kung%20Fu%20Jugon_%20-%20Piece%20_Colored_.png?updatedAt=1770076447829</v>
      </c>
      <c r="AG99" s="114"/>
      <c r="AH99" s="114"/>
      <c r="AI99" s="121" t="s">
        <v>3263</v>
      </c>
      <c r="AJ99" s="121" t="str">
        <f>IFERROR(__xludf.DUMMYFUNCTION("regexreplace(regexreplace(AI99, ""  \["", "" ""), ""\]$"", """")"),"098 - Happy Holiday ~ Nico Robin - Medal - Crafted [Colored] - Cuerpo Fleurs")</f>
        <v>098 - Happy Holiday ~ Nico Robin - Medal - Crafted [Colored] - Cuerpo Fleurs</v>
      </c>
      <c r="AK99" s="114"/>
      <c r="AL99" s="117" t="s">
        <v>3264</v>
      </c>
      <c r="AM99" s="117" t="s">
        <v>3265</v>
      </c>
      <c r="AN99" s="114"/>
      <c r="AO99" s="122">
        <f>IFERROR(__xludf.DUMMYFUNCTION("""COMPUTED_VALUE"""),210.0)</f>
        <v>210</v>
      </c>
      <c r="AP99" s="114" t="str">
        <f>IFERROR(__xludf.DUMMYFUNCTION("""COMPUTED_VALUE"""),"Koala
(Reverie)")</f>
        <v>Koala
(Reverie)</v>
      </c>
      <c r="AQ99" s="114" t="str">
        <f>IFERROR(__xludf.DUMMYFUNCTION("""COMPUTED_VALUE"""),"Koala (Reverie)")</f>
        <v>Koala (Reverie)</v>
      </c>
      <c r="AR99" s="114"/>
      <c r="AS99" s="114"/>
      <c r="AT99" s="123" t="str">
        <f>IFERROR(__xludf.DUMMYFUNCTION("""COMPUTED_VALUE"""),"https://i.postimg.cc/SR7Jt1WP/210.png")</f>
        <v>https://i.postimg.cc/SR7Jt1WP/210.png</v>
      </c>
      <c r="AU99" s="114"/>
      <c r="AV99" s="114"/>
      <c r="AW99" s="114"/>
      <c r="AX99" s="114" t="str">
        <f t="shared" si="3"/>
        <v>210 - Medal [Event] - Crafted - Koala (Reverie)</v>
      </c>
      <c r="AY99" s="114" t="s">
        <v>3266</v>
      </c>
      <c r="AZ99" s="114"/>
      <c r="BA99" s="114"/>
      <c r="BB99" s="114"/>
      <c r="BC99" s="114"/>
      <c r="BD99" s="114"/>
      <c r="BE99" s="114"/>
    </row>
    <row r="100" ht="37.5" customHeight="1">
      <c r="A100" s="118" t="s">
        <v>3267</v>
      </c>
      <c r="B100" s="117" t="s">
        <v>3268</v>
      </c>
      <c r="C100" s="119">
        <f>IFERROR(__xludf.DUMMYFUNCTION("""COMPUTED_VALUE"""),243.0)</f>
        <v>243</v>
      </c>
      <c r="D100" s="114" t="str">
        <f>IFERROR(__xludf.DUMMYFUNCTION("""COMPUTED_VALUE"""),"Chin Jao")</f>
        <v>Chin Jao</v>
      </c>
      <c r="E100" s="114" t="str">
        <f>IFERROR(__xludf.DUMMYFUNCTION("""COMPUTED_VALUE"""),"")</f>
        <v/>
      </c>
      <c r="F100" s="114"/>
      <c r="G100" s="114"/>
      <c r="H100" s="114"/>
      <c r="I100" s="114"/>
      <c r="J100" s="114"/>
      <c r="K100" s="114" t="s">
        <v>3269</v>
      </c>
      <c r="L100" s="114" t="s">
        <v>3270</v>
      </c>
      <c r="M100" s="114" t="s">
        <v>3271</v>
      </c>
      <c r="N100" s="114" t="s">
        <v>3272</v>
      </c>
      <c r="O100" s="114"/>
      <c r="P100" s="120">
        <v>243.0</v>
      </c>
      <c r="Q100" s="117" t="s">
        <v>3273</v>
      </c>
      <c r="R100" s="114"/>
      <c r="S100" s="117" t="s">
        <v>3274</v>
      </c>
      <c r="T100" s="114">
        <f t="shared" si="1"/>
        <v>99</v>
      </c>
      <c r="U100" s="114" t="s">
        <v>1477</v>
      </c>
      <c r="V100" s="114" t="str">
        <f>IFERROR(__xludf.DUMMYFUNCTION("REGEXREPLACE(U100, ""\n"", "" "")"),"Kaido")</f>
        <v>Kaido</v>
      </c>
      <c r="W100" s="114"/>
      <c r="X100" s="115" t="str">
        <f t="shared" si="2"/>
        <v>099 Animal Kingdom Pirates / Supreme Commander - Kaido - Medal [Kaido]</v>
      </c>
      <c r="Y100" s="119"/>
      <c r="Z100" s="117" t="s">
        <v>3275</v>
      </c>
      <c r="AA100" s="117" t="s">
        <v>2306</v>
      </c>
      <c r="AB100" s="114"/>
      <c r="AC100" s="123" t="str">
        <f>IFERROR(__xludf.DUMMYFUNCTION("""COMPUTED_VALUE"""),"https://ik.imagekit.io/alaaalaa6171/244%20Slicing%20Winds%20of%20Rommel%20-%20Hakuba%20-%20Medal%20_Hakuba_.png?updatedAt=1770076447854")</f>
        <v>https://ik.imagekit.io/alaaalaa6171/244%20Slicing%20Winds%20of%20Rommel%20-%20Hakuba%20-%20Medal%20_Hakuba_.png?updatedAt=1770076447854</v>
      </c>
      <c r="AD100" s="123" t="str">
        <f>IFERROR(__xludf.DUMMYFUNCTION("""COMPUTED_VALUE"""),"https://ik.imagekit.io/alaaalaa6171/244%20Slicing%20Winds%20of%20Rommel%20-%20Hakuba%20-%20Medal%20_Hakuba_%20_Colored_.png?updatedAt=1770076447821")</f>
        <v>https://ik.imagekit.io/alaaalaa6171/244%20Slicing%20Winds%20of%20Rommel%20-%20Hakuba%20-%20Medal%20_Hakuba_%20_Colored_.png?updatedAt=1770076447821</v>
      </c>
      <c r="AE100" s="123" t="str">
        <f>IFERROR(__xludf.DUMMYFUNCTION("""COMPUTED_VALUE"""),"https://ik.imagekit.io/alaaalaa6171/244%20Slicing%20Winds%20of%20Rommel%20-%20Hakuba%20-%20Medal%20_Hakuba_%20-%20Piece.png?updatedAt=1770076447807")</f>
        <v>https://ik.imagekit.io/alaaalaa6171/244%20Slicing%20Winds%20of%20Rommel%20-%20Hakuba%20-%20Medal%20_Hakuba_%20-%20Piece.png?updatedAt=1770076447807</v>
      </c>
      <c r="AF100" s="123" t="str">
        <f>IFERROR(__xludf.DUMMYFUNCTION("""COMPUTED_VALUE"""),"https://ik.imagekit.io/alaaalaa6171/244%20Slicing%20Winds%20of%20Rommel%20-%20Hakuba%20-%20Medal%20_Hakuba_%20-%20Piece%20_Colored_.png?updatedAt=1770076447839")</f>
        <v>https://ik.imagekit.io/alaaalaa6171/244%20Slicing%20Winds%20of%20Rommel%20-%20Hakuba%20-%20Medal%20_Hakuba_%20-%20Piece%20_Colored_.png?updatedAt=1770076447839</v>
      </c>
      <c r="AG100" s="114"/>
      <c r="AH100" s="114"/>
      <c r="AI100" s="121" t="s">
        <v>3276</v>
      </c>
      <c r="AJ100" s="121" t="str">
        <f>IFERROR(__xludf.DUMMYFUNCTION("regexreplace(regexreplace(AI100, ""  \["", "" ""), ""\]$"", """")"),"099 - Animal Kingdom Pirates_Supreme Commander ~ Kaido - Medal - Crafted [Colored] - Kaido")</f>
        <v>099 - Animal Kingdom Pirates_Supreme Commander ~ Kaido - Medal - Crafted [Colored] - Kaido</v>
      </c>
      <c r="AK100" s="114"/>
      <c r="AL100" s="117" t="s">
        <v>3277</v>
      </c>
      <c r="AM100" s="117" t="s">
        <v>3278</v>
      </c>
      <c r="AN100" s="114"/>
      <c r="AO100" s="122">
        <f>IFERROR(__xludf.DUMMYFUNCTION("""COMPUTED_VALUE"""),209.0)</f>
        <v>209</v>
      </c>
      <c r="AP100" s="114" t="str">
        <f>IFERROR(__xludf.DUMMYFUNCTION("""COMPUTED_VALUE"""),"Jack
(Human_Monster Form)")</f>
        <v>Jack
(Human_Monster Form)</v>
      </c>
      <c r="AQ100" s="114" t="str">
        <f>IFERROR(__xludf.DUMMYFUNCTION("""COMPUTED_VALUE"""),"Jack (Human_Monster Form)")</f>
        <v>Jack (Human_Monster Form)</v>
      </c>
      <c r="AR100" s="114"/>
      <c r="AS100" s="114"/>
      <c r="AT100" s="123" t="str">
        <f>IFERROR(__xludf.DUMMYFUNCTION("""COMPUTED_VALUE"""),"https://i.postimg.cc/brjZgf2b/209.png")</f>
        <v>https://i.postimg.cc/brjZgf2b/209.png</v>
      </c>
      <c r="AU100" s="114"/>
      <c r="AV100" s="114"/>
      <c r="AW100" s="114"/>
      <c r="AX100" s="114" t="str">
        <f t="shared" si="3"/>
        <v>209 - Medal [Event] - Crafted - Jack (Human_Monster Form)</v>
      </c>
      <c r="AY100" s="114" t="s">
        <v>3279</v>
      </c>
      <c r="AZ100" s="114"/>
      <c r="BA100" s="114"/>
      <c r="BB100" s="114"/>
      <c r="BC100" s="114"/>
      <c r="BD100" s="114"/>
      <c r="BE100" s="114"/>
    </row>
    <row r="101" ht="37.5" customHeight="1">
      <c r="A101" s="118" t="s">
        <v>3280</v>
      </c>
      <c r="B101" s="117" t="s">
        <v>3281</v>
      </c>
      <c r="C101" s="119">
        <f>IFERROR(__xludf.DUMMYFUNCTION("""COMPUTED_VALUE"""),242.0)</f>
        <v>242</v>
      </c>
      <c r="D101" s="114" t="str">
        <f>IFERROR(__xludf.DUMMYFUNCTION("""COMPUTED_VALUE"""),"Oven")</f>
        <v>Oven</v>
      </c>
      <c r="E101" s="114" t="str">
        <f>IFERROR(__xludf.DUMMYFUNCTION("""COMPUTED_VALUE"""),"")</f>
        <v/>
      </c>
      <c r="F101" s="114"/>
      <c r="G101" s="114"/>
      <c r="H101" s="114"/>
      <c r="I101" s="114"/>
      <c r="J101" s="114"/>
      <c r="K101" s="114" t="s">
        <v>3282</v>
      </c>
      <c r="L101" s="114" t="s">
        <v>3283</v>
      </c>
      <c r="M101" s="114" t="s">
        <v>3284</v>
      </c>
      <c r="N101" s="114" t="s">
        <v>3285</v>
      </c>
      <c r="O101" s="114"/>
      <c r="P101" s="120">
        <v>242.0</v>
      </c>
      <c r="Q101" s="117" t="s">
        <v>3286</v>
      </c>
      <c r="R101" s="114"/>
      <c r="S101" s="117" t="s">
        <v>3287</v>
      </c>
      <c r="T101" s="114">
        <f t="shared" si="1"/>
        <v>100</v>
      </c>
      <c r="U101" s="114" t="s">
        <v>1470</v>
      </c>
      <c r="V101" s="114" t="str">
        <f>IFERROR(__xludf.DUMMYFUNCTION("REGEXREPLACE(U101, ""\n"", "" "")"),"Flame Emperor")</f>
        <v>Flame Emperor</v>
      </c>
      <c r="W101" s="114"/>
      <c r="X101" s="115" t="str">
        <f t="shared" si="2"/>
        <v>100 Son of the King of the Pirates - Portgaz D. Ace - Medal [Flame Emperor]</v>
      </c>
      <c r="Y101" s="119"/>
      <c r="Z101" s="117" t="s">
        <v>3288</v>
      </c>
      <c r="AA101" s="117" t="s">
        <v>2307</v>
      </c>
      <c r="AB101" s="114"/>
      <c r="AC101" s="123" t="str">
        <f>IFERROR(__xludf.DUMMYFUNCTION("""COMPUTED_VALUE"""),"https://ik.imagekit.io/alaaalaa6171/243%20Former%20Happosui%20Army_12th%20Chief%20-%20Chin%20Jao%20-%20Medal%20_Chin%20Jao_.png?updatedAt=1770076447876")</f>
        <v>https://ik.imagekit.io/alaaalaa6171/243%20Former%20Happosui%20Army_12th%20Chief%20-%20Chin%20Jao%20-%20Medal%20_Chin%20Jao_.png?updatedAt=1770076447876</v>
      </c>
      <c r="AD101" s="123" t="str">
        <f>IFERROR(__xludf.DUMMYFUNCTION("""COMPUTED_VALUE"""),"https://ik.imagekit.io/alaaalaa6171/243%20Former%20Happosui%20Army_12th%20Chief%20-%20Chin%20Jao%20-%20Medal%20_Chin%20Jao_%20_Colored_.png?updatedAt=1770076447824")</f>
        <v>https://ik.imagekit.io/alaaalaa6171/243%20Former%20Happosui%20Army_12th%20Chief%20-%20Chin%20Jao%20-%20Medal%20_Chin%20Jao_%20_Colored_.png?updatedAt=1770076447824</v>
      </c>
      <c r="AE101" s="123" t="str">
        <f>IFERROR(__xludf.DUMMYFUNCTION("""COMPUTED_VALUE"""),"https://ik.imagekit.io/alaaalaa6171/243%20Former%20Happosui%20Army_12th%20Chief%20-%20Chin%20Jao%20-%20Medal%20_Chin%20Jao_%20-%20Piece.png?updatedAt=1770076447822")</f>
        <v>https://ik.imagekit.io/alaaalaa6171/243%20Former%20Happosui%20Army_12th%20Chief%20-%20Chin%20Jao%20-%20Medal%20_Chin%20Jao_%20-%20Piece.png?updatedAt=1770076447822</v>
      </c>
      <c r="AF101" s="123" t="str">
        <f>IFERROR(__xludf.DUMMYFUNCTION("""COMPUTED_VALUE"""),"https://ik.imagekit.io/alaaalaa6171/243%20Former%20Happosui%20Army_12th%20Chief%20-%20Chin%20Jao%20-%20Medal%20_Chin%20Jao_%20-%20Piece%20_Colored_.png?updatedAt=1770076447789")</f>
        <v>https://ik.imagekit.io/alaaalaa6171/243%20Former%20Happosui%20Army_12th%20Chief%20-%20Chin%20Jao%20-%20Medal%20_Chin%20Jao_%20-%20Piece%20_Colored_.png?updatedAt=1770076447789</v>
      </c>
      <c r="AG101" s="114"/>
      <c r="AH101" s="114"/>
      <c r="AI101" s="121" t="s">
        <v>3289</v>
      </c>
      <c r="AJ101" s="121" t="str">
        <f>IFERROR(__xludf.DUMMYFUNCTION("regexreplace(regexreplace(AI101, ""  \["", "" ""), ""\]$"", """")"),"100 - Son of the King of the Pirates ~ Portgaz D. Ace - Medal - Crafted [Colored] - Flame Emperor")</f>
        <v>100 - Son of the King of the Pirates ~ Portgaz D. Ace - Medal - Crafted [Colored] - Flame Emperor</v>
      </c>
      <c r="AK101" s="114"/>
      <c r="AL101" s="117" t="s">
        <v>3290</v>
      </c>
      <c r="AM101" s="117" t="s">
        <v>3291</v>
      </c>
      <c r="AN101" s="114"/>
      <c r="AO101" s="122">
        <f>IFERROR(__xludf.DUMMYFUNCTION("""COMPUTED_VALUE"""),208.0)</f>
        <v>208</v>
      </c>
      <c r="AP101" s="114" t="str">
        <f>IFERROR(__xludf.DUMMYFUNCTION("""COMPUTED_VALUE"""),"Kaido
(Human_Monster Form)")</f>
        <v>Kaido
(Human_Monster Form)</v>
      </c>
      <c r="AQ101" s="114" t="str">
        <f>IFERROR(__xludf.DUMMYFUNCTION("""COMPUTED_VALUE"""),"Kaido (Human_Monster Form)")</f>
        <v>Kaido (Human_Monster Form)</v>
      </c>
      <c r="AR101" s="114"/>
      <c r="AS101" s="114"/>
      <c r="AT101" s="123" t="str">
        <f>IFERROR(__xludf.DUMMYFUNCTION("""COMPUTED_VALUE"""),"https://i.postimg.cc/9M94yQzC/208.png")</f>
        <v>https://i.postimg.cc/9M94yQzC/208.png</v>
      </c>
      <c r="AU101" s="114"/>
      <c r="AV101" s="114"/>
      <c r="AW101" s="114"/>
      <c r="AX101" s="114" t="str">
        <f t="shared" si="3"/>
        <v>208 - Medal [Event] - Crafted - Kaido (Human_Monster Form)</v>
      </c>
      <c r="AY101" s="114" t="s">
        <v>3292</v>
      </c>
      <c r="AZ101" s="114"/>
      <c r="BA101" s="114"/>
      <c r="BB101" s="114"/>
      <c r="BC101" s="114"/>
      <c r="BD101" s="114"/>
      <c r="BE101" s="114"/>
    </row>
    <row r="102" ht="37.5" customHeight="1">
      <c r="A102" s="118" t="s">
        <v>3293</v>
      </c>
      <c r="B102" s="117" t="s">
        <v>3294</v>
      </c>
      <c r="C102" s="119">
        <f>IFERROR(__xludf.DUMMYFUNCTION("""COMPUTED_VALUE"""),241.0)</f>
        <v>241</v>
      </c>
      <c r="D102" s="114" t="str">
        <f>IFERROR(__xludf.DUMMYFUNCTION("""COMPUTED_VALUE"""),"Leader")</f>
        <v>Leader</v>
      </c>
      <c r="E102" s="114" t="str">
        <f>IFERROR(__xludf.DUMMYFUNCTION("""COMPUTED_VALUE"""),"")</f>
        <v/>
      </c>
      <c r="F102" s="114"/>
      <c r="G102" s="114"/>
      <c r="H102" s="114"/>
      <c r="I102" s="114"/>
      <c r="J102" s="114"/>
      <c r="K102" s="114" t="s">
        <v>3295</v>
      </c>
      <c r="L102" s="114" t="s">
        <v>3296</v>
      </c>
      <c r="M102" s="114" t="s">
        <v>3297</v>
      </c>
      <c r="N102" s="114" t="s">
        <v>3298</v>
      </c>
      <c r="O102" s="114"/>
      <c r="P102" s="120">
        <v>241.0</v>
      </c>
      <c r="Q102" s="117" t="s">
        <v>3299</v>
      </c>
      <c r="R102" s="114"/>
      <c r="S102" s="117" t="s">
        <v>3300</v>
      </c>
      <c r="T102" s="114">
        <f t="shared" si="1"/>
        <v>101</v>
      </c>
      <c r="U102" s="114" t="s">
        <v>1464</v>
      </c>
      <c r="V102" s="114" t="str">
        <f>IFERROR(__xludf.DUMMYFUNCTION("REGEXREPLACE(U102, ""\n"", "" "")"),"Marco")</f>
        <v>Marco</v>
      </c>
      <c r="W102" s="114"/>
      <c r="X102" s="115" t="str">
        <f t="shared" si="2"/>
        <v>101 Whitebeard Pirates / 1st Division Commander - Marco - Medal [Marco]</v>
      </c>
      <c r="Y102" s="119"/>
      <c r="Z102" s="117" t="s">
        <v>3301</v>
      </c>
      <c r="AA102" s="117" t="s">
        <v>2305</v>
      </c>
      <c r="AB102" s="114"/>
      <c r="AC102" s="123" t="str">
        <f>IFERROR(__xludf.DUMMYFUNCTION("""COMPUTED_VALUE"""),"https://ik.imagekit.io/alaaalaa6171/242%20Big%20Mom%20Pirates_Crewmate%20-%20Charoltte%20Oven%20-%20Medal%20_Oven_.png?updatedAt=1770076447751")</f>
        <v>https://ik.imagekit.io/alaaalaa6171/242%20Big%20Mom%20Pirates_Crewmate%20-%20Charoltte%20Oven%20-%20Medal%20_Oven_.png?updatedAt=1770076447751</v>
      </c>
      <c r="AD102" s="123" t="str">
        <f>IFERROR(__xludf.DUMMYFUNCTION("""COMPUTED_VALUE"""),"https://ik.imagekit.io/alaaalaa6171/242%20Big%20Mom%20Pirates_Crewmate%20-%20Charoltte%20Oven%20-%20Medal%20_Oven_%20_Colored_.png?updatedAt=1770076447763")</f>
        <v>https://ik.imagekit.io/alaaalaa6171/242%20Big%20Mom%20Pirates_Crewmate%20-%20Charoltte%20Oven%20-%20Medal%20_Oven_%20_Colored_.png?updatedAt=1770076447763</v>
      </c>
      <c r="AE102" s="123" t="str">
        <f>IFERROR(__xludf.DUMMYFUNCTION("""COMPUTED_VALUE"""),"https://ik.imagekit.io/alaaalaa6171/242%20Big%20Mom%20Pirates_Crewmate%20-%20Charoltte%20Oven%20-%20Medal%20_Oven_%20-%20Piece.png?updatedAt=1770076447815")</f>
        <v>https://ik.imagekit.io/alaaalaa6171/242%20Big%20Mom%20Pirates_Crewmate%20-%20Charoltte%20Oven%20-%20Medal%20_Oven_%20-%20Piece.png?updatedAt=1770076447815</v>
      </c>
      <c r="AF102" s="123" t="str">
        <f>IFERROR(__xludf.DUMMYFUNCTION("""COMPUTED_VALUE"""),"https://ik.imagekit.io/alaaalaa6171/242%20Big%20Mom%20Pirates_Crewmate%20-%20Charoltte%20Oven%20-%20Medal%20_Oven_%20-%20Piece%20_Colored_.png?updatedAt=1770076447773")</f>
        <v>https://ik.imagekit.io/alaaalaa6171/242%20Big%20Mom%20Pirates_Crewmate%20-%20Charoltte%20Oven%20-%20Medal%20_Oven_%20-%20Piece%20_Colored_.png?updatedAt=1770076447773</v>
      </c>
      <c r="AG102" s="114"/>
      <c r="AH102" s="114"/>
      <c r="AI102" s="121" t="s">
        <v>3302</v>
      </c>
      <c r="AJ102" s="121" t="str">
        <f>IFERROR(__xludf.DUMMYFUNCTION("regexreplace(regexreplace(AI102, ""  \["", "" ""), ""\]$"", """")"),"101 - Whitebeard Pirates_1st Division Commander ~ Marco - Medal - Crafted [Colored] - Marco")</f>
        <v>101 - Whitebeard Pirates_1st Division Commander ~ Marco - Medal - Crafted [Colored] - Marco</v>
      </c>
      <c r="AK102" s="114"/>
      <c r="AL102" s="117" t="s">
        <v>3303</v>
      </c>
      <c r="AM102" s="117" t="s">
        <v>3304</v>
      </c>
      <c r="AN102" s="114"/>
      <c r="AO102" s="122">
        <f>IFERROR(__xludf.DUMMYFUNCTION("""COMPUTED_VALUE"""),207.0)</f>
        <v>207</v>
      </c>
      <c r="AP102" s="114" t="str">
        <f>IFERROR(__xludf.DUMMYFUNCTION("""COMPUTED_VALUE"""),"Local Sea Monster")</f>
        <v>Local Sea Monster</v>
      </c>
      <c r="AQ102" s="114" t="str">
        <f>IFERROR(__xludf.DUMMYFUNCTION("""COMPUTED_VALUE"""),"Local Sea Monster")</f>
        <v>Local Sea Monster</v>
      </c>
      <c r="AR102" s="114"/>
      <c r="AS102" s="114"/>
      <c r="AT102" s="123" t="str">
        <f>IFERROR(__xludf.DUMMYFUNCTION("""COMPUTED_VALUE"""),"https://i.postimg.cc/7ZBTkRp8/207.png")</f>
        <v>https://i.postimg.cc/7ZBTkRp8/207.png</v>
      </c>
      <c r="AU102" s="114"/>
      <c r="AV102" s="114"/>
      <c r="AW102" s="114"/>
      <c r="AX102" s="114" t="str">
        <f t="shared" si="3"/>
        <v>207 - Medal [Event] - Crafted - Local Sea Monster</v>
      </c>
      <c r="AY102" s="114" t="s">
        <v>3305</v>
      </c>
      <c r="AZ102" s="114"/>
      <c r="BA102" s="114"/>
      <c r="BB102" s="114"/>
      <c r="BC102" s="114"/>
      <c r="BD102" s="114"/>
      <c r="BE102" s="114"/>
    </row>
    <row r="103" ht="37.5" customHeight="1">
      <c r="A103" s="118" t="s">
        <v>3306</v>
      </c>
      <c r="B103" s="117" t="s">
        <v>3307</v>
      </c>
      <c r="C103" s="119">
        <f>IFERROR(__xludf.DUMMYFUNCTION("""COMPUTED_VALUE"""),240.0)</f>
        <v>240</v>
      </c>
      <c r="D103" s="114" t="str">
        <f>IFERROR(__xludf.DUMMYFUNCTION("""COMPUTED_VALUE"""),"Brulee")</f>
        <v>Brulee</v>
      </c>
      <c r="E103" s="114" t="str">
        <f>IFERROR(__xludf.DUMMYFUNCTION("""COMPUTED_VALUE"""),"")</f>
        <v/>
      </c>
      <c r="F103" s="114"/>
      <c r="G103" s="114"/>
      <c r="H103" s="114"/>
      <c r="I103" s="114"/>
      <c r="J103" s="114"/>
      <c r="K103" s="114" t="s">
        <v>3308</v>
      </c>
      <c r="L103" s="114" t="s">
        <v>3309</v>
      </c>
      <c r="M103" s="114" t="s">
        <v>3310</v>
      </c>
      <c r="N103" s="114" t="s">
        <v>3311</v>
      </c>
      <c r="O103" s="114"/>
      <c r="P103" s="120">
        <v>240.0</v>
      </c>
      <c r="Q103" s="117" t="s">
        <v>3312</v>
      </c>
      <c r="R103" s="114"/>
      <c r="S103" s="117" t="s">
        <v>3313</v>
      </c>
      <c r="T103" s="114">
        <f t="shared" si="1"/>
        <v>102</v>
      </c>
      <c r="U103" s="114" t="s">
        <v>1457</v>
      </c>
      <c r="V103" s="114" t="str">
        <f>IFERROR(__xludf.DUMMYFUNCTION("REGEXREPLACE(U103, ""\n"", "" "")"),"Garp")</f>
        <v>Garp</v>
      </c>
      <c r="W103" s="114"/>
      <c r="X103" s="115" t="str">
        <f t="shared" si="2"/>
        <v>102 Navy HQ / Vice Admiral - Monkey D. Garb - Medal [Garp]</v>
      </c>
      <c r="Y103" s="119"/>
      <c r="Z103" s="117" t="s">
        <v>3314</v>
      </c>
      <c r="AA103" s="117" t="s">
        <v>2317</v>
      </c>
      <c r="AB103" s="114"/>
      <c r="AC103" s="123" t="str">
        <f>IFERROR(__xludf.DUMMYFUNCTION("""COMPUTED_VALUE"""),"https://ik.imagekit.io/alaaalaa6171/241%20Leader%20of%20the%20Whale%20Forest%20Guardians%20-%20Pedro%20-%20Medal%20_Leader_.png?updatedAt=1770076447791")</f>
        <v>https://ik.imagekit.io/alaaalaa6171/241%20Leader%20of%20the%20Whale%20Forest%20Guardians%20-%20Pedro%20-%20Medal%20_Leader_.png?updatedAt=1770076447791</v>
      </c>
      <c r="AD103" s="123" t="str">
        <f>IFERROR(__xludf.DUMMYFUNCTION("""COMPUTED_VALUE"""),"https://ik.imagekit.io/alaaalaa6171/241%20Leader%20of%20the%20Whale%20Forest%20Guardians%20-%20Pedro%20-%20Medal%20_Leader_%20_Colored_.png?updatedAt=1770076447792")</f>
        <v>https://ik.imagekit.io/alaaalaa6171/241%20Leader%20of%20the%20Whale%20Forest%20Guardians%20-%20Pedro%20-%20Medal%20_Leader_%20_Colored_.png?updatedAt=1770076447792</v>
      </c>
      <c r="AE103" s="123" t="str">
        <f>IFERROR(__xludf.DUMMYFUNCTION("""COMPUTED_VALUE"""),"https://ik.imagekit.io/alaaalaa6171/241%20Leader%20of%20the%20Whale%20Forest%20Guardians%20-%20Pedro%20-%20Medal%20_Leader_%20-%20Piece.png?updatedAt=1770076447765")</f>
        <v>https://ik.imagekit.io/alaaalaa6171/241%20Leader%20of%20the%20Whale%20Forest%20Guardians%20-%20Pedro%20-%20Medal%20_Leader_%20-%20Piece.png?updatedAt=1770076447765</v>
      </c>
      <c r="AF103" s="123" t="str">
        <f>IFERROR(__xludf.DUMMYFUNCTION("""COMPUTED_VALUE"""),"https://ik.imagekit.io/alaaalaa6171/241%20Leader%20of%20the%20Whale%20Forest%20Guardians%20-%20Pedro%20-%20Medal%20_Leader_%20-%20Piece%20_Colored_.png?updatedAt=1770076447764")</f>
        <v>https://ik.imagekit.io/alaaalaa6171/241%20Leader%20of%20the%20Whale%20Forest%20Guardians%20-%20Pedro%20-%20Medal%20_Leader_%20-%20Piece%20_Colored_.png?updatedAt=1770076447764</v>
      </c>
      <c r="AG103" s="114"/>
      <c r="AH103" s="114"/>
      <c r="AI103" s="121" t="s">
        <v>3315</v>
      </c>
      <c r="AJ103" s="121" t="str">
        <f>IFERROR(__xludf.DUMMYFUNCTION("regexreplace(regexreplace(AI103, ""  \["", "" ""), ""\]$"", """")"),"102 - Navy HQ_Vice Admiral ~ Monkey D. Garb - Medal - Crafted [Colored] - Garp")</f>
        <v>102 - Navy HQ_Vice Admiral ~ Monkey D. Garb - Medal - Crafted [Colored] - Garp</v>
      </c>
      <c r="AK103" s="114"/>
      <c r="AL103" s="117" t="s">
        <v>3316</v>
      </c>
      <c r="AM103" s="117" t="s">
        <v>3317</v>
      </c>
      <c r="AN103" s="114"/>
      <c r="AO103" s="122">
        <f>IFERROR(__xludf.DUMMYFUNCTION("""COMPUTED_VALUE"""),206.0)</f>
        <v>206</v>
      </c>
      <c r="AP103" s="114" t="str">
        <f>IFERROR(__xludf.DUMMYFUNCTION("""COMPUTED_VALUE"""),"Merry Go")</f>
        <v>Merry Go</v>
      </c>
      <c r="AQ103" s="114" t="str">
        <f>IFERROR(__xludf.DUMMYFUNCTION("""COMPUTED_VALUE"""),"Merry Go")</f>
        <v>Merry Go</v>
      </c>
      <c r="AR103" s="114"/>
      <c r="AS103" s="114"/>
      <c r="AT103" s="123" t="str">
        <f>IFERROR(__xludf.DUMMYFUNCTION("""COMPUTED_VALUE"""),"https://i.postimg.cc/zf6bLgzx/206.png")</f>
        <v>https://i.postimg.cc/zf6bLgzx/206.png</v>
      </c>
      <c r="AU103" s="114"/>
      <c r="AV103" s="114"/>
      <c r="AW103" s="114"/>
      <c r="AX103" s="114" t="str">
        <f t="shared" si="3"/>
        <v>206 - Medal [Event] - Crafted - Merry Go</v>
      </c>
      <c r="AY103" s="114" t="s">
        <v>3318</v>
      </c>
      <c r="AZ103" s="114"/>
      <c r="BA103" s="114"/>
      <c r="BB103" s="114"/>
      <c r="BC103" s="114"/>
      <c r="BD103" s="114"/>
      <c r="BE103" s="114"/>
    </row>
    <row r="104" ht="37.5" customHeight="1">
      <c r="A104" s="118" t="s">
        <v>3319</v>
      </c>
      <c r="B104" s="117" t="s">
        <v>3320</v>
      </c>
      <c r="C104" s="119">
        <f>IFERROR(__xludf.DUMMYFUNCTION("""COMPUTED_VALUE"""),239.0)</f>
        <v>239</v>
      </c>
      <c r="D104" s="114" t="str">
        <f>IFERROR(__xludf.DUMMYFUNCTION("""COMPUTED_VALUE"""),"Cracker")</f>
        <v>Cracker</v>
      </c>
      <c r="E104" s="114" t="str">
        <f>IFERROR(__xludf.DUMMYFUNCTION("""COMPUTED_VALUE"""),"")</f>
        <v/>
      </c>
      <c r="F104" s="114"/>
      <c r="G104" s="114"/>
      <c r="H104" s="114"/>
      <c r="I104" s="114"/>
      <c r="J104" s="114"/>
      <c r="K104" s="114" t="s">
        <v>3321</v>
      </c>
      <c r="L104" s="114" t="s">
        <v>3322</v>
      </c>
      <c r="M104" s="114" t="s">
        <v>3323</v>
      </c>
      <c r="N104" s="114" t="s">
        <v>3324</v>
      </c>
      <c r="O104" s="114"/>
      <c r="P104" s="120">
        <v>239.0</v>
      </c>
      <c r="Q104" s="117" t="s">
        <v>3325</v>
      </c>
      <c r="R104" s="114"/>
      <c r="S104" s="117" t="s">
        <v>3326</v>
      </c>
      <c r="T104" s="114">
        <f t="shared" si="1"/>
        <v>104</v>
      </c>
      <c r="U104" s="114" t="s">
        <v>1446</v>
      </c>
      <c r="V104" s="114" t="str">
        <f>IFERROR(__xludf.DUMMYFUNCTION("REGEXREPLACE(U104, ""\n"", "" "")"),"Griffon")</f>
        <v>Griffon</v>
      </c>
      <c r="W104" s="114"/>
      <c r="X104" s="115" t="str">
        <f t="shared" si="2"/>
        <v>104 The Four Emperors - Shanks - Medal [Griffon]</v>
      </c>
      <c r="Y104" s="119"/>
      <c r="Z104" s="117" t="s">
        <v>3327</v>
      </c>
      <c r="AA104" s="117" t="s">
        <v>2319</v>
      </c>
      <c r="AB104" s="114"/>
      <c r="AC104" s="123" t="str">
        <f>IFERROR(__xludf.DUMMYFUNCTION("""COMPUTED_VALUE"""),"https://ik.imagekit.io/alaaalaa6171/240%20Big%20Mom%20Pirates_Crewmate%20-%20Charlotte%20Brulee%20-%20Medal%20_Brulee_.png?updatedAt=1770076447747")</f>
        <v>https://ik.imagekit.io/alaaalaa6171/240%20Big%20Mom%20Pirates_Crewmate%20-%20Charlotte%20Brulee%20-%20Medal%20_Brulee_.png?updatedAt=1770076447747</v>
      </c>
      <c r="AD104" s="123" t="str">
        <f>IFERROR(__xludf.DUMMYFUNCTION("""COMPUTED_VALUE"""),"https://ik.imagekit.io/alaaalaa6171/240%20Big%20Mom%20Pirates_Crewmate%20-%20Charlotte%20Brulee%20-%20Medal%20_Brulee_%20_Colored_.png?updatedAt=1770076447790")</f>
        <v>https://ik.imagekit.io/alaaalaa6171/240%20Big%20Mom%20Pirates_Crewmate%20-%20Charlotte%20Brulee%20-%20Medal%20_Brulee_%20_Colored_.png?updatedAt=1770076447790</v>
      </c>
      <c r="AE104" s="123" t="str">
        <f>IFERROR(__xludf.DUMMYFUNCTION("""COMPUTED_VALUE"""),"https://ik.imagekit.io/alaaalaa6171/240%20Big%20Mom%20Pirates_Crewmate%20-%20Charlotte%20Brulee%20-%20Medal%20_Brulee_%20-%20Piece.png?updatedAt=1770076447767")</f>
        <v>https://ik.imagekit.io/alaaalaa6171/240%20Big%20Mom%20Pirates_Crewmate%20-%20Charlotte%20Brulee%20-%20Medal%20_Brulee_%20-%20Piece.png?updatedAt=1770076447767</v>
      </c>
      <c r="AF104" s="123" t="str">
        <f>IFERROR(__xludf.DUMMYFUNCTION("""COMPUTED_VALUE"""),"https://ik.imagekit.io/alaaalaa6171/240%20Big%20Mom%20Pirates_Crewmate%20-%20Charlotte%20Brulee%20-%20Medal%20_Brulee_%20-%20Piece%20_Colored_.png?updatedAt=1770076447785")</f>
        <v>https://ik.imagekit.io/alaaalaa6171/240%20Big%20Mom%20Pirates_Crewmate%20-%20Charlotte%20Brulee%20-%20Medal%20_Brulee_%20-%20Piece%20_Colored_.png?updatedAt=1770076447785</v>
      </c>
      <c r="AG104" s="114"/>
      <c r="AH104" s="114"/>
      <c r="AI104" s="121" t="s">
        <v>3328</v>
      </c>
      <c r="AJ104" s="121" t="str">
        <f>IFERROR(__xludf.DUMMYFUNCTION("regexreplace(regexreplace(AI104, ""  \["", "" ""), ""\]$"", """")"),"103 - The Seven Warlords of the Sea ~ Marshall D. Teach - Medal - Crafted [Colored] - Teech")</f>
        <v>103 - The Seven Warlords of the Sea ~ Marshall D. Teach - Medal - Crafted [Colored] - Teech</v>
      </c>
      <c r="AK104" s="114"/>
      <c r="AL104" s="117" t="s">
        <v>3329</v>
      </c>
      <c r="AM104" s="117" t="s">
        <v>3330</v>
      </c>
      <c r="AN104" s="114"/>
      <c r="AO104" s="122">
        <f>IFERROR(__xludf.DUMMYFUNCTION("""COMPUTED_VALUE"""),205.0)</f>
        <v>205</v>
      </c>
      <c r="AP104" s="114" t="str">
        <f>IFERROR(__xludf.DUMMYFUNCTION("""COMPUTED_VALUE"""),"Three Captains Law")</f>
        <v>Three Captains Law</v>
      </c>
      <c r="AQ104" s="114" t="str">
        <f>IFERROR(__xludf.DUMMYFUNCTION("""COMPUTED_VALUE"""),"Three Captains Law")</f>
        <v>Three Captains Law</v>
      </c>
      <c r="AR104" s="114"/>
      <c r="AS104" s="114"/>
      <c r="AT104" s="123" t="str">
        <f>IFERROR(__xludf.DUMMYFUNCTION("""COMPUTED_VALUE"""),"https://i.postimg.cc/FHFJwvCV/205.png")</f>
        <v>https://i.postimg.cc/FHFJwvCV/205.png</v>
      </c>
      <c r="AU104" s="114"/>
      <c r="AV104" s="114"/>
      <c r="AW104" s="114"/>
      <c r="AX104" s="114" t="str">
        <f t="shared" si="3"/>
        <v>205 - Medal [Event] - Crafted - Three Captains Law</v>
      </c>
      <c r="AY104" s="114" t="s">
        <v>3331</v>
      </c>
      <c r="AZ104" s="114"/>
      <c r="BA104" s="114"/>
      <c r="BB104" s="114"/>
      <c r="BC104" s="114"/>
      <c r="BD104" s="114"/>
      <c r="BE104" s="114"/>
    </row>
    <row r="105" ht="37.5" customHeight="1">
      <c r="A105" s="118" t="s">
        <v>3332</v>
      </c>
      <c r="B105" s="117" t="s">
        <v>3333</v>
      </c>
      <c r="C105" s="119">
        <f>IFERROR(__xludf.DUMMYFUNCTION("""COMPUTED_VALUE"""),238.0)</f>
        <v>238</v>
      </c>
      <c r="D105" s="114" t="str">
        <f>IFERROR(__xludf.DUMMYFUNCTION("""COMPUTED_VALUE"""),"Mrs. Pudding?")</f>
        <v>Mrs. Pudding?</v>
      </c>
      <c r="E105" s="114" t="str">
        <f>IFERROR(__xludf.DUMMYFUNCTION("""COMPUTED_VALUE"""),"")</f>
        <v/>
      </c>
      <c r="F105" s="114"/>
      <c r="G105" s="114"/>
      <c r="H105" s="114"/>
      <c r="I105" s="114"/>
      <c r="J105" s="114"/>
      <c r="K105" s="114" t="s">
        <v>3334</v>
      </c>
      <c r="L105" s="114" t="s">
        <v>3335</v>
      </c>
      <c r="M105" s="114" t="s">
        <v>3336</v>
      </c>
      <c r="N105" s="114" t="s">
        <v>3337</v>
      </c>
      <c r="O105" s="114"/>
      <c r="P105" s="120">
        <v>238.0</v>
      </c>
      <c r="Q105" s="117" t="s">
        <v>3338</v>
      </c>
      <c r="R105" s="114"/>
      <c r="S105" s="117" t="s">
        <v>3339</v>
      </c>
      <c r="T105" s="114">
        <f t="shared" si="1"/>
        <v>103</v>
      </c>
      <c r="U105" s="114" t="s">
        <v>1452</v>
      </c>
      <c r="V105" s="114" t="str">
        <f>IFERROR(__xludf.DUMMYFUNCTION("REGEXREPLACE(U105, ""\n"", "" "")"),"Teech")</f>
        <v>Teech</v>
      </c>
      <c r="W105" s="114"/>
      <c r="X105" s="115" t="str">
        <f t="shared" si="2"/>
        <v>103 The Seven Warlords of the Sea - Marshall D. Teach - Medal [Teech]</v>
      </c>
      <c r="Y105" s="119"/>
      <c r="Z105" s="117" t="s">
        <v>3340</v>
      </c>
      <c r="AA105" s="117" t="s">
        <v>2320</v>
      </c>
      <c r="AB105" s="114"/>
      <c r="AC105" s="123" t="str">
        <f>IFERROR(__xludf.DUMMYFUNCTION("""COMPUTED_VALUE"""),"https://ik.imagekit.io/alaaalaa6171/239%20Big%20Mom%20Pirates_'Sweet%203'%20General%20-%20Charlotte%20Cracker%20-%20Medal%20_Cracker_.png?updatedAt=1770076447770")</f>
        <v>https://ik.imagekit.io/alaaalaa6171/239%20Big%20Mom%20Pirates_'Sweet%203'%20General%20-%20Charlotte%20Cracker%20-%20Medal%20_Cracker_.png?updatedAt=1770076447770</v>
      </c>
      <c r="AD105" s="123" t="str">
        <f>IFERROR(__xludf.DUMMYFUNCTION("""COMPUTED_VALUE"""),"https://ik.imagekit.io/alaaalaa6171/239%20Big%20Mom%20Pirates_'Sweet%203'%20General%20-%20Charlotte%20Cracker%20-%20Medal%20_Cracker_%20_Colored_.png?updatedAt=1770076447784")</f>
        <v>https://ik.imagekit.io/alaaalaa6171/239%20Big%20Mom%20Pirates_'Sweet%203'%20General%20-%20Charlotte%20Cracker%20-%20Medal%20_Cracker_%20_Colored_.png?updatedAt=1770076447784</v>
      </c>
      <c r="AE105" s="123" t="str">
        <f>IFERROR(__xludf.DUMMYFUNCTION("""COMPUTED_VALUE"""),"https://ik.imagekit.io/alaaalaa6171/239%20Big%20Mom%20Pirates_'Sweet%203'%20General%20-%20Charlotte%20Cracker%20-%20Medal%20_Cracker_%20-%20Piece.png?updatedAt=1770076447703")</f>
        <v>https://ik.imagekit.io/alaaalaa6171/239%20Big%20Mom%20Pirates_'Sweet%203'%20General%20-%20Charlotte%20Cracker%20-%20Medal%20_Cracker_%20-%20Piece.png?updatedAt=1770076447703</v>
      </c>
      <c r="AF105" s="123" t="str">
        <f>IFERROR(__xludf.DUMMYFUNCTION("""COMPUTED_VALUE"""),"https://ik.imagekit.io/alaaalaa6171/239%20Big%20Mom%20Pirates_'Sweet%203'%20General%20-%20Charlotte%20Cracker%20-%20Medal%20_Cracker_%20-%20Piece%20_Colored_.png?updatedAt=1770076447703")</f>
        <v>https://ik.imagekit.io/alaaalaa6171/239%20Big%20Mom%20Pirates_'Sweet%203'%20General%20-%20Charlotte%20Cracker%20-%20Medal%20_Cracker_%20-%20Piece%20_Colored_.png?updatedAt=1770076447703</v>
      </c>
      <c r="AG105" s="114"/>
      <c r="AH105" s="114"/>
      <c r="AI105" s="121" t="s">
        <v>3341</v>
      </c>
      <c r="AJ105" s="121" t="str">
        <f>IFERROR(__xludf.DUMMYFUNCTION("regexreplace(regexreplace(AI105, ""  \["", "" ""), ""\]$"", """")"),"104 - The Four Emperors ~ Shanks - Medal - Crafted [Colored] - Griffon")</f>
        <v>104 - The Four Emperors ~ Shanks - Medal - Crafted [Colored] - Griffon</v>
      </c>
      <c r="AK105" s="114"/>
      <c r="AL105" s="117" t="s">
        <v>3342</v>
      </c>
      <c r="AM105" s="117" t="s">
        <v>3343</v>
      </c>
      <c r="AN105" s="114"/>
      <c r="AO105" s="122">
        <f>IFERROR(__xludf.DUMMYFUNCTION("""COMPUTED_VALUE"""),204.0)</f>
        <v>204</v>
      </c>
      <c r="AP105" s="114" t="str">
        <f>IFERROR(__xludf.DUMMYFUNCTION("""COMPUTED_VALUE"""),"Three Captains Kid")</f>
        <v>Three Captains Kid</v>
      </c>
      <c r="AQ105" s="114" t="str">
        <f>IFERROR(__xludf.DUMMYFUNCTION("""COMPUTED_VALUE"""),"Three Captains Kid")</f>
        <v>Three Captains Kid</v>
      </c>
      <c r="AR105" s="114"/>
      <c r="AS105" s="114"/>
      <c r="AT105" s="123" t="str">
        <f>IFERROR(__xludf.DUMMYFUNCTION("""COMPUTED_VALUE"""),"https://i.postimg.cc/wB7RTVpt/204.png")</f>
        <v>https://i.postimg.cc/wB7RTVpt/204.png</v>
      </c>
      <c r="AU105" s="114"/>
      <c r="AV105" s="114"/>
      <c r="AW105" s="114"/>
      <c r="AX105" s="114" t="str">
        <f t="shared" si="3"/>
        <v>204 - Medal [Event] - Crafted - Three Captains Kid</v>
      </c>
      <c r="AY105" s="114" t="s">
        <v>3344</v>
      </c>
      <c r="AZ105" s="114"/>
      <c r="BA105" s="114"/>
      <c r="BB105" s="114"/>
      <c r="BC105" s="114"/>
      <c r="BD105" s="114"/>
      <c r="BE105" s="114"/>
    </row>
    <row r="106" ht="37.5" customHeight="1">
      <c r="A106" s="118" t="s">
        <v>3345</v>
      </c>
      <c r="B106" s="117" t="s">
        <v>3346</v>
      </c>
      <c r="C106" s="119">
        <f>IFERROR(__xludf.DUMMYFUNCTION("""COMPUTED_VALUE"""),237.0)</f>
        <v>237</v>
      </c>
      <c r="D106" s="114" t="str">
        <f>IFERROR(__xludf.DUMMYFUNCTION("""COMPUTED_VALUE"""),"Who`s_Who")</f>
        <v>Who`s_Who</v>
      </c>
      <c r="E106" s="114" t="str">
        <f>IFERROR(__xludf.DUMMYFUNCTION("""COMPUTED_VALUE"""),"")</f>
        <v/>
      </c>
      <c r="F106" s="114"/>
      <c r="G106" s="114"/>
      <c r="H106" s="114"/>
      <c r="I106" s="114"/>
      <c r="J106" s="114"/>
      <c r="K106" s="114" t="s">
        <v>3347</v>
      </c>
      <c r="L106" s="114" t="s">
        <v>3348</v>
      </c>
      <c r="M106" s="114" t="s">
        <v>3349</v>
      </c>
      <c r="N106" s="114" t="s">
        <v>3350</v>
      </c>
      <c r="O106" s="114"/>
      <c r="P106" s="120">
        <v>237.0</v>
      </c>
      <c r="Q106" s="117" t="s">
        <v>3351</v>
      </c>
      <c r="R106" s="114"/>
      <c r="S106" s="117" t="s">
        <v>3352</v>
      </c>
      <c r="T106" s="114">
        <f t="shared" si="1"/>
        <v>105</v>
      </c>
      <c r="U106" s="114" t="s">
        <v>1440</v>
      </c>
      <c r="V106" s="114" t="str">
        <f>IFERROR(__xludf.DUMMYFUNCTION("REGEXREPLACE(U106, ""\n"", "" "")"),"Jet Rocket")</f>
        <v>Jet Rocket</v>
      </c>
      <c r="W106" s="114"/>
      <c r="X106" s="115" t="str">
        <f t="shared" si="2"/>
        <v>105 The Parmount War - Monkey D. Luffy 1 - Medal [Jet Rocket]</v>
      </c>
      <c r="Y106" s="119"/>
      <c r="Z106" s="117" t="s">
        <v>3353</v>
      </c>
      <c r="AA106" s="117" t="s">
        <v>2318</v>
      </c>
      <c r="AB106" s="114"/>
      <c r="AC106" s="123" t="str">
        <f>IFERROR(__xludf.DUMMYFUNCTION("""COMPUTED_VALUE"""),"https://ik.imagekit.io/alaaalaa6171/238%20First%20Act%20as%20a%20Married%20Couple%20-%20Charlotte%20Pudding%20-%20Medal%20_Mrs.%20Pudding_.png?updatedAt=1770076447819")</f>
        <v>https://ik.imagekit.io/alaaalaa6171/238%20First%20Act%20as%20a%20Married%20Couple%20-%20Charlotte%20Pudding%20-%20Medal%20_Mrs.%20Pudding_.png?updatedAt=1770076447819</v>
      </c>
      <c r="AD106" s="123" t="str">
        <f>IFERROR(__xludf.DUMMYFUNCTION("""COMPUTED_VALUE"""),"https://ik.imagekit.io/alaaalaa6171/238%20First%20Act%20as%20a%20Married%20Couple%20-%20Charlotte%20Pudding%20-%20Medal%20_Mrs.%20Pudding_%20_Colored_.png?updatedAt=1770076447763")</f>
        <v>https://ik.imagekit.io/alaaalaa6171/238%20First%20Act%20as%20a%20Married%20Couple%20-%20Charlotte%20Pudding%20-%20Medal%20_Mrs.%20Pudding_%20_Colored_.png?updatedAt=1770076447763</v>
      </c>
      <c r="AE106" s="123" t="str">
        <f>IFERROR(__xludf.DUMMYFUNCTION("""COMPUTED_VALUE"""),"https://ik.imagekit.io/alaaalaa6171/238%20First%20Act%20as%20a%20Married%20Couple%20-%20Charlotte%20Pudding%20-%20Medal%20_Mrs.%20Pudding_%20-%20Piece.png?updatedAt=1770076447769")</f>
        <v>https://ik.imagekit.io/alaaalaa6171/238%20First%20Act%20as%20a%20Married%20Couple%20-%20Charlotte%20Pudding%20-%20Medal%20_Mrs.%20Pudding_%20-%20Piece.png?updatedAt=1770076447769</v>
      </c>
      <c r="AF106" s="123" t="str">
        <f>IFERROR(__xludf.DUMMYFUNCTION("""COMPUTED_VALUE"""),"https://ik.imagekit.io/alaaalaa6171/238%20First%20Act%20as%20a%20Married%20Couple%20-%20Charlotte%20Pudding%20-%20Medal%20_Mrs.%20Pudding_%20-%20Piece%20_Colored_.png?updatedAt=1770076447748")</f>
        <v>https://ik.imagekit.io/alaaalaa6171/238%20First%20Act%20as%20a%20Married%20Couple%20-%20Charlotte%20Pudding%20-%20Medal%20_Mrs.%20Pudding_%20-%20Piece%20_Colored_.png?updatedAt=1770076447748</v>
      </c>
      <c r="AG106" s="114"/>
      <c r="AH106" s="114"/>
      <c r="AI106" s="121" t="s">
        <v>3354</v>
      </c>
      <c r="AJ106" s="121" t="str">
        <f>IFERROR(__xludf.DUMMYFUNCTION("regexreplace(regexreplace(AI106, ""  \["", "" ""), ""\]$"", """")"),"105 - The Parmount War ~ Monkey D. Luffy 1 - Medal - Crafted [Colored] - Jet Rocket")</f>
        <v>105 - The Parmount War ~ Monkey D. Luffy 1 - Medal - Crafted [Colored] - Jet Rocket</v>
      </c>
      <c r="AK106" s="114"/>
      <c r="AL106" s="117" t="s">
        <v>3355</v>
      </c>
      <c r="AM106" s="117" t="s">
        <v>3356</v>
      </c>
      <c r="AN106" s="114"/>
      <c r="AO106" s="122">
        <f>IFERROR(__xludf.DUMMYFUNCTION("""COMPUTED_VALUE"""),203.0)</f>
        <v>203</v>
      </c>
      <c r="AP106" s="114" t="str">
        <f>IFERROR(__xludf.DUMMYFUNCTION("""COMPUTED_VALUE"""),"Three Captains Luffy")</f>
        <v>Three Captains Luffy</v>
      </c>
      <c r="AQ106" s="114" t="str">
        <f>IFERROR(__xludf.DUMMYFUNCTION("""COMPUTED_VALUE"""),"Three Captains Luffy")</f>
        <v>Three Captains Luffy</v>
      </c>
      <c r="AR106" s="114"/>
      <c r="AS106" s="114"/>
      <c r="AT106" s="123" t="str">
        <f>IFERROR(__xludf.DUMMYFUNCTION("""COMPUTED_VALUE"""),"https://i.postimg.cc/ncGDdr2L/203.png")</f>
        <v>https://i.postimg.cc/ncGDdr2L/203.png</v>
      </c>
      <c r="AU106" s="114"/>
      <c r="AV106" s="114"/>
      <c r="AW106" s="114"/>
      <c r="AX106" s="114" t="str">
        <f t="shared" si="3"/>
        <v>203 - Medal [Event] - Crafted - Three Captains Luffy</v>
      </c>
      <c r="AY106" s="114" t="s">
        <v>3357</v>
      </c>
      <c r="AZ106" s="114"/>
      <c r="BA106" s="114"/>
      <c r="BB106" s="114"/>
      <c r="BC106" s="114"/>
      <c r="BD106" s="114"/>
      <c r="BE106" s="114"/>
    </row>
    <row r="107" ht="37.5" customHeight="1">
      <c r="A107" s="118" t="s">
        <v>3358</v>
      </c>
      <c r="B107" s="117" t="s">
        <v>3359</v>
      </c>
      <c r="C107" s="119">
        <f>IFERROR(__xludf.DUMMYFUNCTION("""COMPUTED_VALUE"""),236.0)</f>
        <v>236</v>
      </c>
      <c r="D107" s="114" t="str">
        <f>IFERROR(__xludf.DUMMYFUNCTION("""COMPUTED_VALUE"""),"Raid Jinbe")</f>
        <v>Raid Jinbe</v>
      </c>
      <c r="E107" s="114" t="str">
        <f>IFERROR(__xludf.DUMMYFUNCTION("""COMPUTED_VALUE"""),"")</f>
        <v/>
      </c>
      <c r="F107" s="114"/>
      <c r="G107" s="114"/>
      <c r="H107" s="114"/>
      <c r="I107" s="114"/>
      <c r="J107" s="114"/>
      <c r="K107" s="114" t="s">
        <v>3360</v>
      </c>
      <c r="L107" s="114" t="s">
        <v>3361</v>
      </c>
      <c r="M107" s="114" t="s">
        <v>3362</v>
      </c>
      <c r="N107" s="114" t="s">
        <v>3363</v>
      </c>
      <c r="O107" s="114"/>
      <c r="P107" s="120">
        <v>236.0</v>
      </c>
      <c r="Q107" s="117" t="s">
        <v>3364</v>
      </c>
      <c r="R107" s="114"/>
      <c r="S107" s="117" t="s">
        <v>3365</v>
      </c>
      <c r="T107" s="114">
        <f t="shared" si="1"/>
        <v>106</v>
      </c>
      <c r="U107" s="114" t="s">
        <v>1435</v>
      </c>
      <c r="V107" s="114" t="str">
        <f>IFERROR(__xludf.DUMMYFUNCTION("REGEXREPLACE(U107, ""\n"", "" "")"),"Bartolomeo")</f>
        <v>Bartolomeo</v>
      </c>
      <c r="W107" s="114"/>
      <c r="X107" s="115" t="str">
        <f t="shared" si="2"/>
        <v>106 Barto Club / Captain - Bartolomeo - Medal [Bartolomeo]</v>
      </c>
      <c r="Y107" s="119"/>
      <c r="Z107" s="117" t="s">
        <v>3366</v>
      </c>
      <c r="AA107" s="117" t="s">
        <v>2330</v>
      </c>
      <c r="AB107" s="114"/>
      <c r="AC107" s="123" t="str">
        <f>IFERROR(__xludf.DUMMYFUNCTION("""COMPUTED_VALUE"""),"https://ik.imagekit.io/alaaalaa6171/237%20Animal%20Kingdom%20Pirates_Tobi%20Roppo%20-%20Who%60s-Who%20-%20Medal%20_Who%60s_Who_.png?updatedAt=1770076447726")</f>
        <v>https://ik.imagekit.io/alaaalaa6171/237%20Animal%20Kingdom%20Pirates_Tobi%20Roppo%20-%20Who%60s-Who%20-%20Medal%20_Who%60s_Who_.png?updatedAt=1770076447726</v>
      </c>
      <c r="AD107" s="123" t="str">
        <f>IFERROR(__xludf.DUMMYFUNCTION("""COMPUTED_VALUE"""),"https://ik.imagekit.io/alaaalaa6171/237%20Animal%20Kingdom%20Pirates_Tobi%20Roppo%20-%20Who%60s-Who%20-%20Medal%20_Who%60s_Who_%20_Colored_.png?updatedAt=1770076447690")</f>
        <v>https://ik.imagekit.io/alaaalaa6171/237%20Animal%20Kingdom%20Pirates_Tobi%20Roppo%20-%20Who%60s-Who%20-%20Medal%20_Who%60s_Who_%20_Colored_.png?updatedAt=1770076447690</v>
      </c>
      <c r="AE107" s="123" t="str">
        <f>IFERROR(__xludf.DUMMYFUNCTION("""COMPUTED_VALUE"""),"https://ik.imagekit.io/alaaalaa6171/237%20Animal%20Kingdom%20Pirates_Tobi%20Roppo%20-%20Who%60s-Who%20-%20Medal%20_Who%60s_Who_%20-%20Piece.png?updatedAt=1770076447708")</f>
        <v>https://ik.imagekit.io/alaaalaa6171/237%20Animal%20Kingdom%20Pirates_Tobi%20Roppo%20-%20Who%60s-Who%20-%20Medal%20_Who%60s_Who_%20-%20Piece.png?updatedAt=1770076447708</v>
      </c>
      <c r="AF107" s="123" t="str">
        <f>IFERROR(__xludf.DUMMYFUNCTION("""COMPUTED_VALUE"""),"https://ik.imagekit.io/alaaalaa6171/237%20Animal%20Kingdom%20Pirates_Tobi%20Roppo%20-%20Who%60s-Who%20-%20Medal%20_Who%60s_Who_%20-%20Piece%20_Colored_.png?updatedAt=1770076447665")</f>
        <v>https://ik.imagekit.io/alaaalaa6171/237%20Animal%20Kingdom%20Pirates_Tobi%20Roppo%20-%20Who%60s-Who%20-%20Medal%20_Who%60s_Who_%20-%20Piece%20_Colored_.png?updatedAt=1770076447665</v>
      </c>
      <c r="AG107" s="114"/>
      <c r="AH107" s="114"/>
      <c r="AI107" s="121" t="s">
        <v>3367</v>
      </c>
      <c r="AJ107" s="121" t="str">
        <f>IFERROR(__xludf.DUMMYFUNCTION("regexreplace(regexreplace(AI107, ""  \["", "" ""), ""\]$"", """")"),"106 - Barto Club_Captain ~ Bartolomeo - Medal - Crafted [Colored] - Bartolomeo")</f>
        <v>106 - Barto Club_Captain ~ Bartolomeo - Medal - Crafted [Colored] - Bartolomeo</v>
      </c>
      <c r="AK107" s="114"/>
      <c r="AL107" s="117" t="s">
        <v>3368</v>
      </c>
      <c r="AM107" s="117" t="s">
        <v>3369</v>
      </c>
      <c r="AN107" s="114"/>
      <c r="AO107" s="122">
        <f>IFERROR(__xludf.DUMMYFUNCTION("""COMPUTED_VALUE"""),202.0)</f>
        <v>202</v>
      </c>
      <c r="AP107" s="114" t="str">
        <f>IFERROR(__xludf.DUMMYFUNCTION("""COMPUTED_VALUE"""),"Gordon")</f>
        <v>Gordon</v>
      </c>
      <c r="AQ107" s="114" t="str">
        <f>IFERROR(__xludf.DUMMYFUNCTION("""COMPUTED_VALUE"""),"Gordon")</f>
        <v>Gordon</v>
      </c>
      <c r="AR107" s="114"/>
      <c r="AS107" s="114"/>
      <c r="AT107" s="123" t="str">
        <f>IFERROR(__xludf.DUMMYFUNCTION("""COMPUTED_VALUE"""),"https://i.postimg.cc/gkWhq8v5/202.png")</f>
        <v>https://i.postimg.cc/gkWhq8v5/202.png</v>
      </c>
      <c r="AU107" s="114"/>
      <c r="AV107" s="114"/>
      <c r="AW107" s="114"/>
      <c r="AX107" s="114" t="str">
        <f t="shared" si="3"/>
        <v>202 - Medal [Event] - Crafted - Gordon</v>
      </c>
      <c r="AY107" s="114" t="s">
        <v>3370</v>
      </c>
      <c r="AZ107" s="114"/>
      <c r="BA107" s="114"/>
      <c r="BB107" s="114"/>
      <c r="BC107" s="114"/>
      <c r="BD107" s="114"/>
      <c r="BE107" s="114"/>
    </row>
    <row r="108" ht="37.5" customHeight="1">
      <c r="A108" s="118" t="s">
        <v>3371</v>
      </c>
      <c r="B108" s="117" t="s">
        <v>3372</v>
      </c>
      <c r="C108" s="119">
        <f>IFERROR(__xludf.DUMMYFUNCTION("""COMPUTED_VALUE"""),235.0)</f>
        <v>235</v>
      </c>
      <c r="D108" s="114" t="str">
        <f>IFERROR(__xludf.DUMMYFUNCTION("""COMPUTED_VALUE"""),"Enma")</f>
        <v>Enma</v>
      </c>
      <c r="E108" s="114" t="str">
        <f>IFERROR(__xludf.DUMMYFUNCTION("""COMPUTED_VALUE"""),"")</f>
        <v/>
      </c>
      <c r="F108" s="114"/>
      <c r="G108" s="114"/>
      <c r="H108" s="114"/>
      <c r="I108" s="114"/>
      <c r="J108" s="114"/>
      <c r="K108" s="114" t="s">
        <v>3373</v>
      </c>
      <c r="L108" s="114" t="s">
        <v>3374</v>
      </c>
      <c r="M108" s="114" t="s">
        <v>3375</v>
      </c>
      <c r="N108" s="114" t="s">
        <v>3376</v>
      </c>
      <c r="O108" s="114"/>
      <c r="P108" s="120">
        <v>235.0</v>
      </c>
      <c r="Q108" s="117" t="s">
        <v>3377</v>
      </c>
      <c r="R108" s="114"/>
      <c r="S108" s="117" t="s">
        <v>3378</v>
      </c>
      <c r="T108" s="114">
        <f t="shared" si="1"/>
        <v>107</v>
      </c>
      <c r="U108" s="114" t="s">
        <v>1430</v>
      </c>
      <c r="V108" s="114" t="str">
        <f>IFERROR(__xludf.DUMMYFUNCTION("REGEXREPLACE(U108, ""\n"", "" "")"),"Cavendish")</f>
        <v>Cavendish</v>
      </c>
      <c r="W108" s="114"/>
      <c r="X108" s="115" t="str">
        <f t="shared" si="2"/>
        <v>107 Beautiful Pirates / Captain - Cavendish - Medal [Cavendish]</v>
      </c>
      <c r="Y108" s="119"/>
      <c r="Z108" s="117" t="s">
        <v>3379</v>
      </c>
      <c r="AA108" s="117" t="s">
        <v>2332</v>
      </c>
      <c r="AB108" s="114"/>
      <c r="AC108" s="123" t="str">
        <f>IFERROR(__xludf.DUMMYFUNCTION("""COMPUTED_VALUE"""),"https://ik.imagekit.io/alaaalaa6171/236%20Raid%20on%20Onigashima%20-%20Jinbe%20-%20Medal%20_Raid%20Jinbe_.png?updatedAt=1770076447748")</f>
        <v>https://ik.imagekit.io/alaaalaa6171/236%20Raid%20on%20Onigashima%20-%20Jinbe%20-%20Medal%20_Raid%20Jinbe_.png?updatedAt=1770076447748</v>
      </c>
      <c r="AD108" s="123" t="str">
        <f>IFERROR(__xludf.DUMMYFUNCTION("""COMPUTED_VALUE"""),"https://ik.imagekit.io/alaaalaa6171/236%20Raid%20on%20Onigashima%20-%20Jinbe%20-%20Medal%20_Raid%20Jinbe_%20_Colored_.png?updatedAt=1770076447741")</f>
        <v>https://ik.imagekit.io/alaaalaa6171/236%20Raid%20on%20Onigashima%20-%20Jinbe%20-%20Medal%20_Raid%20Jinbe_%20_Colored_.png?updatedAt=1770076447741</v>
      </c>
      <c r="AE108" s="123" t="str">
        <f>IFERROR(__xludf.DUMMYFUNCTION("""COMPUTED_VALUE"""),"https://ik.imagekit.io/alaaalaa6171/236%20Raid%20on%20Onigashima%20-%20Jinbe%20-%20Medal%20_Raid%20Jinbe_%20-%20Piece.png?updatedAt=1770076447685")</f>
        <v>https://ik.imagekit.io/alaaalaa6171/236%20Raid%20on%20Onigashima%20-%20Jinbe%20-%20Medal%20_Raid%20Jinbe_%20-%20Piece.png?updatedAt=1770076447685</v>
      </c>
      <c r="AF108" s="123" t="str">
        <f>IFERROR(__xludf.DUMMYFUNCTION("""COMPUTED_VALUE"""),"https://ik.imagekit.io/alaaalaa6171/236%20Raid%20on%20Onigashima%20-%20Jinbe%20-%20Medal%20_Raid%20Jinbe_%20-%20Piece%20_Colored_.png?updatedAt=1770076447734")</f>
        <v>https://ik.imagekit.io/alaaalaa6171/236%20Raid%20on%20Onigashima%20-%20Jinbe%20-%20Medal%20_Raid%20Jinbe_%20-%20Piece%20_Colored_.png?updatedAt=1770076447734</v>
      </c>
      <c r="AG108" s="114"/>
      <c r="AH108" s="114"/>
      <c r="AI108" s="121" t="s">
        <v>3380</v>
      </c>
      <c r="AJ108" s="121" t="str">
        <f>IFERROR(__xludf.DUMMYFUNCTION("regexreplace(regexreplace(AI108, ""  \["", "" ""), ""\]$"", """")"),"107 - Beautiful Pirates_Captain ~ Cavendish - Medal - Crafted [Colored] - Cavendish")</f>
        <v>107 - Beautiful Pirates_Captain ~ Cavendish - Medal - Crafted [Colored] - Cavendish</v>
      </c>
      <c r="AK108" s="114"/>
      <c r="AL108" s="117" t="s">
        <v>3381</v>
      </c>
      <c r="AM108" s="117" t="s">
        <v>3382</v>
      </c>
      <c r="AN108" s="114"/>
      <c r="AO108" s="122">
        <f>IFERROR(__xludf.DUMMYFUNCTION("""COMPUTED_VALUE"""),201.0)</f>
        <v>201</v>
      </c>
      <c r="AP108" s="114" t="str">
        <f>IFERROR(__xludf.DUMMYFUNCTION("""COMPUTED_VALUE"""),"Uta`s Father")</f>
        <v>Uta`s Father</v>
      </c>
      <c r="AQ108" s="114" t="str">
        <f>IFERROR(__xludf.DUMMYFUNCTION("""COMPUTED_VALUE"""),"Uta`s Father")</f>
        <v>Uta`s Father</v>
      </c>
      <c r="AR108" s="114"/>
      <c r="AS108" s="114"/>
      <c r="AT108" s="123" t="str">
        <f>IFERROR(__xludf.DUMMYFUNCTION("""COMPUTED_VALUE"""),"https://i.postimg.cc/V60t4FZy/201.png")</f>
        <v>https://i.postimg.cc/V60t4FZy/201.png</v>
      </c>
      <c r="AU108" s="114"/>
      <c r="AV108" s="114"/>
      <c r="AW108" s="114"/>
      <c r="AX108" s="114" t="str">
        <f t="shared" si="3"/>
        <v>201 - Medal [Event] - Crafted - Uta`s Father</v>
      </c>
      <c r="AY108" s="114" t="s">
        <v>3383</v>
      </c>
      <c r="AZ108" s="114"/>
      <c r="BA108" s="114"/>
      <c r="BB108" s="114"/>
      <c r="BC108" s="114"/>
      <c r="BD108" s="114"/>
      <c r="BE108" s="114"/>
    </row>
    <row r="109" ht="37.5" customHeight="1">
      <c r="A109" s="118" t="s">
        <v>3384</v>
      </c>
      <c r="B109" s="117" t="s">
        <v>3385</v>
      </c>
      <c r="C109" s="119">
        <f>IFERROR(__xludf.DUMMYFUNCTION("""COMPUTED_VALUE"""),234.0)</f>
        <v>234</v>
      </c>
      <c r="D109" s="114" t="str">
        <f>IFERROR(__xludf.DUMMYFUNCTION("""COMPUTED_VALUE"""),"Conqueror of Three
Worlds Raganaraku")</f>
        <v>Conqueror of Three
Worlds Raganaraku</v>
      </c>
      <c r="E109" s="114" t="str">
        <f>IFERROR(__xludf.DUMMYFUNCTION("""COMPUTED_VALUE"""),"")</f>
        <v/>
      </c>
      <c r="F109" s="114"/>
      <c r="G109" s="114"/>
      <c r="H109" s="114"/>
      <c r="I109" s="114"/>
      <c r="J109" s="114"/>
      <c r="K109" s="114" t="s">
        <v>3386</v>
      </c>
      <c r="L109" s="114" t="s">
        <v>3387</v>
      </c>
      <c r="M109" s="114" t="s">
        <v>3388</v>
      </c>
      <c r="N109" s="114" t="s">
        <v>3389</v>
      </c>
      <c r="O109" s="114"/>
      <c r="P109" s="120">
        <v>234.0</v>
      </c>
      <c r="Q109" s="117" t="s">
        <v>3390</v>
      </c>
      <c r="R109" s="114"/>
      <c r="S109" s="117" t="s">
        <v>3391</v>
      </c>
      <c r="T109" s="114">
        <f t="shared" si="1"/>
        <v>108</v>
      </c>
      <c r="U109" s="114" t="s">
        <v>1425</v>
      </c>
      <c r="V109" s="114" t="str">
        <f>IFERROR(__xludf.DUMMYFUNCTION("REGEXREPLACE(U109, ""\n"", "" "")"),"Fujitora")</f>
        <v>Fujitora</v>
      </c>
      <c r="W109" s="114"/>
      <c r="X109" s="115" t="str">
        <f t="shared" si="2"/>
        <v>108 Navy HQ / Admiral Fujitora - [Issho] - Medal [Fujitora]</v>
      </c>
      <c r="Y109" s="119"/>
      <c r="Z109" s="117" t="s">
        <v>3392</v>
      </c>
      <c r="AA109" s="117" t="s">
        <v>2333</v>
      </c>
      <c r="AB109" s="114"/>
      <c r="AC109" s="123" t="str">
        <f>IFERROR(__xludf.DUMMYFUNCTION("""COMPUTED_VALUE"""),"https://ik.imagekit.io/alaaalaa6171/235%20Raid%20on%20Onigashima%20-%20Roronoa%20Zoro%20-%20Medal%20_Enma_.png?updatedAt=1770076447670")</f>
        <v>https://ik.imagekit.io/alaaalaa6171/235%20Raid%20on%20Onigashima%20-%20Roronoa%20Zoro%20-%20Medal%20_Enma_.png?updatedAt=1770076447670</v>
      </c>
      <c r="AD109" s="123" t="str">
        <f>IFERROR(__xludf.DUMMYFUNCTION("""COMPUTED_VALUE"""),"https://ik.imagekit.io/alaaalaa6171/235%20Raid%20on%20Onigashima%20-%20Roronoa%20Zoro%20-%20Medal%20_Enma_%20_Colored_.png?updatedAt=1770076447639")</f>
        <v>https://ik.imagekit.io/alaaalaa6171/235%20Raid%20on%20Onigashima%20-%20Roronoa%20Zoro%20-%20Medal%20_Enma_%20_Colored_.png?updatedAt=1770076447639</v>
      </c>
      <c r="AE109" s="123" t="str">
        <f>IFERROR(__xludf.DUMMYFUNCTION("""COMPUTED_VALUE"""),"https://ik.imagekit.io/alaaalaa6171/235%20Raid%20on%20Onigashima%20-%20Roronoa%20Zoro%20-%20Medal%20_Enma_%20-%20Piece.png?updatedAt=1770076447693")</f>
        <v>https://ik.imagekit.io/alaaalaa6171/235%20Raid%20on%20Onigashima%20-%20Roronoa%20Zoro%20-%20Medal%20_Enma_%20-%20Piece.png?updatedAt=1770076447693</v>
      </c>
      <c r="AF109" s="123" t="str">
        <f>IFERROR(__xludf.DUMMYFUNCTION("""COMPUTED_VALUE"""),"https://ik.imagekit.io/alaaalaa6171/235%20Raid%20on%20Onigashima%20-%20Roronoa%20Zoro%20-%20Medal%20_Enma_%20-%20Piece%20_Colored_.png?updatedAt=1770076447644")</f>
        <v>https://ik.imagekit.io/alaaalaa6171/235%20Raid%20on%20Onigashima%20-%20Roronoa%20Zoro%20-%20Medal%20_Enma_%20-%20Piece%20_Colored_.png?updatedAt=1770076447644</v>
      </c>
      <c r="AG109" s="114"/>
      <c r="AH109" s="114"/>
      <c r="AI109" s="121" t="s">
        <v>3393</v>
      </c>
      <c r="AJ109" s="121" t="str">
        <f>IFERROR(__xludf.DUMMYFUNCTION("regexreplace(regexreplace(AI109, ""  \["", "" ""), ""\]$"", """")"),"108 - Navy HQ_Admiral Fujitora ~ [Issho] - Medal - Crafted [Colored] - Fujitora")</f>
        <v>108 - Navy HQ_Admiral Fujitora ~ [Issho] - Medal - Crafted [Colored] - Fujitora</v>
      </c>
      <c r="AK109" s="114"/>
      <c r="AL109" s="117" t="s">
        <v>3394</v>
      </c>
      <c r="AM109" s="117" t="s">
        <v>3395</v>
      </c>
      <c r="AN109" s="114"/>
      <c r="AO109" s="122">
        <f>IFERROR(__xludf.DUMMYFUNCTION("""COMPUTED_VALUE"""),200.0)</f>
        <v>200</v>
      </c>
      <c r="AP109" s="114" t="str">
        <f>IFERROR(__xludf.DUMMYFUNCTION("""COMPUTED_VALUE"""),"Purgatory Onigiri")</f>
        <v>Purgatory Onigiri</v>
      </c>
      <c r="AQ109" s="114" t="str">
        <f>IFERROR(__xludf.DUMMYFUNCTION("""COMPUTED_VALUE"""),"Purgatory Onigiri")</f>
        <v>Purgatory Onigiri</v>
      </c>
      <c r="AR109" s="114"/>
      <c r="AS109" s="114"/>
      <c r="AT109" s="123" t="str">
        <f>IFERROR(__xludf.DUMMYFUNCTION("""COMPUTED_VALUE"""),"https://i.postimg.cc/2STn5yLt/200.png")</f>
        <v>https://i.postimg.cc/2STn5yLt/200.png</v>
      </c>
      <c r="AU109" s="114"/>
      <c r="AV109" s="114"/>
      <c r="AW109" s="114"/>
      <c r="AX109" s="114" t="str">
        <f t="shared" si="3"/>
        <v>200 - Medal [Event] - Crafted - Purgatory Onigiri</v>
      </c>
      <c r="AY109" s="114" t="s">
        <v>3396</v>
      </c>
      <c r="AZ109" s="114"/>
      <c r="BA109" s="114"/>
      <c r="BB109" s="114"/>
      <c r="BC109" s="114"/>
      <c r="BD109" s="114"/>
      <c r="BE109" s="114"/>
    </row>
    <row r="110" ht="37.5" customHeight="1">
      <c r="A110" s="118" t="s">
        <v>3397</v>
      </c>
      <c r="B110" s="117" t="s">
        <v>3398</v>
      </c>
      <c r="C110" s="119">
        <f>IFERROR(__xludf.DUMMYFUNCTION("""COMPUTED_VALUE"""),233.0)</f>
        <v>233</v>
      </c>
      <c r="D110" s="114" t="str">
        <f>IFERROR(__xludf.DUMMYFUNCTION("""COMPUTED_VALUE"""),"Olin")</f>
        <v>Olin</v>
      </c>
      <c r="E110" s="114" t="str">
        <f>IFERROR(__xludf.DUMMYFUNCTION("""COMPUTED_VALUE"""),"")</f>
        <v/>
      </c>
      <c r="F110" s="114"/>
      <c r="G110" s="114"/>
      <c r="H110" s="114"/>
      <c r="I110" s="114"/>
      <c r="J110" s="114"/>
      <c r="K110" s="114" t="s">
        <v>3399</v>
      </c>
      <c r="L110" s="114" t="s">
        <v>3400</v>
      </c>
      <c r="M110" s="114" t="s">
        <v>3401</v>
      </c>
      <c r="N110" s="114" t="s">
        <v>3402</v>
      </c>
      <c r="O110" s="114"/>
      <c r="P110" s="120">
        <v>233.0</v>
      </c>
      <c r="Q110" s="117" t="s">
        <v>3403</v>
      </c>
      <c r="R110" s="114"/>
      <c r="S110" s="117" t="s">
        <v>3404</v>
      </c>
      <c r="T110" s="114">
        <f t="shared" si="1"/>
        <v>109</v>
      </c>
      <c r="U110" s="114" t="s">
        <v>1420</v>
      </c>
      <c r="V110" s="114" t="str">
        <f>IFERROR(__xludf.DUMMYFUNCTION("REGEXREPLACE(U110, ""\n"", "" "")"),"Flame Dragon King")</f>
        <v>Flame Dragon King</v>
      </c>
      <c r="W110" s="114"/>
      <c r="X110" s="115" t="str">
        <f t="shared" si="2"/>
        <v>109 Luffy`s Brother - Sabo - Medal [Flame Dragon King]</v>
      </c>
      <c r="Y110" s="119"/>
      <c r="Z110" s="117" t="s">
        <v>3405</v>
      </c>
      <c r="AA110" s="117" t="s">
        <v>2331</v>
      </c>
      <c r="AB110" s="114"/>
      <c r="AC110" s="123" t="str">
        <f>IFERROR(__xludf.DUMMYFUNCTION("""COMPUTED_VALUE"""),"https://ik.imagekit.io/alaaalaa6171/234%20Battle%20of%20Monsters%20on%20Onigashima%20-%20Kaido%20-%20Medal%20_Conqueror%20of%20Three%20Worlds%20Raganaraku_.png?updatedAt=1770076447690")</f>
        <v>https://ik.imagekit.io/alaaalaa6171/234%20Battle%20of%20Monsters%20on%20Onigashima%20-%20Kaido%20-%20Medal%20_Conqueror%20of%20Three%20Worlds%20Raganaraku_.png?updatedAt=1770076447690</v>
      </c>
      <c r="AD110" s="123" t="str">
        <f>IFERROR(__xludf.DUMMYFUNCTION("""COMPUTED_VALUE"""),"https://ik.imagekit.io/alaaalaa6171/234%20Battle%20of%20Monsters%20on%20Onigashima%20-%20Kaido%20-%20Medal%20_Conqueror%20of%20Three%20Worlds%20Raganaraku_%20_Colored_.png?updatedAt=1770076447669")</f>
        <v>https://ik.imagekit.io/alaaalaa6171/234%20Battle%20of%20Monsters%20on%20Onigashima%20-%20Kaido%20-%20Medal%20_Conqueror%20of%20Three%20Worlds%20Raganaraku_%20_Colored_.png?updatedAt=1770076447669</v>
      </c>
      <c r="AE110" s="123" t="str">
        <f>IFERROR(__xludf.DUMMYFUNCTION("""COMPUTED_VALUE"""),"https://ik.imagekit.io/alaaalaa6171/234%20Battle%20of%20Monsters%20on%20Onigashima%20-%20Kaido%20-%20Medal%20_Conqueror%20of%20Three%20Worlds%20Raganaraku_%20-%20Piece.png?updatedAt=1770076447670")</f>
        <v>https://ik.imagekit.io/alaaalaa6171/234%20Battle%20of%20Monsters%20on%20Onigashima%20-%20Kaido%20-%20Medal%20_Conqueror%20of%20Three%20Worlds%20Raganaraku_%20-%20Piece.png?updatedAt=1770076447670</v>
      </c>
      <c r="AF110" s="123" t="str">
        <f>IFERROR(__xludf.DUMMYFUNCTION("""COMPUTED_VALUE"""),"https://ik.imagekit.io/alaaalaa6171/234%20Battle%20of%20Monsters%20on%20Onigashima%20-%20Kaido%20-%20Medal%20_Conqueror%20of%20Three%20Worlds%20Raganaraku_%20-%20Piece%20_Colored_.png?updatedAt=1770076447628")</f>
        <v>https://ik.imagekit.io/alaaalaa6171/234%20Battle%20of%20Monsters%20on%20Onigashima%20-%20Kaido%20-%20Medal%20_Conqueror%20of%20Three%20Worlds%20Raganaraku_%20-%20Piece%20_Colored_.png?updatedAt=1770076447628</v>
      </c>
      <c r="AG110" s="114"/>
      <c r="AH110" s="114"/>
      <c r="AI110" s="121" t="s">
        <v>3406</v>
      </c>
      <c r="AJ110" s="121" t="str">
        <f>IFERROR(__xludf.DUMMYFUNCTION("regexreplace(regexreplace(AI110, ""  \["", "" ""), ""\]$"", """")"),"109 - Luffy`s Brother ~ Sabo - Medal - Crafted [Colored] - Flame Dragon King")</f>
        <v>109 - Luffy`s Brother ~ Sabo - Medal - Crafted [Colored] - Flame Dragon King</v>
      </c>
      <c r="AK110" s="114"/>
      <c r="AL110" s="117" t="s">
        <v>3407</v>
      </c>
      <c r="AM110" s="117" t="s">
        <v>3408</v>
      </c>
      <c r="AN110" s="114"/>
      <c r="AO110" s="122">
        <f>IFERROR(__xludf.DUMMYFUNCTION("""COMPUTED_VALUE"""),199.0)</f>
        <v>199</v>
      </c>
      <c r="AP110" s="114" t="str">
        <f>IFERROR(__xludf.DUMMYFUNCTION("""COMPUTED_VALUE"""),"Kong Gun")</f>
        <v>Kong Gun</v>
      </c>
      <c r="AQ110" s="114" t="str">
        <f>IFERROR(__xludf.DUMMYFUNCTION("""COMPUTED_VALUE"""),"Kong Gun")</f>
        <v>Kong Gun</v>
      </c>
      <c r="AR110" s="114"/>
      <c r="AS110" s="114"/>
      <c r="AT110" s="123" t="str">
        <f>IFERROR(__xludf.DUMMYFUNCTION("""COMPUTED_VALUE"""),"https://i.postimg.cc/mkQHWgG8/199.png")</f>
        <v>https://i.postimg.cc/mkQHWgG8/199.png</v>
      </c>
      <c r="AU110" s="114"/>
      <c r="AV110" s="114"/>
      <c r="AW110" s="114"/>
      <c r="AX110" s="114" t="str">
        <f t="shared" si="3"/>
        <v>199 - Medal [Event] - Crafted - Kong Gun</v>
      </c>
      <c r="AY110" s="114" t="s">
        <v>3409</v>
      </c>
      <c r="AZ110" s="114"/>
      <c r="BA110" s="114"/>
      <c r="BB110" s="114"/>
      <c r="BC110" s="114"/>
      <c r="BD110" s="114"/>
      <c r="BE110" s="114"/>
    </row>
    <row r="111" ht="37.5" customHeight="1">
      <c r="A111" s="118" t="s">
        <v>3410</v>
      </c>
      <c r="B111" s="117" t="s">
        <v>3411</v>
      </c>
      <c r="C111" s="119">
        <f>IFERROR(__xludf.DUMMYFUNCTION("""COMPUTED_VALUE"""),232.0)</f>
        <v>232</v>
      </c>
      <c r="D111" s="114" t="str">
        <f>IFERROR(__xludf.DUMMYFUNCTION("""COMPUTED_VALUE"""),"Adio")</f>
        <v>Adio</v>
      </c>
      <c r="E111" s="114" t="str">
        <f>IFERROR(__xludf.DUMMYFUNCTION("""COMPUTED_VALUE"""),"")</f>
        <v/>
      </c>
      <c r="F111" s="114"/>
      <c r="G111" s="114"/>
      <c r="H111" s="114"/>
      <c r="I111" s="114"/>
      <c r="J111" s="114"/>
      <c r="K111" s="114" t="s">
        <v>3412</v>
      </c>
      <c r="L111" s="114" t="s">
        <v>3413</v>
      </c>
      <c r="M111" s="114" t="s">
        <v>3414</v>
      </c>
      <c r="N111" s="114" t="s">
        <v>3415</v>
      </c>
      <c r="O111" s="114"/>
      <c r="P111" s="120">
        <v>232.0</v>
      </c>
      <c r="Q111" s="117" t="s">
        <v>3416</v>
      </c>
      <c r="R111" s="114"/>
      <c r="S111" s="117" t="s">
        <v>3417</v>
      </c>
      <c r="T111" s="114">
        <f t="shared" si="1"/>
        <v>110</v>
      </c>
      <c r="U111" s="114" t="s">
        <v>1415</v>
      </c>
      <c r="V111" s="114" t="str">
        <f>IFERROR(__xludf.DUMMYFUNCTION("REGEXREPLACE(U111, ""\n"", "" "")"),"Lucci")</f>
        <v>Lucci</v>
      </c>
      <c r="W111" s="114"/>
      <c r="X111" s="115" t="str">
        <f t="shared" si="2"/>
        <v>110 CP9 - Rob Lucci - Medal [Lucci]</v>
      </c>
      <c r="Y111" s="119"/>
      <c r="Z111" s="117" t="s">
        <v>3418</v>
      </c>
      <c r="AA111" s="117" t="s">
        <v>2343</v>
      </c>
      <c r="AB111" s="114"/>
      <c r="AC111" s="123" t="str">
        <f>IFERROR(__xludf.DUMMYFUNCTION("""COMPUTED_VALUE"""),"https://ik.imagekit.io/alaaalaa6171/233%20Battle%20of%20Monsters%20on%20Onigashima%20-%20Olin%20the%20Oiran%20-%20Medal%20_Olin_.png?updatedAt=1770076447697")</f>
        <v>https://ik.imagekit.io/alaaalaa6171/233%20Battle%20of%20Monsters%20on%20Onigashima%20-%20Olin%20the%20Oiran%20-%20Medal%20_Olin_.png?updatedAt=1770076447697</v>
      </c>
      <c r="AD111" s="123" t="str">
        <f>IFERROR(__xludf.DUMMYFUNCTION("""COMPUTED_VALUE"""),"https://ik.imagekit.io/alaaalaa6171/233%20Battle%20of%20Monsters%20on%20Onigashima%20-%20Olin%20the%20Oiran%20-%20Medal%20_Olin_%20_Colored_.png?updatedAt=1770076447640")</f>
        <v>https://ik.imagekit.io/alaaalaa6171/233%20Battle%20of%20Monsters%20on%20Onigashima%20-%20Olin%20the%20Oiran%20-%20Medal%20_Olin_%20_Colored_.png?updatedAt=1770076447640</v>
      </c>
      <c r="AE111" s="123" t="str">
        <f>IFERROR(__xludf.DUMMYFUNCTION("""COMPUTED_VALUE"""),"https://ik.imagekit.io/alaaalaa6171/233%20Battle%20of%20Monsters%20on%20Onigashima%20-%20Olin%20the%20Oiran%20-%20Medal%20_Olin_%20-%20Piece.png?updatedAt=1770076447687")</f>
        <v>https://ik.imagekit.io/alaaalaa6171/233%20Battle%20of%20Monsters%20on%20Onigashima%20-%20Olin%20the%20Oiran%20-%20Medal%20_Olin_%20-%20Piece.png?updatedAt=1770076447687</v>
      </c>
      <c r="AF111" s="123" t="str">
        <f>IFERROR(__xludf.DUMMYFUNCTION("""COMPUTED_VALUE"""),"https://ik.imagekit.io/alaaalaa6171/233%20Battle%20of%20Monsters%20on%20Onigashima%20-%20Olin%20the%20Oiran%20-%20Medal%20_Olin_%20-%20Piece%20_Colored_.png?updatedAt=1770076447655")</f>
        <v>https://ik.imagekit.io/alaaalaa6171/233%20Battle%20of%20Monsters%20on%20Onigashima%20-%20Olin%20the%20Oiran%20-%20Medal%20_Olin_%20-%20Piece%20_Colored_.png?updatedAt=1770076447655</v>
      </c>
      <c r="AG111" s="114"/>
      <c r="AH111" s="114"/>
      <c r="AI111" s="121" t="s">
        <v>3419</v>
      </c>
      <c r="AJ111" s="121" t="str">
        <f>IFERROR(__xludf.DUMMYFUNCTION("regexreplace(regexreplace(AI111, ""  \["", "" ""), ""\]$"", """")"),"110 - CP9 ~ Rob Lucci - Medal - Crafted [Colored] - Lucci")</f>
        <v>110 - CP9 ~ Rob Lucci - Medal - Crafted [Colored] - Lucci</v>
      </c>
      <c r="AK111" s="114"/>
      <c r="AL111" s="117" t="s">
        <v>3420</v>
      </c>
      <c r="AM111" s="117" t="s">
        <v>3421</v>
      </c>
      <c r="AN111" s="114"/>
      <c r="AO111" s="122">
        <f>IFERROR(__xludf.DUMMYFUNCTION("""COMPUTED_VALUE"""),198.0)</f>
        <v>198</v>
      </c>
      <c r="AP111" s="114" t="str">
        <f>IFERROR(__xludf.DUMMYFUNCTION("""COMPUTED_VALUE"""),"Prometheus
(Land of Wano)")</f>
        <v>Prometheus
(Land of Wano)</v>
      </c>
      <c r="AQ111" s="114" t="str">
        <f>IFERROR(__xludf.DUMMYFUNCTION("""COMPUTED_VALUE"""),"Prometheus (Land of Wano)")</f>
        <v>Prometheus (Land of Wano)</v>
      </c>
      <c r="AR111" s="114"/>
      <c r="AS111" s="114"/>
      <c r="AT111" s="123" t="str">
        <f>IFERROR(__xludf.DUMMYFUNCTION("""COMPUTED_VALUE"""),"https://i.postimg.cc/PqRZm74z/198.png")</f>
        <v>https://i.postimg.cc/PqRZm74z/198.png</v>
      </c>
      <c r="AU111" s="114"/>
      <c r="AV111" s="114"/>
      <c r="AW111" s="114"/>
      <c r="AX111" s="114" t="str">
        <f t="shared" si="3"/>
        <v>198 - Medal [Event] - Crafted - Prometheus (Land of Wano)</v>
      </c>
      <c r="AY111" s="114" t="s">
        <v>3422</v>
      </c>
      <c r="AZ111" s="114"/>
      <c r="BA111" s="114"/>
      <c r="BB111" s="114"/>
      <c r="BC111" s="114"/>
      <c r="BD111" s="114"/>
      <c r="BE111" s="114"/>
    </row>
    <row r="112" ht="37.5" customHeight="1">
      <c r="A112" s="118" t="s">
        <v>3423</v>
      </c>
      <c r="B112" s="117" t="s">
        <v>3424</v>
      </c>
      <c r="C112" s="119">
        <f>IFERROR(__xludf.DUMMYFUNCTION("""COMPUTED_VALUE"""),231.0)</f>
        <v>231</v>
      </c>
      <c r="D112" s="114" t="str">
        <f>IFERROR(__xludf.DUMMYFUNCTION("""COMPUTED_VALUE"""),"King")</f>
        <v>King</v>
      </c>
      <c r="E112" s="114" t="str">
        <f>IFERROR(__xludf.DUMMYFUNCTION("""COMPUTED_VALUE"""),"")</f>
        <v/>
      </c>
      <c r="F112" s="114"/>
      <c r="G112" s="114"/>
      <c r="H112" s="114"/>
      <c r="I112" s="114"/>
      <c r="J112" s="114"/>
      <c r="K112" s="114" t="s">
        <v>3425</v>
      </c>
      <c r="L112" s="114" t="s">
        <v>3426</v>
      </c>
      <c r="M112" s="114" t="s">
        <v>3427</v>
      </c>
      <c r="N112" s="114" t="s">
        <v>3428</v>
      </c>
      <c r="O112" s="114"/>
      <c r="P112" s="120">
        <v>231.0</v>
      </c>
      <c r="Q112" s="117" t="s">
        <v>3429</v>
      </c>
      <c r="R112" s="114"/>
      <c r="S112" s="117" t="s">
        <v>3430</v>
      </c>
      <c r="T112" s="114">
        <f t="shared" si="1"/>
        <v>111</v>
      </c>
      <c r="U112" s="114" t="s">
        <v>1410</v>
      </c>
      <c r="V112" s="114" t="str">
        <f>IFERROR(__xludf.DUMMYFUNCTION("REGEXREPLACE(U112, ""\n"", "" "")"),"Kaku")</f>
        <v>Kaku</v>
      </c>
      <c r="W112" s="114"/>
      <c r="X112" s="115" t="str">
        <f t="shared" si="2"/>
        <v>111 CP9 - Kaku - Medal [Kaku]</v>
      </c>
      <c r="Y112" s="119"/>
      <c r="Z112" s="117" t="s">
        <v>3431</v>
      </c>
      <c r="AA112" s="117" t="s">
        <v>2345</v>
      </c>
      <c r="AB112" s="114"/>
      <c r="AC112" s="123" t="str">
        <f>IFERROR(__xludf.DUMMYFUNCTION("""COMPUTED_VALUE"""),"https://ik.imagekit.io/alaaalaa6171/232%20ODYSSEY%20-%20Adio%20Suerte%20-%20Medal%20_Adio_.png?updatedAt=1770076447661")</f>
        <v>https://ik.imagekit.io/alaaalaa6171/232%20ODYSSEY%20-%20Adio%20Suerte%20-%20Medal%20_Adio_.png?updatedAt=1770076447661</v>
      </c>
      <c r="AD112" s="123" t="str">
        <f>IFERROR(__xludf.DUMMYFUNCTION("""COMPUTED_VALUE"""),"https://ik.imagekit.io/alaaalaa6171/232%20ODYSSEY%20-%20Adio%20Suerte%20-%20Medal%20_Adio_%20_Colored_.png?updatedAt=1770076447647")</f>
        <v>https://ik.imagekit.io/alaaalaa6171/232%20ODYSSEY%20-%20Adio%20Suerte%20-%20Medal%20_Adio_%20_Colored_.png?updatedAt=1770076447647</v>
      </c>
      <c r="AE112" s="123" t="str">
        <f>IFERROR(__xludf.DUMMYFUNCTION("""COMPUTED_VALUE"""),"https://ik.imagekit.io/alaaalaa6171/232%20ODYSSEY%20-%20Adio%20Suerte%20-%20Medal%20_Adio_%20-%20Piece.png?updatedAt=1770076447618")</f>
        <v>https://ik.imagekit.io/alaaalaa6171/232%20ODYSSEY%20-%20Adio%20Suerte%20-%20Medal%20_Adio_%20-%20Piece.png?updatedAt=1770076447618</v>
      </c>
      <c r="AF112" s="123" t="str">
        <f>IFERROR(__xludf.DUMMYFUNCTION("""COMPUTED_VALUE"""),"https://ik.imagekit.io/alaaalaa6171/232%20ODYSSEY%20-%20Adio%20Suerte%20-%20Medal%20_Adio_%20-%20Piece%20_Colored_.png?updatedAt=1770076447617")</f>
        <v>https://ik.imagekit.io/alaaalaa6171/232%20ODYSSEY%20-%20Adio%20Suerte%20-%20Medal%20_Adio_%20-%20Piece%20_Colored_.png?updatedAt=1770076447617</v>
      </c>
      <c r="AG112" s="114"/>
      <c r="AH112" s="114"/>
      <c r="AI112" s="121" t="s">
        <v>3432</v>
      </c>
      <c r="AJ112" s="121" t="str">
        <f>IFERROR(__xludf.DUMMYFUNCTION("regexreplace(regexreplace(AI112, ""  \["", "" ""), ""\]$"", """")"),"111 - CP9 ~ Kaku - Medal - Crafted [Colored] - Kaku")</f>
        <v>111 - CP9 ~ Kaku - Medal - Crafted [Colored] - Kaku</v>
      </c>
      <c r="AK112" s="114"/>
      <c r="AL112" s="117" t="s">
        <v>3433</v>
      </c>
      <c r="AM112" s="117" t="s">
        <v>3434</v>
      </c>
      <c r="AN112" s="114"/>
      <c r="AO112" s="122">
        <f>IFERROR(__xludf.DUMMYFUNCTION("""COMPUTED_VALUE"""),197.0)</f>
        <v>197</v>
      </c>
      <c r="AP112" s="114" t="str">
        <f>IFERROR(__xludf.DUMMYFUNCTION("""COMPUTED_VALUE"""),"Hera")</f>
        <v>Hera</v>
      </c>
      <c r="AQ112" s="114" t="str">
        <f>IFERROR(__xludf.DUMMYFUNCTION("""COMPUTED_VALUE"""),"Hera")</f>
        <v>Hera</v>
      </c>
      <c r="AR112" s="114"/>
      <c r="AS112" s="114"/>
      <c r="AT112" s="123" t="str">
        <f>IFERROR(__xludf.DUMMYFUNCTION("""COMPUTED_VALUE"""),"https://i.postimg.cc/MHkQLjgn/197.png")</f>
        <v>https://i.postimg.cc/MHkQLjgn/197.png</v>
      </c>
      <c r="AU112" s="114"/>
      <c r="AV112" s="114"/>
      <c r="AW112" s="114"/>
      <c r="AX112" s="114" t="str">
        <f t="shared" si="3"/>
        <v>197 - Medal [Event] - Crafted - Hera</v>
      </c>
      <c r="AY112" s="114" t="s">
        <v>3435</v>
      </c>
      <c r="AZ112" s="114"/>
      <c r="BA112" s="114"/>
      <c r="BB112" s="114"/>
      <c r="BC112" s="114"/>
      <c r="BD112" s="114"/>
      <c r="BE112" s="114"/>
    </row>
    <row r="113" ht="37.5" customHeight="1">
      <c r="A113" s="118" t="s">
        <v>3436</v>
      </c>
      <c r="B113" s="117" t="s">
        <v>3437</v>
      </c>
      <c r="C113" s="119">
        <f>IFERROR(__xludf.DUMMYFUNCTION("""COMPUTED_VALUE"""),230.0)</f>
        <v>230</v>
      </c>
      <c r="D113" s="114" t="str">
        <f>IFERROR(__xludf.DUMMYFUNCTION("""COMPUTED_VALUE"""),"X Calibur")</f>
        <v>X Calibur</v>
      </c>
      <c r="E113" s="114" t="str">
        <f>IFERROR(__xludf.DUMMYFUNCTION("""COMPUTED_VALUE"""),"")</f>
        <v/>
      </c>
      <c r="F113" s="114"/>
      <c r="G113" s="114"/>
      <c r="H113" s="114"/>
      <c r="I113" s="114"/>
      <c r="J113" s="114"/>
      <c r="K113" s="114" t="s">
        <v>3438</v>
      </c>
      <c r="L113" s="114" t="s">
        <v>3439</v>
      </c>
      <c r="M113" s="114" t="s">
        <v>3440</v>
      </c>
      <c r="N113" s="114" t="s">
        <v>3441</v>
      </c>
      <c r="O113" s="114"/>
      <c r="P113" s="120">
        <v>230.0</v>
      </c>
      <c r="Q113" s="117" t="s">
        <v>3442</v>
      </c>
      <c r="R113" s="114"/>
      <c r="S113" s="117" t="s">
        <v>3443</v>
      </c>
      <c r="T113" s="114">
        <f t="shared" si="1"/>
        <v>112</v>
      </c>
      <c r="U113" s="114" t="s">
        <v>1404</v>
      </c>
      <c r="V113" s="114" t="str">
        <f>IFERROR(__xludf.DUMMYFUNCTION("REGEXREPLACE(U113, ""\n"", "" "")"),"Fire Bird")</f>
        <v>Fire Bird</v>
      </c>
      <c r="W113" s="114"/>
      <c r="X113" s="115" t="str">
        <f t="shared" si="2"/>
        <v>112 The King of the Snipers - Sniper King - Medal [Fire Bird]</v>
      </c>
      <c r="Y113" s="119"/>
      <c r="Z113" s="117" t="s">
        <v>3444</v>
      </c>
      <c r="AA113" s="117" t="s">
        <v>2346</v>
      </c>
      <c r="AB113" s="114"/>
      <c r="AC113" s="123" t="str">
        <f>IFERROR(__xludf.DUMMYFUNCTION("""COMPUTED_VALUE"""),"https://ik.imagekit.io/alaaalaa6171/231%20Animal%20Kingdom%20Pirates_Lead%20Performer%20-%20King%20-%20Medal%20_King_.png?updatedAt=1770076447601")</f>
        <v>https://ik.imagekit.io/alaaalaa6171/231%20Animal%20Kingdom%20Pirates_Lead%20Performer%20-%20King%20-%20Medal%20_King_.png?updatedAt=1770076447601</v>
      </c>
      <c r="AD113" s="123" t="str">
        <f>IFERROR(__xludf.DUMMYFUNCTION("""COMPUTED_VALUE"""),"https://ik.imagekit.io/alaaalaa6171/231%20Animal%20Kingdom%20Pirates_Lead%20Performer%20-%20King%20-%20Medal%20_King_%20_Colored_.png?updatedAt=1770076447601")</f>
        <v>https://ik.imagekit.io/alaaalaa6171/231%20Animal%20Kingdom%20Pirates_Lead%20Performer%20-%20King%20-%20Medal%20_King_%20_Colored_.png?updatedAt=1770076447601</v>
      </c>
      <c r="AE113" s="123" t="str">
        <f>IFERROR(__xludf.DUMMYFUNCTION("""COMPUTED_VALUE"""),"https://ik.imagekit.io/alaaalaa6171/231%20Animal%20Kingdom%20Pirates_Lead%20Performer%20-%20King%20-%20Medal%20_King_%20-%20Piece.png?updatedAt=1770076447648")</f>
        <v>https://ik.imagekit.io/alaaalaa6171/231%20Animal%20Kingdom%20Pirates_Lead%20Performer%20-%20King%20-%20Medal%20_King_%20-%20Piece.png?updatedAt=1770076447648</v>
      </c>
      <c r="AF113" s="123" t="str">
        <f>IFERROR(__xludf.DUMMYFUNCTION("""COMPUTED_VALUE"""),"https://ik.imagekit.io/alaaalaa6171/231%20Animal%20Kingdom%20Pirates_Lead%20Performer%20-%20King%20-%20Medal%20_King_%20-%20Piece%20_Colored_.png?updatedAt=1770076447651")</f>
        <v>https://ik.imagekit.io/alaaalaa6171/231%20Animal%20Kingdom%20Pirates_Lead%20Performer%20-%20King%20-%20Medal%20_King_%20-%20Piece%20_Colored_.png?updatedAt=1770076447651</v>
      </c>
      <c r="AG113" s="114"/>
      <c r="AH113" s="114"/>
      <c r="AI113" s="121" t="s">
        <v>3445</v>
      </c>
      <c r="AJ113" s="121" t="str">
        <f>IFERROR(__xludf.DUMMYFUNCTION("regexreplace(regexreplace(AI113, ""  \["", "" ""), ""\]$"", """")"),"112 - The King of the Snipers ~ Sniper King - Medal - Crafted [Colored] - Fire Bird")</f>
        <v>112 - The King of the Snipers ~ Sniper King - Medal - Crafted [Colored] - Fire Bird</v>
      </c>
      <c r="AK113" s="114"/>
      <c r="AL113" s="117" t="s">
        <v>3446</v>
      </c>
      <c r="AM113" s="117" t="s">
        <v>3447</v>
      </c>
      <c r="AN113" s="114"/>
      <c r="AO113" s="122">
        <f>IFERROR(__xludf.DUMMYFUNCTION("""COMPUTED_VALUE"""),196.0)</f>
        <v>196</v>
      </c>
      <c r="AP113" s="114" t="str">
        <f>IFERROR(__xludf.DUMMYFUNCTION("""COMPUTED_VALUE"""),"Arlong
(Sun Pirates)")</f>
        <v>Arlong
(Sun Pirates)</v>
      </c>
      <c r="AQ113" s="114" t="str">
        <f>IFERROR(__xludf.DUMMYFUNCTION("""COMPUTED_VALUE"""),"Arlong (Sun Pirates)")</f>
        <v>Arlong (Sun Pirates)</v>
      </c>
      <c r="AR113" s="114"/>
      <c r="AS113" s="114"/>
      <c r="AT113" s="123" t="str">
        <f>IFERROR(__xludf.DUMMYFUNCTION("""COMPUTED_VALUE"""),"https://i.postimg.cc/PfZZw28Y/196.png")</f>
        <v>https://i.postimg.cc/PfZZw28Y/196.png</v>
      </c>
      <c r="AU113" s="114"/>
      <c r="AV113" s="114"/>
      <c r="AW113" s="114"/>
      <c r="AX113" s="114" t="str">
        <f t="shared" si="3"/>
        <v>196 - Medal [Event] - Crafted - Arlong (Sun Pirates)</v>
      </c>
      <c r="AY113" s="114" t="s">
        <v>3448</v>
      </c>
      <c r="AZ113" s="114"/>
      <c r="BA113" s="114"/>
      <c r="BB113" s="114"/>
      <c r="BC113" s="114"/>
      <c r="BD113" s="114"/>
      <c r="BE113" s="114"/>
    </row>
    <row r="114" ht="37.5" customHeight="1">
      <c r="A114" s="118" t="s">
        <v>3449</v>
      </c>
      <c r="B114" s="117" t="s">
        <v>3450</v>
      </c>
      <c r="C114" s="119">
        <f>IFERROR(__xludf.DUMMYFUNCTION("""COMPUTED_VALUE"""),229.0)</f>
        <v>229</v>
      </c>
      <c r="D114" s="114" t="str">
        <f>IFERROR(__xludf.DUMMYFUNCTION("""COMPUTED_VALUE"""),"Hyogoro")</f>
        <v>Hyogoro</v>
      </c>
      <c r="E114" s="114" t="str">
        <f>IFERROR(__xludf.DUMMYFUNCTION("""COMPUTED_VALUE"""),"")</f>
        <v/>
      </c>
      <c r="F114" s="114"/>
      <c r="G114" s="114"/>
      <c r="H114" s="114"/>
      <c r="I114" s="114"/>
      <c r="J114" s="114"/>
      <c r="K114" s="114" t="s">
        <v>3451</v>
      </c>
      <c r="L114" s="114" t="s">
        <v>3452</v>
      </c>
      <c r="M114" s="114" t="s">
        <v>3453</v>
      </c>
      <c r="N114" s="114" t="s">
        <v>3454</v>
      </c>
      <c r="O114" s="114"/>
      <c r="P114" s="120">
        <v>229.0</v>
      </c>
      <c r="Q114" s="117" t="s">
        <v>3455</v>
      </c>
      <c r="R114" s="114"/>
      <c r="S114" s="117" t="s">
        <v>3456</v>
      </c>
      <c r="T114" s="114">
        <f t="shared" si="1"/>
        <v>113</v>
      </c>
      <c r="U114" s="114" t="s">
        <v>1399</v>
      </c>
      <c r="V114" s="114" t="str">
        <f>IFERROR(__xludf.DUMMYFUNCTION("REGEXREPLACE(U114, ""\n"", "" "")"),"The Demon Heir")</f>
        <v>The Demon Heir</v>
      </c>
      <c r="W114" s="114"/>
      <c r="X114" s="115" t="str">
        <f t="shared" si="2"/>
        <v>113 STAMPEDE - Douglas Bullet - Medal [The Demon Heir]</v>
      </c>
      <c r="Y114" s="119"/>
      <c r="Z114" s="117" t="s">
        <v>3457</v>
      </c>
      <c r="AA114" s="117" t="s">
        <v>2344</v>
      </c>
      <c r="AB114" s="114"/>
      <c r="AC114" s="123" t="str">
        <f>IFERROR(__xludf.DUMMYFUNCTION("""COMPUTED_VALUE"""),"https://ik.imagekit.io/alaaalaa6171/230%20Top%20Secret%20Special%20Force%20Captain%20of%20'Sword'%20-%20X.%20Drake%20-%20Medal%20_X%20Calibur_.png?updatedAt=1770076447667")</f>
        <v>https://ik.imagekit.io/alaaalaa6171/230%20Top%20Secret%20Special%20Force%20Captain%20of%20'Sword'%20-%20X.%20Drake%20-%20Medal%20_X%20Calibur_.png?updatedAt=1770076447667</v>
      </c>
      <c r="AD114" s="123" t="str">
        <f>IFERROR(__xludf.DUMMYFUNCTION("""COMPUTED_VALUE"""),"https://ik.imagekit.io/alaaalaa6171/230%20Top%20Secret%20Special%20Force%20Captain%20of%20'Sword'%20-%20X.%20Drake%20-%20Medal%20_X%20Calibur_%20_Colored_.png?updatedAt=1770076447578")</f>
        <v>https://ik.imagekit.io/alaaalaa6171/230%20Top%20Secret%20Special%20Force%20Captain%20of%20'Sword'%20-%20X.%20Drake%20-%20Medal%20_X%20Calibur_%20_Colored_.png?updatedAt=1770076447578</v>
      </c>
      <c r="AE114" s="123" t="str">
        <f>IFERROR(__xludf.DUMMYFUNCTION("""COMPUTED_VALUE"""),"https://ik.imagekit.io/alaaalaa6171/230%20Top%20Secret%20Special%20Force%20Captain%20of%20'Sword'%20-%20X.%20Drake%20-%20Medal%20_X%20Calibur_%20-%20Piece.png?updatedAt=1770076447571")</f>
        <v>https://ik.imagekit.io/alaaalaa6171/230%20Top%20Secret%20Special%20Force%20Captain%20of%20'Sword'%20-%20X.%20Drake%20-%20Medal%20_X%20Calibur_%20-%20Piece.png?updatedAt=1770076447571</v>
      </c>
      <c r="AF114" s="123" t="str">
        <f>IFERROR(__xludf.DUMMYFUNCTION("""COMPUTED_VALUE"""),"https://ik.imagekit.io/alaaalaa6171/230%20Top%20Secret%20Special%20Force%20Captain%20of%20'Sword'%20-%20X.%20Drake%20-%20Medal%20_X%20Calibur_%20-%20Piece%20_Colored_.png?updatedAt=1770076447577")</f>
        <v>https://ik.imagekit.io/alaaalaa6171/230%20Top%20Secret%20Special%20Force%20Captain%20of%20'Sword'%20-%20X.%20Drake%20-%20Medal%20_X%20Calibur_%20-%20Piece%20_Colored_.png?updatedAt=1770076447577</v>
      </c>
      <c r="AG114" s="114"/>
      <c r="AH114" s="114"/>
      <c r="AI114" s="121" t="s">
        <v>3458</v>
      </c>
      <c r="AJ114" s="121" t="str">
        <f>IFERROR(__xludf.DUMMYFUNCTION("regexreplace(regexreplace(AI114, ""  \["", "" ""), ""\]$"", """")"),"113 - STAMPEDE ~ Douglas Bullet - Medal - Crafted [Colored] - The Demon Heir")</f>
        <v>113 - STAMPEDE ~ Douglas Bullet - Medal - Crafted [Colored] - The Demon Heir</v>
      </c>
      <c r="AK114" s="114"/>
      <c r="AL114" s="117" t="s">
        <v>3459</v>
      </c>
      <c r="AM114" s="117" t="s">
        <v>3460</v>
      </c>
      <c r="AN114" s="114"/>
      <c r="AO114" s="122">
        <f>IFERROR(__xludf.DUMMYFUNCTION("""COMPUTED_VALUE"""),195.0)</f>
        <v>195</v>
      </c>
      <c r="AP114" s="114" t="str">
        <f>IFERROR(__xludf.DUMMYFUNCTION("""COMPUTED_VALUE"""),"Fisher Tiger")</f>
        <v>Fisher Tiger</v>
      </c>
      <c r="AQ114" s="114" t="str">
        <f>IFERROR(__xludf.DUMMYFUNCTION("""COMPUTED_VALUE"""),"Fisher Tiger")</f>
        <v>Fisher Tiger</v>
      </c>
      <c r="AR114" s="114"/>
      <c r="AS114" s="114"/>
      <c r="AT114" s="123" t="str">
        <f>IFERROR(__xludf.DUMMYFUNCTION("""COMPUTED_VALUE"""),"https://i.postimg.cc/0NQDKvpy/195.png")</f>
        <v>https://i.postimg.cc/0NQDKvpy/195.png</v>
      </c>
      <c r="AU114" s="114"/>
      <c r="AV114" s="114"/>
      <c r="AW114" s="114"/>
      <c r="AX114" s="114" t="str">
        <f t="shared" si="3"/>
        <v>195 - Medal [Event] - Crafted - Fisher Tiger</v>
      </c>
      <c r="AY114" s="114" t="s">
        <v>3461</v>
      </c>
      <c r="AZ114" s="114"/>
      <c r="BA114" s="114"/>
      <c r="BB114" s="114"/>
      <c r="BC114" s="114"/>
      <c r="BD114" s="114"/>
      <c r="BE114" s="114"/>
    </row>
    <row r="115" ht="37.5" customHeight="1">
      <c r="A115" s="118" t="s">
        <v>3462</v>
      </c>
      <c r="B115" s="117" t="s">
        <v>3463</v>
      </c>
      <c r="C115" s="119">
        <f>IFERROR(__xludf.DUMMYFUNCTION("""COMPUTED_VALUE"""),228.0)</f>
        <v>228</v>
      </c>
      <c r="D115" s="114" t="str">
        <f>IFERROR(__xludf.DUMMYFUNCTION("""COMPUTED_VALUE"""),"Raizo")</f>
        <v>Raizo</v>
      </c>
      <c r="E115" s="114" t="str">
        <f>IFERROR(__xludf.DUMMYFUNCTION("""COMPUTED_VALUE"""),"")</f>
        <v/>
      </c>
      <c r="F115" s="114"/>
      <c r="G115" s="114"/>
      <c r="H115" s="114"/>
      <c r="I115" s="114"/>
      <c r="J115" s="114"/>
      <c r="K115" s="114" t="s">
        <v>3464</v>
      </c>
      <c r="L115" s="114" t="s">
        <v>3465</v>
      </c>
      <c r="M115" s="114" t="s">
        <v>3466</v>
      </c>
      <c r="N115" s="114" t="s">
        <v>3467</v>
      </c>
      <c r="O115" s="114"/>
      <c r="P115" s="120">
        <v>228.0</v>
      </c>
      <c r="Q115" s="117" t="s">
        <v>3468</v>
      </c>
      <c r="R115" s="114"/>
      <c r="S115" s="117" t="s">
        <v>3469</v>
      </c>
      <c r="T115" s="114">
        <f t="shared" si="1"/>
        <v>116</v>
      </c>
      <c r="U115" s="114" t="s">
        <v>1378</v>
      </c>
      <c r="V115" s="114" t="str">
        <f>IFERROR(__xludf.DUMMYFUNCTION("REGEXREPLACE(U115, ""\n"", "" "")"),"Mad Dog of the Navy")</f>
        <v>Mad Dog of the Navy</v>
      </c>
      <c r="W115" s="114"/>
      <c r="X115" s="115" t="str">
        <f t="shared" si="2"/>
        <v>116 Gerand Line Navel Base 5 / Vice Admiral - Smoker 1 - Medal [Mad Dog of the Navy]</v>
      </c>
      <c r="Y115" s="119"/>
      <c r="Z115" s="117" t="s">
        <v>3470</v>
      </c>
      <c r="AA115" s="117" t="s">
        <v>2356</v>
      </c>
      <c r="AB115" s="114"/>
      <c r="AC115" s="123" t="str">
        <f>IFERROR(__xludf.DUMMYFUNCTION("""COMPUTED_VALUE"""),"https://ik.imagekit.io/alaaalaa6171/229%20Hyogoro%20Family_Big%20Boss%20-%20Hyogoro%20-%20Medal%20_Hyogoro_.png?updatedAt=1770076447674")</f>
        <v>https://ik.imagekit.io/alaaalaa6171/229%20Hyogoro%20Family_Big%20Boss%20-%20Hyogoro%20-%20Medal%20_Hyogoro_.png?updatedAt=1770076447674</v>
      </c>
      <c r="AD115" s="123" t="str">
        <f>IFERROR(__xludf.DUMMYFUNCTION("""COMPUTED_VALUE"""),"https://ik.imagekit.io/alaaalaa6171/229%20Hyogoro%20Family_Big%20Boss%20-%20Hyogoro%20-%20Medal%20_Hyogoro_%20_Colored_.png?updatedAt=1770076447621")</f>
        <v>https://ik.imagekit.io/alaaalaa6171/229%20Hyogoro%20Family_Big%20Boss%20-%20Hyogoro%20-%20Medal%20_Hyogoro_%20_Colored_.png?updatedAt=1770076447621</v>
      </c>
      <c r="AE115" s="123" t="str">
        <f>IFERROR(__xludf.DUMMYFUNCTION("""COMPUTED_VALUE"""),"https://ik.imagekit.io/alaaalaa6171/229%20Hyogoro%20Family_Big%20Boss%20-%20Hyogoro%20-%20Medal%20_Hyogoro_%20-%20Piece.png?updatedAt=1770076447639")</f>
        <v>https://ik.imagekit.io/alaaalaa6171/229%20Hyogoro%20Family_Big%20Boss%20-%20Hyogoro%20-%20Medal%20_Hyogoro_%20-%20Piece.png?updatedAt=1770076447639</v>
      </c>
      <c r="AF115" s="123" t="str">
        <f>IFERROR(__xludf.DUMMYFUNCTION("""COMPUTED_VALUE"""),"https://ik.imagekit.io/alaaalaa6171/229%20Hyogoro%20Family_Big%20Boss%20-%20Hyogoro%20-%20Medal%20_Hyogoro_%20-%20Piece%20_Colored_.png?updatedAt=1770076447571")</f>
        <v>https://ik.imagekit.io/alaaalaa6171/229%20Hyogoro%20Family_Big%20Boss%20-%20Hyogoro%20-%20Medal%20_Hyogoro_%20-%20Piece%20_Colored_.png?updatedAt=1770076447571</v>
      </c>
      <c r="AG115" s="114"/>
      <c r="AH115" s="114"/>
      <c r="AI115" s="121" t="s">
        <v>3471</v>
      </c>
      <c r="AJ115" s="121" t="str">
        <f>IFERROR(__xludf.DUMMYFUNCTION("regexreplace(regexreplace(AI115, ""  \["", "" ""), ""\]$"", """")"),"114 - Navy HQ_Rear Admiral ~ Hina - Medal - Crafted [Colored] - Hina")</f>
        <v>114 - Navy HQ_Rear Admiral ~ Hina - Medal - Crafted [Colored] - Hina</v>
      </c>
      <c r="AK115" s="114"/>
      <c r="AL115" s="117" t="s">
        <v>3472</v>
      </c>
      <c r="AM115" s="117" t="s">
        <v>3473</v>
      </c>
      <c r="AN115" s="114"/>
      <c r="AO115" s="122">
        <f>IFERROR(__xludf.DUMMYFUNCTION("""COMPUTED_VALUE"""),194.0)</f>
        <v>194</v>
      </c>
      <c r="AP115" s="114" t="str">
        <f>IFERROR(__xludf.DUMMYFUNCTION("""COMPUTED_VALUE"""),"Ankoro")</f>
        <v>Ankoro</v>
      </c>
      <c r="AQ115" s="114" t="str">
        <f>IFERROR(__xludf.DUMMYFUNCTION("""COMPUTED_VALUE"""),"Ankoro")</f>
        <v>Ankoro</v>
      </c>
      <c r="AR115" s="114"/>
      <c r="AS115" s="114"/>
      <c r="AT115" s="123" t="str">
        <f>IFERROR(__xludf.DUMMYFUNCTION("""COMPUTED_VALUE"""),"https://i.postimg.cc/sXWm2LjY/194.png")</f>
        <v>https://i.postimg.cc/sXWm2LjY/194.png</v>
      </c>
      <c r="AU115" s="114"/>
      <c r="AV115" s="114"/>
      <c r="AW115" s="114"/>
      <c r="AX115" s="114" t="str">
        <f t="shared" si="3"/>
        <v>194 - Medal [Event] - Crafted - Ankoro</v>
      </c>
      <c r="AY115" s="114" t="s">
        <v>3474</v>
      </c>
      <c r="AZ115" s="114"/>
      <c r="BA115" s="114"/>
      <c r="BB115" s="114"/>
      <c r="BC115" s="114"/>
      <c r="BD115" s="114"/>
      <c r="BE115" s="114"/>
    </row>
    <row r="116" ht="37.5" customHeight="1">
      <c r="A116" s="118" t="s">
        <v>3475</v>
      </c>
      <c r="B116" s="117" t="s">
        <v>3476</v>
      </c>
      <c r="C116" s="119">
        <f>IFERROR(__xludf.DUMMYFUNCTION("""COMPUTED_VALUE"""),227.0)</f>
        <v>227</v>
      </c>
      <c r="D116" s="114" t="str">
        <f>IFERROR(__xludf.DUMMYFUNCTION("""COMPUTED_VALUE"""),"Shinobu")</f>
        <v>Shinobu</v>
      </c>
      <c r="E116" s="114" t="str">
        <f>IFERROR(__xludf.DUMMYFUNCTION("""COMPUTED_VALUE"""),"")</f>
        <v/>
      </c>
      <c r="F116" s="114"/>
      <c r="G116" s="114"/>
      <c r="H116" s="114"/>
      <c r="I116" s="114"/>
      <c r="J116" s="114"/>
      <c r="K116" s="114" t="s">
        <v>3477</v>
      </c>
      <c r="L116" s="114" t="s">
        <v>3478</v>
      </c>
      <c r="M116" s="114" t="s">
        <v>3479</v>
      </c>
      <c r="N116" s="114" t="s">
        <v>3480</v>
      </c>
      <c r="O116" s="114"/>
      <c r="P116" s="120">
        <v>227.0</v>
      </c>
      <c r="Q116" s="117" t="s">
        <v>3481</v>
      </c>
      <c r="R116" s="114"/>
      <c r="S116" s="117" t="s">
        <v>3482</v>
      </c>
      <c r="T116" s="114">
        <f t="shared" si="1"/>
        <v>114</v>
      </c>
      <c r="U116" s="114" t="s">
        <v>1393</v>
      </c>
      <c r="V116" s="114" t="str">
        <f>IFERROR(__xludf.DUMMYFUNCTION("REGEXREPLACE(U116, ""\n"", "" "")"),"Hina")</f>
        <v>Hina</v>
      </c>
      <c r="W116" s="114"/>
      <c r="X116" s="115" t="str">
        <f t="shared" si="2"/>
        <v>114 Navy HQ / Rear Admiral - Hina - Medal [Hina]</v>
      </c>
      <c r="Y116" s="119"/>
      <c r="Z116" s="117" t="s">
        <v>3483</v>
      </c>
      <c r="AA116" s="117" t="s">
        <v>2358</v>
      </c>
      <c r="AB116" s="114"/>
      <c r="AC116" s="123" t="str">
        <f>IFERROR(__xludf.DUMMYFUNCTION("""COMPUTED_VALUE"""),"https://ik.imagekit.io/alaaalaa6171/228%20Kozuki%20Clan_Servant%20-%20Raizo%20-%20Medal%20_Raizo_.png?updatedAt=1770076447552")</f>
        <v>https://ik.imagekit.io/alaaalaa6171/228%20Kozuki%20Clan_Servant%20-%20Raizo%20-%20Medal%20_Raizo_.png?updatedAt=1770076447552</v>
      </c>
      <c r="AD116" s="123" t="str">
        <f>IFERROR(__xludf.DUMMYFUNCTION("""COMPUTED_VALUE"""),"https://ik.imagekit.io/alaaalaa6171/228%20Kozuki%20Clan_Servant%20-%20Raizo%20-%20Medal%20_Raizo_%20_Colored_.png?updatedAt=1770076447549")</f>
        <v>https://ik.imagekit.io/alaaalaa6171/228%20Kozuki%20Clan_Servant%20-%20Raizo%20-%20Medal%20_Raizo_%20_Colored_.png?updatedAt=1770076447549</v>
      </c>
      <c r="AE116" s="123" t="str">
        <f>IFERROR(__xludf.DUMMYFUNCTION("""COMPUTED_VALUE"""),"https://ik.imagekit.io/alaaalaa6171/228%20Kozuki%20Clan_Servant%20-%20Raizo%20-%20Medal%20_Raizo_%20-%20Piece.png?updatedAt=1770076447504")</f>
        <v>https://ik.imagekit.io/alaaalaa6171/228%20Kozuki%20Clan_Servant%20-%20Raizo%20-%20Medal%20_Raizo_%20-%20Piece.png?updatedAt=1770076447504</v>
      </c>
      <c r="AF116" s="123" t="str">
        <f>IFERROR(__xludf.DUMMYFUNCTION("""COMPUTED_VALUE"""),"https://ik.imagekit.io/alaaalaa6171/228%20Kozuki%20Clan_Servant%20-%20Raizo%20-%20Medal%20_Raizo_%20-%20Piece%20_Colored_.png?updatedAt=1770076447499")</f>
        <v>https://ik.imagekit.io/alaaalaa6171/228%20Kozuki%20Clan_Servant%20-%20Raizo%20-%20Medal%20_Raizo_%20-%20Piece%20_Colored_.png?updatedAt=1770076447499</v>
      </c>
      <c r="AG116" s="114"/>
      <c r="AH116" s="114"/>
      <c r="AI116" s="121" t="s">
        <v>3484</v>
      </c>
      <c r="AJ116" s="121" t="str">
        <f>IFERROR(__xludf.DUMMYFUNCTION("regexreplace(regexreplace(AI116, ""  \["", "" ""), ""\]$"", """")"),"115 - Grand Line Naval Base 5_Captain ~ Tashigi - Medal - Crafted [Colored] - Cutting Mist")</f>
        <v>115 - Grand Line Naval Base 5_Captain ~ Tashigi - Medal - Crafted [Colored] - Cutting Mist</v>
      </c>
      <c r="AK116" s="114"/>
      <c r="AL116" s="117" t="s">
        <v>3485</v>
      </c>
      <c r="AM116" s="117" t="s">
        <v>3486</v>
      </c>
      <c r="AN116" s="114"/>
      <c r="AO116" s="122">
        <f>IFERROR(__xludf.DUMMYFUNCTION("""COMPUTED_VALUE"""),193.0)</f>
        <v>193</v>
      </c>
      <c r="AP116" s="114" t="str">
        <f>IFERROR(__xludf.DUMMYFUNCTION("""COMPUTED_VALUE"""),"Wadatsumi")</f>
        <v>Wadatsumi</v>
      </c>
      <c r="AQ116" s="114" t="str">
        <f>IFERROR(__xludf.DUMMYFUNCTION("""COMPUTED_VALUE"""),"Wadatsumi")</f>
        <v>Wadatsumi</v>
      </c>
      <c r="AR116" s="114"/>
      <c r="AS116" s="114"/>
      <c r="AT116" s="123" t="str">
        <f>IFERROR(__xludf.DUMMYFUNCTION("""COMPUTED_VALUE"""),"https://i.postimg.cc/mkGw1Sk0/193.png")</f>
        <v>https://i.postimg.cc/mkGw1Sk0/193.png</v>
      </c>
      <c r="AU116" s="114"/>
      <c r="AV116" s="114"/>
      <c r="AW116" s="114"/>
      <c r="AX116" s="114" t="str">
        <f t="shared" si="3"/>
        <v>193 - Medal [Event] - Crafted - Wadatsumi</v>
      </c>
      <c r="AY116" s="114" t="s">
        <v>3487</v>
      </c>
      <c r="AZ116" s="114"/>
      <c r="BA116" s="114"/>
      <c r="BB116" s="114"/>
      <c r="BC116" s="114"/>
      <c r="BD116" s="114"/>
      <c r="BE116" s="114"/>
    </row>
    <row r="117" ht="37.5" customHeight="1">
      <c r="A117" s="118" t="s">
        <v>3488</v>
      </c>
      <c r="B117" s="117" t="s">
        <v>3489</v>
      </c>
      <c r="C117" s="119">
        <f>IFERROR(__xludf.DUMMYFUNCTION("""COMPUTED_VALUE"""),226.0)</f>
        <v>226</v>
      </c>
      <c r="D117" s="114" t="str">
        <f>IFERROR(__xludf.DUMMYFUNCTION("""COMPUTED_VALUE"""),"Trebol")</f>
        <v>Trebol</v>
      </c>
      <c r="E117" s="114" t="str">
        <f>IFERROR(__xludf.DUMMYFUNCTION("""COMPUTED_VALUE"""),"")</f>
        <v/>
      </c>
      <c r="F117" s="114"/>
      <c r="G117" s="114"/>
      <c r="H117" s="114"/>
      <c r="I117" s="114"/>
      <c r="J117" s="114"/>
      <c r="K117" s="114" t="s">
        <v>3490</v>
      </c>
      <c r="L117" s="114" t="s">
        <v>3491</v>
      </c>
      <c r="M117" s="114" t="s">
        <v>3492</v>
      </c>
      <c r="N117" s="114" t="s">
        <v>3493</v>
      </c>
      <c r="O117" s="114"/>
      <c r="P117" s="120">
        <v>226.0</v>
      </c>
      <c r="Q117" s="117" t="s">
        <v>3494</v>
      </c>
      <c r="R117" s="114"/>
      <c r="S117" s="117" t="s">
        <v>3495</v>
      </c>
      <c r="T117" s="114">
        <f t="shared" si="1"/>
        <v>115</v>
      </c>
      <c r="U117" s="114" t="s">
        <v>1386</v>
      </c>
      <c r="V117" s="114" t="str">
        <f>IFERROR(__xludf.DUMMYFUNCTION("REGEXREPLACE(U117, ""\n"", "" "")"),"Cutting Mist")</f>
        <v>Cutting Mist</v>
      </c>
      <c r="W117" s="114"/>
      <c r="X117" s="115" t="str">
        <f t="shared" si="2"/>
        <v>115 Grand Line Naval Base 5 / Captain - Tashigi - Medal [Cutting Mist]</v>
      </c>
      <c r="Y117" s="119"/>
      <c r="Z117" s="117" t="s">
        <v>3496</v>
      </c>
      <c r="AA117" s="117" t="s">
        <v>2359</v>
      </c>
      <c r="AB117" s="114"/>
      <c r="AC117" s="123" t="str">
        <f>IFERROR(__xludf.DUMMYFUNCTION("""COMPUTED_VALUE"""),"https://ik.imagekit.io/alaaalaa6171/227%20Veteran%20Kunoichi%20-%20Shinobu%20-%20Medal%20_Shinobu_.png?updatedAt=1770076447506")</f>
        <v>https://ik.imagekit.io/alaaalaa6171/227%20Veteran%20Kunoichi%20-%20Shinobu%20-%20Medal%20_Shinobu_.png?updatedAt=1770076447506</v>
      </c>
      <c r="AD117" s="123" t="str">
        <f>IFERROR(__xludf.DUMMYFUNCTION("""COMPUTED_VALUE"""),"https://ik.imagekit.io/alaaalaa6171/227%20Veteran%20Kunoichi%20-%20Shinobu%20-%20Medal%20_Shinobu_%20_Colored_.png?updatedAt=1770076447297")</f>
        <v>https://ik.imagekit.io/alaaalaa6171/227%20Veteran%20Kunoichi%20-%20Shinobu%20-%20Medal%20_Shinobu_%20_Colored_.png?updatedAt=1770076447297</v>
      </c>
      <c r="AE117" s="123" t="str">
        <f>IFERROR(__xludf.DUMMYFUNCTION("""COMPUTED_VALUE"""),"https://ik.imagekit.io/alaaalaa6171/227%20Veteran%20Kunoichi%20-%20Shinobu%20-%20Medal%20_Shinobu_%20-%20Piece.png?updatedAt=1770076447258")</f>
        <v>https://ik.imagekit.io/alaaalaa6171/227%20Veteran%20Kunoichi%20-%20Shinobu%20-%20Medal%20_Shinobu_%20-%20Piece.png?updatedAt=1770076447258</v>
      </c>
      <c r="AF117" s="123" t="str">
        <f>IFERROR(__xludf.DUMMYFUNCTION("""COMPUTED_VALUE"""),"https://ik.imagekit.io/alaaalaa6171/227%20Veteran%20Kunoichi%20-%20Shinobu%20-%20Medal%20_Shinobu_%20-%20Piece%20_Colored_.png?updatedAt=1770076446591")</f>
        <v>https://ik.imagekit.io/alaaalaa6171/227%20Veteran%20Kunoichi%20-%20Shinobu%20-%20Medal%20_Shinobu_%20-%20Piece%20_Colored_.png?updatedAt=1770076446591</v>
      </c>
      <c r="AG117" s="114"/>
      <c r="AH117" s="114"/>
      <c r="AI117" s="121" t="s">
        <v>3497</v>
      </c>
      <c r="AJ117" s="121" t="str">
        <f>IFERROR(__xludf.DUMMYFUNCTION("regexreplace(regexreplace(AI117, ""  \["", "" ""), ""\]$"", """")"),"116 - Gerand Line Navel Base 5_Vice Admiral ~ Smoker 1 - Medal - Crafted [Colored] - Mad Dog of the Navy")</f>
        <v>116 - Gerand Line Navel Base 5_Vice Admiral ~ Smoker 1 - Medal - Crafted [Colored] - Mad Dog of the Navy</v>
      </c>
      <c r="AK117" s="114"/>
      <c r="AL117" s="117" t="s">
        <v>3498</v>
      </c>
      <c r="AM117" s="117" t="s">
        <v>3499</v>
      </c>
      <c r="AN117" s="114"/>
      <c r="AO117" s="122">
        <f>IFERROR(__xludf.DUMMYFUNCTION("""COMPUTED_VALUE"""),192.0)</f>
        <v>192</v>
      </c>
      <c r="AP117" s="114" t="str">
        <f>IFERROR(__xludf.DUMMYFUNCTION("""COMPUTED_VALUE"""),"Komachiyo")</f>
        <v>Komachiyo</v>
      </c>
      <c r="AQ117" s="114" t="str">
        <f>IFERROR(__xludf.DUMMYFUNCTION("""COMPUTED_VALUE"""),"Komachiyo")</f>
        <v>Komachiyo</v>
      </c>
      <c r="AR117" s="114"/>
      <c r="AS117" s="114"/>
      <c r="AT117" s="123" t="str">
        <f>IFERROR(__xludf.DUMMYFUNCTION("""COMPUTED_VALUE"""),"https://i.postimg.cc/BZxN9Rws/192.png")</f>
        <v>https://i.postimg.cc/BZxN9Rws/192.png</v>
      </c>
      <c r="AU117" s="114"/>
      <c r="AV117" s="114"/>
      <c r="AW117" s="114"/>
      <c r="AX117" s="114" t="str">
        <f t="shared" si="3"/>
        <v>192 - Medal [Event] - Crafted - Komachiyo</v>
      </c>
      <c r="AY117" s="114" t="s">
        <v>3500</v>
      </c>
      <c r="AZ117" s="114"/>
      <c r="BA117" s="114"/>
      <c r="BB117" s="114"/>
      <c r="BC117" s="114"/>
      <c r="BD117" s="114"/>
      <c r="BE117" s="114"/>
    </row>
    <row r="118" ht="37.5" customHeight="1">
      <c r="A118" s="118" t="s">
        <v>3501</v>
      </c>
      <c r="B118" s="117" t="s">
        <v>3502</v>
      </c>
      <c r="C118" s="119">
        <f>IFERROR(__xludf.DUMMYFUNCTION("""COMPUTED_VALUE"""),225.0)</f>
        <v>225</v>
      </c>
      <c r="D118" s="114" t="str">
        <f>IFERROR(__xludf.DUMMYFUNCTION("""COMPUTED_VALUE"""),"Ripple_Ripple")</f>
        <v>Ripple_Ripple</v>
      </c>
      <c r="E118" s="114" t="str">
        <f>IFERROR(__xludf.DUMMYFUNCTION("""COMPUTED_VALUE"""),"")</f>
        <v/>
      </c>
      <c r="F118" s="114"/>
      <c r="G118" s="114"/>
      <c r="H118" s="114"/>
      <c r="I118" s="114"/>
      <c r="J118" s="114"/>
      <c r="K118" s="114" t="s">
        <v>3503</v>
      </c>
      <c r="L118" s="114" t="s">
        <v>3504</v>
      </c>
      <c r="M118" s="114" t="s">
        <v>3505</v>
      </c>
      <c r="N118" s="114" t="s">
        <v>3506</v>
      </c>
      <c r="O118" s="114"/>
      <c r="P118" s="120">
        <v>225.0</v>
      </c>
      <c r="Q118" s="117" t="s">
        <v>3507</v>
      </c>
      <c r="R118" s="114"/>
      <c r="S118" s="117" t="s">
        <v>3508</v>
      </c>
      <c r="T118" s="114">
        <f t="shared" si="1"/>
        <v>117</v>
      </c>
      <c r="U118" s="114" t="s">
        <v>1372</v>
      </c>
      <c r="V118" s="114" t="str">
        <f>IFERROR(__xludf.DUMMYFUNCTION("REGEXREPLACE(U118, ""\n"", "" "")"),"Magellan")</f>
        <v>Magellan</v>
      </c>
      <c r="W118" s="114"/>
      <c r="X118" s="115" t="str">
        <f t="shared" si="2"/>
        <v>117 Impel Down / Warden - Magellan - Medal [Magellan]</v>
      </c>
      <c r="Y118" s="119"/>
      <c r="Z118" s="117" t="s">
        <v>3509</v>
      </c>
      <c r="AA118" s="117" t="s">
        <v>2357</v>
      </c>
      <c r="AB118" s="114"/>
      <c r="AC118" s="123" t="str">
        <f>IFERROR(__xludf.DUMMYFUNCTION("""COMPUTED_VALUE"""),"https://ik.imagekit.io/alaaalaa6171/226%20Don%20Quixote%20Pirates_Supreme%20Officer%20-%20Trebol%20-%20Medal%20_Trebol_.png?updatedAt=1770076446120")</f>
        <v>https://ik.imagekit.io/alaaalaa6171/226%20Don%20Quixote%20Pirates_Supreme%20Officer%20-%20Trebol%20-%20Medal%20_Trebol_.png?updatedAt=1770076446120</v>
      </c>
      <c r="AD118" s="123" t="str">
        <f>IFERROR(__xludf.DUMMYFUNCTION("""COMPUTED_VALUE"""),"https://ik.imagekit.io/alaaalaa6171/226%20Don%20Quixote%20Pirates_Supreme%20Officer%20-%20Trebol%20-%20Medal%20_Trebol_%20_Colored_.png?updatedAt=1770076445991")</f>
        <v>https://ik.imagekit.io/alaaalaa6171/226%20Don%20Quixote%20Pirates_Supreme%20Officer%20-%20Trebol%20-%20Medal%20_Trebol_%20_Colored_.png?updatedAt=1770076445991</v>
      </c>
      <c r="AE118" s="123" t="str">
        <f>IFERROR(__xludf.DUMMYFUNCTION("""COMPUTED_VALUE"""),"https://ik.imagekit.io/alaaalaa6171/226%20Don%20Quixote%20Pirates_Supreme%20Officer%20-%20Trebol%20-%20Medal%20_Trebol_%20-%20Piece.png?updatedAt=1770076443782")</f>
        <v>https://ik.imagekit.io/alaaalaa6171/226%20Don%20Quixote%20Pirates_Supreme%20Officer%20-%20Trebol%20-%20Medal%20_Trebol_%20-%20Piece.png?updatedAt=1770076443782</v>
      </c>
      <c r="AF118" s="123" t="str">
        <f>IFERROR(__xludf.DUMMYFUNCTION("""COMPUTED_VALUE"""),"https://ik.imagekit.io/alaaalaa6171/226%20Don%20Quixote%20Pirates_Supreme%20Officer%20-%20Trebol%20-%20Medal%20_Trebol_%20-%20Piece%20_Colored_.png?updatedAt=1770076443647")</f>
        <v>https://ik.imagekit.io/alaaalaa6171/226%20Don%20Quixote%20Pirates_Supreme%20Officer%20-%20Trebol%20-%20Medal%20_Trebol_%20-%20Piece%20_Colored_.png?updatedAt=1770076443647</v>
      </c>
      <c r="AG118" s="114"/>
      <c r="AH118" s="114"/>
      <c r="AI118" s="121" t="s">
        <v>3510</v>
      </c>
      <c r="AJ118" s="121" t="str">
        <f>IFERROR(__xludf.DUMMYFUNCTION("regexreplace(regexreplace(AI118, ""  \["", "" ""), ""\]$"", """")"),"117 - Impel Down_Warden ~ Magellan - Medal - Crafted [Colored] - Magellan")</f>
        <v>117 - Impel Down_Warden ~ Magellan - Medal - Crafted [Colored] - Magellan</v>
      </c>
      <c r="AK118" s="114"/>
      <c r="AL118" s="117" t="s">
        <v>3511</v>
      </c>
      <c r="AM118" s="117" t="s">
        <v>3512</v>
      </c>
      <c r="AN118" s="114"/>
      <c r="AO118" s="122">
        <f>IFERROR(__xludf.DUMMYFUNCTION("""COMPUTED_VALUE"""),191.0)</f>
        <v>191</v>
      </c>
      <c r="AP118" s="114" t="str">
        <f>IFERROR(__xludf.DUMMYFUNCTION("""COMPUTED_VALUE"""),"Lightning Blast")</f>
        <v>Lightning Blast</v>
      </c>
      <c r="AQ118" s="114" t="str">
        <f>IFERROR(__xludf.DUMMYFUNCTION("""COMPUTED_VALUE"""),"Lightning Blast")</f>
        <v>Lightning Blast</v>
      </c>
      <c r="AR118" s="114"/>
      <c r="AS118" s="114"/>
      <c r="AT118" s="123" t="str">
        <f>IFERROR(__xludf.DUMMYFUNCTION("""COMPUTED_VALUE"""),"https://i.postimg.cc/TYf0RQZb/191.png")</f>
        <v>https://i.postimg.cc/TYf0RQZb/191.png</v>
      </c>
      <c r="AU118" s="114"/>
      <c r="AV118" s="114"/>
      <c r="AW118" s="114"/>
      <c r="AX118" s="114" t="str">
        <f t="shared" si="3"/>
        <v>191 - Medal [Event] - Crafted - Lightning Blast</v>
      </c>
      <c r="AY118" s="114" t="s">
        <v>3513</v>
      </c>
      <c r="AZ118" s="114"/>
      <c r="BA118" s="114"/>
      <c r="BB118" s="114"/>
      <c r="BC118" s="114"/>
      <c r="BD118" s="114"/>
      <c r="BE118" s="114"/>
    </row>
    <row r="119" ht="37.5" customHeight="1">
      <c r="A119" s="118" t="s">
        <v>3514</v>
      </c>
      <c r="B119" s="117" t="s">
        <v>3515</v>
      </c>
      <c r="C119" s="119">
        <f>IFERROR(__xludf.DUMMYFUNCTION("""COMPUTED_VALUE"""),224.0)</f>
        <v>224</v>
      </c>
      <c r="D119" s="114" t="str">
        <f>IFERROR(__xludf.DUMMYFUNCTION("""COMPUTED_VALUE"""),"Boing_Boing")</f>
        <v>Boing_Boing</v>
      </c>
      <c r="E119" s="114" t="str">
        <f>IFERROR(__xludf.DUMMYFUNCTION("""COMPUTED_VALUE"""),"")</f>
        <v/>
      </c>
      <c r="F119" s="114"/>
      <c r="G119" s="114"/>
      <c r="H119" s="114"/>
      <c r="I119" s="114"/>
      <c r="J119" s="114"/>
      <c r="K119" s="114" t="s">
        <v>3516</v>
      </c>
      <c r="L119" s="114" t="s">
        <v>3517</v>
      </c>
      <c r="M119" s="114" t="s">
        <v>3518</v>
      </c>
      <c r="N119" s="114" t="s">
        <v>3519</v>
      </c>
      <c r="O119" s="114"/>
      <c r="P119" s="120">
        <v>224.0</v>
      </c>
      <c r="Q119" s="117" t="s">
        <v>3520</v>
      </c>
      <c r="R119" s="114"/>
      <c r="S119" s="117" t="s">
        <v>3521</v>
      </c>
      <c r="T119" s="114">
        <f t="shared" si="1"/>
        <v>118</v>
      </c>
      <c r="U119" s="114" t="s">
        <v>1366</v>
      </c>
      <c r="V119" s="114" t="str">
        <f>IFERROR(__xludf.DUMMYFUNCTION("REGEXREPLACE(U119, ""\n"", "" "")"),"Ivankov")</f>
        <v>Ivankov</v>
      </c>
      <c r="W119" s="114"/>
      <c r="X119" s="115" t="str">
        <f t="shared" si="2"/>
        <v>118 Revolutoonary Army - Emporio Ivankov - Medal [Ivankov]</v>
      </c>
      <c r="Y119" s="119"/>
      <c r="Z119" s="117" t="s">
        <v>3522</v>
      </c>
      <c r="AA119" s="117" t="s">
        <v>2369</v>
      </c>
      <c r="AB119" s="114"/>
      <c r="AC119" s="123" t="str">
        <f>IFERROR(__xludf.DUMMYFUNCTION("""COMPUTED_VALUE"""),"https://ik.imagekit.io/alaaalaa6171/225%20Don%20Quixote%20Pirates_Supreme%20Officer%20-%20Diamante%20-%20Medal%20_Ripple_Ripple_.png?updatedAt=1770076443544")</f>
        <v>https://ik.imagekit.io/alaaalaa6171/225%20Don%20Quixote%20Pirates_Supreme%20Officer%20-%20Diamante%20-%20Medal%20_Ripple_Ripple_.png?updatedAt=1770076443544</v>
      </c>
      <c r="AD119" s="123" t="str">
        <f>IFERROR(__xludf.DUMMYFUNCTION("""COMPUTED_VALUE"""),"https://ik.imagekit.io/alaaalaa6171/225%20Don%20Quixote%20Pirates_Supreme%20Officer%20-%20Diamante%20-%20Medal%20_Ripple_Ripple_%20_Colored_.png?updatedAt=1770076443447")</f>
        <v>https://ik.imagekit.io/alaaalaa6171/225%20Don%20Quixote%20Pirates_Supreme%20Officer%20-%20Diamante%20-%20Medal%20_Ripple_Ripple_%20_Colored_.png?updatedAt=1770076443447</v>
      </c>
      <c r="AE119" s="123" t="str">
        <f>IFERROR(__xludf.DUMMYFUNCTION("""COMPUTED_VALUE"""),"https://ik.imagekit.io/alaaalaa6171/225%20Don%20Quixote%20Pirates_Supreme%20Officer%20-%20Diamante%20-%20Medal%20_Ripple_Ripple_%20-%20Piece.png?updatedAt=1770076443389")</f>
        <v>https://ik.imagekit.io/alaaalaa6171/225%20Don%20Quixote%20Pirates_Supreme%20Officer%20-%20Diamante%20-%20Medal%20_Ripple_Ripple_%20-%20Piece.png?updatedAt=1770076443389</v>
      </c>
      <c r="AF119" s="123" t="str">
        <f>IFERROR(__xludf.DUMMYFUNCTION("""COMPUTED_VALUE"""),"https://ik.imagekit.io/alaaalaa6171/225%20Don%20Quixote%20Pirates_Supreme%20Officer%20-%20Diamante%20-%20Medal%20_Ripple_Ripple_%20-%20Piece%20_Colored_.png?updatedAt=1770076443312")</f>
        <v>https://ik.imagekit.io/alaaalaa6171/225%20Don%20Quixote%20Pirates_Supreme%20Officer%20-%20Diamante%20-%20Medal%20_Ripple_Ripple_%20-%20Piece%20_Colored_.png?updatedAt=1770076443312</v>
      </c>
      <c r="AG119" s="114"/>
      <c r="AH119" s="114"/>
      <c r="AI119" s="121" t="s">
        <v>3523</v>
      </c>
      <c r="AJ119" s="121" t="str">
        <f>IFERROR(__xludf.DUMMYFUNCTION("regexreplace(regexreplace(AI119, ""  \["", "" ""), ""\]$"", """")"),"118 - Revolutoonary Army ~ Emporio Ivankov - Medal - Crafted [Colored] - Ivankov")</f>
        <v>118 - Revolutoonary Army ~ Emporio Ivankov - Medal - Crafted [Colored] - Ivankov</v>
      </c>
      <c r="AK119" s="114"/>
      <c r="AL119" s="117" t="s">
        <v>3524</v>
      </c>
      <c r="AM119" s="117" t="s">
        <v>3525</v>
      </c>
      <c r="AN119" s="114"/>
      <c r="AO119" s="122">
        <f>IFERROR(__xludf.DUMMYFUNCTION("""COMPUTED_VALUE"""),190.0)</f>
        <v>190</v>
      </c>
      <c r="AP119" s="114" t="str">
        <f>IFERROR(__xludf.DUMMYFUNCTION("""COMPUTED_VALUE"""),"Moomonosuke
(Dragon)")</f>
        <v>Moomonosuke
(Dragon)</v>
      </c>
      <c r="AQ119" s="114" t="str">
        <f>IFERROR(__xludf.DUMMYFUNCTION("""COMPUTED_VALUE"""),"Moomonosuke (Dragon)")</f>
        <v>Moomonosuke (Dragon)</v>
      </c>
      <c r="AR119" s="114"/>
      <c r="AS119" s="114"/>
      <c r="AT119" s="123" t="str">
        <f>IFERROR(__xludf.DUMMYFUNCTION("""COMPUTED_VALUE"""),"https://i.postimg.cc/c4hm6wSb/190.png")</f>
        <v>https://i.postimg.cc/c4hm6wSb/190.png</v>
      </c>
      <c r="AU119" s="114"/>
      <c r="AV119" s="114"/>
      <c r="AW119" s="114"/>
      <c r="AX119" s="114" t="str">
        <f t="shared" si="3"/>
        <v>190 - Medal [Event] - Crafted - Moomonosuke (Dragon)</v>
      </c>
      <c r="AY119" s="114" t="s">
        <v>3526</v>
      </c>
      <c r="AZ119" s="114"/>
      <c r="BA119" s="114"/>
      <c r="BB119" s="114"/>
      <c r="BC119" s="114"/>
      <c r="BD119" s="114"/>
      <c r="BE119" s="114"/>
    </row>
    <row r="120" ht="37.5" customHeight="1">
      <c r="A120" s="118" t="s">
        <v>3527</v>
      </c>
      <c r="B120" s="117" t="s">
        <v>3528</v>
      </c>
      <c r="C120" s="119">
        <f>IFERROR(__xludf.DUMMYFUNCTION("""COMPUTED_VALUE"""),223.0)</f>
        <v>223</v>
      </c>
      <c r="D120" s="114" t="str">
        <f>IFERROR(__xludf.DUMMYFUNCTION("""COMPUTED_VALUE"""),"Usopp
(FILM RED)")</f>
        <v>Usopp
(FILM RED)</v>
      </c>
      <c r="E120" s="114" t="str">
        <f>IFERROR(__xludf.DUMMYFUNCTION("""COMPUTED_VALUE"""),"")</f>
        <v/>
      </c>
      <c r="F120" s="114"/>
      <c r="G120" s="114"/>
      <c r="H120" s="114"/>
      <c r="I120" s="114"/>
      <c r="J120" s="114"/>
      <c r="K120" s="114" t="s">
        <v>3529</v>
      </c>
      <c r="L120" s="114" t="s">
        <v>3530</v>
      </c>
      <c r="M120" s="114" t="s">
        <v>3531</v>
      </c>
      <c r="N120" s="114" t="s">
        <v>3532</v>
      </c>
      <c r="O120" s="114"/>
      <c r="P120" s="120">
        <v>223.0</v>
      </c>
      <c r="Q120" s="117" t="s">
        <v>3533</v>
      </c>
      <c r="R120" s="114"/>
      <c r="S120" s="117" t="s">
        <v>3534</v>
      </c>
      <c r="T120" s="114">
        <f t="shared" si="1"/>
        <v>119</v>
      </c>
      <c r="U120" s="114" t="s">
        <v>1361</v>
      </c>
      <c r="V120" s="114" t="str">
        <f>IFERROR(__xludf.DUMMYFUNCTION("REGEXREPLACE(U120, ""\n"", "" "")"),"King Cobra")</f>
        <v>King Cobra</v>
      </c>
      <c r="W120" s="114"/>
      <c r="X120" s="115" t="str">
        <f t="shared" si="2"/>
        <v>119 Gear Four / Snakeman - Monkey D. Luffy - Medal [King Cobra]</v>
      </c>
      <c r="Y120" s="119"/>
      <c r="Z120" s="117" t="s">
        <v>3535</v>
      </c>
      <c r="AA120" s="117" t="s">
        <v>2371</v>
      </c>
      <c r="AB120" s="114"/>
      <c r="AC120" s="123" t="str">
        <f>IFERROR(__xludf.DUMMYFUNCTION("""COMPUTED_VALUE"""),"https://ik.imagekit.io/alaaalaa6171/224%20The%20Bullet%20of%20Dressrosa%20-%20Bellamy%20-%20Medal%20_Boing_Boing_.png?updatedAt=1770076442631")</f>
        <v>https://ik.imagekit.io/alaaalaa6171/224%20The%20Bullet%20of%20Dressrosa%20-%20Bellamy%20-%20Medal%20_Boing_Boing_.png?updatedAt=1770076442631</v>
      </c>
      <c r="AD120" s="123" t="str">
        <f>IFERROR(__xludf.DUMMYFUNCTION("""COMPUTED_VALUE"""),"https://ik.imagekit.io/alaaalaa6171/224%20The%20Bullet%20of%20Dressrosa%20-%20Bellamy%20-%20Medal%20_Boing_Boing_%20_Colored_.png?updatedAt=1770076442548")</f>
        <v>https://ik.imagekit.io/alaaalaa6171/224%20The%20Bullet%20of%20Dressrosa%20-%20Bellamy%20-%20Medal%20_Boing_Boing_%20_Colored_.png?updatedAt=1770076442548</v>
      </c>
      <c r="AE120" s="123" t="str">
        <f>IFERROR(__xludf.DUMMYFUNCTION("""COMPUTED_VALUE"""),"https://ik.imagekit.io/alaaalaa6171/224%20The%20Bullet%20of%20Dressrosa%20-%20Bellamy%20-%20Medal%20_Boing_Boing_%20-%20Piece.png?updatedAt=1770076442543")</f>
        <v>https://ik.imagekit.io/alaaalaa6171/224%20The%20Bullet%20of%20Dressrosa%20-%20Bellamy%20-%20Medal%20_Boing_Boing_%20-%20Piece.png?updatedAt=1770076442543</v>
      </c>
      <c r="AF120" s="123" t="str">
        <f>IFERROR(__xludf.DUMMYFUNCTION("""COMPUTED_VALUE"""),"https://ik.imagekit.io/alaaalaa6171/224%20The%20Bullet%20of%20Dressrosa%20-%20Bellamy%20-%20Medal%20_Boing_Boing_%20-%20Piece%20_Colored_.png?updatedAt=1770076442506")</f>
        <v>https://ik.imagekit.io/alaaalaa6171/224%20The%20Bullet%20of%20Dressrosa%20-%20Bellamy%20-%20Medal%20_Boing_Boing_%20-%20Piece%20_Colored_.png?updatedAt=1770076442506</v>
      </c>
      <c r="AG120" s="114"/>
      <c r="AH120" s="114"/>
      <c r="AI120" s="121" t="s">
        <v>3536</v>
      </c>
      <c r="AJ120" s="121" t="str">
        <f>IFERROR(__xludf.DUMMYFUNCTION("regexreplace(regexreplace(AI120, ""  \["", "" ""), ""\]$"", """")"),"119 - Gear Four_Snakeman ~ Monkey D. Luffy - Medal - Crafted [Colored] - King Cobra")</f>
        <v>119 - Gear Four_Snakeman ~ Monkey D. Luffy - Medal - Crafted [Colored] - King Cobra</v>
      </c>
      <c r="AK120" s="114"/>
      <c r="AL120" s="117" t="s">
        <v>3537</v>
      </c>
      <c r="AM120" s="117" t="s">
        <v>3538</v>
      </c>
      <c r="AN120" s="114"/>
      <c r="AO120" s="122">
        <f>IFERROR(__xludf.DUMMYFUNCTION("""COMPUTED_VALUE"""),189.0)</f>
        <v>189</v>
      </c>
      <c r="AP120" s="114" t="str">
        <f>IFERROR(__xludf.DUMMYFUNCTION("""COMPUTED_VALUE"""),"Ace
(Izayoizuki)")</f>
        <v>Ace
(Izayoizuki)</v>
      </c>
      <c r="AQ120" s="114" t="str">
        <f>IFERROR(__xludf.DUMMYFUNCTION("""COMPUTED_VALUE"""),"Ace (Izayoizuki)")</f>
        <v>Ace (Izayoizuki)</v>
      </c>
      <c r="AR120" s="114"/>
      <c r="AS120" s="114"/>
      <c r="AT120" s="123" t="str">
        <f>IFERROR(__xludf.DUMMYFUNCTION("""COMPUTED_VALUE"""),"https://i.postimg.cc/MHDyM2hQ/189.png")</f>
        <v>https://i.postimg.cc/MHDyM2hQ/189.png</v>
      </c>
      <c r="AU120" s="114"/>
      <c r="AV120" s="114"/>
      <c r="AW120" s="114"/>
      <c r="AX120" s="114" t="str">
        <f t="shared" si="3"/>
        <v>189 - Medal [Event] - Crafted - Ace (Izayoizuki)</v>
      </c>
      <c r="AY120" s="114" t="s">
        <v>3539</v>
      </c>
      <c r="AZ120" s="114"/>
      <c r="BA120" s="114"/>
      <c r="BB120" s="114"/>
      <c r="BC120" s="114"/>
      <c r="BD120" s="114"/>
      <c r="BE120" s="114"/>
    </row>
    <row r="121" ht="37.5" customHeight="1">
      <c r="A121" s="118" t="s">
        <v>3540</v>
      </c>
      <c r="B121" s="117" t="s">
        <v>3541</v>
      </c>
      <c r="C121" s="119">
        <f>IFERROR(__xludf.DUMMYFUNCTION("""COMPUTED_VALUE"""),222.0)</f>
        <v>222</v>
      </c>
      <c r="D121" s="114" t="str">
        <f>IFERROR(__xludf.DUMMYFUNCTION("""COMPUTED_VALUE"""),"Yasopp
(FILM RED)")</f>
        <v>Yasopp
(FILM RED)</v>
      </c>
      <c r="E121" s="114" t="str">
        <f>IFERROR(__xludf.DUMMYFUNCTION("""COMPUTED_VALUE"""),"")</f>
        <v/>
      </c>
      <c r="F121" s="114"/>
      <c r="G121" s="114"/>
      <c r="H121" s="114"/>
      <c r="I121" s="114"/>
      <c r="J121" s="114"/>
      <c r="K121" s="114" t="s">
        <v>3542</v>
      </c>
      <c r="L121" s="114" t="s">
        <v>3543</v>
      </c>
      <c r="M121" s="114" t="s">
        <v>3544</v>
      </c>
      <c r="N121" s="114" t="s">
        <v>3545</v>
      </c>
      <c r="O121" s="114"/>
      <c r="P121" s="120">
        <v>222.0</v>
      </c>
      <c r="Q121" s="117" t="s">
        <v>3546</v>
      </c>
      <c r="R121" s="114"/>
      <c r="S121" s="117" t="s">
        <v>3547</v>
      </c>
      <c r="T121" s="114">
        <f t="shared" si="1"/>
        <v>120</v>
      </c>
      <c r="U121" s="114" t="s">
        <v>1356</v>
      </c>
      <c r="V121" s="114" t="str">
        <f>IFERROR(__xludf.DUMMYFUNCTION("REGEXREPLACE(U121, ""\n"", "" "")"),"Rayleigh")</f>
        <v>Rayleigh</v>
      </c>
      <c r="W121" s="114"/>
      <c r="X121" s="115" t="str">
        <f t="shared" si="2"/>
        <v>120 The Pirate King`s Right Arm The Dark King - Silvers Rayleigh - Medal [Rayleigh]</v>
      </c>
      <c r="Y121" s="119"/>
      <c r="Z121" s="117" t="s">
        <v>3548</v>
      </c>
      <c r="AA121" s="117" t="s">
        <v>2372</v>
      </c>
      <c r="AB121" s="114"/>
      <c r="AC121" s="123" t="str">
        <f>IFERROR(__xludf.DUMMYFUNCTION("""COMPUTED_VALUE"""),"https://ik.imagekit.io/alaaalaa6171/223%20FILM%20RED%20-%20Usopp%20-%20Medal%20_Usopp%20(FILM%20RED)_.png?updatedAt=1770076442495")</f>
        <v>https://ik.imagekit.io/alaaalaa6171/223%20FILM%20RED%20-%20Usopp%20-%20Medal%20_Usopp%20(FILM%20RED)_.png?updatedAt=1770076442495</v>
      </c>
      <c r="AD121" s="123" t="str">
        <f>IFERROR(__xludf.DUMMYFUNCTION("""COMPUTED_VALUE"""),"https://ik.imagekit.io/alaaalaa6171/223%20FILM%20RED%20-%20Usopp%20-%20Medal%20_Usopp%20(FILM%20RED)_%20_Colored_.png?updatedAt=1770076442478")</f>
        <v>https://ik.imagekit.io/alaaalaa6171/223%20FILM%20RED%20-%20Usopp%20-%20Medal%20_Usopp%20(FILM%20RED)_%20_Colored_.png?updatedAt=1770076442478</v>
      </c>
      <c r="AE121" s="123" t="str">
        <f>IFERROR(__xludf.DUMMYFUNCTION("""COMPUTED_VALUE"""),"https://ik.imagekit.io/alaaalaa6171/223%20FILM%20RED%20-%20Usopp%20-%20Medal%20_Usopp%20(FILM%20RED)_%20-%20Piece.png?updatedAt=1770076442564")</f>
        <v>https://ik.imagekit.io/alaaalaa6171/223%20FILM%20RED%20-%20Usopp%20-%20Medal%20_Usopp%20(FILM%20RED)_%20-%20Piece.png?updatedAt=1770076442564</v>
      </c>
      <c r="AF121" s="123" t="str">
        <f>IFERROR(__xludf.DUMMYFUNCTION("""COMPUTED_VALUE"""),"https://ik.imagekit.io/alaaalaa6171/223%20FILM%20RED%20-%20Usopp%20-%20Medal%20_Usopp%20(FILM%20RED)_%20-%20Piece%20_Colored_.png?updatedAt=1770076442554")</f>
        <v>https://ik.imagekit.io/alaaalaa6171/223%20FILM%20RED%20-%20Usopp%20-%20Medal%20_Usopp%20(FILM%20RED)_%20-%20Piece%20_Colored_.png?updatedAt=1770076442554</v>
      </c>
      <c r="AG121" s="114"/>
      <c r="AH121" s="114"/>
      <c r="AI121" s="121" t="s">
        <v>3549</v>
      </c>
      <c r="AJ121" s="121" t="str">
        <f>IFERROR(__xludf.DUMMYFUNCTION("regexreplace(regexreplace(AI121, ""  \["", "" ""), ""\]$"", """")"),"120 - The Pirate King`s Right Arm The Dark King ~ Silvers Rayleigh - Medal - Crafted [Colored] - Rayleigh")</f>
        <v>120 - The Pirate King`s Right Arm The Dark King ~ Silvers Rayleigh - Medal - Crafted [Colored] - Rayleigh</v>
      </c>
      <c r="AK121" s="114"/>
      <c r="AL121" s="117" t="s">
        <v>3550</v>
      </c>
      <c r="AM121" s="117" t="s">
        <v>3551</v>
      </c>
      <c r="AN121" s="114"/>
      <c r="AO121" s="122">
        <f>IFERROR(__xludf.DUMMYFUNCTION("""COMPUTED_VALUE"""),188.0)</f>
        <v>188</v>
      </c>
      <c r="AP121" s="114" t="str">
        <f>IFERROR(__xludf.DUMMYFUNCTION("""COMPUTED_VALUE"""),"Baby Geezer Chopper")</f>
        <v>Baby Geezer Chopper</v>
      </c>
      <c r="AQ121" s="114" t="str">
        <f>IFERROR(__xludf.DUMMYFUNCTION("""COMPUTED_VALUE"""),"Baby Geezer Chopper")</f>
        <v>Baby Geezer Chopper</v>
      </c>
      <c r="AR121" s="114"/>
      <c r="AS121" s="114"/>
      <c r="AT121" s="123" t="str">
        <f>IFERROR(__xludf.DUMMYFUNCTION("""COMPUTED_VALUE"""),"https://i.postimg.cc/sg2JWxfD/188.png")</f>
        <v>https://i.postimg.cc/sg2JWxfD/188.png</v>
      </c>
      <c r="AU121" s="114"/>
      <c r="AV121" s="114"/>
      <c r="AW121" s="114"/>
      <c r="AX121" s="114" t="str">
        <f t="shared" si="3"/>
        <v>188 - Medal [Event] - Crafted - Baby Geezer Chopper</v>
      </c>
      <c r="AY121" s="114" t="s">
        <v>3552</v>
      </c>
      <c r="AZ121" s="114"/>
      <c r="BA121" s="114"/>
      <c r="BB121" s="114"/>
      <c r="BC121" s="114"/>
      <c r="BD121" s="114"/>
      <c r="BE121" s="114"/>
    </row>
    <row r="122" ht="37.5" customHeight="1">
      <c r="A122" s="118" t="s">
        <v>3553</v>
      </c>
      <c r="B122" s="117" t="s">
        <v>3554</v>
      </c>
      <c r="C122" s="119">
        <f>IFERROR(__xludf.DUMMYFUNCTION("""COMPUTED_VALUE"""),221.0)</f>
        <v>221</v>
      </c>
      <c r="D122" s="114" t="str">
        <f>IFERROR(__xludf.DUMMYFUNCTION("""COMPUTED_VALUE"""),"Chopper
(FILM RED)")</f>
        <v>Chopper
(FILM RED)</v>
      </c>
      <c r="E122" s="114" t="str">
        <f>IFERROR(__xludf.DUMMYFUNCTION("""COMPUTED_VALUE"""),"")</f>
        <v/>
      </c>
      <c r="F122" s="114"/>
      <c r="G122" s="114"/>
      <c r="H122" s="114"/>
      <c r="I122" s="114"/>
      <c r="J122" s="114"/>
      <c r="K122" s="114" t="s">
        <v>3555</v>
      </c>
      <c r="L122" s="114" t="s">
        <v>3556</v>
      </c>
      <c r="M122" s="114" t="s">
        <v>3557</v>
      </c>
      <c r="N122" s="114" t="s">
        <v>3558</v>
      </c>
      <c r="O122" s="114"/>
      <c r="P122" s="120">
        <v>221.0</v>
      </c>
      <c r="Q122" s="117" t="s">
        <v>3559</v>
      </c>
      <c r="R122" s="114"/>
      <c r="S122" s="117" t="s">
        <v>3560</v>
      </c>
      <c r="T122" s="114">
        <f t="shared" si="1"/>
        <v>121</v>
      </c>
      <c r="U122" s="114" t="s">
        <v>1350</v>
      </c>
      <c r="V122" s="114" t="str">
        <f>IFERROR(__xludf.DUMMYFUNCTION("REGEXREPLACE(U122, ""\n"", "" "")"),"Sengoku")</f>
        <v>Sengoku</v>
      </c>
      <c r="W122" s="114"/>
      <c r="X122" s="115" t="str">
        <f t="shared" si="2"/>
        <v>121 Navy HQ / Fleet Admiral - Sengoku - Medal [Sengoku]</v>
      </c>
      <c r="Y122" s="119"/>
      <c r="Z122" s="117" t="s">
        <v>3561</v>
      </c>
      <c r="AA122" s="117" t="s">
        <v>2370</v>
      </c>
      <c r="AB122" s="114"/>
      <c r="AC122" s="123" t="str">
        <f>IFERROR(__xludf.DUMMYFUNCTION("""COMPUTED_VALUE"""),"https://ik.imagekit.io/alaaalaa6171/222%20FILM%20RED%20-%20Yasopp%20-%20Medal%20_Yasopp%20(FILM%20RED)_.png?updatedAt=1770076442516")</f>
        <v>https://ik.imagekit.io/alaaalaa6171/222%20FILM%20RED%20-%20Yasopp%20-%20Medal%20_Yasopp%20(FILM%20RED)_.png?updatedAt=1770076442516</v>
      </c>
      <c r="AD122" s="123" t="str">
        <f>IFERROR(__xludf.DUMMYFUNCTION("""COMPUTED_VALUE"""),"https://ik.imagekit.io/alaaalaa6171/222%20FILM%20RED%20-%20Yasopp%20-%20Medal%20_Yasopp%20(FILM%20RED)_%20_Colored_.png?updatedAt=1770076442544")</f>
        <v>https://ik.imagekit.io/alaaalaa6171/222%20FILM%20RED%20-%20Yasopp%20-%20Medal%20_Yasopp%20(FILM%20RED)_%20_Colored_.png?updatedAt=1770076442544</v>
      </c>
      <c r="AE122" s="123" t="str">
        <f>IFERROR(__xludf.DUMMYFUNCTION("""COMPUTED_VALUE"""),"https://ik.imagekit.io/alaaalaa6171/222%20FILM%20RED%20-%20Yasopp%20-%20Medal%20_Yasopp%20(FILM%20RED)_%20-%20Piece.png?updatedAt=1770076442461")</f>
        <v>https://ik.imagekit.io/alaaalaa6171/222%20FILM%20RED%20-%20Yasopp%20-%20Medal%20_Yasopp%20(FILM%20RED)_%20-%20Piece.png?updatedAt=1770076442461</v>
      </c>
      <c r="AF122" s="123" t="str">
        <f>IFERROR(__xludf.DUMMYFUNCTION("""COMPUTED_VALUE"""),"https://ik.imagekit.io/alaaalaa6171/222%20FILM%20RED%20-%20Yasopp%20-%20Medal%20_Yasopp%20(FILM%20RED)_%20-%20Piece%20_Colored_.png?updatedAt=1770076442515")</f>
        <v>https://ik.imagekit.io/alaaalaa6171/222%20FILM%20RED%20-%20Yasopp%20-%20Medal%20_Yasopp%20(FILM%20RED)_%20-%20Piece%20_Colored_.png?updatedAt=1770076442515</v>
      </c>
      <c r="AG122" s="114"/>
      <c r="AH122" s="114"/>
      <c r="AI122" s="121" t="s">
        <v>3562</v>
      </c>
      <c r="AJ122" s="121" t="str">
        <f>IFERROR(__xludf.DUMMYFUNCTION("regexreplace(regexreplace(AI122, ""  \["", "" ""), ""\]$"", """")"),"121 - Navy HQ_Fleet Admiral ~ Sengoku - Medal - Crafted [Colored] - Sengoku")</f>
        <v>121 - Navy HQ_Fleet Admiral ~ Sengoku - Medal - Crafted [Colored] - Sengoku</v>
      </c>
      <c r="AK122" s="114"/>
      <c r="AL122" s="117" t="s">
        <v>3563</v>
      </c>
      <c r="AM122" s="117" t="s">
        <v>3564</v>
      </c>
      <c r="AN122" s="114"/>
      <c r="AO122" s="122">
        <f>IFERROR(__xludf.DUMMYFUNCTION("""COMPUTED_VALUE"""),187.0)</f>
        <v>187</v>
      </c>
      <c r="AP122" s="114" t="str">
        <f>IFERROR(__xludf.DUMMYFUNCTION("""COMPUTED_VALUE"""),"Zoro
(Bandages)")</f>
        <v>Zoro
(Bandages)</v>
      </c>
      <c r="AQ122" s="114" t="str">
        <f>IFERROR(__xludf.DUMMYFUNCTION("""COMPUTED_VALUE"""),"Zoro (Bandages)")</f>
        <v>Zoro (Bandages)</v>
      </c>
      <c r="AR122" s="114"/>
      <c r="AS122" s="114"/>
      <c r="AT122" s="123" t="str">
        <f>IFERROR(__xludf.DUMMYFUNCTION("""COMPUTED_VALUE"""),"https://i.postimg.cc/fRgffsk7/187.png")</f>
        <v>https://i.postimg.cc/fRgffsk7/187.png</v>
      </c>
      <c r="AU122" s="114"/>
      <c r="AV122" s="114"/>
      <c r="AW122" s="114"/>
      <c r="AX122" s="114" t="str">
        <f t="shared" si="3"/>
        <v>187 - Medal [Event] - Crafted - Zoro (Bandages)</v>
      </c>
      <c r="AY122" s="114" t="s">
        <v>3565</v>
      </c>
      <c r="AZ122" s="114"/>
      <c r="BA122" s="114"/>
      <c r="BB122" s="114"/>
      <c r="BC122" s="114"/>
      <c r="BD122" s="114"/>
      <c r="BE122" s="114"/>
    </row>
    <row r="123" ht="37.5" customHeight="1">
      <c r="A123" s="118" t="s">
        <v>3566</v>
      </c>
      <c r="B123" s="117" t="s">
        <v>3567</v>
      </c>
      <c r="C123" s="119">
        <f>IFERROR(__xludf.DUMMYFUNCTION("""COMPUTED_VALUE"""),220.0)</f>
        <v>220</v>
      </c>
      <c r="D123" s="114" t="str">
        <f>IFERROR(__xludf.DUMMYFUNCTION("""COMPUTED_VALUE"""),"Nami
(FILM RED)")</f>
        <v>Nami
(FILM RED)</v>
      </c>
      <c r="E123" s="114" t="str">
        <f>IFERROR(__xludf.DUMMYFUNCTION("""COMPUTED_VALUE"""),"")</f>
        <v/>
      </c>
      <c r="F123" s="114"/>
      <c r="G123" s="114"/>
      <c r="H123" s="114"/>
      <c r="I123" s="114"/>
      <c r="J123" s="114"/>
      <c r="K123" s="114" t="s">
        <v>3568</v>
      </c>
      <c r="L123" s="114" t="s">
        <v>3569</v>
      </c>
      <c r="M123" s="114" t="s">
        <v>3570</v>
      </c>
      <c r="N123" s="114" t="s">
        <v>3571</v>
      </c>
      <c r="O123" s="114"/>
      <c r="P123" s="120">
        <v>220.0</v>
      </c>
      <c r="Q123" s="117" t="s">
        <v>3572</v>
      </c>
      <c r="R123" s="114"/>
      <c r="S123" s="117" t="s">
        <v>3573</v>
      </c>
      <c r="T123" s="114">
        <f t="shared" si="1"/>
        <v>122</v>
      </c>
      <c r="U123" s="114" t="s">
        <v>1345</v>
      </c>
      <c r="V123" s="114" t="str">
        <f>IFERROR(__xludf.DUMMYFUNCTION("REGEXREPLACE(U123, ""\n"", "" "")"),"Urouge")</f>
        <v>Urouge</v>
      </c>
      <c r="W123" s="114"/>
      <c r="X123" s="115" t="str">
        <f t="shared" si="2"/>
        <v>122 Fallen Monk Pirates / Captain "Mad Monk" - Urouge - Medal [Urouge]</v>
      </c>
      <c r="Y123" s="119"/>
      <c r="Z123" s="117" t="s">
        <v>3574</v>
      </c>
      <c r="AA123" s="117" t="s">
        <v>2382</v>
      </c>
      <c r="AB123" s="114"/>
      <c r="AC123" s="123" t="str">
        <f>IFERROR(__xludf.DUMMYFUNCTION("""COMPUTED_VALUE"""),"https://ik.imagekit.io/alaaalaa6171/221%20FILM%20RED%20-%20Tony%20Tony%20Chopper%20-%20Medal%20_Chopper%20(FILM%20RED)_.png?updatedAt=1770076442558")</f>
        <v>https://ik.imagekit.io/alaaalaa6171/221%20FILM%20RED%20-%20Tony%20Tony%20Chopper%20-%20Medal%20_Chopper%20(FILM%20RED)_.png?updatedAt=1770076442558</v>
      </c>
      <c r="AD123" s="123" t="str">
        <f>IFERROR(__xludf.DUMMYFUNCTION("""COMPUTED_VALUE"""),"https://ik.imagekit.io/alaaalaa6171/221%20FILM%20RED%20-%20Tony%20Tony%20Chopper%20-%20Medal%20_Chopper%20(FILM%20RED)_%20_Colored_.png?updatedAt=1770076442501")</f>
        <v>https://ik.imagekit.io/alaaalaa6171/221%20FILM%20RED%20-%20Tony%20Tony%20Chopper%20-%20Medal%20_Chopper%20(FILM%20RED)_%20_Colored_.png?updatedAt=1770076442501</v>
      </c>
      <c r="AE123" s="123" t="str">
        <f>IFERROR(__xludf.DUMMYFUNCTION("""COMPUTED_VALUE"""),"https://ik.imagekit.io/alaaalaa6171/221%20FILM%20RED%20-%20Tony%20Tony%20Chopper%20-%20Medal%20_Chopper%20(FILM%20RED)_%20-%20Piece.png?updatedAt=1770076442556")</f>
        <v>https://ik.imagekit.io/alaaalaa6171/221%20FILM%20RED%20-%20Tony%20Tony%20Chopper%20-%20Medal%20_Chopper%20(FILM%20RED)_%20-%20Piece.png?updatedAt=1770076442556</v>
      </c>
      <c r="AF123" s="123" t="str">
        <f>IFERROR(__xludf.DUMMYFUNCTION("""COMPUTED_VALUE"""),"https://ik.imagekit.io/alaaalaa6171/221%20FILM%20RED%20-%20Tony%20Tony%20Chopper%20-%20Medal%20_Chopper%20(FILM%20RED)_%20-%20Piece%20_Colored_.png?updatedAt=1770076442562")</f>
        <v>https://ik.imagekit.io/alaaalaa6171/221%20FILM%20RED%20-%20Tony%20Tony%20Chopper%20-%20Medal%20_Chopper%20(FILM%20RED)_%20-%20Piece%20_Colored_.png?updatedAt=1770076442562</v>
      </c>
      <c r="AG123" s="114"/>
      <c r="AH123" s="114"/>
      <c r="AI123" s="121" t="s">
        <v>3575</v>
      </c>
      <c r="AJ123" s="121" t="str">
        <f>IFERROR(__xludf.DUMMYFUNCTION("regexreplace(regexreplace(AI123, ""  \["", "" ""), ""\]$"", """")"),"122 - Fallen Monk Pirates_Captain 'Mad Monk' ~ Urouge - Medal - Crafted [Colored] - Urouge")</f>
        <v>122 - Fallen Monk Pirates_Captain 'Mad Monk' ~ Urouge - Medal - Crafted [Colored] - Urouge</v>
      </c>
      <c r="AK123" s="114"/>
      <c r="AL123" s="117" t="s">
        <v>3576</v>
      </c>
      <c r="AM123" s="117" t="s">
        <v>3577</v>
      </c>
      <c r="AN123" s="114"/>
      <c r="AO123" s="122">
        <f>IFERROR(__xludf.DUMMYFUNCTION("""COMPUTED_VALUE"""),186.0)</f>
        <v>186</v>
      </c>
      <c r="AP123" s="114" t="str">
        <f>IFERROR(__xludf.DUMMYFUNCTION("""COMPUTED_VALUE"""),"Strike Back")</f>
        <v>Strike Back</v>
      </c>
      <c r="AQ123" s="114" t="str">
        <f>IFERROR(__xludf.DUMMYFUNCTION("""COMPUTED_VALUE"""),"Strike Back")</f>
        <v>Strike Back</v>
      </c>
      <c r="AR123" s="114"/>
      <c r="AS123" s="114"/>
      <c r="AT123" s="123" t="str">
        <f>IFERROR(__xludf.DUMMYFUNCTION("""COMPUTED_VALUE"""),"https://i.postimg.cc/tgZtrcVK/186.png")</f>
        <v>https://i.postimg.cc/tgZtrcVK/186.png</v>
      </c>
      <c r="AU123" s="114"/>
      <c r="AV123" s="114"/>
      <c r="AW123" s="114"/>
      <c r="AX123" s="114" t="str">
        <f t="shared" si="3"/>
        <v>186 - Medal [Event] - Crafted - Strike Back</v>
      </c>
      <c r="AY123" s="114" t="s">
        <v>3578</v>
      </c>
      <c r="AZ123" s="114"/>
      <c r="BA123" s="114"/>
      <c r="BB123" s="114"/>
      <c r="BC123" s="114"/>
      <c r="BD123" s="114"/>
      <c r="BE123" s="114"/>
    </row>
    <row r="124" ht="37.5" customHeight="1">
      <c r="A124" s="118" t="s">
        <v>3579</v>
      </c>
      <c r="B124" s="117" t="s">
        <v>3580</v>
      </c>
      <c r="C124" s="119">
        <f>IFERROR(__xludf.DUMMYFUNCTION("""COMPUTED_VALUE"""),219.0)</f>
        <v>219</v>
      </c>
      <c r="D124" s="114" t="str">
        <f>IFERROR(__xludf.DUMMYFUNCTION("""COMPUTED_VALUE"""),"Beckman
(FILM RED)")</f>
        <v>Beckman
(FILM RED)</v>
      </c>
      <c r="E124" s="114" t="str">
        <f>IFERROR(__xludf.DUMMYFUNCTION("""COMPUTED_VALUE"""),"")</f>
        <v/>
      </c>
      <c r="F124" s="114"/>
      <c r="G124" s="114"/>
      <c r="H124" s="114"/>
      <c r="I124" s="114"/>
      <c r="J124" s="114"/>
      <c r="K124" s="114" t="s">
        <v>3581</v>
      </c>
      <c r="L124" s="114" t="s">
        <v>3582</v>
      </c>
      <c r="M124" s="114" t="s">
        <v>3583</v>
      </c>
      <c r="N124" s="114" t="s">
        <v>3584</v>
      </c>
      <c r="O124" s="114"/>
      <c r="P124" s="120">
        <v>219.0</v>
      </c>
      <c r="Q124" s="117" t="s">
        <v>3585</v>
      </c>
      <c r="R124" s="114"/>
      <c r="S124" s="117" t="s">
        <v>3586</v>
      </c>
      <c r="T124" s="114">
        <f t="shared" si="1"/>
        <v>123</v>
      </c>
      <c r="U124" s="114" t="s">
        <v>1339</v>
      </c>
      <c r="V124" s="114" t="str">
        <f>IFERROR(__xludf.DUMMYFUNCTION("REGEXREPLACE(U124, ""\n"", "" "")"),"Apoo")</f>
        <v>Apoo</v>
      </c>
      <c r="W124" s="114"/>
      <c r="X124" s="115" t="str">
        <f t="shared" si="2"/>
        <v>123 On-Air Pirates / Captain - Scratchmen Apoo - Medal [Apoo]</v>
      </c>
      <c r="Y124" s="119"/>
      <c r="Z124" s="117" t="s">
        <v>3587</v>
      </c>
      <c r="AA124" s="117" t="s">
        <v>2384</v>
      </c>
      <c r="AB124" s="114"/>
      <c r="AC124" s="123" t="str">
        <f>IFERROR(__xludf.DUMMYFUNCTION("""COMPUTED_VALUE"""),"https://ik.imagekit.io/alaaalaa6171/220%20FILM%20RED%20-%20Nami%20-%20Medal%20_Nami%20(FILM%20RED)_.png?updatedAt=1770076442552")</f>
        <v>https://ik.imagekit.io/alaaalaa6171/220%20FILM%20RED%20-%20Nami%20-%20Medal%20_Nami%20(FILM%20RED)_.png?updatedAt=1770076442552</v>
      </c>
      <c r="AD124" s="123" t="str">
        <f>IFERROR(__xludf.DUMMYFUNCTION("""COMPUTED_VALUE"""),"https://ik.imagekit.io/alaaalaa6171/220%20FILM%20RED%20-%20Nami%20-%20Medal%20_Nami%20(FILM%20RED)_%20_Colored_.png?updatedAt=1770076442547")</f>
        <v>https://ik.imagekit.io/alaaalaa6171/220%20FILM%20RED%20-%20Nami%20-%20Medal%20_Nami%20(FILM%20RED)_%20_Colored_.png?updatedAt=1770076442547</v>
      </c>
      <c r="AE124" s="123" t="str">
        <f>IFERROR(__xludf.DUMMYFUNCTION("""COMPUTED_VALUE"""),"https://ik.imagekit.io/alaaalaa6171/220%20FILM%20RED%20-%20Nami%20-%20Medal%20_Nami%20(FILM%20RED)_%20-%20Piece.png?updatedAt=1770076442510")</f>
        <v>https://ik.imagekit.io/alaaalaa6171/220%20FILM%20RED%20-%20Nami%20-%20Medal%20_Nami%20(FILM%20RED)_%20-%20Piece.png?updatedAt=1770076442510</v>
      </c>
      <c r="AF124" s="123" t="str">
        <f>IFERROR(__xludf.DUMMYFUNCTION("""COMPUTED_VALUE"""),"https://ik.imagekit.io/alaaalaa6171/220%20FILM%20RED%20-%20Nami%20-%20Medal%20_Nami%20(FILM%20RED)_%20-%20Piece%20_Colored_.png?updatedAt=1770076442503")</f>
        <v>https://ik.imagekit.io/alaaalaa6171/220%20FILM%20RED%20-%20Nami%20-%20Medal%20_Nami%20(FILM%20RED)_%20-%20Piece%20_Colored_.png?updatedAt=1770076442503</v>
      </c>
      <c r="AG124" s="114"/>
      <c r="AH124" s="114"/>
      <c r="AI124" s="121" t="s">
        <v>3588</v>
      </c>
      <c r="AJ124" s="121" t="str">
        <f>IFERROR(__xludf.DUMMYFUNCTION("regexreplace(regexreplace(AI124, ""  \["", "" ""), ""\]$"", """")"),"123 - On-Air Pirates_Captain ~ Scratchmen Apoo - Medal - Crafted [Colored] - Apoo")</f>
        <v>123 - On-Air Pirates_Captain ~ Scratchmen Apoo - Medal - Crafted [Colored] - Apoo</v>
      </c>
      <c r="AK124" s="114"/>
      <c r="AL124" s="117" t="s">
        <v>3589</v>
      </c>
      <c r="AM124" s="117" t="s">
        <v>3590</v>
      </c>
      <c r="AN124" s="114"/>
      <c r="AO124" s="122">
        <f>IFERROR(__xludf.DUMMYFUNCTION("""COMPUTED_VALUE"""),185.0)</f>
        <v>185</v>
      </c>
      <c r="AP124" s="114" t="str">
        <f>IFERROR(__xludf.DUMMYFUNCTION("""COMPUTED_VALUE"""),"Hajrudin")</f>
        <v>Hajrudin</v>
      </c>
      <c r="AQ124" s="114" t="str">
        <f>IFERROR(__xludf.DUMMYFUNCTION("""COMPUTED_VALUE"""),"Hajrudin")</f>
        <v>Hajrudin</v>
      </c>
      <c r="AR124" s="114"/>
      <c r="AS124" s="114"/>
      <c r="AT124" s="123" t="str">
        <f>IFERROR(__xludf.DUMMYFUNCTION("""COMPUTED_VALUE"""),"https://i.postimg.cc/R0k12T7N/185.png")</f>
        <v>https://i.postimg.cc/R0k12T7N/185.png</v>
      </c>
      <c r="AU124" s="114"/>
      <c r="AV124" s="114"/>
      <c r="AW124" s="114"/>
      <c r="AX124" s="114" t="str">
        <f t="shared" si="3"/>
        <v>185 - Medal [Event] - Crafted - Hajrudin</v>
      </c>
      <c r="AY124" s="114" t="s">
        <v>3591</v>
      </c>
      <c r="AZ124" s="114"/>
      <c r="BA124" s="114"/>
      <c r="BB124" s="114"/>
      <c r="BC124" s="114"/>
      <c r="BD124" s="114"/>
      <c r="BE124" s="114"/>
    </row>
    <row r="125" ht="37.5" customHeight="1">
      <c r="A125" s="118" t="s">
        <v>3592</v>
      </c>
      <c r="B125" s="117" t="s">
        <v>3593</v>
      </c>
      <c r="C125" s="119">
        <f>IFERROR(__xludf.DUMMYFUNCTION("""COMPUTED_VALUE"""),218.0)</f>
        <v>218</v>
      </c>
      <c r="D125" s="114" t="str">
        <f>IFERROR(__xludf.DUMMYFUNCTION("""COMPUTED_VALUE"""),"Shanks
(FILM RED)")</f>
        <v>Shanks
(FILM RED)</v>
      </c>
      <c r="E125" s="114" t="str">
        <f>IFERROR(__xludf.DUMMYFUNCTION("""COMPUTED_VALUE"""),"")</f>
        <v/>
      </c>
      <c r="F125" s="114"/>
      <c r="G125" s="114"/>
      <c r="H125" s="114"/>
      <c r="I125" s="114"/>
      <c r="J125" s="114"/>
      <c r="K125" s="114" t="s">
        <v>3594</v>
      </c>
      <c r="L125" s="114" t="s">
        <v>3595</v>
      </c>
      <c r="M125" s="114" t="s">
        <v>3596</v>
      </c>
      <c r="N125" s="114" t="s">
        <v>3597</v>
      </c>
      <c r="O125" s="114"/>
      <c r="P125" s="120">
        <v>218.0</v>
      </c>
      <c r="Q125" s="117" t="s">
        <v>3598</v>
      </c>
      <c r="R125" s="114"/>
      <c r="S125" s="117" t="s">
        <v>3599</v>
      </c>
      <c r="T125" s="114">
        <f t="shared" si="1"/>
        <v>125</v>
      </c>
      <c r="U125" s="114" t="s">
        <v>1326</v>
      </c>
      <c r="V125" s="114" t="str">
        <f>IFERROR(__xludf.DUMMYFUNCTION("REGEXREPLACE(U125, ""\n"", "" "")"),"Repel")</f>
        <v>Repel</v>
      </c>
      <c r="W125" s="114"/>
      <c r="X125" s="115" t="str">
        <f t="shared" si="2"/>
        <v>125 New World - Eustass Kid - Medal [Repel]</v>
      </c>
      <c r="Y125" s="119"/>
      <c r="Z125" s="117" t="s">
        <v>3600</v>
      </c>
      <c r="AA125" s="117" t="s">
        <v>2385</v>
      </c>
      <c r="AB125" s="114"/>
      <c r="AC125" s="123" t="str">
        <f>IFERROR(__xludf.DUMMYFUNCTION("""COMPUTED_VALUE"""),"https://ik.imagekit.io/alaaalaa6171/219%20FILM%20RED%20-%20Ben%20Beckman%20-%20Medal%20_Beckman%20(FILM%20RED)_.png?updatedAt=1770076442450")</f>
        <v>https://ik.imagekit.io/alaaalaa6171/219%20FILM%20RED%20-%20Ben%20Beckman%20-%20Medal%20_Beckman%20(FILM%20RED)_.png?updatedAt=1770076442450</v>
      </c>
      <c r="AD125" s="123" t="str">
        <f>IFERROR(__xludf.DUMMYFUNCTION("""COMPUTED_VALUE"""),"https://ik.imagekit.io/alaaalaa6171/219%20FILM%20RED%20-%20Ben%20Beckman%20-%20Medal%20_Beckman%20(FILM%20RED)_%20_Colored_.png?updatedAt=1770076442567")</f>
        <v>https://ik.imagekit.io/alaaalaa6171/219%20FILM%20RED%20-%20Ben%20Beckman%20-%20Medal%20_Beckman%20(FILM%20RED)_%20_Colored_.png?updatedAt=1770076442567</v>
      </c>
      <c r="AE125" s="123" t="str">
        <f>IFERROR(__xludf.DUMMYFUNCTION("""COMPUTED_VALUE"""),"https://ik.imagekit.io/alaaalaa6171/219%20FILM%20RED%20-%20Ben%20Beckman%20-%20Medal%20_Beckman%20(FILM%20RED)_%20-%20Piece.png?updatedAt=1770076442550")</f>
        <v>https://ik.imagekit.io/alaaalaa6171/219%20FILM%20RED%20-%20Ben%20Beckman%20-%20Medal%20_Beckman%20(FILM%20RED)_%20-%20Piece.png?updatedAt=1770076442550</v>
      </c>
      <c r="AF125" s="123" t="str">
        <f>IFERROR(__xludf.DUMMYFUNCTION("""COMPUTED_VALUE"""),"https://ik.imagekit.io/alaaalaa6171/219%20FILM%20RED%20-%20Ben%20Beckman%20-%20Medal%20_Beckman%20(FILM%20RED)_%20-%20Piece%20_Colored_.png?updatedAt=1770076442556")</f>
        <v>https://ik.imagekit.io/alaaalaa6171/219%20FILM%20RED%20-%20Ben%20Beckman%20-%20Medal%20_Beckman%20(FILM%20RED)_%20-%20Piece%20_Colored_.png?updatedAt=1770076442556</v>
      </c>
      <c r="AG125" s="114"/>
      <c r="AH125" s="114"/>
      <c r="AI125" s="121" t="s">
        <v>3601</v>
      </c>
      <c r="AJ125" s="121" t="str">
        <f>IFERROR(__xludf.DUMMYFUNCTION("regexreplace(regexreplace(AI125, ""  \["", "" ""), ""\]$"", """")"),"124 - Kid Pirates_Fighter ~ Killer - Medal - Crafted [Colored] - Killer")</f>
        <v>124 - Kid Pirates_Fighter ~ Killer - Medal - Crafted [Colored] - Killer</v>
      </c>
      <c r="AK125" s="114"/>
      <c r="AL125" s="117" t="s">
        <v>3602</v>
      </c>
      <c r="AM125" s="117" t="s">
        <v>3603</v>
      </c>
      <c r="AN125" s="114"/>
      <c r="AO125" s="122">
        <f>IFERROR(__xludf.DUMMYFUNCTION("""COMPUTED_VALUE"""),184.0)</f>
        <v>184</v>
      </c>
      <c r="AP125" s="114" t="str">
        <f>IFERROR(__xludf.DUMMYFUNCTION("""COMPUTED_VALUE"""),"Barrier_Barrier")</f>
        <v>Barrier_Barrier</v>
      </c>
      <c r="AQ125" s="114" t="str">
        <f>IFERROR(__xludf.DUMMYFUNCTION("""COMPUTED_VALUE"""),"Barrier_Barrier")</f>
        <v>Barrier_Barrier</v>
      </c>
      <c r="AR125" s="114"/>
      <c r="AS125" s="114"/>
      <c r="AT125" s="123" t="str">
        <f>IFERROR(__xludf.DUMMYFUNCTION("""COMPUTED_VALUE"""),"https://i.postimg.cc/4dpvGhPw/184.png")</f>
        <v>https://i.postimg.cc/4dpvGhPw/184.png</v>
      </c>
      <c r="AU125" s="114"/>
      <c r="AV125" s="114"/>
      <c r="AW125" s="114"/>
      <c r="AX125" s="114" t="str">
        <f t="shared" si="3"/>
        <v>184 - Medal [Event] - Crafted - Barrier_Barrier</v>
      </c>
      <c r="AY125" s="114" t="s">
        <v>3604</v>
      </c>
      <c r="AZ125" s="114"/>
      <c r="BA125" s="114"/>
      <c r="BB125" s="114"/>
      <c r="BC125" s="114"/>
      <c r="BD125" s="114"/>
      <c r="BE125" s="114"/>
    </row>
    <row r="126" ht="37.5" customHeight="1">
      <c r="A126" s="118" t="s">
        <v>3605</v>
      </c>
      <c r="B126" s="117" t="s">
        <v>3606</v>
      </c>
      <c r="C126" s="119">
        <f>IFERROR(__xludf.DUMMYFUNCTION("""COMPUTED_VALUE"""),217.0)</f>
        <v>217</v>
      </c>
      <c r="D126" s="114" t="str">
        <f>IFERROR(__xludf.DUMMYFUNCTION("""COMPUTED_VALUE"""),"Luffy
(FILM RED)")</f>
        <v>Luffy
(FILM RED)</v>
      </c>
      <c r="E126" s="114" t="str">
        <f>IFERROR(__xludf.DUMMYFUNCTION("""COMPUTED_VALUE"""),"")</f>
        <v/>
      </c>
      <c r="F126" s="114"/>
      <c r="G126" s="114"/>
      <c r="H126" s="114"/>
      <c r="I126" s="114"/>
      <c r="J126" s="114"/>
      <c r="K126" s="114" t="s">
        <v>3607</v>
      </c>
      <c r="L126" s="114" t="s">
        <v>3608</v>
      </c>
      <c r="M126" s="114" t="s">
        <v>3609</v>
      </c>
      <c r="N126" s="114" t="s">
        <v>3610</v>
      </c>
      <c r="O126" s="114"/>
      <c r="P126" s="120">
        <v>217.0</v>
      </c>
      <c r="Q126" s="117" t="s">
        <v>3611</v>
      </c>
      <c r="R126" s="114"/>
      <c r="S126" s="117" t="s">
        <v>3612</v>
      </c>
      <c r="T126" s="114">
        <f t="shared" si="1"/>
        <v>126</v>
      </c>
      <c r="U126" s="114" t="s">
        <v>1320</v>
      </c>
      <c r="V126" s="114" t="str">
        <f>IFERROR(__xludf.DUMMYFUNCTION("REGEXREPLACE(U126, ""\n"", "" "")"),"Drake")</f>
        <v>Drake</v>
      </c>
      <c r="W126" s="114"/>
      <c r="X126" s="115" t="str">
        <f t="shared" si="2"/>
        <v>126 Land of Wano - X.Drake - Medal [Drake]</v>
      </c>
      <c r="Y126" s="119"/>
      <c r="Z126" s="117" t="s">
        <v>3613</v>
      </c>
      <c r="AA126" s="117" t="s">
        <v>2383</v>
      </c>
      <c r="AB126" s="114"/>
      <c r="AC126" s="123" t="str">
        <f>IFERROR(__xludf.DUMMYFUNCTION("""COMPUTED_VALUE"""),"https://ik.imagekit.io/alaaalaa6171/218%20FILM%20RED%20-%20Shanks%20-%20Medal%20_Shanks%20(FILM%20RED)_.png?updatedAt=1770076442539")</f>
        <v>https://ik.imagekit.io/alaaalaa6171/218%20FILM%20RED%20-%20Shanks%20-%20Medal%20_Shanks%20(FILM%20RED)_.png?updatedAt=1770076442539</v>
      </c>
      <c r="AD126" s="123" t="str">
        <f>IFERROR(__xludf.DUMMYFUNCTION("""COMPUTED_VALUE"""),"https://ik.imagekit.io/alaaalaa6171/218%20FILM%20RED%20-%20Shanks%20-%20Medal%20_Shanks%20(FILM%20RED)_%20_Colored_.png?updatedAt=1770076442493")</f>
        <v>https://ik.imagekit.io/alaaalaa6171/218%20FILM%20RED%20-%20Shanks%20-%20Medal%20_Shanks%20(FILM%20RED)_%20_Colored_.png?updatedAt=1770076442493</v>
      </c>
      <c r="AE126" s="123" t="str">
        <f>IFERROR(__xludf.DUMMYFUNCTION("""COMPUTED_VALUE"""),"https://ik.imagekit.io/alaaalaa6171/218%20FILM%20RED%20-%20Shanks%20-%20Medal%20_Shanks%20(FILM%20RED)_%20-%20Piece.png?updatedAt=1770076442410")</f>
        <v>https://ik.imagekit.io/alaaalaa6171/218%20FILM%20RED%20-%20Shanks%20-%20Medal%20_Shanks%20(FILM%20RED)_%20-%20Piece.png?updatedAt=1770076442410</v>
      </c>
      <c r="AF126" s="123" t="str">
        <f>IFERROR(__xludf.DUMMYFUNCTION("""COMPUTED_VALUE"""),"https://ik.imagekit.io/alaaalaa6171/218%20FILM%20RED%20-%20Shanks%20-%20Medal%20_Shanks%20(FILM%20RED)_%20-%20Piece%20_Colored_.png?updatedAt=1770076442396")</f>
        <v>https://ik.imagekit.io/alaaalaa6171/218%20FILM%20RED%20-%20Shanks%20-%20Medal%20_Shanks%20(FILM%20RED)_%20-%20Piece%20_Colored_.png?updatedAt=1770076442396</v>
      </c>
      <c r="AG126" s="114"/>
      <c r="AH126" s="114"/>
      <c r="AI126" s="121" t="s">
        <v>3614</v>
      </c>
      <c r="AJ126" s="121" t="str">
        <f>IFERROR(__xludf.DUMMYFUNCTION("regexreplace(regexreplace(AI126, ""  \["", "" ""), ""\]$"", """")"),"125 - New World ~ Eustass Kid - Medal - Crafted [Colored] - Repel")</f>
        <v>125 - New World ~ Eustass Kid - Medal - Crafted [Colored] - Repel</v>
      </c>
      <c r="AK126" s="114"/>
      <c r="AL126" s="117" t="s">
        <v>3615</v>
      </c>
      <c r="AM126" s="117" t="s">
        <v>3616</v>
      </c>
      <c r="AN126" s="114"/>
      <c r="AO126" s="122">
        <f>IFERROR(__xludf.DUMMYFUNCTION("""COMPUTED_VALUE"""),183.0)</f>
        <v>183</v>
      </c>
      <c r="AP126" s="114" t="str">
        <f>IFERROR(__xludf.DUMMYFUNCTION("""COMPUTED_VALUE"""),"Mystoms")</f>
        <v>Mystoms</v>
      </c>
      <c r="AQ126" s="114" t="str">
        <f>IFERROR(__xludf.DUMMYFUNCTION("""COMPUTED_VALUE"""),"Mystoms")</f>
        <v>Mystoms</v>
      </c>
      <c r="AR126" s="114"/>
      <c r="AS126" s="114"/>
      <c r="AT126" s="123" t="str">
        <f>IFERROR(__xludf.DUMMYFUNCTION("""COMPUTED_VALUE"""),"https://i.postimg.cc/ZnZ85KDm/183.png")</f>
        <v>https://i.postimg.cc/ZnZ85KDm/183.png</v>
      </c>
      <c r="AU126" s="114"/>
      <c r="AV126" s="114"/>
      <c r="AW126" s="114"/>
      <c r="AX126" s="114" t="str">
        <f t="shared" si="3"/>
        <v>183 - Medal [Event] - Crafted - Mystoms</v>
      </c>
      <c r="AY126" s="114" t="s">
        <v>3617</v>
      </c>
      <c r="AZ126" s="114"/>
      <c r="BA126" s="114"/>
      <c r="BB126" s="114"/>
      <c r="BC126" s="114"/>
      <c r="BD126" s="114"/>
      <c r="BE126" s="114"/>
    </row>
    <row r="127" ht="37.5" customHeight="1">
      <c r="A127" s="118" t="s">
        <v>3618</v>
      </c>
      <c r="B127" s="117" t="s">
        <v>3619</v>
      </c>
      <c r="C127" s="119">
        <f>IFERROR(__xludf.DUMMYFUNCTION("""COMPUTED_VALUE"""),216.0)</f>
        <v>216</v>
      </c>
      <c r="D127" s="114" t="str">
        <f>IFERROR(__xludf.DUMMYFUNCTION("""COMPUTED_VALUE"""),"Uta")</f>
        <v>Uta</v>
      </c>
      <c r="E127" s="114" t="str">
        <f>IFERROR(__xludf.DUMMYFUNCTION("""COMPUTED_VALUE"""),"")</f>
        <v/>
      </c>
      <c r="F127" s="114"/>
      <c r="G127" s="114"/>
      <c r="H127" s="114"/>
      <c r="I127" s="114"/>
      <c r="J127" s="114"/>
      <c r="K127" s="114" t="s">
        <v>3620</v>
      </c>
      <c r="L127" s="114" t="s">
        <v>3621</v>
      </c>
      <c r="M127" s="114" t="s">
        <v>3622</v>
      </c>
      <c r="N127" s="114" t="s">
        <v>3623</v>
      </c>
      <c r="O127" s="114"/>
      <c r="P127" s="120">
        <v>216.0</v>
      </c>
      <c r="Q127" s="117" t="s">
        <v>3624</v>
      </c>
      <c r="R127" s="114"/>
      <c r="S127" s="117" t="s">
        <v>3625</v>
      </c>
      <c r="T127" s="114">
        <f t="shared" si="1"/>
        <v>124</v>
      </c>
      <c r="U127" s="114" t="s">
        <v>1332</v>
      </c>
      <c r="V127" s="114" t="str">
        <f>IFERROR(__xludf.DUMMYFUNCTION("REGEXREPLACE(U127, ""\n"", "" "")"),"Killer")</f>
        <v>Killer</v>
      </c>
      <c r="W127" s="114"/>
      <c r="X127" s="115" t="str">
        <f t="shared" si="2"/>
        <v>124 Kid Pirates / Fighter - Killer - Medal [Killer]</v>
      </c>
      <c r="Y127" s="119"/>
      <c r="Z127" s="117" t="s">
        <v>3626</v>
      </c>
      <c r="AA127" s="117" t="s">
        <v>2395</v>
      </c>
      <c r="AB127" s="114"/>
      <c r="AC127" s="123" t="str">
        <f>IFERROR(__xludf.DUMMYFUNCTION("""COMPUTED_VALUE"""),"https://ik.imagekit.io/alaaalaa6171/217%20FILM%20RED%20-%20Monkey%20D.%20Luffy%20-%20Medal%20_Luffy%20(FILM%20RED)_.png?updatedAt=1770076442551")</f>
        <v>https://ik.imagekit.io/alaaalaa6171/217%20FILM%20RED%20-%20Monkey%20D.%20Luffy%20-%20Medal%20_Luffy%20(FILM%20RED)_.png?updatedAt=1770076442551</v>
      </c>
      <c r="AD127" s="123" t="str">
        <f>IFERROR(__xludf.DUMMYFUNCTION("""COMPUTED_VALUE"""),"https://ik.imagekit.io/alaaalaa6171/217%20FILM%20RED%20-%20Monkey%20D.%20Luffy%20-%20Medal%20_Luffy%20(FILM%20RED)_%20_Colored_.png?updatedAt=1770076442444")</f>
        <v>https://ik.imagekit.io/alaaalaa6171/217%20FILM%20RED%20-%20Monkey%20D.%20Luffy%20-%20Medal%20_Luffy%20(FILM%20RED)_%20_Colored_.png?updatedAt=1770076442444</v>
      </c>
      <c r="AE127" s="123" t="str">
        <f>IFERROR(__xludf.DUMMYFUNCTION("""COMPUTED_VALUE"""),"https://ik.imagekit.io/alaaalaa6171/217%20FILM%20RED%20-%20Monkey%20D.%20Luffy%20-%20Medal%20_Luffy%20(FILM%20RED)_%20-%20Piece.png?updatedAt=1770076442430")</f>
        <v>https://ik.imagekit.io/alaaalaa6171/217%20FILM%20RED%20-%20Monkey%20D.%20Luffy%20-%20Medal%20_Luffy%20(FILM%20RED)_%20-%20Piece.png?updatedAt=1770076442430</v>
      </c>
      <c r="AF127" s="123" t="str">
        <f>IFERROR(__xludf.DUMMYFUNCTION("""COMPUTED_VALUE"""),"https://ik.imagekit.io/alaaalaa6171/217%20FILM%20RED%20-%20Monkey%20D.%20Luffy%20-%20Medal%20_Luffy%20(FILM%20RED)_%20-%20Piece%20_Colored_.png?updatedAt=1770076442437")</f>
        <v>https://ik.imagekit.io/alaaalaa6171/217%20FILM%20RED%20-%20Monkey%20D.%20Luffy%20-%20Medal%20_Luffy%20(FILM%20RED)_%20-%20Piece%20_Colored_.png?updatedAt=1770076442437</v>
      </c>
      <c r="AG127" s="114"/>
      <c r="AH127" s="114"/>
      <c r="AI127" s="121" t="s">
        <v>3627</v>
      </c>
      <c r="AJ127" s="121" t="str">
        <f>IFERROR(__xludf.DUMMYFUNCTION("regexreplace(regexreplace(AI127, ""  \["", "" ""), ""\]$"", """")"),"126 - Land of Wano ~ X.Drake - Medal - Crafted [Colored] - Drake")</f>
        <v>126 - Land of Wano ~ X.Drake - Medal - Crafted [Colored] - Drake</v>
      </c>
      <c r="AK127" s="114"/>
      <c r="AL127" s="117" t="s">
        <v>3628</v>
      </c>
      <c r="AM127" s="117" t="s">
        <v>3629</v>
      </c>
      <c r="AN127" s="114"/>
      <c r="AO127" s="122">
        <f>IFERROR(__xludf.DUMMYFUNCTION("""COMPUTED_VALUE"""),182.0)</f>
        <v>182</v>
      </c>
      <c r="AP127" s="114" t="str">
        <f>IFERROR(__xludf.DUMMYFUNCTION("""COMPUTED_VALUE"""),"Carrot
(Sulong)")</f>
        <v>Carrot
(Sulong)</v>
      </c>
      <c r="AQ127" s="114" t="str">
        <f>IFERROR(__xludf.DUMMYFUNCTION("""COMPUTED_VALUE"""),"Carrot (Sulong)")</f>
        <v>Carrot (Sulong)</v>
      </c>
      <c r="AR127" s="114"/>
      <c r="AS127" s="114"/>
      <c r="AT127" s="123" t="str">
        <f>IFERROR(__xludf.DUMMYFUNCTION("""COMPUTED_VALUE"""),"https://i.postimg.cc/pVYQ1zpL/182.png")</f>
        <v>https://i.postimg.cc/pVYQ1zpL/182.png</v>
      </c>
      <c r="AU127" s="114"/>
      <c r="AV127" s="114"/>
      <c r="AW127" s="114"/>
      <c r="AX127" s="114" t="str">
        <f t="shared" si="3"/>
        <v>182 - Medal [Event] - Crafted - Carrot (Sulong)</v>
      </c>
      <c r="AY127" s="114" t="s">
        <v>3630</v>
      </c>
      <c r="AZ127" s="114"/>
      <c r="BA127" s="114"/>
      <c r="BB127" s="114"/>
      <c r="BC127" s="114"/>
      <c r="BD127" s="114"/>
      <c r="BE127" s="114"/>
    </row>
    <row r="128" ht="37.5" customHeight="1">
      <c r="A128" s="118" t="s">
        <v>3631</v>
      </c>
      <c r="B128" s="117" t="s">
        <v>3632</v>
      </c>
      <c r="C128" s="119">
        <f>IFERROR(__xludf.DUMMYFUNCTION("""COMPUTED_VALUE"""),215.0)</f>
        <v>215</v>
      </c>
      <c r="D128" s="114" t="str">
        <f>IFERROR(__xludf.DUMMYFUNCTION("""COMPUTED_VALUE"""),"Zephyr")</f>
        <v>Zephyr</v>
      </c>
      <c r="E128" s="114" t="str">
        <f>IFERROR(__xludf.DUMMYFUNCTION("""COMPUTED_VALUE"""),"")</f>
        <v/>
      </c>
      <c r="F128" s="114"/>
      <c r="G128" s="114"/>
      <c r="H128" s="114"/>
      <c r="I128" s="114"/>
      <c r="J128" s="114"/>
      <c r="K128" s="114" t="s">
        <v>3633</v>
      </c>
      <c r="L128" s="114" t="s">
        <v>3634</v>
      </c>
      <c r="M128" s="114" t="s">
        <v>3635</v>
      </c>
      <c r="N128" s="114" t="s">
        <v>3636</v>
      </c>
      <c r="O128" s="114"/>
      <c r="P128" s="120">
        <v>215.0</v>
      </c>
      <c r="Q128" s="117" t="s">
        <v>3637</v>
      </c>
      <c r="R128" s="114"/>
      <c r="S128" s="117" t="s">
        <v>3638</v>
      </c>
      <c r="T128" s="114">
        <f t="shared" si="1"/>
        <v>127</v>
      </c>
      <c r="U128" s="114" t="s">
        <v>1316</v>
      </c>
      <c r="V128" s="114" t="str">
        <f>IFERROR(__xludf.DUMMYFUNCTION("REGEXREPLACE(U128, ""\n"", "" "")"),"Ninpo Iightning Blast")</f>
        <v>Ninpo Iightning Blast</v>
      </c>
      <c r="W128" s="114"/>
      <c r="X128" s="115" t="str">
        <f t="shared" si="2"/>
        <v>127 Land of Wano - Onami - Medal [Ninpo Iightning Blast]</v>
      </c>
      <c r="Y128" s="119"/>
      <c r="Z128" s="117" t="s">
        <v>3639</v>
      </c>
      <c r="AA128" s="117" t="s">
        <v>2397</v>
      </c>
      <c r="AB128" s="114"/>
      <c r="AC128" s="123" t="str">
        <f>IFERROR(__xludf.DUMMYFUNCTION("""COMPUTED_VALUE"""),"https://ik.imagekit.io/alaaalaa6171/216%20FILM%20RED%20-%20Uta%20-%20Medal%20_Uta_.png?updatedAt=1770076442383")</f>
        <v>https://ik.imagekit.io/alaaalaa6171/216%20FILM%20RED%20-%20Uta%20-%20Medal%20_Uta_.png?updatedAt=1770076442383</v>
      </c>
      <c r="AD128" s="123" t="str">
        <f>IFERROR(__xludf.DUMMYFUNCTION("""COMPUTED_VALUE"""),"https://ik.imagekit.io/alaaalaa6171/216%20FILM%20RED%20-%20Uta%20-%20Medal%20_Uta_%20_Colored_.png?updatedAt=1770076442367")</f>
        <v>https://ik.imagekit.io/alaaalaa6171/216%20FILM%20RED%20-%20Uta%20-%20Medal%20_Uta_%20_Colored_.png?updatedAt=1770076442367</v>
      </c>
      <c r="AE128" s="123" t="str">
        <f>IFERROR(__xludf.DUMMYFUNCTION("""COMPUTED_VALUE"""),"https://ik.imagekit.io/alaaalaa6171/216%20FILM%20RED%20-%20Uta%20-%20Medal%20_Uta_%20-%20Piece.png?updatedAt=1770076442537")</f>
        <v>https://ik.imagekit.io/alaaalaa6171/216%20FILM%20RED%20-%20Uta%20-%20Medal%20_Uta_%20-%20Piece.png?updatedAt=1770076442537</v>
      </c>
      <c r="AF128" s="123" t="str">
        <f>IFERROR(__xludf.DUMMYFUNCTION("""COMPUTED_VALUE"""),"https://ik.imagekit.io/alaaalaa6171/216%20FILM%20RED%20-%20Uta%20-%20Medal%20_Uta_%20-%20Piece%20_Colored_.png?updatedAt=1770076442435")</f>
        <v>https://ik.imagekit.io/alaaalaa6171/216%20FILM%20RED%20-%20Uta%20-%20Medal%20_Uta_%20-%20Piece%20_Colored_.png?updatedAt=1770076442435</v>
      </c>
      <c r="AG128" s="114"/>
      <c r="AH128" s="114"/>
      <c r="AI128" s="121" t="s">
        <v>3640</v>
      </c>
      <c r="AJ128" s="121" t="str">
        <f>IFERROR(__xludf.DUMMYFUNCTION("regexreplace(regexreplace(AI128, ""  \["", "" ""), ""\]$"", """")"),"127 - Land of Wano ~ Onami - Medal - Crafted [Colored] - Ninpo Iightning Blast")</f>
        <v>127 - Land of Wano ~ Onami - Medal - Crafted [Colored] - Ninpo Iightning Blast</v>
      </c>
      <c r="AK128" s="114"/>
      <c r="AL128" s="117" t="s">
        <v>3641</v>
      </c>
      <c r="AM128" s="117" t="s">
        <v>3642</v>
      </c>
      <c r="AN128" s="114"/>
      <c r="AO128" s="122">
        <f>IFERROR(__xludf.DUMMYFUNCTION("""COMPUTED_VALUE"""),181.0)</f>
        <v>181</v>
      </c>
      <c r="AP128" s="114" t="str">
        <f>IFERROR(__xludf.DUMMYFUNCTION("""COMPUTED_VALUE"""),"Montd``or")</f>
        <v>Montd``or</v>
      </c>
      <c r="AQ128" s="114" t="str">
        <f>IFERROR(__xludf.DUMMYFUNCTION("""COMPUTED_VALUE"""),"Montd``or")</f>
        <v>Montd``or</v>
      </c>
      <c r="AR128" s="114"/>
      <c r="AS128" s="114"/>
      <c r="AT128" s="123" t="str">
        <f>IFERROR(__xludf.DUMMYFUNCTION("""COMPUTED_VALUE"""),"https://i.postimg.cc/KvG7XjMr/181.png")</f>
        <v>https://i.postimg.cc/KvG7XjMr/181.png</v>
      </c>
      <c r="AU128" s="114"/>
      <c r="AV128" s="114"/>
      <c r="AW128" s="114"/>
      <c r="AX128" s="114" t="str">
        <f t="shared" si="3"/>
        <v>181 - Medal [Event] - Crafted - Montd``or</v>
      </c>
      <c r="AY128" s="114" t="s">
        <v>3643</v>
      </c>
      <c r="AZ128" s="114"/>
      <c r="BA128" s="114"/>
      <c r="BB128" s="114"/>
      <c r="BC128" s="114"/>
      <c r="BD128" s="114"/>
      <c r="BE128" s="114"/>
    </row>
    <row r="129" ht="37.5" customHeight="1">
      <c r="A129" s="118" t="s">
        <v>3644</v>
      </c>
      <c r="B129" s="117" t="s">
        <v>3645</v>
      </c>
      <c r="C129" s="119">
        <f>IFERROR(__xludf.DUMMYFUNCTION("""COMPUTED_VALUE"""),214.0)</f>
        <v>214</v>
      </c>
      <c r="D129" s="114" t="str">
        <f>IFERROR(__xludf.DUMMYFUNCTION("""COMPUTED_VALUE"""),"Tesoro")</f>
        <v>Tesoro</v>
      </c>
      <c r="E129" s="114" t="str">
        <f>IFERROR(__xludf.DUMMYFUNCTION("""COMPUTED_VALUE"""),"")</f>
        <v/>
      </c>
      <c r="F129" s="114"/>
      <c r="G129" s="114"/>
      <c r="H129" s="114"/>
      <c r="I129" s="114"/>
      <c r="J129" s="114"/>
      <c r="K129" s="114" t="s">
        <v>3646</v>
      </c>
      <c r="L129" s="114" t="s">
        <v>3647</v>
      </c>
      <c r="M129" s="114" t="s">
        <v>3648</v>
      </c>
      <c r="N129" s="114" t="s">
        <v>3649</v>
      </c>
      <c r="O129" s="114"/>
      <c r="P129" s="120">
        <v>214.0</v>
      </c>
      <c r="Q129" s="117" t="s">
        <v>3650</v>
      </c>
      <c r="R129" s="114"/>
      <c r="S129" s="117" t="s">
        <v>3651</v>
      </c>
      <c r="T129" s="114">
        <f t="shared" si="1"/>
        <v>128</v>
      </c>
      <c r="U129" s="114" t="s">
        <v>1311</v>
      </c>
      <c r="V129" s="114" t="str">
        <f>IFERROR(__xludf.DUMMYFUNCTION("REGEXREPLACE(U129, ""\n"", "" "")"),"Sumo Slap")</f>
        <v>Sumo Slap</v>
      </c>
      <c r="W129" s="114"/>
      <c r="X129" s="115" t="str">
        <f t="shared" si="2"/>
        <v>128 Land of Wano - Luffytaro - Medal [Sumo Slap]</v>
      </c>
      <c r="Y129" s="119"/>
      <c r="Z129" s="117" t="s">
        <v>3652</v>
      </c>
      <c r="AA129" s="117" t="s">
        <v>2398</v>
      </c>
      <c r="AB129" s="114"/>
      <c r="AC129" s="123" t="str">
        <f>IFERROR(__xludf.DUMMYFUNCTION("""COMPUTED_VALUE"""),"https://ik.imagekit.io/alaaalaa6171/215%20FILM%20Z%20-%20Zephyr%20-%20Medal%20_Zephyr_.png?updatedAt=1770076442424")</f>
        <v>https://ik.imagekit.io/alaaalaa6171/215%20FILM%20Z%20-%20Zephyr%20-%20Medal%20_Zephyr_.png?updatedAt=1770076442424</v>
      </c>
      <c r="AD129" s="123" t="str">
        <f>IFERROR(__xludf.DUMMYFUNCTION("""COMPUTED_VALUE"""),"https://ik.imagekit.io/alaaalaa6171/215%20FILM%20Z%20-%20Zephyr%20-%20Medal%20_Zephyr_%20_Colored_.png?updatedAt=1770076442432")</f>
        <v>https://ik.imagekit.io/alaaalaa6171/215%20FILM%20Z%20-%20Zephyr%20-%20Medal%20_Zephyr_%20_Colored_.png?updatedAt=1770076442432</v>
      </c>
      <c r="AE129" s="123" t="str">
        <f>IFERROR(__xludf.DUMMYFUNCTION("""COMPUTED_VALUE"""),"https://ik.imagekit.io/alaaalaa6171/215%20FILM%20Z%20-%20Zephyr%20-%20Medal%20_Zephyr_%20-%20Piece.png?updatedAt=1770076442356")</f>
        <v>https://ik.imagekit.io/alaaalaa6171/215%20FILM%20Z%20-%20Zephyr%20-%20Medal%20_Zephyr_%20-%20Piece.png?updatedAt=1770076442356</v>
      </c>
      <c r="AF129" s="123" t="str">
        <f>IFERROR(__xludf.DUMMYFUNCTION("""COMPUTED_VALUE"""),"https://ik.imagekit.io/alaaalaa6171/215%20FILM%20Z%20-%20Zephyr%20-%20Medal%20_Zephyr_%20-%20Piece%20_Colored_.png?updatedAt=1770076442354")</f>
        <v>https://ik.imagekit.io/alaaalaa6171/215%20FILM%20Z%20-%20Zephyr%20-%20Medal%20_Zephyr_%20-%20Piece%20_Colored_.png?updatedAt=1770076442354</v>
      </c>
      <c r="AG129" s="114"/>
      <c r="AH129" s="114"/>
      <c r="AI129" s="121" t="s">
        <v>3653</v>
      </c>
      <c r="AJ129" s="121" t="str">
        <f>IFERROR(__xludf.DUMMYFUNCTION("regexreplace(regexreplace(AI129, ""  \["", "" ""), ""\]$"", """")"),"128 - Land of Wano ~ Luffytaro - Medal - Crafted [Colored] - Sumo Slap")</f>
        <v>128 - Land of Wano ~ Luffytaro - Medal - Crafted [Colored] - Sumo Slap</v>
      </c>
      <c r="AK129" s="114"/>
      <c r="AL129" s="117" t="s">
        <v>3654</v>
      </c>
      <c r="AM129" s="117" t="s">
        <v>3655</v>
      </c>
      <c r="AN129" s="114"/>
      <c r="AO129" s="122">
        <f>IFERROR(__xludf.DUMMYFUNCTION("""COMPUTED_VALUE"""),180.0)</f>
        <v>180</v>
      </c>
      <c r="AP129" s="114" t="str">
        <f>IFERROR(__xludf.DUMMYFUNCTION("""COMPUTED_VALUE"""),"Mochi_Mochi")</f>
        <v>Mochi_Mochi</v>
      </c>
      <c r="AQ129" s="114" t="str">
        <f>IFERROR(__xludf.DUMMYFUNCTION("""COMPUTED_VALUE"""),"Mochi_Mochi")</f>
        <v>Mochi_Mochi</v>
      </c>
      <c r="AR129" s="114"/>
      <c r="AS129" s="114"/>
      <c r="AT129" s="123" t="str">
        <f>IFERROR(__xludf.DUMMYFUNCTION("""COMPUTED_VALUE"""),"https://i.postimg.cc/3JtX3hjM/180.png")</f>
        <v>https://i.postimg.cc/3JtX3hjM/180.png</v>
      </c>
      <c r="AU129" s="114"/>
      <c r="AV129" s="114"/>
      <c r="AW129" s="114"/>
      <c r="AX129" s="114" t="str">
        <f t="shared" si="3"/>
        <v>180 - Medal [Event] - Crafted - Mochi_Mochi</v>
      </c>
      <c r="AY129" s="114" t="s">
        <v>3656</v>
      </c>
      <c r="AZ129" s="114"/>
      <c r="BA129" s="114"/>
      <c r="BB129" s="114"/>
      <c r="BC129" s="114"/>
      <c r="BD129" s="114"/>
      <c r="BE129" s="114"/>
    </row>
    <row r="130" ht="37.5" customHeight="1">
      <c r="A130" s="118" t="s">
        <v>3657</v>
      </c>
      <c r="B130" s="117" t="s">
        <v>3658</v>
      </c>
      <c r="C130" s="119">
        <f>IFERROR(__xludf.DUMMYFUNCTION("""COMPUTED_VALUE"""),213.0)</f>
        <v>213</v>
      </c>
      <c r="D130" s="114" t="str">
        <f>IFERROR(__xludf.DUMMYFUNCTION("""COMPUTED_VALUE"""),"Shiki")</f>
        <v>Shiki</v>
      </c>
      <c r="E130" s="114" t="str">
        <f>IFERROR(__xludf.DUMMYFUNCTION("""COMPUTED_VALUE"""),"")</f>
        <v/>
      </c>
      <c r="F130" s="114"/>
      <c r="G130" s="114"/>
      <c r="H130" s="114"/>
      <c r="I130" s="114"/>
      <c r="J130" s="114"/>
      <c r="K130" s="114" t="s">
        <v>3659</v>
      </c>
      <c r="L130" s="114" t="s">
        <v>3660</v>
      </c>
      <c r="M130" s="114" t="s">
        <v>3661</v>
      </c>
      <c r="N130" s="114" t="s">
        <v>3662</v>
      </c>
      <c r="O130" s="114"/>
      <c r="P130" s="120">
        <v>213.0</v>
      </c>
      <c r="Q130" s="117" t="s">
        <v>3663</v>
      </c>
      <c r="R130" s="114"/>
      <c r="S130" s="117" t="s">
        <v>3664</v>
      </c>
      <c r="T130" s="114">
        <f t="shared" si="1"/>
        <v>129</v>
      </c>
      <c r="U130" s="114" t="s">
        <v>1304</v>
      </c>
      <c r="V130" s="114" t="str">
        <f>IFERROR(__xludf.DUMMYFUNCTION("REGEXREPLACE(U130, ""\n"", "" "")"),"Six King Pistol")</f>
        <v>Six King Pistol</v>
      </c>
      <c r="W130" s="114"/>
      <c r="X130" s="115" t="str">
        <f t="shared" si="2"/>
        <v>129 CP0 - Rob Lucci - Medal [Six King Pistol]</v>
      </c>
      <c r="Y130" s="119"/>
      <c r="Z130" s="117" t="s">
        <v>3665</v>
      </c>
      <c r="AA130" s="117" t="s">
        <v>2396</v>
      </c>
      <c r="AB130" s="114"/>
      <c r="AC130" s="123" t="str">
        <f>IFERROR(__xludf.DUMMYFUNCTION("""COMPUTED_VALUE"""),"https://ik.imagekit.io/alaaalaa6171/214%20FILM%20GOLD%20-%20Gild%20Tesoro%20-%20Medal%20_Tesoro_.png?updatedAt=1770076442377")</f>
        <v>https://ik.imagekit.io/alaaalaa6171/214%20FILM%20GOLD%20-%20Gild%20Tesoro%20-%20Medal%20_Tesoro_.png?updatedAt=1770076442377</v>
      </c>
      <c r="AD130" s="123" t="str">
        <f>IFERROR(__xludf.DUMMYFUNCTION("""COMPUTED_VALUE"""),"https://ik.imagekit.io/alaaalaa6171/214%20FILM%20GOLD%20-%20Gild%20Tesoro%20-%20Medal%20_Tesoro_%20_Colored_.png?updatedAt=1770076442531")</f>
        <v>https://ik.imagekit.io/alaaalaa6171/214%20FILM%20GOLD%20-%20Gild%20Tesoro%20-%20Medal%20_Tesoro_%20_Colored_.png?updatedAt=1770076442531</v>
      </c>
      <c r="AE130" s="123" t="str">
        <f>IFERROR(__xludf.DUMMYFUNCTION("""COMPUTED_VALUE"""),"https://ik.imagekit.io/alaaalaa6171/214%20FILM%20GOLD%20-%20Gild%20Tesoro%20-%20Medal%20_Tesoro_%20-%20Piece.png?updatedAt=1770076442430")</f>
        <v>https://ik.imagekit.io/alaaalaa6171/214%20FILM%20GOLD%20-%20Gild%20Tesoro%20-%20Medal%20_Tesoro_%20-%20Piece.png?updatedAt=1770076442430</v>
      </c>
      <c r="AF130" s="123" t="str">
        <f>IFERROR(__xludf.DUMMYFUNCTION("""COMPUTED_VALUE"""),"https://ik.imagekit.io/alaaalaa6171/214%20FILM%20GOLD%20-%20Gild%20Tesoro%20-%20Medal%20_Tesoro_%20-%20Piece%20_Colored_.png?updatedAt=1770076442415")</f>
        <v>https://ik.imagekit.io/alaaalaa6171/214%20FILM%20GOLD%20-%20Gild%20Tesoro%20-%20Medal%20_Tesoro_%20-%20Piece%20_Colored_.png?updatedAt=1770076442415</v>
      </c>
      <c r="AG130" s="114"/>
      <c r="AH130" s="114"/>
      <c r="AI130" s="121" t="s">
        <v>3666</v>
      </c>
      <c r="AJ130" s="121" t="str">
        <f>IFERROR(__xludf.DUMMYFUNCTION("regexreplace(regexreplace(AI130, ""  \["", "" ""), ""\]$"", """")"),"129 - CP0 ~ Rob Lucci - Medal - Crafted [Colored] - Six King Pistol")</f>
        <v>129 - CP0 ~ Rob Lucci - Medal - Crafted [Colored] - Six King Pistol</v>
      </c>
      <c r="AK130" s="114"/>
      <c r="AL130" s="117" t="s">
        <v>3667</v>
      </c>
      <c r="AM130" s="117" t="s">
        <v>3668</v>
      </c>
      <c r="AN130" s="114"/>
      <c r="AO130" s="122">
        <f>IFERROR(__xludf.DUMMYFUNCTION("""COMPUTED_VALUE"""),179.0)</f>
        <v>179</v>
      </c>
      <c r="AP130" s="114" t="str">
        <f>IFERROR(__xludf.DUMMYFUNCTION("""COMPUTED_VALUE"""),"Gourmet Knight")</f>
        <v>Gourmet Knight</v>
      </c>
      <c r="AQ130" s="114" t="str">
        <f>IFERROR(__xludf.DUMMYFUNCTION("""COMPUTED_VALUE"""),"Gourmet Knight")</f>
        <v>Gourmet Knight</v>
      </c>
      <c r="AR130" s="114"/>
      <c r="AS130" s="114"/>
      <c r="AT130" s="123" t="str">
        <f>IFERROR(__xludf.DUMMYFUNCTION("""COMPUTED_VALUE"""),"https://i.postimg.cc/JztbnFKs/179.png")</f>
        <v>https://i.postimg.cc/JztbnFKs/179.png</v>
      </c>
      <c r="AU130" s="114"/>
      <c r="AV130" s="114"/>
      <c r="AW130" s="114"/>
      <c r="AX130" s="114" t="str">
        <f t="shared" si="3"/>
        <v>179 - Medal [Event] - Crafted - Gourmet Knight</v>
      </c>
      <c r="AY130" s="114" t="s">
        <v>3669</v>
      </c>
      <c r="AZ130" s="114"/>
      <c r="BA130" s="114"/>
      <c r="BB130" s="114"/>
      <c r="BC130" s="114"/>
      <c r="BD130" s="114"/>
      <c r="BE130" s="114"/>
    </row>
    <row r="131" ht="37.5" customHeight="1">
      <c r="A131" s="118" t="s">
        <v>3670</v>
      </c>
      <c r="B131" s="117" t="s">
        <v>3671</v>
      </c>
      <c r="C131" s="119">
        <f>IFERROR(__xludf.DUMMYFUNCTION("""COMPUTED_VALUE"""),212.0)</f>
        <v>212</v>
      </c>
      <c r="D131" s="114" t="str">
        <f>IFERROR(__xludf.DUMMYFUNCTION("""COMPUTED_VALUE"""),"Hancock
(STAMPEDE)")</f>
        <v>Hancock
(STAMPEDE)</v>
      </c>
      <c r="E131" s="114" t="str">
        <f>IFERROR(__xludf.DUMMYFUNCTION("""COMPUTED_VALUE"""),"")</f>
        <v/>
      </c>
      <c r="F131" s="114"/>
      <c r="G131" s="114"/>
      <c r="H131" s="114"/>
      <c r="I131" s="114"/>
      <c r="J131" s="114"/>
      <c r="K131" s="114" t="s">
        <v>3672</v>
      </c>
      <c r="L131" s="114" t="s">
        <v>3673</v>
      </c>
      <c r="M131" s="114" t="s">
        <v>3674</v>
      </c>
      <c r="N131" s="114" t="s">
        <v>3675</v>
      </c>
      <c r="O131" s="114"/>
      <c r="P131" s="120">
        <v>212.0</v>
      </c>
      <c r="Q131" s="117" t="s">
        <v>3676</v>
      </c>
      <c r="R131" s="114"/>
      <c r="S131" s="117" t="s">
        <v>3677</v>
      </c>
      <c r="T131" s="114">
        <f t="shared" si="1"/>
        <v>130</v>
      </c>
      <c r="U131" s="114" t="s">
        <v>1298</v>
      </c>
      <c r="V131" s="114" t="str">
        <f>IFERROR(__xludf.DUMMYFUNCTION("REGEXREPLACE(U131, ""\n"", "" "")"),"Mamaragan")</f>
        <v>Mamaragan</v>
      </c>
      <c r="W131" s="114"/>
      <c r="X131" s="115" t="str">
        <f t="shared" si="2"/>
        <v>130 Amaru - Eneru - Medal [Mamaragan]</v>
      </c>
      <c r="Y131" s="119"/>
      <c r="Z131" s="117" t="s">
        <v>3678</v>
      </c>
      <c r="AA131" s="117" t="s">
        <v>2408</v>
      </c>
      <c r="AB131" s="114"/>
      <c r="AC131" s="123" t="str">
        <f>IFERROR(__xludf.DUMMYFUNCTION("""COMPUTED_VALUE"""),"https://ik.imagekit.io/alaaalaa6171/213%20FILM%20STRONG%20WORLD%20-%20Shiki%20-%20Medal%20_Shiki_.png?updatedAt=1770076442425")</f>
        <v>https://ik.imagekit.io/alaaalaa6171/213%20FILM%20STRONG%20WORLD%20-%20Shiki%20-%20Medal%20_Shiki_.png?updatedAt=1770076442425</v>
      </c>
      <c r="AD131" s="123" t="str">
        <f>IFERROR(__xludf.DUMMYFUNCTION("""COMPUTED_VALUE"""),"https://ik.imagekit.io/alaaalaa6171/213%20FILM%20STRONG%20WORLD%20-%20Shiki%20-%20Medal%20_Shiki_%20_Colored_.png?updatedAt=1770076442346")</f>
        <v>https://ik.imagekit.io/alaaalaa6171/213%20FILM%20STRONG%20WORLD%20-%20Shiki%20-%20Medal%20_Shiki_%20_Colored_.png?updatedAt=1770076442346</v>
      </c>
      <c r="AE131" s="123" t="str">
        <f>IFERROR(__xludf.DUMMYFUNCTION("""COMPUTED_VALUE"""),"https://ik.imagekit.io/alaaalaa6171/213%20FILM%20STRONG%20WORLD%20-%20Shiki%20-%20Medal%20_Shiki_%20-%20Piece.png?updatedAt=1770076442383")</f>
        <v>https://ik.imagekit.io/alaaalaa6171/213%20FILM%20STRONG%20WORLD%20-%20Shiki%20-%20Medal%20_Shiki_%20-%20Piece.png?updatedAt=1770076442383</v>
      </c>
      <c r="AF131" s="123" t="str">
        <f>IFERROR(__xludf.DUMMYFUNCTION("""COMPUTED_VALUE"""),"https://ik.imagekit.io/alaaalaa6171/213%20FILM%20STRONG%20WORLD%20-%20Shiki%20-%20Medal%20_Shiki_%20-%20Piece%20_Colored_.png?updatedAt=1770076442357")</f>
        <v>https://ik.imagekit.io/alaaalaa6171/213%20FILM%20STRONG%20WORLD%20-%20Shiki%20-%20Medal%20_Shiki_%20-%20Piece%20_Colored_.png?updatedAt=1770076442357</v>
      </c>
      <c r="AG131" s="114"/>
      <c r="AH131" s="114"/>
      <c r="AI131" s="121" t="s">
        <v>3679</v>
      </c>
      <c r="AJ131" s="121" t="str">
        <f>IFERROR(__xludf.DUMMYFUNCTION("regexreplace(regexreplace(AI131, ""  \["", "" ""), ""\]$"", """")"),"130 - Amaru ~ Eneru - Medal - Crafted [Colored] - Mamaragan")</f>
        <v>130 - Amaru ~ Eneru - Medal - Crafted [Colored] - Mamaragan</v>
      </c>
      <c r="AK131" s="114"/>
      <c r="AL131" s="117" t="s">
        <v>3680</v>
      </c>
      <c r="AM131" s="117" t="s">
        <v>3681</v>
      </c>
      <c r="AN131" s="114"/>
      <c r="AO131" s="122">
        <f>IFERROR(__xludf.DUMMYFUNCTION("""COMPUTED_VALUE"""),178.0)</f>
        <v>178</v>
      </c>
      <c r="AP131" s="114" t="str">
        <f>IFERROR(__xludf.DUMMYFUNCTION("""COMPUTED_VALUE"""),"Lucky Fellow?")</f>
        <v>Lucky Fellow?</v>
      </c>
      <c r="AQ131" s="114" t="str">
        <f>IFERROR(__xludf.DUMMYFUNCTION("""COMPUTED_VALUE"""),"Lucky Fellow?")</f>
        <v>Lucky Fellow?</v>
      </c>
      <c r="AR131" s="114"/>
      <c r="AS131" s="114"/>
      <c r="AT131" s="123" t="str">
        <f>IFERROR(__xludf.DUMMYFUNCTION("""COMPUTED_VALUE"""),"https://i.postimg.cc/0y37JCHc/178.png")</f>
        <v>https://i.postimg.cc/0y37JCHc/178.png</v>
      </c>
      <c r="AU131" s="114"/>
      <c r="AV131" s="114"/>
      <c r="AW131" s="114"/>
      <c r="AX131" s="114" t="str">
        <f t="shared" si="3"/>
        <v>178 - Medal [Event] - Crafted - Lucky Fellow?</v>
      </c>
      <c r="AY131" s="114" t="s">
        <v>3682</v>
      </c>
      <c r="AZ131" s="114"/>
      <c r="BA131" s="114"/>
      <c r="BB131" s="114"/>
      <c r="BC131" s="114"/>
      <c r="BD131" s="114"/>
      <c r="BE131" s="114"/>
    </row>
    <row r="132" ht="37.5" customHeight="1">
      <c r="A132" s="118" t="s">
        <v>3683</v>
      </c>
      <c r="B132" s="117" t="s">
        <v>3684</v>
      </c>
      <c r="C132" s="119">
        <f>IFERROR(__xludf.DUMMYFUNCTION("""COMPUTED_VALUE"""),211.0)</f>
        <v>211</v>
      </c>
      <c r="D132" s="114" t="str">
        <f>IFERROR(__xludf.DUMMYFUNCTION("""COMPUTED_VALUE"""),"Phoenix Brand")</f>
        <v>Phoenix Brand</v>
      </c>
      <c r="E132" s="114" t="str">
        <f>IFERROR(__xludf.DUMMYFUNCTION("""COMPUTED_VALUE"""),"")</f>
        <v/>
      </c>
      <c r="F132" s="114"/>
      <c r="G132" s="114"/>
      <c r="H132" s="114"/>
      <c r="I132" s="114"/>
      <c r="J132" s="114"/>
      <c r="K132" s="114" t="s">
        <v>3685</v>
      </c>
      <c r="L132" s="114" t="s">
        <v>3686</v>
      </c>
      <c r="M132" s="114" t="s">
        <v>3687</v>
      </c>
      <c r="N132" s="114" t="s">
        <v>3688</v>
      </c>
      <c r="O132" s="114"/>
      <c r="P132" s="120">
        <v>211.0</v>
      </c>
      <c r="Q132" s="117" t="s">
        <v>3689</v>
      </c>
      <c r="R132" s="114"/>
      <c r="S132" s="117" t="s">
        <v>3690</v>
      </c>
      <c r="T132" s="114">
        <f t="shared" si="1"/>
        <v>131</v>
      </c>
      <c r="U132" s="114" t="s">
        <v>1292</v>
      </c>
      <c r="V132" s="114" t="str">
        <f>IFERROR(__xludf.DUMMYFUNCTION("REGEXREPLACE(U132, ""\n"", "" "")"),"Scalpel")</f>
        <v>Scalpel</v>
      </c>
      <c r="W132" s="114"/>
      <c r="X132" s="115" t="str">
        <f t="shared" si="2"/>
        <v>131 Surgeon of Death - Trafalger Law - Medal [Scalpel]</v>
      </c>
      <c r="Y132" s="119"/>
      <c r="Z132" s="117" t="s">
        <v>3691</v>
      </c>
      <c r="AA132" s="117" t="s">
        <v>2410</v>
      </c>
      <c r="AB132" s="114"/>
      <c r="AC132" s="123" t="str">
        <f>IFERROR(__xludf.DUMMYFUNCTION("""COMPUTED_VALUE"""),"https://ik.imagekit.io/alaaalaa6171/212%20STAMPEDE%20-%20Boa%20Hancock%20-%20Medal%20_Hancock%20(STAMPEDE)_.png?updatedAt=1770076442439")</f>
        <v>https://ik.imagekit.io/alaaalaa6171/212%20STAMPEDE%20-%20Boa%20Hancock%20-%20Medal%20_Hancock%20(STAMPEDE)_.png?updatedAt=1770076442439</v>
      </c>
      <c r="AD132" s="123" t="str">
        <f>IFERROR(__xludf.DUMMYFUNCTION("""COMPUTED_VALUE"""),"https://ik.imagekit.io/alaaalaa6171/212%20STAMPEDE%20-%20Boa%20Hancock%20-%20Medal%20_Hancock%20(STAMPEDE)_%20_Colored_.png?updatedAt=1770076442374")</f>
        <v>https://ik.imagekit.io/alaaalaa6171/212%20STAMPEDE%20-%20Boa%20Hancock%20-%20Medal%20_Hancock%20(STAMPEDE)_%20_Colored_.png?updatedAt=1770076442374</v>
      </c>
      <c r="AE132" s="123" t="str">
        <f>IFERROR(__xludf.DUMMYFUNCTION("""COMPUTED_VALUE"""),"https://ik.imagekit.io/alaaalaa6171/212%20STAMPEDE%20-%20Boa%20Hancock%20-%20Medal%20_Hancock%20(STAMPEDE)_%20-%20Piece.png?updatedAt=1770076442527")</f>
        <v>https://ik.imagekit.io/alaaalaa6171/212%20STAMPEDE%20-%20Boa%20Hancock%20-%20Medal%20_Hancock%20(STAMPEDE)_%20-%20Piece.png?updatedAt=1770076442527</v>
      </c>
      <c r="AF132" s="123" t="str">
        <f>IFERROR(__xludf.DUMMYFUNCTION("""COMPUTED_VALUE"""),"https://ik.imagekit.io/alaaalaa6171/212%20STAMPEDE%20-%20Boa%20Hancock%20-%20Medal%20_Hancock%20(STAMPEDE)_%20-%20Piece%20_Colored_.png?updatedAt=1770076442379")</f>
        <v>https://ik.imagekit.io/alaaalaa6171/212%20STAMPEDE%20-%20Boa%20Hancock%20-%20Medal%20_Hancock%20(STAMPEDE)_%20-%20Piece%20_Colored_.png?updatedAt=1770076442379</v>
      </c>
      <c r="AG132" s="114"/>
      <c r="AH132" s="114"/>
      <c r="AI132" s="121" t="s">
        <v>3692</v>
      </c>
      <c r="AJ132" s="121" t="str">
        <f>IFERROR(__xludf.DUMMYFUNCTION("regexreplace(regexreplace(AI132, ""  \["", "" ""), ""\]$"", """")"),"131 - Surgeon of Death ~ Trafalger Law - Medal - Crafted [Colored] - Scalpel")</f>
        <v>131 - Surgeon of Death ~ Trafalger Law - Medal - Crafted [Colored] - Scalpel</v>
      </c>
      <c r="AK132" s="114"/>
      <c r="AL132" s="117" t="s">
        <v>3693</v>
      </c>
      <c r="AM132" s="117" t="s">
        <v>3694</v>
      </c>
      <c r="AN132" s="114"/>
      <c r="AO132" s="122">
        <f>IFERROR(__xludf.DUMMYFUNCTION("""COMPUTED_VALUE"""),177.0)</f>
        <v>177</v>
      </c>
      <c r="AP132" s="114" t="str">
        <f>IFERROR(__xludf.DUMMYFUNCTION("""COMPUTED_VALUE"""),"Rostisserie Strike")</f>
        <v>Rostisserie Strike</v>
      </c>
      <c r="AQ132" s="114" t="str">
        <f>IFERROR(__xludf.DUMMYFUNCTION("""COMPUTED_VALUE"""),"Rostisserie Strike")</f>
        <v>Rostisserie Strike</v>
      </c>
      <c r="AR132" s="114"/>
      <c r="AS132" s="114"/>
      <c r="AT132" s="123" t="str">
        <f>IFERROR(__xludf.DUMMYFUNCTION("""COMPUTED_VALUE"""),"https://i.postimg.cc/tTGPB4b6/177.png")</f>
        <v>https://i.postimg.cc/tTGPB4b6/177.png</v>
      </c>
      <c r="AU132" s="114"/>
      <c r="AV132" s="114"/>
      <c r="AW132" s="114"/>
      <c r="AX132" s="114" t="str">
        <f t="shared" si="3"/>
        <v>177 - Medal [Event] - Crafted - Rostisserie Strike</v>
      </c>
      <c r="AY132" s="114" t="s">
        <v>3695</v>
      </c>
      <c r="AZ132" s="114"/>
      <c r="BA132" s="114"/>
      <c r="BB132" s="114"/>
      <c r="BC132" s="114"/>
      <c r="BD132" s="114"/>
      <c r="BE132" s="114"/>
    </row>
    <row r="133" ht="37.5" customHeight="1">
      <c r="A133" s="118" t="s">
        <v>3696</v>
      </c>
      <c r="B133" s="117" t="s">
        <v>3697</v>
      </c>
      <c r="C133" s="119">
        <f>IFERROR(__xludf.DUMMYFUNCTION("""COMPUTED_VALUE"""),210.0)</f>
        <v>210</v>
      </c>
      <c r="D133" s="114" t="str">
        <f>IFERROR(__xludf.DUMMYFUNCTION("""COMPUTED_VALUE"""),"Perospero")</f>
        <v>Perospero</v>
      </c>
      <c r="E133" s="114" t="str">
        <f>IFERROR(__xludf.DUMMYFUNCTION("""COMPUTED_VALUE"""),"")</f>
        <v/>
      </c>
      <c r="F133" s="114"/>
      <c r="G133" s="114"/>
      <c r="H133" s="114"/>
      <c r="I133" s="114"/>
      <c r="J133" s="114"/>
      <c r="K133" s="114" t="s">
        <v>3698</v>
      </c>
      <c r="L133" s="114" t="s">
        <v>3699</v>
      </c>
      <c r="M133" s="114" t="s">
        <v>3700</v>
      </c>
      <c r="N133" s="114" t="s">
        <v>3701</v>
      </c>
      <c r="O133" s="114"/>
      <c r="P133" s="120">
        <v>210.0</v>
      </c>
      <c r="Q133" s="117" t="s">
        <v>3702</v>
      </c>
      <c r="R133" s="114"/>
      <c r="S133" s="117" t="s">
        <v>3703</v>
      </c>
      <c r="T133" s="114">
        <f t="shared" si="1"/>
        <v>132</v>
      </c>
      <c r="U133" s="114" t="s">
        <v>1287</v>
      </c>
      <c r="V133" s="114" t="str">
        <f>IFERROR(__xludf.DUMMYFUNCTION("REGEXREPLACE(U133, ""\n"", "" "")"),"Rebecca")</f>
        <v>Rebecca</v>
      </c>
      <c r="W133" s="114"/>
      <c r="X133" s="115" t="str">
        <f t="shared" si="2"/>
        <v>132 The Undefeated Woman - Rebecca - Medal [Rebecca]</v>
      </c>
      <c r="Y133" s="119"/>
      <c r="Z133" s="117" t="s">
        <v>3704</v>
      </c>
      <c r="AA133" s="117" t="s">
        <v>2411</v>
      </c>
      <c r="AB133" s="114"/>
      <c r="AC133" s="123" t="str">
        <f>IFERROR(__xludf.DUMMYFUNCTION("""COMPUTED_VALUE"""),"https://ik.imagekit.io/alaaalaa6171/211%20Land%20of%20Wano%20-%20Marco%20-%20Medal%20_Phoenix%20Brand_.png?updatedAt=1770076442418")</f>
        <v>https://ik.imagekit.io/alaaalaa6171/211%20Land%20of%20Wano%20-%20Marco%20-%20Medal%20_Phoenix%20Brand_.png?updatedAt=1770076442418</v>
      </c>
      <c r="AD133" s="123" t="str">
        <f>IFERROR(__xludf.DUMMYFUNCTION("""COMPUTED_VALUE"""),"https://ik.imagekit.io/alaaalaa6171/211%20Land%20of%20Wano%20-%20Marco%20-%20Medal%20_Phoenix%20Brand_%20_Colored_.png?updatedAt=1770076442313")</f>
        <v>https://ik.imagekit.io/alaaalaa6171/211%20Land%20of%20Wano%20-%20Marco%20-%20Medal%20_Phoenix%20Brand_%20_Colored_.png?updatedAt=1770076442313</v>
      </c>
      <c r="AE133" s="123" t="str">
        <f>IFERROR(__xludf.DUMMYFUNCTION("""COMPUTED_VALUE"""),"https://ik.imagekit.io/alaaalaa6171/211%20Land%20of%20Wano%20-%20Marco%20-%20Medal%20_Phoenix%20Brand_%20-%20Piece.png?updatedAt=1770076442319")</f>
        <v>https://ik.imagekit.io/alaaalaa6171/211%20Land%20of%20Wano%20-%20Marco%20-%20Medal%20_Phoenix%20Brand_%20-%20Piece.png?updatedAt=1770076442319</v>
      </c>
      <c r="AF133" s="123" t="str">
        <f>IFERROR(__xludf.DUMMYFUNCTION("""COMPUTED_VALUE"""),"https://ik.imagekit.io/alaaalaa6171/211%20Land%20of%20Wano%20-%20Marco%20-%20Medal%20_Phoenix%20Brand_%20-%20Piece%20_Colored_.png?updatedAt=1770076442324")</f>
        <v>https://ik.imagekit.io/alaaalaa6171/211%20Land%20of%20Wano%20-%20Marco%20-%20Medal%20_Phoenix%20Brand_%20-%20Piece%20_Colored_.png?updatedAt=1770076442324</v>
      </c>
      <c r="AG133" s="114"/>
      <c r="AH133" s="114"/>
      <c r="AI133" s="121" t="s">
        <v>3705</v>
      </c>
      <c r="AJ133" s="121" t="str">
        <f>IFERROR(__xludf.DUMMYFUNCTION("regexreplace(regexreplace(AI133, ""  \["", "" ""), ""\]$"", """")"),"132 - The Undefeated Woman ~ Rebecca - Medal - Crafted [Colored] - Rebecca")</f>
        <v>132 - The Undefeated Woman ~ Rebecca - Medal - Crafted [Colored] - Rebecca</v>
      </c>
      <c r="AK133" s="114"/>
      <c r="AL133" s="117" t="s">
        <v>3706</v>
      </c>
      <c r="AM133" s="117" t="s">
        <v>3707</v>
      </c>
      <c r="AN133" s="114"/>
      <c r="AO133" s="122">
        <f>IFERROR(__xludf.DUMMYFUNCTION("""COMPUTED_VALUE"""),176.0)</f>
        <v>176</v>
      </c>
      <c r="AP133" s="114" t="str">
        <f>IFERROR(__xludf.DUMMYFUNCTION("""COMPUTED_VALUE"""),"Red Roc")</f>
        <v>Red Roc</v>
      </c>
      <c r="AQ133" s="114" t="str">
        <f>IFERROR(__xludf.DUMMYFUNCTION("""COMPUTED_VALUE"""),"Red Roc")</f>
        <v>Red Roc</v>
      </c>
      <c r="AR133" s="114"/>
      <c r="AS133" s="114"/>
      <c r="AT133" s="123" t="str">
        <f>IFERROR(__xludf.DUMMYFUNCTION("""COMPUTED_VALUE"""),"https://i.postimg.cc/YSWYNm5k/176.png")</f>
        <v>https://i.postimg.cc/YSWYNm5k/176.png</v>
      </c>
      <c r="AU133" s="114"/>
      <c r="AV133" s="114"/>
      <c r="AW133" s="114"/>
      <c r="AX133" s="114" t="str">
        <f t="shared" si="3"/>
        <v>176 - Medal [Event] - Crafted - Red Roc</v>
      </c>
      <c r="AY133" s="114" t="s">
        <v>3708</v>
      </c>
      <c r="AZ133" s="114"/>
      <c r="BA133" s="114"/>
      <c r="BB133" s="114"/>
      <c r="BC133" s="114"/>
      <c r="BD133" s="114"/>
      <c r="BE133" s="114"/>
    </row>
    <row r="134" ht="37.5" customHeight="1">
      <c r="A134" s="118" t="s">
        <v>3709</v>
      </c>
      <c r="B134" s="117" t="s">
        <v>3710</v>
      </c>
      <c r="C134" s="119">
        <f>IFERROR(__xludf.DUMMYFUNCTION("""COMPUTED_VALUE"""),209.0)</f>
        <v>209</v>
      </c>
      <c r="D134" s="114" t="str">
        <f>IFERROR(__xludf.DUMMYFUNCTION("""COMPUTED_VALUE"""),"Spinosaurus")</f>
        <v>Spinosaurus</v>
      </c>
      <c r="E134" s="114" t="str">
        <f>IFERROR(__xludf.DUMMYFUNCTION("""COMPUTED_VALUE"""),"")</f>
        <v/>
      </c>
      <c r="F134" s="114"/>
      <c r="G134" s="114"/>
      <c r="H134" s="114"/>
      <c r="I134" s="114"/>
      <c r="J134" s="114"/>
      <c r="K134" s="114" t="s">
        <v>3711</v>
      </c>
      <c r="L134" s="114" t="s">
        <v>3712</v>
      </c>
      <c r="M134" s="114" t="s">
        <v>3713</v>
      </c>
      <c r="N134" s="114" t="s">
        <v>3714</v>
      </c>
      <c r="O134" s="114"/>
      <c r="P134" s="120">
        <v>209.0</v>
      </c>
      <c r="Q134" s="117" t="s">
        <v>3715</v>
      </c>
      <c r="R134" s="114"/>
      <c r="S134" s="117" t="s">
        <v>3716</v>
      </c>
      <c r="T134" s="114">
        <f t="shared" si="1"/>
        <v>133</v>
      </c>
      <c r="U134" s="114" t="s">
        <v>1282</v>
      </c>
      <c r="V134" s="114" t="str">
        <f>IFERROR(__xludf.DUMMYFUNCTION("REGEXREPLACE(U134, ""\n"", "" "")"),"Corazon")</f>
        <v>Corazon</v>
      </c>
      <c r="W134" s="114"/>
      <c r="X134" s="115" t="str">
        <f t="shared" si="2"/>
        <v>133 Don Quixote Family / Officer - Corazon - Medal [Corazon]</v>
      </c>
      <c r="Y134" s="119"/>
      <c r="Z134" s="117" t="s">
        <v>3717</v>
      </c>
      <c r="AA134" s="117" t="s">
        <v>2409</v>
      </c>
      <c r="AB134" s="114"/>
      <c r="AC134" s="123" t="str">
        <f>IFERROR(__xludf.DUMMYFUNCTION("""COMPUTED_VALUE"""),"https://ik.imagekit.io/alaaalaa6171/210%20Big%20Mom%20Pirates_Crewmate%20-%20Charlotte%20Perospero%20-%20Medal%20_Perospero_.png?updatedAt=1770076442499")</f>
        <v>https://ik.imagekit.io/alaaalaa6171/210%20Big%20Mom%20Pirates_Crewmate%20-%20Charlotte%20Perospero%20-%20Medal%20_Perospero_.png?updatedAt=1770076442499</v>
      </c>
      <c r="AD134" s="123" t="str">
        <f>IFERROR(__xludf.DUMMYFUNCTION("""COMPUTED_VALUE"""),"https://ik.imagekit.io/alaaalaa6171/210%20Big%20Mom%20Pirates_Crewmate%20-%20Charlotte%20Perospero%20-%20Medal%20_Perospero_%20_Colored_.png?updatedAt=1770076442346")</f>
        <v>https://ik.imagekit.io/alaaalaa6171/210%20Big%20Mom%20Pirates_Crewmate%20-%20Charlotte%20Perospero%20-%20Medal%20_Perospero_%20_Colored_.png?updatedAt=1770076442346</v>
      </c>
      <c r="AE134" s="123" t="str">
        <f>IFERROR(__xludf.DUMMYFUNCTION("""COMPUTED_VALUE"""),"https://ik.imagekit.io/alaaalaa6171/210%20Big%20Mom%20Pirates_Crewmate%20-%20Charlotte%20Perospero%20-%20Medal%20_Perospero_%20-%20Piece.png?updatedAt=1770076442348")</f>
        <v>https://ik.imagekit.io/alaaalaa6171/210%20Big%20Mom%20Pirates_Crewmate%20-%20Charlotte%20Perospero%20-%20Medal%20_Perospero_%20-%20Piece.png?updatedAt=1770076442348</v>
      </c>
      <c r="AF134" s="123" t="str">
        <f>IFERROR(__xludf.DUMMYFUNCTION("""COMPUTED_VALUE"""),"https://ik.imagekit.io/alaaalaa6171/210%20Big%20Mom%20Pirates_Crewmate%20-%20Charlotte%20Perospero%20-%20Medal%20_Perospero_%20-%20Piece%20_Colored_.png?updatedAt=1770076442381")</f>
        <v>https://ik.imagekit.io/alaaalaa6171/210%20Big%20Mom%20Pirates_Crewmate%20-%20Charlotte%20Perospero%20-%20Medal%20_Perospero_%20-%20Piece%20_Colored_.png?updatedAt=1770076442381</v>
      </c>
      <c r="AG134" s="114"/>
      <c r="AH134" s="114"/>
      <c r="AI134" s="121" t="s">
        <v>3718</v>
      </c>
      <c r="AJ134" s="121" t="str">
        <f>IFERROR(__xludf.DUMMYFUNCTION("regexreplace(regexreplace(AI134, ""  \["", "" ""), ""\]$"", """")"),"133 - Don Quixote Family_Officer ~ Corazon - Medal - Crafted [Colored] - Corazon")</f>
        <v>133 - Don Quixote Family_Officer ~ Corazon - Medal - Crafted [Colored] - Corazon</v>
      </c>
      <c r="AK134" s="114"/>
      <c r="AL134" s="117" t="s">
        <v>3719</v>
      </c>
      <c r="AM134" s="117" t="s">
        <v>3720</v>
      </c>
      <c r="AN134" s="114"/>
      <c r="AO134" s="122">
        <f>IFERROR(__xludf.DUMMYFUNCTION("""COMPUTED_VALUE"""),175.0)</f>
        <v>175</v>
      </c>
      <c r="AP134" s="114" t="str">
        <f>IFERROR(__xludf.DUMMYFUNCTION("""COMPUTED_VALUE"""),"Perospero
(Pirate Alliance)")</f>
        <v>Perospero
(Pirate Alliance)</v>
      </c>
      <c r="AQ134" s="114" t="str">
        <f>IFERROR(__xludf.DUMMYFUNCTION("""COMPUTED_VALUE"""),"Perospero (Pirate Alliance)")</f>
        <v>Perospero (Pirate Alliance)</v>
      </c>
      <c r="AR134" s="114"/>
      <c r="AS134" s="114"/>
      <c r="AT134" s="123" t="str">
        <f>IFERROR(__xludf.DUMMYFUNCTION("""COMPUTED_VALUE"""),"https://i.postimg.cc/B65FkfZV/175.png")</f>
        <v>https://i.postimg.cc/B65FkfZV/175.png</v>
      </c>
      <c r="AU134" s="114"/>
      <c r="AV134" s="114"/>
      <c r="AW134" s="114"/>
      <c r="AX134" s="114" t="str">
        <f t="shared" si="3"/>
        <v>175 - Medal [Event] - Crafted - Perospero (Pirate Alliance)</v>
      </c>
      <c r="AY134" s="114" t="s">
        <v>3721</v>
      </c>
      <c r="AZ134" s="114"/>
      <c r="BA134" s="114"/>
      <c r="BB134" s="114"/>
      <c r="BC134" s="114"/>
      <c r="BD134" s="114"/>
      <c r="BE134" s="114"/>
    </row>
    <row r="135" ht="37.5" customHeight="1">
      <c r="A135" s="118" t="s">
        <v>3722</v>
      </c>
      <c r="B135" s="117" t="s">
        <v>3723</v>
      </c>
      <c r="C135" s="119">
        <f>IFERROR(__xludf.DUMMYFUNCTION("""COMPUTED_VALUE"""),208.0)</f>
        <v>208</v>
      </c>
      <c r="D135" s="114" t="str">
        <f>IFERROR(__xludf.DUMMYFUNCTION("""COMPUTED_VALUE"""),"Pachycephalosaurus")</f>
        <v>Pachycephalosaurus</v>
      </c>
      <c r="E135" s="114" t="str">
        <f>IFERROR(__xludf.DUMMYFUNCTION("""COMPUTED_VALUE"""),"")</f>
        <v/>
      </c>
      <c r="F135" s="114"/>
      <c r="G135" s="114"/>
      <c r="H135" s="114"/>
      <c r="I135" s="114"/>
      <c r="J135" s="114"/>
      <c r="K135" s="114" t="s">
        <v>3724</v>
      </c>
      <c r="L135" s="114" t="s">
        <v>3725</v>
      </c>
      <c r="M135" s="114" t="s">
        <v>3726</v>
      </c>
      <c r="N135" s="114" t="s">
        <v>3727</v>
      </c>
      <c r="O135" s="114"/>
      <c r="P135" s="120">
        <v>208.0</v>
      </c>
      <c r="Q135" s="117" t="s">
        <v>3728</v>
      </c>
      <c r="R135" s="114"/>
      <c r="S135" s="117" t="s">
        <v>3729</v>
      </c>
      <c r="T135" s="114">
        <f t="shared" si="1"/>
        <v>134</v>
      </c>
      <c r="U135" s="114" t="s">
        <v>1277</v>
      </c>
      <c r="V135" s="114" t="str">
        <f>IFERROR(__xludf.DUMMYFUNCTION("REGEXREPLACE(U135, ""\n"", "" "")"),"Ikoku Sovereignty")</f>
        <v>Ikoku Sovereignty</v>
      </c>
      <c r="W135" s="114"/>
      <c r="X135" s="115" t="str">
        <f t="shared" si="2"/>
        <v>134 Hunger Pangs - Charlotte Linlin - Medal [Ikoku Sovereignty]</v>
      </c>
      <c r="Y135" s="119"/>
      <c r="Z135" s="117" t="s">
        <v>3730</v>
      </c>
      <c r="AA135" s="117" t="s">
        <v>2421</v>
      </c>
      <c r="AB135" s="114"/>
      <c r="AC135" s="123" t="str">
        <f>IFERROR(__xludf.DUMMYFUNCTION("""COMPUTED_VALUE"""),"https://ik.imagekit.io/alaaalaa6171/209%20Animal%20Kingdom%20Pirates_Tobi%20Roppo%20-%20Ulti%20-%20Medal%20_Spinosaurus_.png?updatedAt=1770076442313")</f>
        <v>https://ik.imagekit.io/alaaalaa6171/209%20Animal%20Kingdom%20Pirates_Tobi%20Roppo%20-%20Ulti%20-%20Medal%20_Spinosaurus_.png?updatedAt=1770076442313</v>
      </c>
      <c r="AD135" s="123" t="str">
        <f>IFERROR(__xludf.DUMMYFUNCTION("""COMPUTED_VALUE"""),"https://ik.imagekit.io/alaaalaa6171/209%20Animal%20Kingdom%20Pirates_Tobi%20Roppo%20-%20Ulti%20-%20Medal%20_Spinosaurus_%20_Colored_.png?updatedAt=1770076442288")</f>
        <v>https://ik.imagekit.io/alaaalaa6171/209%20Animal%20Kingdom%20Pirates_Tobi%20Roppo%20-%20Ulti%20-%20Medal%20_Spinosaurus_%20_Colored_.png?updatedAt=1770076442288</v>
      </c>
      <c r="AE135" s="123" t="str">
        <f>IFERROR(__xludf.DUMMYFUNCTION("""COMPUTED_VALUE"""),"https://ik.imagekit.io/alaaalaa6171/209%20Animal%20Kingdom%20Pirates_Tobi%20Roppo%20-%20Ulti%20-%20Medal%20_Spinosaurus_%20-%20Piece.png?updatedAt=1770076442268")</f>
        <v>https://ik.imagekit.io/alaaalaa6171/209%20Animal%20Kingdom%20Pirates_Tobi%20Roppo%20-%20Ulti%20-%20Medal%20_Spinosaurus_%20-%20Piece.png?updatedAt=1770076442268</v>
      </c>
      <c r="AF135" s="123" t="str">
        <f>IFERROR(__xludf.DUMMYFUNCTION("""COMPUTED_VALUE"""),"https://ik.imagekit.io/alaaalaa6171/209%20Animal%20Kingdom%20Pirates_Tobi%20Roppo%20-%20Ulti%20-%20Medal%20_Spinosaurus_%20-%20Piece%20_Colored_.png?updatedAt=1770076442494")</f>
        <v>https://ik.imagekit.io/alaaalaa6171/209%20Animal%20Kingdom%20Pirates_Tobi%20Roppo%20-%20Ulti%20-%20Medal%20_Spinosaurus_%20-%20Piece%20_Colored_.png?updatedAt=1770076442494</v>
      </c>
      <c r="AG135" s="114"/>
      <c r="AH135" s="114"/>
      <c r="AI135" s="121" t="s">
        <v>3731</v>
      </c>
      <c r="AJ135" s="121" t="str">
        <f>IFERROR(__xludf.DUMMYFUNCTION("regexreplace(regexreplace(AI135, ""  \["", "" ""), ""\]$"", """")"),"134 - Hunger Pangs ~ Charlotte Linlin - Medal - Crafted [Colored] - Ikoku Sovereignty")</f>
        <v>134 - Hunger Pangs ~ Charlotte Linlin - Medal - Crafted [Colored] - Ikoku Sovereignty</v>
      </c>
      <c r="AK135" s="114"/>
      <c r="AL135" s="117" t="s">
        <v>3732</v>
      </c>
      <c r="AM135" s="117" t="s">
        <v>3733</v>
      </c>
      <c r="AN135" s="114"/>
      <c r="AO135" s="122">
        <f>IFERROR(__xludf.DUMMYFUNCTION("""COMPUTED_VALUE"""),174.0)</f>
        <v>174</v>
      </c>
      <c r="AP135" s="114" t="str">
        <f>IFERROR(__xludf.DUMMYFUNCTION("""COMPUTED_VALUE"""),"Smoothie
(Pirate Alliance)")</f>
        <v>Smoothie
(Pirate Alliance)</v>
      </c>
      <c r="AQ135" s="114" t="str">
        <f>IFERROR(__xludf.DUMMYFUNCTION("""COMPUTED_VALUE"""),"Smoothie (Pirate Alliance)")</f>
        <v>Smoothie (Pirate Alliance)</v>
      </c>
      <c r="AR135" s="114"/>
      <c r="AS135" s="114"/>
      <c r="AT135" s="123" t="str">
        <f>IFERROR(__xludf.DUMMYFUNCTION("""COMPUTED_VALUE"""),"https://i.postimg.cc/HnpMCvVs/174.png")</f>
        <v>https://i.postimg.cc/HnpMCvVs/174.png</v>
      </c>
      <c r="AU135" s="114"/>
      <c r="AV135" s="114"/>
      <c r="AW135" s="114"/>
      <c r="AX135" s="114" t="str">
        <f t="shared" si="3"/>
        <v>174 - Medal [Event] - Crafted - Smoothie (Pirate Alliance)</v>
      </c>
      <c r="AY135" s="114" t="s">
        <v>3734</v>
      </c>
      <c r="AZ135" s="114"/>
      <c r="BA135" s="114"/>
      <c r="BB135" s="114"/>
      <c r="BC135" s="114"/>
      <c r="BD135" s="114"/>
      <c r="BE135" s="114"/>
    </row>
    <row r="136" ht="37.5" customHeight="1">
      <c r="A136" s="118" t="s">
        <v>3735</v>
      </c>
      <c r="B136" s="117" t="s">
        <v>3736</v>
      </c>
      <c r="C136" s="119">
        <f>IFERROR(__xludf.DUMMYFUNCTION("""COMPUTED_VALUE"""),207.0)</f>
        <v>207</v>
      </c>
      <c r="D136" s="114" t="str">
        <f>IFERROR(__xludf.DUMMYFUNCTION("""COMPUTED_VALUE"""),"Wyper")</f>
        <v>Wyper</v>
      </c>
      <c r="E136" s="114" t="str">
        <f>IFERROR(__xludf.DUMMYFUNCTION("""COMPUTED_VALUE"""),"")</f>
        <v/>
      </c>
      <c r="F136" s="114"/>
      <c r="G136" s="114"/>
      <c r="H136" s="114"/>
      <c r="I136" s="114"/>
      <c r="J136" s="114"/>
      <c r="K136" s="114" t="s">
        <v>3737</v>
      </c>
      <c r="L136" s="114" t="s">
        <v>3738</v>
      </c>
      <c r="M136" s="114" t="s">
        <v>3739</v>
      </c>
      <c r="N136" s="114" t="s">
        <v>3740</v>
      </c>
      <c r="O136" s="114"/>
      <c r="P136" s="120">
        <v>207.0</v>
      </c>
      <c r="Q136" s="117" t="s">
        <v>3741</v>
      </c>
      <c r="R136" s="114"/>
      <c r="S136" s="117" t="s">
        <v>3742</v>
      </c>
      <c r="T136" s="114">
        <f t="shared" si="1"/>
        <v>135</v>
      </c>
      <c r="U136" s="114" t="s">
        <v>1271</v>
      </c>
      <c r="V136" s="114" t="str">
        <f>IFERROR(__xludf.DUMMYFUNCTION("REGEXREPLACE(U136, ""\n"", "" "")"),"Buzz Cut Mochi")</f>
        <v>Buzz Cut Mochi</v>
      </c>
      <c r="W136" s="114"/>
      <c r="X136" s="115" t="str">
        <f t="shared" si="2"/>
        <v>135 Superhuman - Charlotte Katakuri - Medal [Buzz Cut Mochi]</v>
      </c>
      <c r="Y136" s="119"/>
      <c r="Z136" s="117" t="s">
        <v>3743</v>
      </c>
      <c r="AA136" s="117" t="s">
        <v>2423</v>
      </c>
      <c r="AB136" s="114"/>
      <c r="AC136" s="123" t="str">
        <f>IFERROR(__xludf.DUMMYFUNCTION("""COMPUTED_VALUE"""),"https://ik.imagekit.io/alaaalaa6171/208%20Animal%20Kingdom%20Pirates_Tobi%20Roppo%20-%20Page%20One%20-%20Medal%20_Pachycephalosaurus_.png?updatedAt=1770076442329")</f>
        <v>https://ik.imagekit.io/alaaalaa6171/208%20Animal%20Kingdom%20Pirates_Tobi%20Roppo%20-%20Page%20One%20-%20Medal%20_Pachycephalosaurus_.png?updatedAt=1770076442329</v>
      </c>
      <c r="AD136" s="123" t="str">
        <f>IFERROR(__xludf.DUMMYFUNCTION("""COMPUTED_VALUE"""),"https://ik.imagekit.io/alaaalaa6171/208%20Animal%20Kingdom%20Pirates_Tobi%20Roppo%20-%20Page%20One%20-%20Medal%20_Pachycephalosaurus_%20_Colored_.png?updatedAt=1770076442322")</f>
        <v>https://ik.imagekit.io/alaaalaa6171/208%20Animal%20Kingdom%20Pirates_Tobi%20Roppo%20-%20Page%20One%20-%20Medal%20_Pachycephalosaurus_%20_Colored_.png?updatedAt=1770076442322</v>
      </c>
      <c r="AE136" s="123" t="str">
        <f>IFERROR(__xludf.DUMMYFUNCTION("""COMPUTED_VALUE"""),"https://ik.imagekit.io/alaaalaa6171/208%20Animal%20Kingdom%20Pirates_Tobi%20Roppo%20-%20Page%20One%20-%20Medal%20_Pachycephalosaurus_%20-%20Piece.png?updatedAt=1770076442353")</f>
        <v>https://ik.imagekit.io/alaaalaa6171/208%20Animal%20Kingdom%20Pirates_Tobi%20Roppo%20-%20Page%20One%20-%20Medal%20_Pachycephalosaurus_%20-%20Piece.png?updatedAt=1770076442353</v>
      </c>
      <c r="AF136" s="123" t="str">
        <f>IFERROR(__xludf.DUMMYFUNCTION("""COMPUTED_VALUE"""),"https://ik.imagekit.io/alaaalaa6171/208%20Animal%20Kingdom%20Pirates_Tobi%20Roppo%20-%20Page%20One%20-%20Medal%20_Pachycephalosaurus_%20-%20Piece%20_Colored_.png?updatedAt=1770076442266")</f>
        <v>https://ik.imagekit.io/alaaalaa6171/208%20Animal%20Kingdom%20Pirates_Tobi%20Roppo%20-%20Page%20One%20-%20Medal%20_Pachycephalosaurus_%20-%20Piece%20_Colored_.png?updatedAt=1770076442266</v>
      </c>
      <c r="AG136" s="114"/>
      <c r="AH136" s="114"/>
      <c r="AI136" s="121" t="s">
        <v>3744</v>
      </c>
      <c r="AJ136" s="121" t="str">
        <f>IFERROR(__xludf.DUMMYFUNCTION("regexreplace(regexreplace(AI136, ""  \["", "" ""), ""\]$"", """")"),"135 - Superhuman ~ Charlotte Katakuri - Medal - Crafted [Colored] - Buzz Cut Mochi")</f>
        <v>135 - Superhuman ~ Charlotte Katakuri - Medal - Crafted [Colored] - Buzz Cut Mochi</v>
      </c>
      <c r="AK136" s="114"/>
      <c r="AL136" s="117" t="s">
        <v>3745</v>
      </c>
      <c r="AM136" s="117" t="s">
        <v>3746</v>
      </c>
      <c r="AN136" s="114"/>
      <c r="AO136" s="122">
        <f>IFERROR(__xludf.DUMMYFUNCTION("""COMPUTED_VALUE"""),173.0)</f>
        <v>173</v>
      </c>
      <c r="AP136" s="114" t="str">
        <f>IFERROR(__xludf.DUMMYFUNCTION("""COMPUTED_VALUE"""),"Sasaki")</f>
        <v>Sasaki</v>
      </c>
      <c r="AQ136" s="114" t="str">
        <f>IFERROR(__xludf.DUMMYFUNCTION("""COMPUTED_VALUE"""),"Sasaki")</f>
        <v>Sasaki</v>
      </c>
      <c r="AR136" s="114"/>
      <c r="AS136" s="114"/>
      <c r="AT136" s="123" t="str">
        <f>IFERROR(__xludf.DUMMYFUNCTION("""COMPUTED_VALUE"""),"https://i.postimg.cc/mk8HZ3H3/173.png")</f>
        <v>https://i.postimg.cc/mk8HZ3H3/173.png</v>
      </c>
      <c r="AU136" s="114"/>
      <c r="AV136" s="114"/>
      <c r="AW136" s="114"/>
      <c r="AX136" s="114" t="str">
        <f t="shared" si="3"/>
        <v>173 - Medal [Event] - Crafted - Sasaki</v>
      </c>
      <c r="AY136" s="114" t="s">
        <v>3747</v>
      </c>
      <c r="AZ136" s="114"/>
      <c r="BA136" s="114"/>
      <c r="BB136" s="114"/>
      <c r="BC136" s="114"/>
      <c r="BD136" s="114"/>
      <c r="BE136" s="114"/>
    </row>
    <row r="137" ht="37.5" customHeight="1">
      <c r="A137" s="118" t="s">
        <v>3748</v>
      </c>
      <c r="B137" s="117" t="s">
        <v>3749</v>
      </c>
      <c r="C137" s="119">
        <f>IFERROR(__xludf.DUMMYFUNCTION("""COMPUTED_VALUE"""),206.0)</f>
        <v>206</v>
      </c>
      <c r="D137" s="114" t="str">
        <f>IFERROR(__xludf.DUMMYFUNCTION("""COMPUTED_VALUE"""),"Franosuke")</f>
        <v>Franosuke</v>
      </c>
      <c r="E137" s="114" t="str">
        <f>IFERROR(__xludf.DUMMYFUNCTION("""COMPUTED_VALUE"""),"")</f>
        <v/>
      </c>
      <c r="F137" s="114"/>
      <c r="G137" s="114"/>
      <c r="H137" s="114"/>
      <c r="I137" s="114"/>
      <c r="J137" s="114"/>
      <c r="K137" s="114" t="s">
        <v>3750</v>
      </c>
      <c r="L137" s="114" t="s">
        <v>3751</v>
      </c>
      <c r="M137" s="114" t="s">
        <v>3752</v>
      </c>
      <c r="N137" s="114" t="s">
        <v>3753</v>
      </c>
      <c r="O137" s="114"/>
      <c r="P137" s="120">
        <v>206.0</v>
      </c>
      <c r="Q137" s="117" t="s">
        <v>3754</v>
      </c>
      <c r="R137" s="114"/>
      <c r="S137" s="117" t="s">
        <v>3755</v>
      </c>
      <c r="T137" s="114">
        <f t="shared" si="1"/>
        <v>136</v>
      </c>
      <c r="U137" s="114" t="s">
        <v>1266</v>
      </c>
      <c r="V137" s="114" t="str">
        <f>IFERROR(__xludf.DUMMYFUNCTION("REGEXREPLACE(U137, ""\n"", "" "")"),"Chop_Chop")</f>
        <v>Chop_Chop</v>
      </c>
      <c r="W137" s="114"/>
      <c r="X137" s="115" t="str">
        <f t="shared" si="2"/>
        <v>136 The Seven Warlords of the Sea - Buggy - Medal [Chop_Chop]</v>
      </c>
      <c r="Y137" s="119"/>
      <c r="Z137" s="117" t="s">
        <v>3756</v>
      </c>
      <c r="AA137" s="117" t="s">
        <v>2424</v>
      </c>
      <c r="AB137" s="114"/>
      <c r="AC137" s="123" t="str">
        <f>IFERROR(__xludf.DUMMYFUNCTION("""COMPUTED_VALUE"""),"https://ik.imagekit.io/alaaalaa6171/207%20Shandian%20Warrior%20-%20Wyper%20-%20Medal%20_Wyper_.png?updatedAt=1770076442267")</f>
        <v>https://ik.imagekit.io/alaaalaa6171/207%20Shandian%20Warrior%20-%20Wyper%20-%20Medal%20_Wyper_.png?updatedAt=1770076442267</v>
      </c>
      <c r="AD137" s="123" t="str">
        <f>IFERROR(__xludf.DUMMYFUNCTION("""COMPUTED_VALUE"""),"https://ik.imagekit.io/alaaalaa6171/207%20Shandian%20Warrior%20-%20Wyper%20-%20Medal%20_Wyper_%20_Colored_.png?updatedAt=1770076442286")</f>
        <v>https://ik.imagekit.io/alaaalaa6171/207%20Shandian%20Warrior%20-%20Wyper%20-%20Medal%20_Wyper_%20_Colored_.png?updatedAt=1770076442286</v>
      </c>
      <c r="AE137" s="123" t="str">
        <f>IFERROR(__xludf.DUMMYFUNCTION("""COMPUTED_VALUE"""),"https://ik.imagekit.io/alaaalaa6171/207%20Shandian%20Warrior%20-%20Wyper%20-%20Medal%20_Wyper_%20-%20Piece.png?updatedAt=1770076442468")</f>
        <v>https://ik.imagekit.io/alaaalaa6171/207%20Shandian%20Warrior%20-%20Wyper%20-%20Medal%20_Wyper_%20-%20Piece.png?updatedAt=1770076442468</v>
      </c>
      <c r="AF137" s="123" t="str">
        <f>IFERROR(__xludf.DUMMYFUNCTION("""COMPUTED_VALUE"""),"https://ik.imagekit.io/alaaalaa6171/207%20Shandian%20Warrior%20-%20Wyper%20-%20Medal%20_Wyper_%20-%20Piece%20_Colored_.png?updatedAt=1770076442323")</f>
        <v>https://ik.imagekit.io/alaaalaa6171/207%20Shandian%20Warrior%20-%20Wyper%20-%20Medal%20_Wyper_%20-%20Piece%20_Colored_.png?updatedAt=1770076442323</v>
      </c>
      <c r="AG137" s="114"/>
      <c r="AH137" s="114"/>
      <c r="AI137" s="121" t="s">
        <v>3757</v>
      </c>
      <c r="AJ137" s="121" t="str">
        <f>IFERROR(__xludf.DUMMYFUNCTION("regexreplace(regexreplace(AI137, ""  \["", "" ""), ""\]$"", """")"),"136 - The Seven Warlords of the Sea ~ Buggy - Medal - Crafted [Colored] - Chop_Chop")</f>
        <v>136 - The Seven Warlords of the Sea ~ Buggy - Medal - Crafted [Colored] - Chop_Chop</v>
      </c>
      <c r="AK137" s="114"/>
      <c r="AL137" s="117" t="s">
        <v>3758</v>
      </c>
      <c r="AM137" s="117" t="s">
        <v>3759</v>
      </c>
      <c r="AN137" s="114"/>
      <c r="AO137" s="122">
        <f>IFERROR(__xludf.DUMMYFUNCTION("""COMPUTED_VALUE"""),172.0)</f>
        <v>172</v>
      </c>
      <c r="AP137" s="114" t="str">
        <f>IFERROR(__xludf.DUMMYFUNCTION("""COMPUTED_VALUE"""),"Eleph_Eleph")</f>
        <v>Eleph_Eleph</v>
      </c>
      <c r="AQ137" s="114" t="str">
        <f>IFERROR(__xludf.DUMMYFUNCTION("""COMPUTED_VALUE"""),"Eleph_Eleph")</f>
        <v>Eleph_Eleph</v>
      </c>
      <c r="AR137" s="114"/>
      <c r="AS137" s="114"/>
      <c r="AT137" s="123" t="str">
        <f>IFERROR(__xludf.DUMMYFUNCTION("""COMPUTED_VALUE"""),"https://i.postimg.cc/L4TfVSbq/172.png")</f>
        <v>https://i.postimg.cc/L4TfVSbq/172.png</v>
      </c>
      <c r="AU137" s="114"/>
      <c r="AV137" s="114"/>
      <c r="AW137" s="114"/>
      <c r="AX137" s="114" t="str">
        <f t="shared" si="3"/>
        <v>172 - Medal [Event] - Crafted - Eleph_Eleph</v>
      </c>
      <c r="AY137" s="114" t="s">
        <v>3760</v>
      </c>
      <c r="AZ137" s="114"/>
      <c r="BA137" s="114"/>
      <c r="BB137" s="114"/>
      <c r="BC137" s="114"/>
      <c r="BD137" s="114"/>
      <c r="BE137" s="114"/>
    </row>
    <row r="138" ht="37.5" customHeight="1">
      <c r="A138" s="118" t="s">
        <v>3761</v>
      </c>
      <c r="B138" s="117" t="s">
        <v>3762</v>
      </c>
      <c r="C138" s="119">
        <f>IFERROR(__xludf.DUMMYFUNCTION("""COMPUTED_VALUE"""),205.0)</f>
        <v>205</v>
      </c>
      <c r="D138" s="114" t="str">
        <f>IFERROR(__xludf.DUMMYFUNCTION("""COMPUTED_VALUE"""),"Usohachi")</f>
        <v>Usohachi</v>
      </c>
      <c r="E138" s="114" t="str">
        <f>IFERROR(__xludf.DUMMYFUNCTION("""COMPUTED_VALUE"""),"")</f>
        <v/>
      </c>
      <c r="F138" s="114"/>
      <c r="G138" s="114"/>
      <c r="H138" s="114"/>
      <c r="I138" s="114"/>
      <c r="J138" s="114"/>
      <c r="K138" s="114" t="s">
        <v>3763</v>
      </c>
      <c r="L138" s="114" t="s">
        <v>3764</v>
      </c>
      <c r="M138" s="114" t="s">
        <v>3765</v>
      </c>
      <c r="N138" s="114" t="s">
        <v>3766</v>
      </c>
      <c r="O138" s="114"/>
      <c r="P138" s="120">
        <v>205.0</v>
      </c>
      <c r="Q138" s="117" t="s">
        <v>3767</v>
      </c>
      <c r="R138" s="114"/>
      <c r="S138" s="117" t="s">
        <v>3768</v>
      </c>
      <c r="T138" s="114">
        <f t="shared" si="1"/>
        <v>137</v>
      </c>
      <c r="U138" s="114" t="s">
        <v>1261</v>
      </c>
      <c r="V138" s="114" t="str">
        <f>IFERROR(__xludf.DUMMYFUNCTION("REGEXREPLACE(U138, ""\n"", "" "")"),"Caesar")</f>
        <v>Caesar</v>
      </c>
      <c r="W138" s="114"/>
      <c r="X138" s="115" t="str">
        <f t="shared" si="2"/>
        <v>137 Former World Government / Science Division Member - Caesar Clown - Medal [Caesar]</v>
      </c>
      <c r="Y138" s="119"/>
      <c r="Z138" s="117" t="s">
        <v>3769</v>
      </c>
      <c r="AA138" s="117" t="s">
        <v>2422</v>
      </c>
      <c r="AB138" s="114"/>
      <c r="AC138" s="123" t="str">
        <f>IFERROR(__xludf.DUMMYFUNCTION("""COMPUTED_VALUE"""),"https://ik.imagekit.io/alaaalaa6171/206%20Land%20of%20Wano%20-%20Franosuke%20-%20Medal%20_Franosuke_.png?updatedAt=1770076442291")</f>
        <v>https://ik.imagekit.io/alaaalaa6171/206%20Land%20of%20Wano%20-%20Franosuke%20-%20Medal%20_Franosuke_.png?updatedAt=1770076442291</v>
      </c>
      <c r="AD138" s="123" t="str">
        <f>IFERROR(__xludf.DUMMYFUNCTION("""COMPUTED_VALUE"""),"https://ik.imagekit.io/alaaalaa6171/206%20Land%20of%20Wano%20-%20Franosuke%20-%20Medal%20_Franosuke_%20_Colored_.png?updatedAt=1770076442359")</f>
        <v>https://ik.imagekit.io/alaaalaa6171/206%20Land%20of%20Wano%20-%20Franosuke%20-%20Medal%20_Franosuke_%20_Colored_.png?updatedAt=1770076442359</v>
      </c>
      <c r="AE138" s="123" t="str">
        <f>IFERROR(__xludf.DUMMYFUNCTION("""COMPUTED_VALUE"""),"https://ik.imagekit.io/alaaalaa6171/206%20Land%20of%20Wano%20-%20Franosuke%20-%20Medal%20_Franosuke_%20-%20Piece.png?updatedAt=1770076442252")</f>
        <v>https://ik.imagekit.io/alaaalaa6171/206%20Land%20of%20Wano%20-%20Franosuke%20-%20Medal%20_Franosuke_%20-%20Piece.png?updatedAt=1770076442252</v>
      </c>
      <c r="AF138" s="123" t="str">
        <f>IFERROR(__xludf.DUMMYFUNCTION("""COMPUTED_VALUE"""),"https://ik.imagekit.io/alaaalaa6171/206%20Land%20of%20Wano%20-%20Franosuke%20-%20Medal%20_Franosuke_%20-%20Piece%20_Colored_.png?updatedAt=1770076442244")</f>
        <v>https://ik.imagekit.io/alaaalaa6171/206%20Land%20of%20Wano%20-%20Franosuke%20-%20Medal%20_Franosuke_%20-%20Piece%20_Colored_.png?updatedAt=1770076442244</v>
      </c>
      <c r="AG138" s="114"/>
      <c r="AH138" s="114"/>
      <c r="AI138" s="121" t="s">
        <v>3770</v>
      </c>
      <c r="AJ138" s="121" t="str">
        <f>IFERROR(__xludf.DUMMYFUNCTION("regexreplace(regexreplace(AI138, ""  \["", "" ""), ""\]$"", """")"),"137 - Former World Government_Science Division Member ~ Caesar Clown - Medal - Crafted [Colored] - Caesar")</f>
        <v>137 - Former World Government_Science Division Member ~ Caesar Clown - Medal - Crafted [Colored] - Caesar</v>
      </c>
      <c r="AK138" s="114"/>
      <c r="AL138" s="117" t="s">
        <v>3771</v>
      </c>
      <c r="AM138" s="117" t="s">
        <v>3772</v>
      </c>
      <c r="AN138" s="114"/>
      <c r="AO138" s="122">
        <f>IFERROR(__xludf.DUMMYFUNCTION("""COMPUTED_VALUE"""),171.0)</f>
        <v>171</v>
      </c>
      <c r="AP138" s="114" t="str">
        <f>IFERROR(__xludf.DUMMYFUNCTION("""COMPUTED_VALUE"""),"Dry Penguin")</f>
        <v>Dry Penguin</v>
      </c>
      <c r="AQ138" s="114" t="str">
        <f>IFERROR(__xludf.DUMMYFUNCTION("""COMPUTED_VALUE"""),"Dry Penguin")</f>
        <v>Dry Penguin</v>
      </c>
      <c r="AR138" s="114"/>
      <c r="AS138" s="114"/>
      <c r="AT138" s="123" t="str">
        <f>IFERROR(__xludf.DUMMYFUNCTION("""COMPUTED_VALUE"""),"https://i.postimg.cc/kXgS1H0T/171.png")</f>
        <v>https://i.postimg.cc/kXgS1H0T/171.png</v>
      </c>
      <c r="AU138" s="114"/>
      <c r="AV138" s="114"/>
      <c r="AW138" s="114"/>
      <c r="AX138" s="114" t="str">
        <f t="shared" si="3"/>
        <v>171 - Medal [Event] - Crafted - Dry Penguin</v>
      </c>
      <c r="AY138" s="114" t="s">
        <v>3773</v>
      </c>
      <c r="AZ138" s="114"/>
      <c r="BA138" s="114"/>
      <c r="BB138" s="114"/>
      <c r="BC138" s="114"/>
      <c r="BD138" s="114"/>
      <c r="BE138" s="114"/>
    </row>
    <row r="139" ht="37.5" customHeight="1">
      <c r="A139" s="118" t="s">
        <v>3774</v>
      </c>
      <c r="B139" s="117" t="s">
        <v>3775</v>
      </c>
      <c r="C139" s="119">
        <f>IFERROR(__xludf.DUMMYFUNCTION("""COMPUTED_VALUE"""),204.0)</f>
        <v>204</v>
      </c>
      <c r="D139" s="114" t="str">
        <f>IFERROR(__xludf.DUMMYFUNCTION("""COMPUTED_VALUE"""),"Shiryu")</f>
        <v>Shiryu</v>
      </c>
      <c r="E139" s="114" t="str">
        <f>IFERROR(__xludf.DUMMYFUNCTION("""COMPUTED_VALUE"""),"")</f>
        <v/>
      </c>
      <c r="F139" s="114"/>
      <c r="G139" s="114"/>
      <c r="H139" s="114"/>
      <c r="I139" s="114"/>
      <c r="J139" s="114"/>
      <c r="K139" s="114" t="s">
        <v>3776</v>
      </c>
      <c r="L139" s="114" t="s">
        <v>3777</v>
      </c>
      <c r="M139" s="114" t="s">
        <v>3778</v>
      </c>
      <c r="N139" s="114" t="s">
        <v>3779</v>
      </c>
      <c r="O139" s="114"/>
      <c r="P139" s="120">
        <v>204.0</v>
      </c>
      <c r="Q139" s="117" t="s">
        <v>3780</v>
      </c>
      <c r="R139" s="114"/>
      <c r="S139" s="117" t="s">
        <v>3781</v>
      </c>
      <c r="T139" s="114">
        <f t="shared" si="1"/>
        <v>138</v>
      </c>
      <c r="U139" s="114" t="s">
        <v>1254</v>
      </c>
      <c r="V139" s="114" t="str">
        <f>IFERROR(__xludf.DUMMYFUNCTION("REGEXREPLACE(U139, ""\n"", "" "")"),"The Master Swordman")</f>
        <v>The Master Swordman</v>
      </c>
      <c r="W139" s="114"/>
      <c r="X139" s="115" t="str">
        <f t="shared" si="2"/>
        <v>138 The Greatest Swordman in the World - Dracule Mihawk - Medal [The Master Swordman]</v>
      </c>
      <c r="Y139" s="119"/>
      <c r="Z139" s="117" t="s">
        <v>3782</v>
      </c>
      <c r="AA139" s="117" t="s">
        <v>2434</v>
      </c>
      <c r="AB139" s="114"/>
      <c r="AC139" s="123" t="str">
        <f>IFERROR(__xludf.DUMMYFUNCTION("""COMPUTED_VALUE"""),"https://ik.imagekit.io/alaaalaa6171/205%20Land%20of%20Wano%20-%20Usohachi%20-%20Medal%20_Usohachi_.png?updatedAt=1770076442234")</f>
        <v>https://ik.imagekit.io/alaaalaa6171/205%20Land%20of%20Wano%20-%20Usohachi%20-%20Medal%20_Usohachi_.png?updatedAt=1770076442234</v>
      </c>
      <c r="AD139" s="123" t="str">
        <f>IFERROR(__xludf.DUMMYFUNCTION("""COMPUTED_VALUE"""),"https://ik.imagekit.io/alaaalaa6171/205%20Land%20of%20Wano%20-%20Usohachi%20-%20Medal%20_Usohachi_%20_Colored_.png?updatedAt=1770076442291")</f>
        <v>https://ik.imagekit.io/alaaalaa6171/205%20Land%20of%20Wano%20-%20Usohachi%20-%20Medal%20_Usohachi_%20_Colored_.png?updatedAt=1770076442291</v>
      </c>
      <c r="AE139" s="123" t="str">
        <f>IFERROR(__xludf.DUMMYFUNCTION("""COMPUTED_VALUE"""),"https://ik.imagekit.io/alaaalaa6171/205%20Land%20of%20Wano%20-%20Usohachi%20-%20Medal%20_Usohachi_%20-%20Piece.png?updatedAt=1770076442534")</f>
        <v>https://ik.imagekit.io/alaaalaa6171/205%20Land%20of%20Wano%20-%20Usohachi%20-%20Medal%20_Usohachi_%20-%20Piece.png?updatedAt=1770076442534</v>
      </c>
      <c r="AF139" s="123" t="str">
        <f>IFERROR(__xludf.DUMMYFUNCTION("""COMPUTED_VALUE"""),"https://ik.imagekit.io/alaaalaa6171/205%20Land%20of%20Wano%20-%20Usohachi%20-%20Medal%20_Usohachi_%20-%20Piece%20_Colored_.png?updatedAt=1770076442255")</f>
        <v>https://ik.imagekit.io/alaaalaa6171/205%20Land%20of%20Wano%20-%20Usohachi%20-%20Medal%20_Usohachi_%20-%20Piece%20_Colored_.png?updatedAt=1770076442255</v>
      </c>
      <c r="AG139" s="114"/>
      <c r="AH139" s="114"/>
      <c r="AI139" s="121" t="s">
        <v>3783</v>
      </c>
      <c r="AJ139" s="121" t="str">
        <f>IFERROR(__xludf.DUMMYFUNCTION("regexreplace(regexreplace(AI139, ""  \["", "" ""), ""\]$"", """")"),"138 - The Greatest Swordman in the World ~ Dracule Mihawk - Medal - Crafted [Colored] - The Master Swordman")</f>
        <v>138 - The Greatest Swordman in the World ~ Dracule Mihawk - Medal - Crafted [Colored] - The Master Swordman</v>
      </c>
      <c r="AK139" s="114"/>
      <c r="AL139" s="117" t="s">
        <v>3784</v>
      </c>
      <c r="AM139" s="117" t="s">
        <v>3785</v>
      </c>
      <c r="AN139" s="114"/>
      <c r="AO139" s="122">
        <f>IFERROR(__xludf.DUMMYFUNCTION("""COMPUTED_VALUE"""),170.0)</f>
        <v>170</v>
      </c>
      <c r="AP139" s="114" t="str">
        <f>IFERROR(__xludf.DUMMYFUNCTION("""COMPUTED_VALUE"""),"Lim")</f>
        <v>Lim</v>
      </c>
      <c r="AQ139" s="114" t="str">
        <f>IFERROR(__xludf.DUMMYFUNCTION("""COMPUTED_VALUE"""),"Lim")</f>
        <v>Lim</v>
      </c>
      <c r="AR139" s="114"/>
      <c r="AS139" s="114"/>
      <c r="AT139" s="123" t="str">
        <f>IFERROR(__xludf.DUMMYFUNCTION("""COMPUTED_VALUE"""),"https://i.postimg.cc/X71CT834/170.png")</f>
        <v>https://i.postimg.cc/X71CT834/170.png</v>
      </c>
      <c r="AU139" s="114"/>
      <c r="AV139" s="114"/>
      <c r="AW139" s="114"/>
      <c r="AX139" s="114" t="str">
        <f t="shared" si="3"/>
        <v>170 - Medal [Event] - Crafted - Lim</v>
      </c>
      <c r="AY139" s="114" t="s">
        <v>3786</v>
      </c>
      <c r="AZ139" s="114"/>
      <c r="BA139" s="114"/>
      <c r="BB139" s="114"/>
      <c r="BC139" s="114"/>
      <c r="BD139" s="114"/>
      <c r="BE139" s="114"/>
    </row>
    <row r="140" ht="37.5" customHeight="1">
      <c r="A140" s="118" t="s">
        <v>3787</v>
      </c>
      <c r="B140" s="117" t="s">
        <v>3788</v>
      </c>
      <c r="C140" s="119">
        <f>IFERROR(__xludf.DUMMYFUNCTION("""COMPUTED_VALUE"""),203.0)</f>
        <v>203</v>
      </c>
      <c r="D140" s="114" t="str">
        <f>IFERROR(__xludf.DUMMYFUNCTION("""COMPUTED_VALUE"""),"Jozu")</f>
        <v>Jozu</v>
      </c>
      <c r="E140" s="114" t="str">
        <f>IFERROR(__xludf.DUMMYFUNCTION("""COMPUTED_VALUE"""),"")</f>
        <v/>
      </c>
      <c r="F140" s="114"/>
      <c r="G140" s="114"/>
      <c r="H140" s="114"/>
      <c r="I140" s="114"/>
      <c r="J140" s="114"/>
      <c r="K140" s="114" t="s">
        <v>3789</v>
      </c>
      <c r="L140" s="114" t="s">
        <v>3790</v>
      </c>
      <c r="M140" s="114" t="s">
        <v>3791</v>
      </c>
      <c r="N140" s="114" t="s">
        <v>3792</v>
      </c>
      <c r="O140" s="114"/>
      <c r="P140" s="120">
        <v>203.0</v>
      </c>
      <c r="Q140" s="117" t="s">
        <v>3793</v>
      </c>
      <c r="R140" s="114"/>
      <c r="S140" s="117" t="s">
        <v>3794</v>
      </c>
      <c r="T140" s="114">
        <f t="shared" si="1"/>
        <v>139</v>
      </c>
      <c r="U140" s="114" t="s">
        <v>1248</v>
      </c>
      <c r="V140" s="114" t="str">
        <f>IFERROR(__xludf.DUMMYFUNCTION("REGEXREPLACE(U140, ""\n"", "" "")"),"Perfume Femur")</f>
        <v>Perfume Femur</v>
      </c>
      <c r="W140" s="114"/>
      <c r="X140" s="115" t="str">
        <f t="shared" si="2"/>
        <v>139 Kuja Pirates / Captain - Boa Hancock - Medal [Perfume Femur]</v>
      </c>
      <c r="Y140" s="119"/>
      <c r="Z140" s="117" t="s">
        <v>3795</v>
      </c>
      <c r="AA140" s="117" t="s">
        <v>2436</v>
      </c>
      <c r="AB140" s="114"/>
      <c r="AC140" s="123" t="str">
        <f>IFERROR(__xludf.DUMMYFUNCTION("""COMPUTED_VALUE"""),"https://ik.imagekit.io/alaaalaa6171/204%20Blackbeard%20Pirates_Former%20Head%20Jailer%20of%20Impel%20Down%20-%20Shiryu%20-%20Medal%20_Shiryu_.png?updatedAt=1770076442228")</f>
        <v>https://ik.imagekit.io/alaaalaa6171/204%20Blackbeard%20Pirates_Former%20Head%20Jailer%20of%20Impel%20Down%20-%20Shiryu%20-%20Medal%20_Shiryu_.png?updatedAt=1770076442228</v>
      </c>
      <c r="AD140" s="123" t="str">
        <f>IFERROR(__xludf.DUMMYFUNCTION("""COMPUTED_VALUE"""),"https://ik.imagekit.io/alaaalaa6171/204%20Blackbeard%20Pirates_Former%20Head%20Jailer%20of%20Impel%20Down%20-%20Shiryu%20-%20Medal%20_Shiryu_%20_Colored_.png?updatedAt=1770076442219")</f>
        <v>https://ik.imagekit.io/alaaalaa6171/204%20Blackbeard%20Pirates_Former%20Head%20Jailer%20of%20Impel%20Down%20-%20Shiryu%20-%20Medal%20_Shiryu_%20_Colored_.png?updatedAt=1770076442219</v>
      </c>
      <c r="AE140" s="123" t="str">
        <f>IFERROR(__xludf.DUMMYFUNCTION("""COMPUTED_VALUE"""),"https://ik.imagekit.io/alaaalaa6171/204%20Blackbeard%20Pirates_Former%20Head%20Jailer%20of%20Impel%20Down%20-%20Shiryu%20-%20Medal%20_Shiryu_%20-%20Piece.png?updatedAt=1770076442226")</f>
        <v>https://ik.imagekit.io/alaaalaa6171/204%20Blackbeard%20Pirates_Former%20Head%20Jailer%20of%20Impel%20Down%20-%20Shiryu%20-%20Medal%20_Shiryu_%20-%20Piece.png?updatedAt=1770076442226</v>
      </c>
      <c r="AF140" s="123" t="str">
        <f>IFERROR(__xludf.DUMMYFUNCTION("""COMPUTED_VALUE"""),"https://ik.imagekit.io/alaaalaa6171/204%20Blackbeard%20Pirates_Former%20Head%20Jailer%20of%20Impel%20Down%20-%20Shiryu%20-%20Medal%20_Shiryu_%20-%20Piece%20_Colored_.png?updatedAt=1770076442208")</f>
        <v>https://ik.imagekit.io/alaaalaa6171/204%20Blackbeard%20Pirates_Former%20Head%20Jailer%20of%20Impel%20Down%20-%20Shiryu%20-%20Medal%20_Shiryu_%20-%20Piece%20_Colored_.png?updatedAt=1770076442208</v>
      </c>
      <c r="AG140" s="114"/>
      <c r="AH140" s="114"/>
      <c r="AI140" s="121" t="s">
        <v>3796</v>
      </c>
      <c r="AJ140" s="121" t="str">
        <f>IFERROR(__xludf.DUMMYFUNCTION("regexreplace(regexreplace(AI140, ""  \["", "" ""), ""\]$"", """")"),"139 - Kuja Pirates_Captain ~ Boa Hancock - Medal - Crafted [Colored] - Perfume Femur")</f>
        <v>139 - Kuja Pirates_Captain ~ Boa Hancock - Medal - Crafted [Colored] - Perfume Femur</v>
      </c>
      <c r="AK140" s="114"/>
      <c r="AL140" s="117" t="s">
        <v>3797</v>
      </c>
      <c r="AM140" s="117" t="s">
        <v>3798</v>
      </c>
      <c r="AN140" s="114"/>
      <c r="AO140" s="122">
        <f>IFERROR(__xludf.DUMMYFUNCTION("""COMPUTED_VALUE"""),169.0)</f>
        <v>169</v>
      </c>
      <c r="AP140" s="114" t="str">
        <f>IFERROR(__xludf.DUMMYFUNCTION("""COMPUTED_VALUE"""),"Helmeppo
(``Sword``)")</f>
        <v>Helmeppo
(``Sword``)</v>
      </c>
      <c r="AQ140" s="114" t="str">
        <f>IFERROR(__xludf.DUMMYFUNCTION("""COMPUTED_VALUE"""),"Helmeppo (``Sword``)")</f>
        <v>Helmeppo (``Sword``)</v>
      </c>
      <c r="AR140" s="114"/>
      <c r="AS140" s="114"/>
      <c r="AT140" s="123" t="str">
        <f>IFERROR(__xludf.DUMMYFUNCTION("""COMPUTED_VALUE"""),"https://i.postimg.cc/2SqZmZ8v/169.png")</f>
        <v>https://i.postimg.cc/2SqZmZ8v/169.png</v>
      </c>
      <c r="AU140" s="114"/>
      <c r="AV140" s="114"/>
      <c r="AW140" s="114"/>
      <c r="AX140" s="114" t="str">
        <f t="shared" si="3"/>
        <v>169 - Medal [Event] - Crafted - Helmeppo (``Sword``)</v>
      </c>
      <c r="AY140" s="114" t="s">
        <v>3799</v>
      </c>
      <c r="AZ140" s="114"/>
      <c r="BA140" s="114"/>
      <c r="BB140" s="114"/>
      <c r="BC140" s="114"/>
      <c r="BD140" s="114"/>
      <c r="BE140" s="114"/>
    </row>
    <row r="141" ht="37.5" customHeight="1">
      <c r="A141" s="118" t="s">
        <v>3800</v>
      </c>
      <c r="B141" s="117" t="s">
        <v>3801</v>
      </c>
      <c r="C141" s="119">
        <f>IFERROR(__xludf.DUMMYFUNCTION("""COMPUTED_VALUE"""),202.0)</f>
        <v>202</v>
      </c>
      <c r="D141" s="114" t="str">
        <f>IFERROR(__xludf.DUMMYFUNCTION("""COMPUTED_VALUE"""),"Vista")</f>
        <v>Vista</v>
      </c>
      <c r="E141" s="114" t="str">
        <f>IFERROR(__xludf.DUMMYFUNCTION("""COMPUTED_VALUE"""),"")</f>
        <v/>
      </c>
      <c r="F141" s="114"/>
      <c r="G141" s="114"/>
      <c r="H141" s="114"/>
      <c r="I141" s="114"/>
      <c r="J141" s="114"/>
      <c r="K141" s="114" t="s">
        <v>3802</v>
      </c>
      <c r="L141" s="114" t="s">
        <v>3803</v>
      </c>
      <c r="M141" s="114" t="s">
        <v>3804</v>
      </c>
      <c r="N141" s="114" t="s">
        <v>3805</v>
      </c>
      <c r="O141" s="114"/>
      <c r="P141" s="120">
        <v>202.0</v>
      </c>
      <c r="Q141" s="117" t="s">
        <v>3806</v>
      </c>
      <c r="R141" s="114"/>
      <c r="S141" s="117" t="s">
        <v>3807</v>
      </c>
      <c r="T141" s="114">
        <f t="shared" si="1"/>
        <v>140</v>
      </c>
      <c r="U141" s="114" t="s">
        <v>1242</v>
      </c>
      <c r="V141" s="114" t="str">
        <f>IFERROR(__xludf.DUMMYFUNCTION("REGEXREPLACE(U141, ""\n"", "" "")"),"Negative Ghost")</f>
        <v>Negative Ghost</v>
      </c>
      <c r="W141" s="114"/>
      <c r="X141" s="115" t="str">
        <f t="shared" si="2"/>
        <v>140 Ghost Princess - Perona - Medal [Negative Ghost]</v>
      </c>
      <c r="Y141" s="119"/>
      <c r="Z141" s="117" t="s">
        <v>3808</v>
      </c>
      <c r="AA141" s="117" t="s">
        <v>2437</v>
      </c>
      <c r="AB141" s="114"/>
      <c r="AC141" s="123" t="str">
        <f>IFERROR(__xludf.DUMMYFUNCTION("""COMPUTED_VALUE"""),"https://ik.imagekit.io/alaaalaa6171/203%20Whitebeard%20Pirates_3rd%20Division%20Commander%20-%20Jozu%20-%20Medal%20_Jozu_.png?updatedAt=1770076442219")</f>
        <v>https://ik.imagekit.io/alaaalaa6171/203%20Whitebeard%20Pirates_3rd%20Division%20Commander%20-%20Jozu%20-%20Medal%20_Jozu_.png?updatedAt=1770076442219</v>
      </c>
      <c r="AD141" s="123" t="str">
        <f>IFERROR(__xludf.DUMMYFUNCTION("""COMPUTED_VALUE"""),"https://ik.imagekit.io/alaaalaa6171/203%20Whitebeard%20Pirates_3rd%20Division%20Commander%20-%20Jozu%20-%20Medal%20_Jozu_%20_Colored_.png?updatedAt=1770076442210")</f>
        <v>https://ik.imagekit.io/alaaalaa6171/203%20Whitebeard%20Pirates_3rd%20Division%20Commander%20-%20Jozu%20-%20Medal%20_Jozu_%20_Colored_.png?updatedAt=1770076442210</v>
      </c>
      <c r="AE141" s="123" t="str">
        <f>IFERROR(__xludf.DUMMYFUNCTION("""COMPUTED_VALUE"""),"https://ik.imagekit.io/alaaalaa6171/203%20Whitebeard%20Pirates_3rd%20Division%20Commander%20-%20Jozu%20-%20Medal%20_Jozu_%20-%20Piece.png?updatedAt=1770076442213")</f>
        <v>https://ik.imagekit.io/alaaalaa6171/203%20Whitebeard%20Pirates_3rd%20Division%20Commander%20-%20Jozu%20-%20Medal%20_Jozu_%20-%20Piece.png?updatedAt=1770076442213</v>
      </c>
      <c r="AF141" s="123" t="str">
        <f>IFERROR(__xludf.DUMMYFUNCTION("""COMPUTED_VALUE"""),"https://ik.imagekit.io/alaaalaa6171/203%20Whitebeard%20Pirates_3rd%20Division%20Commander%20-%20Jozu%20-%20Medal%20_Jozu_%20-%20Piece%20_Colored_.png?updatedAt=1770076442203")</f>
        <v>https://ik.imagekit.io/alaaalaa6171/203%20Whitebeard%20Pirates_3rd%20Division%20Commander%20-%20Jozu%20-%20Medal%20_Jozu_%20-%20Piece%20_Colored_.png?updatedAt=1770076442203</v>
      </c>
      <c r="AG141" s="114"/>
      <c r="AH141" s="114"/>
      <c r="AI141" s="121" t="s">
        <v>3809</v>
      </c>
      <c r="AJ141" s="121" t="str">
        <f>IFERROR(__xludf.DUMMYFUNCTION("regexreplace(regexreplace(AI141, ""  \["", "" ""), ""\]$"", """")"),"140 - Ghost Princess ~ Perona - Medal - Crafted [Colored] - Negative Ghost")</f>
        <v>140 - Ghost Princess ~ Perona - Medal - Crafted [Colored] - Negative Ghost</v>
      </c>
      <c r="AK141" s="114"/>
      <c r="AL141" s="117" t="s">
        <v>3810</v>
      </c>
      <c r="AM141" s="117" t="s">
        <v>3811</v>
      </c>
      <c r="AN141" s="114"/>
      <c r="AO141" s="122">
        <f>IFERROR(__xludf.DUMMYFUNCTION("""COMPUTED_VALUE"""),168.0)</f>
        <v>168</v>
      </c>
      <c r="AP141" s="114" t="str">
        <f>IFERROR(__xludf.DUMMYFUNCTION("""COMPUTED_VALUE"""),"Koby
(``Sword``)")</f>
        <v>Koby
(``Sword``)</v>
      </c>
      <c r="AQ141" s="114" t="str">
        <f>IFERROR(__xludf.DUMMYFUNCTION("""COMPUTED_VALUE"""),"Koby (``Sword``)")</f>
        <v>Koby (``Sword``)</v>
      </c>
      <c r="AR141" s="114"/>
      <c r="AS141" s="114"/>
      <c r="AT141" s="123" t="str">
        <f>IFERROR(__xludf.DUMMYFUNCTION("""COMPUTED_VALUE"""),"https://i.postimg.cc/YCJmSChP/168.png")</f>
        <v>https://i.postimg.cc/YCJmSChP/168.png</v>
      </c>
      <c r="AU141" s="114"/>
      <c r="AV141" s="114"/>
      <c r="AW141" s="114"/>
      <c r="AX141" s="114" t="str">
        <f t="shared" si="3"/>
        <v>168 - Medal [Event] - Crafted - Koby (``Sword``)</v>
      </c>
      <c r="AY141" s="114" t="s">
        <v>3812</v>
      </c>
      <c r="AZ141" s="114"/>
      <c r="BA141" s="114"/>
      <c r="BB141" s="114"/>
      <c r="BC141" s="114"/>
      <c r="BD141" s="114"/>
      <c r="BE141" s="114"/>
    </row>
    <row r="142" ht="37.5" customHeight="1">
      <c r="A142" s="118" t="s">
        <v>3813</v>
      </c>
      <c r="B142" s="117" t="s">
        <v>3814</v>
      </c>
      <c r="C142" s="119">
        <f>IFERROR(__xludf.DUMMYFUNCTION("""COMPUTED_VALUE"""),201.0)</f>
        <v>201</v>
      </c>
      <c r="D142" s="114" t="str">
        <f>IFERROR(__xludf.DUMMYFUNCTION("""COMPUTED_VALUE"""),"Burgess")</f>
        <v>Burgess</v>
      </c>
      <c r="E142" s="114" t="str">
        <f>IFERROR(__xludf.DUMMYFUNCTION("""COMPUTED_VALUE"""),"")</f>
        <v/>
      </c>
      <c r="F142" s="114"/>
      <c r="G142" s="114"/>
      <c r="H142" s="114"/>
      <c r="I142" s="114"/>
      <c r="J142" s="114"/>
      <c r="K142" s="114" t="s">
        <v>3815</v>
      </c>
      <c r="L142" s="114" t="s">
        <v>3816</v>
      </c>
      <c r="M142" s="114" t="s">
        <v>3817</v>
      </c>
      <c r="N142" s="114" t="s">
        <v>3818</v>
      </c>
      <c r="O142" s="114"/>
      <c r="P142" s="120">
        <v>201.0</v>
      </c>
      <c r="Q142" s="117" t="s">
        <v>3819</v>
      </c>
      <c r="R142" s="114"/>
      <c r="S142" s="117" t="s">
        <v>3820</v>
      </c>
      <c r="T142" s="114">
        <f t="shared" si="1"/>
        <v>141</v>
      </c>
      <c r="U142" s="114" t="s">
        <v>1236</v>
      </c>
      <c r="V142" s="114" t="str">
        <f>IFERROR(__xludf.DUMMYFUNCTION("REGEXREPLACE(U142, ""\n"", "" "")"),"Crescent Cutlass")</f>
        <v>Crescent Cutlass</v>
      </c>
      <c r="W142" s="114"/>
      <c r="X142" s="115" t="str">
        <f t="shared" si="2"/>
        <v>141 The Parmount War - Crocodile - Medal [Crescent Cutlass]</v>
      </c>
      <c r="Y142" s="119"/>
      <c r="Z142" s="117" t="s">
        <v>3821</v>
      </c>
      <c r="AA142" s="117" t="s">
        <v>2435</v>
      </c>
      <c r="AB142" s="114"/>
      <c r="AC142" s="123" t="str">
        <f>IFERROR(__xludf.DUMMYFUNCTION("""COMPUTED_VALUE"""),"https://ik.imagekit.io/alaaalaa6171/202%20Whitebeard%20Pirates_5th%20Division%20Commander%20-%20Vista%20-%20Medal%20_Vista_.png?updatedAt=1770076442214")</f>
        <v>https://ik.imagekit.io/alaaalaa6171/202%20Whitebeard%20Pirates_5th%20Division%20Commander%20-%20Vista%20-%20Medal%20_Vista_.png?updatedAt=1770076442214</v>
      </c>
      <c r="AD142" s="123" t="str">
        <f>IFERROR(__xludf.DUMMYFUNCTION("""COMPUTED_VALUE"""),"https://ik.imagekit.io/alaaalaa6171/202%20Whitebeard%20Pirates_5th%20Division%20Commander%20-%20Vista%20-%20Medal%20_Vista_%20_Colored_.png?updatedAt=1770076442223")</f>
        <v>https://ik.imagekit.io/alaaalaa6171/202%20Whitebeard%20Pirates_5th%20Division%20Commander%20-%20Vista%20-%20Medal%20_Vista_%20_Colored_.png?updatedAt=1770076442223</v>
      </c>
      <c r="AE142" s="123" t="str">
        <f>IFERROR(__xludf.DUMMYFUNCTION("""COMPUTED_VALUE"""),"https://ik.imagekit.io/alaaalaa6171/202%20Whitebeard%20Pirates_5th%20Division%20Commander%20-%20Vista%20-%20Medal%20_Vista_%20-%20Piece.png?updatedAt=1770076442181")</f>
        <v>https://ik.imagekit.io/alaaalaa6171/202%20Whitebeard%20Pirates_5th%20Division%20Commander%20-%20Vista%20-%20Medal%20_Vista_%20-%20Piece.png?updatedAt=1770076442181</v>
      </c>
      <c r="AF142" s="123" t="str">
        <f>IFERROR(__xludf.DUMMYFUNCTION("""COMPUTED_VALUE"""),"https://ik.imagekit.io/alaaalaa6171/202%20Whitebeard%20Pirates_5th%20Division%20Commander%20-%20Vista%20-%20Medal%20_Vista_%20-%20Piece%20_Colored_.png?updatedAt=1770076442194")</f>
        <v>https://ik.imagekit.io/alaaalaa6171/202%20Whitebeard%20Pirates_5th%20Division%20Commander%20-%20Vista%20-%20Medal%20_Vista_%20-%20Piece%20_Colored_.png?updatedAt=1770076442194</v>
      </c>
      <c r="AG142" s="114"/>
      <c r="AH142" s="114"/>
      <c r="AI142" s="121" t="s">
        <v>3822</v>
      </c>
      <c r="AJ142" s="121" t="str">
        <f>IFERROR(__xludf.DUMMYFUNCTION("regexreplace(regexreplace(AI142, ""  \["", "" ""), ""\]$"", """")"),"141 - The Parmount War ~ Crocodile - Medal - Crafted [Colored] - Crescent Cutlass")</f>
        <v>141 - The Parmount War ~ Crocodile - Medal - Crafted [Colored] - Crescent Cutlass</v>
      </c>
      <c r="AK142" s="114"/>
      <c r="AL142" s="117" t="s">
        <v>3823</v>
      </c>
      <c r="AM142" s="117" t="s">
        <v>3824</v>
      </c>
      <c r="AN142" s="114"/>
      <c r="AO142" s="122">
        <f>IFERROR(__xludf.DUMMYFUNCTION("""COMPUTED_VALUE"""),167.0)</f>
        <v>167</v>
      </c>
      <c r="AP142" s="114" t="str">
        <f>IFERROR(__xludf.DUMMYFUNCTION("""COMPUTED_VALUE"""),"Denjiro
(The Akazaya Nine)")</f>
        <v>Denjiro
(The Akazaya Nine)</v>
      </c>
      <c r="AQ142" s="114" t="str">
        <f>IFERROR(__xludf.DUMMYFUNCTION("""COMPUTED_VALUE"""),"Denjiro (The Akazaya Nine)")</f>
        <v>Denjiro (The Akazaya Nine)</v>
      </c>
      <c r="AR142" s="114"/>
      <c r="AS142" s="114"/>
      <c r="AT142" s="123" t="str">
        <f>IFERROR(__xludf.DUMMYFUNCTION("""COMPUTED_VALUE"""),"https://i.postimg.cc/zfKHHYhG/167.png")</f>
        <v>https://i.postimg.cc/zfKHHYhG/167.png</v>
      </c>
      <c r="AU142" s="114"/>
      <c r="AV142" s="114"/>
      <c r="AW142" s="114"/>
      <c r="AX142" s="114" t="str">
        <f t="shared" si="3"/>
        <v>167 - Medal [Event] - Crafted - Denjiro (The Akazaya Nine)</v>
      </c>
      <c r="AY142" s="114" t="s">
        <v>3825</v>
      </c>
      <c r="AZ142" s="114"/>
      <c r="BA142" s="114"/>
      <c r="BB142" s="114"/>
      <c r="BC142" s="114"/>
      <c r="BD142" s="114"/>
      <c r="BE142" s="114"/>
    </row>
    <row r="143" ht="37.5" customHeight="1">
      <c r="A143" s="118" t="s">
        <v>3826</v>
      </c>
      <c r="B143" s="117" t="s">
        <v>3827</v>
      </c>
      <c r="C143" s="119">
        <f>IFERROR(__xludf.DUMMYFUNCTION("""COMPUTED_VALUE"""),200.0)</f>
        <v>200</v>
      </c>
      <c r="D143" s="114" t="str">
        <f>IFERROR(__xludf.DUMMYFUNCTION("""COMPUTED_VALUE"""),"Soba Mask")</f>
        <v>Soba Mask</v>
      </c>
      <c r="E143" s="114" t="str">
        <f>IFERROR(__xludf.DUMMYFUNCTION("""COMPUTED_VALUE"""),"")</f>
        <v/>
      </c>
      <c r="F143" s="114"/>
      <c r="G143" s="114"/>
      <c r="H143" s="114"/>
      <c r="I143" s="114"/>
      <c r="J143" s="114"/>
      <c r="K143" s="114" t="s">
        <v>3828</v>
      </c>
      <c r="L143" s="114" t="s">
        <v>3829</v>
      </c>
      <c r="M143" s="114" t="s">
        <v>3830</v>
      </c>
      <c r="N143" s="114" t="s">
        <v>3831</v>
      </c>
      <c r="O143" s="114"/>
      <c r="P143" s="120">
        <v>200.0</v>
      </c>
      <c r="Q143" s="117" t="s">
        <v>3832</v>
      </c>
      <c r="R143" s="114"/>
      <c r="S143" s="117" t="s">
        <v>3833</v>
      </c>
      <c r="T143" s="114">
        <f t="shared" si="1"/>
        <v>142</v>
      </c>
      <c r="U143" s="114" t="s">
        <v>1231</v>
      </c>
      <c r="V143" s="114" t="str">
        <f>IFERROR(__xludf.DUMMYFUNCTION("REGEXREPLACE(U143, ""\n"", "" "")"),"Spiky Shadow Iizard")</f>
        <v>Spiky Shadow Iizard</v>
      </c>
      <c r="W143" s="114"/>
      <c r="X143" s="115" t="str">
        <f t="shared" si="2"/>
        <v>142 The Parmount War - Gecko Moria - Medal [Spiky Shadow Iizard]</v>
      </c>
      <c r="Y143" s="119"/>
      <c r="Z143" s="117" t="s">
        <v>3834</v>
      </c>
      <c r="AA143" s="117" t="s">
        <v>2447</v>
      </c>
      <c r="AB143" s="114"/>
      <c r="AC143" s="123" t="str">
        <f>IFERROR(__xludf.DUMMYFUNCTION("""COMPUTED_VALUE"""),"https://ik.imagekit.io/alaaalaa6171/201%20Blackbeard%20Pirates_Helsman%20'Champ'%20-%20Jesus%20Burgess%20-%20Medal%20_Burgess_.png?updatedAt=1770076442206")</f>
        <v>https://ik.imagekit.io/alaaalaa6171/201%20Blackbeard%20Pirates_Helsman%20'Champ'%20-%20Jesus%20Burgess%20-%20Medal%20_Burgess_.png?updatedAt=1770076442206</v>
      </c>
      <c r="AD143" s="123" t="str">
        <f>IFERROR(__xludf.DUMMYFUNCTION("""COMPUTED_VALUE"""),"https://ik.imagekit.io/alaaalaa6171/201%20Blackbeard%20Pirates_Helsman%20'Champ'%20-%20Jesus%20Burgess%20-%20Medal%20_Burgess_%20_Colored_.png?updatedAt=1770076442217")</f>
        <v>https://ik.imagekit.io/alaaalaa6171/201%20Blackbeard%20Pirates_Helsman%20'Champ'%20-%20Jesus%20Burgess%20-%20Medal%20_Burgess_%20_Colored_.png?updatedAt=1770076442217</v>
      </c>
      <c r="AE143" s="123" t="str">
        <f>IFERROR(__xludf.DUMMYFUNCTION("""COMPUTED_VALUE"""),"https://ik.imagekit.io/alaaalaa6171/201%20Blackbeard%20Pirates_Helsman%20'Champ'%20-%20Jesus%20Burgess%20-%20Medal%20_Burgess_%20-%20Piece.png?updatedAt=1770076441862")</f>
        <v>https://ik.imagekit.io/alaaalaa6171/201%20Blackbeard%20Pirates_Helsman%20'Champ'%20-%20Jesus%20Burgess%20-%20Medal%20_Burgess_%20-%20Piece.png?updatedAt=1770076441862</v>
      </c>
      <c r="AF143" s="123" t="str">
        <f>IFERROR(__xludf.DUMMYFUNCTION("""COMPUTED_VALUE"""),"https://ik.imagekit.io/alaaalaa6171/201%20Blackbeard%20Pirates_Helsman%20'Champ'%20-%20Jesus%20Burgess%20-%20Medal%20_Burgess_%20-%20Piece%20_Colored_.png?updatedAt=1770076441865")</f>
        <v>https://ik.imagekit.io/alaaalaa6171/201%20Blackbeard%20Pirates_Helsman%20'Champ'%20-%20Jesus%20Burgess%20-%20Medal%20_Burgess_%20-%20Piece%20_Colored_.png?updatedAt=1770076441865</v>
      </c>
      <c r="AG143" s="114"/>
      <c r="AH143" s="114"/>
      <c r="AI143" s="121" t="s">
        <v>3835</v>
      </c>
      <c r="AJ143" s="121" t="str">
        <f>IFERROR(__xludf.DUMMYFUNCTION("regexreplace(regexreplace(AI143, ""  \["", "" ""), ""\]$"", """")"),"142 - The Parmount War ~ Gecko Moria - Medal - Crafted [Colored] - Spiky Shadow Iizard")</f>
        <v>142 - The Parmount War ~ Gecko Moria - Medal - Crafted [Colored] - Spiky Shadow Iizard</v>
      </c>
      <c r="AK143" s="114"/>
      <c r="AL143" s="117" t="s">
        <v>3836</v>
      </c>
      <c r="AM143" s="117" t="s">
        <v>3837</v>
      </c>
      <c r="AN143" s="114"/>
      <c r="AO143" s="122">
        <f>IFERROR(__xludf.DUMMYFUNCTION("""COMPUTED_VALUE"""),166.0)</f>
        <v>166</v>
      </c>
      <c r="AP143" s="114" t="str">
        <f>IFERROR(__xludf.DUMMYFUNCTION("""COMPUTED_VALUE"""),"Kin``emon
(The Akazaya Nine)")</f>
        <v>Kin``emon
(The Akazaya Nine)</v>
      </c>
      <c r="AQ143" s="114" t="str">
        <f>IFERROR(__xludf.DUMMYFUNCTION("""COMPUTED_VALUE"""),"Kin``emon (The Akazaya Nine)")</f>
        <v>Kin``emon (The Akazaya Nine)</v>
      </c>
      <c r="AR143" s="114"/>
      <c r="AS143" s="114"/>
      <c r="AT143" s="123" t="str">
        <f>IFERROR(__xludf.DUMMYFUNCTION("""COMPUTED_VALUE"""),"https://i.postimg.cc/ydKgFphX/166.png")</f>
        <v>https://i.postimg.cc/ydKgFphX/166.png</v>
      </c>
      <c r="AU143" s="114"/>
      <c r="AV143" s="114"/>
      <c r="AW143" s="114"/>
      <c r="AX143" s="114" t="str">
        <f t="shared" si="3"/>
        <v>166 - Medal [Event] - Crafted - Kin``emon (The Akazaya Nine)</v>
      </c>
      <c r="AY143" s="114" t="s">
        <v>3838</v>
      </c>
      <c r="AZ143" s="114"/>
      <c r="BA143" s="114"/>
      <c r="BB143" s="114"/>
      <c r="BC143" s="114"/>
      <c r="BD143" s="114"/>
      <c r="BE143" s="114"/>
    </row>
    <row r="144" ht="37.5" customHeight="1">
      <c r="A144" s="118" t="s">
        <v>3839</v>
      </c>
      <c r="B144" s="117" t="s">
        <v>3840</v>
      </c>
      <c r="C144" s="119">
        <f>IFERROR(__xludf.DUMMYFUNCTION("""COMPUTED_VALUE"""),199.0)</f>
        <v>199</v>
      </c>
      <c r="D144" s="114" t="str">
        <f>IFERROR(__xludf.DUMMYFUNCTION("""COMPUTED_VALUE"""),"Judge")</f>
        <v>Judge</v>
      </c>
      <c r="E144" s="114" t="str">
        <f>IFERROR(__xludf.DUMMYFUNCTION("""COMPUTED_VALUE"""),"")</f>
        <v/>
      </c>
      <c r="F144" s="114"/>
      <c r="G144" s="114"/>
      <c r="H144" s="114"/>
      <c r="I144" s="114"/>
      <c r="J144" s="114"/>
      <c r="K144" s="114" t="s">
        <v>3841</v>
      </c>
      <c r="L144" s="114" t="s">
        <v>3842</v>
      </c>
      <c r="M144" s="114" t="s">
        <v>3843</v>
      </c>
      <c r="N144" s="114" t="s">
        <v>3844</v>
      </c>
      <c r="O144" s="114"/>
      <c r="P144" s="120">
        <v>199.0</v>
      </c>
      <c r="Q144" s="117" t="s">
        <v>3845</v>
      </c>
      <c r="R144" s="114"/>
      <c r="S144" s="117" t="s">
        <v>3846</v>
      </c>
      <c r="T144" s="114">
        <f t="shared" si="1"/>
        <v>143</v>
      </c>
      <c r="U144" s="114" t="s">
        <v>3847</v>
      </c>
      <c r="V144" s="114" t="str">
        <f>IFERROR(__xludf.DUMMYFUNCTION("REGEXREPLACE(U144, ""\n"", "" "")"),"Smoker (Chambres)")</f>
        <v>Smoker (Chambres)</v>
      </c>
      <c r="W144" s="114"/>
      <c r="X144" s="115" t="str">
        <f t="shared" si="2"/>
        <v>143 Punk Hazard - Smoker (Chambres) - Medal [Smoker (Chambres)]</v>
      </c>
      <c r="Y144" s="119"/>
      <c r="Z144" s="117" t="s">
        <v>3848</v>
      </c>
      <c r="AA144" s="117" t="s">
        <v>2449</v>
      </c>
      <c r="AB144" s="114"/>
      <c r="AC144" s="123" t="str">
        <f>IFERROR(__xludf.DUMMYFUNCTION("""COMPUTED_VALUE"""),"https://ik.imagekit.io/alaaalaa6171/200%20Stealth%20Black%20-%20Soba%20Mask%20-%20Medal%20_Soba%20Mask_.png?updatedAt=1770076441848")</f>
        <v>https://ik.imagekit.io/alaaalaa6171/200%20Stealth%20Black%20-%20Soba%20Mask%20-%20Medal%20_Soba%20Mask_.png?updatedAt=1770076441848</v>
      </c>
      <c r="AD144" s="123" t="str">
        <f>IFERROR(__xludf.DUMMYFUNCTION("""COMPUTED_VALUE"""),"https://ik.imagekit.io/alaaalaa6171/200%20Stealth%20Black%20-%20Soba%20Mask%20-%20Medal%20_Soba%20Mask_%20_Colored_.png?updatedAt=1770076441860")</f>
        <v>https://ik.imagekit.io/alaaalaa6171/200%20Stealth%20Black%20-%20Soba%20Mask%20-%20Medal%20_Soba%20Mask_%20_Colored_.png?updatedAt=1770076441860</v>
      </c>
      <c r="AE144" s="123" t="str">
        <f>IFERROR(__xludf.DUMMYFUNCTION("""COMPUTED_VALUE"""),"https://ik.imagekit.io/alaaalaa6171/200%20Stealth%20Black%20-%20Soba%20Mask%20-%20Medal%20_Soba%20Mask_%20-%20Piece.png?updatedAt=1770076441863")</f>
        <v>https://ik.imagekit.io/alaaalaa6171/200%20Stealth%20Black%20-%20Soba%20Mask%20-%20Medal%20_Soba%20Mask_%20-%20Piece.png?updatedAt=1770076441863</v>
      </c>
      <c r="AF144" s="123" t="str">
        <f>IFERROR(__xludf.DUMMYFUNCTION("""COMPUTED_VALUE"""),"https://ik.imagekit.io/alaaalaa6171/200%20Stealth%20Black%20-%20Soba%20Mask%20-%20Medal%20_Soba%20Mask_%20-%20Piece%20_Colored_.png?updatedAt=1770076441000")</f>
        <v>https://ik.imagekit.io/alaaalaa6171/200%20Stealth%20Black%20-%20Soba%20Mask%20-%20Medal%20_Soba%20Mask_%20-%20Piece%20_Colored_.png?updatedAt=1770076441000</v>
      </c>
      <c r="AG144" s="114"/>
      <c r="AH144" s="114"/>
      <c r="AI144" s="121" t="s">
        <v>3849</v>
      </c>
      <c r="AJ144" s="121" t="str">
        <f>IFERROR(__xludf.DUMMYFUNCTION("regexreplace(regexreplace(AI144, ""  \["", "" ""), ""\]$"", """")"),"143 - Punk Hazard ~ Smoker (Chambres) - Medal - Crafted [Colored] - Smoker (Chambres)")</f>
        <v>143 - Punk Hazard ~ Smoker (Chambres) - Medal - Crafted [Colored] - Smoker (Chambres)</v>
      </c>
      <c r="AK144" s="114"/>
      <c r="AL144" s="117" t="s">
        <v>3850</v>
      </c>
      <c r="AM144" s="117" t="s">
        <v>3851</v>
      </c>
      <c r="AN144" s="114"/>
      <c r="AO144" s="122">
        <f>IFERROR(__xludf.DUMMYFUNCTION("""COMPUTED_VALUE"""),165.0)</f>
        <v>165</v>
      </c>
      <c r="AP144" s="114" t="str">
        <f>IFERROR(__xludf.DUMMYFUNCTION("""COMPUTED_VALUE"""),"Ton_Ton")</f>
        <v>Ton_Ton</v>
      </c>
      <c r="AQ144" s="114" t="str">
        <f>IFERROR(__xludf.DUMMYFUNCTION("""COMPUTED_VALUE"""),"Ton_Ton")</f>
        <v>Ton_Ton</v>
      </c>
      <c r="AR144" s="114"/>
      <c r="AS144" s="114"/>
      <c r="AT144" s="123" t="str">
        <f>IFERROR(__xludf.DUMMYFUNCTION("""COMPUTED_VALUE"""),"https://i.postimg.cc/BbQjz8Vj/165.png")</f>
        <v>https://i.postimg.cc/BbQjz8Vj/165.png</v>
      </c>
      <c r="AU144" s="114"/>
      <c r="AV144" s="114"/>
      <c r="AW144" s="114"/>
      <c r="AX144" s="114" t="str">
        <f t="shared" si="3"/>
        <v>165 - Medal [Event] - Crafted - Ton_Ton</v>
      </c>
      <c r="AY144" s="114" t="s">
        <v>3852</v>
      </c>
      <c r="AZ144" s="114"/>
      <c r="BA144" s="114"/>
      <c r="BB144" s="114"/>
      <c r="BC144" s="114"/>
      <c r="BD144" s="114"/>
      <c r="BE144" s="114"/>
    </row>
    <row r="145" ht="37.5" customHeight="1">
      <c r="A145" s="118" t="s">
        <v>3853</v>
      </c>
      <c r="B145" s="117" t="s">
        <v>3854</v>
      </c>
      <c r="C145" s="119">
        <f>IFERROR(__xludf.DUMMYFUNCTION("""COMPUTED_VALUE"""),198.0)</f>
        <v>198</v>
      </c>
      <c r="D145" s="114" t="str">
        <f>IFERROR(__xludf.DUMMYFUNCTION("""COMPUTED_VALUE"""),"Straw Hat")</f>
        <v>Straw Hat</v>
      </c>
      <c r="E145" s="114" t="str">
        <f>IFERROR(__xludf.DUMMYFUNCTION("""COMPUTED_VALUE"""),"")</f>
        <v/>
      </c>
      <c r="F145" s="114"/>
      <c r="G145" s="114"/>
      <c r="H145" s="114"/>
      <c r="I145" s="114"/>
      <c r="J145" s="114"/>
      <c r="K145" s="114" t="s">
        <v>3855</v>
      </c>
      <c r="L145" s="114" t="s">
        <v>3856</v>
      </c>
      <c r="M145" s="114" t="s">
        <v>3857</v>
      </c>
      <c r="N145" s="114" t="s">
        <v>3858</v>
      </c>
      <c r="O145" s="114"/>
      <c r="P145" s="120">
        <v>198.0</v>
      </c>
      <c r="Q145" s="117" t="s">
        <v>3859</v>
      </c>
      <c r="R145" s="114"/>
      <c r="S145" s="117" t="s">
        <v>3860</v>
      </c>
      <c r="T145" s="114">
        <f t="shared" si="1"/>
        <v>144</v>
      </c>
      <c r="U145" s="114" t="s">
        <v>1220</v>
      </c>
      <c r="V145" s="114" t="str">
        <f>IFERROR(__xludf.DUMMYFUNCTION("REGEXREPLACE(U145, ""\n"", "" "")"),"Pheasant Peck")</f>
        <v>Pheasant Peck</v>
      </c>
      <c r="W145" s="114"/>
      <c r="X145" s="115" t="str">
        <f t="shared" si="2"/>
        <v>144 Former Navy Admiral - Kuzan - Medal [Pheasant Peck]</v>
      </c>
      <c r="Y145" s="119"/>
      <c r="Z145" s="117" t="s">
        <v>3861</v>
      </c>
      <c r="AA145" s="117" t="s">
        <v>2450</v>
      </c>
      <c r="AB145" s="114"/>
      <c r="AC145" s="123" t="str">
        <f>IFERROR(__xludf.DUMMYFUNCTION("""COMPUTED_VALUE"""),"https://ik.imagekit.io/alaaalaa6171/199%20Germa%2066_Generalissimo%20-%20Vinsmoke%20Judge%201%20-%20Medal%20_Judge_.png?updatedAt=1770076440778")</f>
        <v>https://ik.imagekit.io/alaaalaa6171/199%20Germa%2066_Generalissimo%20-%20Vinsmoke%20Judge%201%20-%20Medal%20_Judge_.png?updatedAt=1770076440778</v>
      </c>
      <c r="AD145" s="123" t="str">
        <f>IFERROR(__xludf.DUMMYFUNCTION("""COMPUTED_VALUE"""),"https://ik.imagekit.io/alaaalaa6171/199%20Germa%2066_Generalissimo%20-%20Vinsmoke%20Judge%201%20-%20Medal%20_Judge_%20_Colored_.png?updatedAt=1770076438396")</f>
        <v>https://ik.imagekit.io/alaaalaa6171/199%20Germa%2066_Generalissimo%20-%20Vinsmoke%20Judge%201%20-%20Medal%20_Judge_%20_Colored_.png?updatedAt=1770076438396</v>
      </c>
      <c r="AE145" s="123" t="str">
        <f>IFERROR(__xludf.DUMMYFUNCTION("""COMPUTED_VALUE"""),"https://ik.imagekit.io/alaaalaa6171/199%20Germa%2066_Generalissimo%20-%20Vinsmoke%20Judge%201%20-%20Medal%20_Judge_%20-%20Piece.png?updatedAt=1770076438181")</f>
        <v>https://ik.imagekit.io/alaaalaa6171/199%20Germa%2066_Generalissimo%20-%20Vinsmoke%20Judge%201%20-%20Medal%20_Judge_%20-%20Piece.png?updatedAt=1770076438181</v>
      </c>
      <c r="AF145" s="123" t="str">
        <f>IFERROR(__xludf.DUMMYFUNCTION("""COMPUTED_VALUE"""),"https://ik.imagekit.io/alaaalaa6171/199%20Germa%2066_Generalissimo%20-%20Vinsmoke%20Judge%201%20-%20Medal%20_Judge_%20-%20Piece%20_Colored_.png?updatedAt=1770076438215")</f>
        <v>https://ik.imagekit.io/alaaalaa6171/199%20Germa%2066_Generalissimo%20-%20Vinsmoke%20Judge%201%20-%20Medal%20_Judge_%20-%20Piece%20_Colored_.png?updatedAt=1770076438215</v>
      </c>
      <c r="AG145" s="114"/>
      <c r="AH145" s="114"/>
      <c r="AI145" s="121" t="s">
        <v>3862</v>
      </c>
      <c r="AJ145" s="121" t="str">
        <f>IFERROR(__xludf.DUMMYFUNCTION("regexreplace(regexreplace(AI145, ""  \["", "" ""), ""\]$"", """")"),"144 - Former Navy Admiral ~ Kuzan - Medal - Crafted [Colored] - Pheasant Peck")</f>
        <v>144 - Former Navy Admiral ~ Kuzan - Medal - Crafted [Colored] - Pheasant Peck</v>
      </c>
      <c r="AK145" s="114"/>
      <c r="AL145" s="117" t="s">
        <v>3863</v>
      </c>
      <c r="AM145" s="117" t="s">
        <v>3864</v>
      </c>
      <c r="AN145" s="114"/>
      <c r="AO145" s="122">
        <f>IFERROR(__xludf.DUMMYFUNCTION("""COMPUTED_VALUE"""),164.0)</f>
        <v>164</v>
      </c>
      <c r="AP145" s="114" t="str">
        <f>IFERROR(__xludf.DUMMYFUNCTION("""COMPUTED_VALUE"""),"Glare_Glare")</f>
        <v>Glare_Glare</v>
      </c>
      <c r="AQ145" s="114" t="str">
        <f>IFERROR(__xludf.DUMMYFUNCTION("""COMPUTED_VALUE"""),"Glare_Glare")</f>
        <v>Glare_Glare</v>
      </c>
      <c r="AR145" s="114"/>
      <c r="AS145" s="114"/>
      <c r="AT145" s="123" t="str">
        <f>IFERROR(__xludf.DUMMYFUNCTION("""COMPUTED_VALUE"""),"https://i.postimg.cc/T17KvRzC/164.png")</f>
        <v>https://i.postimg.cc/T17KvRzC/164.png</v>
      </c>
      <c r="AU145" s="114"/>
      <c r="AV145" s="114"/>
      <c r="AW145" s="114"/>
      <c r="AX145" s="114" t="str">
        <f t="shared" si="3"/>
        <v>164 - Medal [Event] - Crafted - Glare_Glare</v>
      </c>
      <c r="AY145" s="114" t="s">
        <v>3865</v>
      </c>
      <c r="AZ145" s="114"/>
      <c r="BA145" s="114"/>
      <c r="BB145" s="114"/>
      <c r="BC145" s="114"/>
      <c r="BD145" s="114"/>
      <c r="BE145" s="114"/>
    </row>
    <row r="146" ht="37.5" customHeight="1">
      <c r="A146" s="118" t="s">
        <v>3866</v>
      </c>
      <c r="B146" s="117" t="s">
        <v>3867</v>
      </c>
      <c r="C146" s="119">
        <f>IFERROR(__xludf.DUMMYFUNCTION("""COMPUTED_VALUE"""),197.0)</f>
        <v>197</v>
      </c>
      <c r="D146" s="114" t="str">
        <f>IFERROR(__xludf.DUMMYFUNCTION("""COMPUTED_VALUE"""),"Blast Breath")</f>
        <v>Blast Breath</v>
      </c>
      <c r="E146" s="114" t="str">
        <f>IFERROR(__xludf.DUMMYFUNCTION("""COMPUTED_VALUE"""),"")</f>
        <v/>
      </c>
      <c r="F146" s="114"/>
      <c r="G146" s="114"/>
      <c r="H146" s="114"/>
      <c r="I146" s="114"/>
      <c r="J146" s="114"/>
      <c r="K146" s="114" t="s">
        <v>3868</v>
      </c>
      <c r="L146" s="114" t="s">
        <v>3869</v>
      </c>
      <c r="M146" s="114" t="s">
        <v>3870</v>
      </c>
      <c r="N146" s="114" t="s">
        <v>3871</v>
      </c>
      <c r="O146" s="114"/>
      <c r="P146" s="120">
        <v>197.0</v>
      </c>
      <c r="Q146" s="117" t="s">
        <v>3872</v>
      </c>
      <c r="R146" s="114"/>
      <c r="S146" s="117" t="s">
        <v>3873</v>
      </c>
      <c r="T146" s="114">
        <f t="shared" si="1"/>
        <v>145</v>
      </c>
      <c r="U146" s="114" t="s">
        <v>1214</v>
      </c>
      <c r="V146" s="114" t="str">
        <f>IFERROR(__xludf.DUMMYFUNCTION("REGEXREPLACE(U146, ""\n"", "" "")"),"Kin``emon")</f>
        <v>Kin``emon</v>
      </c>
      <c r="W146" s="114"/>
      <c r="X146" s="115" t="str">
        <f t="shared" si="2"/>
        <v>145 Kozuki Clan / Servant - Kin'emon - Medal [Kin``emon]</v>
      </c>
      <c r="Y146" s="119"/>
      <c r="Z146" s="117" t="s">
        <v>3874</v>
      </c>
      <c r="AA146" s="117" t="s">
        <v>2448</v>
      </c>
      <c r="AB146" s="114"/>
      <c r="AC146" s="123" t="str">
        <f>IFERROR(__xludf.DUMMYFUNCTION("""COMPUTED_VALUE"""),"https://ik.imagekit.io/alaaalaa6171/198%20Man%20Who%20Dreams%20of%20Becoming%20the%20King%20of%20the%20Pirates%20-%20Monkey%20D.%20Luffy%20-%20Medal%20_Straw%20Hat_.png?updatedAt=1770076438155")</f>
        <v>https://ik.imagekit.io/alaaalaa6171/198%20Man%20Who%20Dreams%20of%20Becoming%20the%20King%20of%20the%20Pirates%20-%20Monkey%20D.%20Luffy%20-%20Medal%20_Straw%20Hat_.png?updatedAt=1770076438155</v>
      </c>
      <c r="AD146" s="123" t="str">
        <f>IFERROR(__xludf.DUMMYFUNCTION("""COMPUTED_VALUE"""),"https://ik.imagekit.io/alaaalaa6171/198%20Man%20Who%20Dreams%20of%20Becoming%20the%20King%20of%20the%20Pirates%20-%20Monkey%20D.%20Luffy%20-%20Medal%20_Straw%20Hat_%20_Colored_.png?updatedAt=1770076438029")</f>
        <v>https://ik.imagekit.io/alaaalaa6171/198%20Man%20Who%20Dreams%20of%20Becoming%20the%20King%20of%20the%20Pirates%20-%20Monkey%20D.%20Luffy%20-%20Medal%20_Straw%20Hat_%20_Colored_.png?updatedAt=1770076438029</v>
      </c>
      <c r="AE146" s="123" t="str">
        <f>IFERROR(__xludf.DUMMYFUNCTION("""COMPUTED_VALUE"""),"https://ik.imagekit.io/alaaalaa6171/198%20Man%20Who%20Dreams%20of%20Becoming%20the%20King%20of%20the%20Pirates%20-%20Monkey%20D.%20Luffy%20-%20Medal%20_Straw%20Hat_%20-%20Piece.png?updatedAt=1770076437919")</f>
        <v>https://ik.imagekit.io/alaaalaa6171/198%20Man%20Who%20Dreams%20of%20Becoming%20the%20King%20of%20the%20Pirates%20-%20Monkey%20D.%20Luffy%20-%20Medal%20_Straw%20Hat_%20-%20Piece.png?updatedAt=1770076437919</v>
      </c>
      <c r="AF146" s="123" t="str">
        <f>IFERROR(__xludf.DUMMYFUNCTION("""COMPUTED_VALUE"""),"https://ik.imagekit.io/alaaalaa6171/198%20Man%20Who%20Dreams%20of%20Becoming%20the%20King%20of%20the%20Pirates%20-%20Monkey%20D.%20Luffy%20-%20Medal%20_Straw%20Hat_%20-%20Piece%20_Colored_.png?updatedAt=1770076437831")</f>
        <v>https://ik.imagekit.io/alaaalaa6171/198%20Man%20Who%20Dreams%20of%20Becoming%20the%20King%20of%20the%20Pirates%20-%20Monkey%20D.%20Luffy%20-%20Medal%20_Straw%20Hat_%20-%20Piece%20_Colored_.png?updatedAt=1770076437831</v>
      </c>
      <c r="AG146" s="114"/>
      <c r="AH146" s="114"/>
      <c r="AI146" s="121" t="s">
        <v>3875</v>
      </c>
      <c r="AJ146" s="121" t="str">
        <f>IFERROR(__xludf.DUMMYFUNCTION("regexreplace(regexreplace(AI146, ""  \["", "" ""), ""\]$"", """")"),"145 - Kozuki Clan_Servant ~ Kin'emon - Medal - Crafted [Colored] - Kin``emon")</f>
        <v>145 - Kozuki Clan_Servant ~ Kin'emon - Medal - Crafted [Colored] - Kin``emon</v>
      </c>
      <c r="AK146" s="114"/>
      <c r="AL146" s="117" t="s">
        <v>3876</v>
      </c>
      <c r="AM146" s="117" t="s">
        <v>3877</v>
      </c>
      <c r="AN146" s="114"/>
      <c r="AO146" s="122">
        <f>IFERROR(__xludf.DUMMYFUNCTION("""COMPUTED_VALUE"""),163.0)</f>
        <v>163</v>
      </c>
      <c r="AP146" s="114" t="str">
        <f>IFERROR(__xludf.DUMMYFUNCTION("""COMPUTED_VALUE"""),"Art_Art")</f>
        <v>Art_Art</v>
      </c>
      <c r="AQ146" s="114" t="str">
        <f>IFERROR(__xludf.DUMMYFUNCTION("""COMPUTED_VALUE"""),"Art_Art")</f>
        <v>Art_Art</v>
      </c>
      <c r="AR146" s="114"/>
      <c r="AS146" s="114"/>
      <c r="AT146" s="123" t="str">
        <f>IFERROR(__xludf.DUMMYFUNCTION("""COMPUTED_VALUE"""),"https://i.postimg.cc/CL5ZHq8t/163.png")</f>
        <v>https://i.postimg.cc/CL5ZHq8t/163.png</v>
      </c>
      <c r="AU146" s="114"/>
      <c r="AV146" s="114"/>
      <c r="AW146" s="114"/>
      <c r="AX146" s="114" t="str">
        <f t="shared" si="3"/>
        <v>163 - Medal [Event] - Crafted - Art_Art</v>
      </c>
      <c r="AY146" s="114" t="s">
        <v>3878</v>
      </c>
      <c r="AZ146" s="114"/>
      <c r="BA146" s="114"/>
      <c r="BB146" s="114"/>
      <c r="BC146" s="114"/>
      <c r="BD146" s="114"/>
      <c r="BE146" s="114"/>
    </row>
    <row r="147" ht="37.5" customHeight="1">
      <c r="A147" s="118" t="s">
        <v>3879</v>
      </c>
      <c r="B147" s="117" t="s">
        <v>3880</v>
      </c>
      <c r="C147" s="119">
        <f>IFERROR(__xludf.DUMMYFUNCTION("""COMPUTED_VALUE"""),196.0)</f>
        <v>196</v>
      </c>
      <c r="D147" s="114" t="str">
        <f>IFERROR(__xludf.DUMMYFUNCTION("""COMPUTED_VALUE"""),"Queen")</f>
        <v>Queen</v>
      </c>
      <c r="E147" s="114" t="str">
        <f>IFERROR(__xludf.DUMMYFUNCTION("""COMPUTED_VALUE"""),"")</f>
        <v/>
      </c>
      <c r="F147" s="114"/>
      <c r="G147" s="114"/>
      <c r="H147" s="114"/>
      <c r="I147" s="114"/>
      <c r="J147" s="114"/>
      <c r="K147" s="114" t="s">
        <v>3881</v>
      </c>
      <c r="L147" s="114" t="s">
        <v>3882</v>
      </c>
      <c r="M147" s="114" t="s">
        <v>3883</v>
      </c>
      <c r="N147" s="114" t="s">
        <v>3884</v>
      </c>
      <c r="O147" s="114"/>
      <c r="P147" s="120">
        <v>196.0</v>
      </c>
      <c r="Q147" s="117" t="s">
        <v>3885</v>
      </c>
      <c r="R147" s="114"/>
      <c r="S147" s="117" t="s">
        <v>3886</v>
      </c>
      <c r="T147" s="114">
        <f t="shared" si="1"/>
        <v>146</v>
      </c>
      <c r="U147" s="114" t="s">
        <v>1209</v>
      </c>
      <c r="V147" s="114" t="str">
        <f>IFERROR(__xludf.DUMMYFUNCTION("REGEXREPLACE(U147, ""\n"", "" "")"),"Fire_Fist Pistol Red Hawk")</f>
        <v>Fire_Fist Pistol Red Hawk</v>
      </c>
      <c r="W147" s="114"/>
      <c r="X147" s="115" t="str">
        <f t="shared" si="2"/>
        <v>146 Luffy &amp; Law Pirate Alliance - Monkey D. Luffy 1 - Medal [Fire_Fist Pistol Red Hawk]</v>
      </c>
      <c r="Y147" s="119"/>
      <c r="Z147" s="117" t="s">
        <v>3887</v>
      </c>
      <c r="AA147" s="117" t="s">
        <v>2460</v>
      </c>
      <c r="AB147" s="114"/>
      <c r="AC147" s="123" t="str">
        <f>IFERROR(__xludf.DUMMYFUNCTION("""COMPUTED_VALUE"""),"https://ik.imagekit.io/alaaalaa6171/197%20The%20Strongest%20Creature%20Alive%20-%20Kaido%20-%20Medal%20_Blast%20Breath_.png?updatedAt=1770076437621")</f>
        <v>https://ik.imagekit.io/alaaalaa6171/197%20The%20Strongest%20Creature%20Alive%20-%20Kaido%20-%20Medal%20_Blast%20Breath_.png?updatedAt=1770076437621</v>
      </c>
      <c r="AD147" s="123" t="str">
        <f>IFERROR(__xludf.DUMMYFUNCTION("""COMPUTED_VALUE"""),"https://ik.imagekit.io/alaaalaa6171/197%20The%20Strongest%20Creature%20Alive%20-%20Kaido%20-%20Medal%20_Blast%20Breath_%20_Colored_.png?updatedAt=1770076437212")</f>
        <v>https://ik.imagekit.io/alaaalaa6171/197%20The%20Strongest%20Creature%20Alive%20-%20Kaido%20-%20Medal%20_Blast%20Breath_%20_Colored_.png?updatedAt=1770076437212</v>
      </c>
      <c r="AE147" s="123" t="str">
        <f>IFERROR(__xludf.DUMMYFUNCTION("""COMPUTED_VALUE"""),"https://ik.imagekit.io/alaaalaa6171/197%20The%20Strongest%20Creature%20Alive%20-%20Kaido%20-%20Medal%20_Blast%20Breath_%20-%20Piece.png?updatedAt=1770076437486")</f>
        <v>https://ik.imagekit.io/alaaalaa6171/197%20The%20Strongest%20Creature%20Alive%20-%20Kaido%20-%20Medal%20_Blast%20Breath_%20-%20Piece.png?updatedAt=1770076437486</v>
      </c>
      <c r="AF147" s="123" t="str">
        <f>IFERROR(__xludf.DUMMYFUNCTION("""COMPUTED_VALUE"""),"https://ik.imagekit.io/alaaalaa6171/197%20The%20Strongest%20Creature%20Alive%20-%20Kaido%20-%20Medal%20_Blast%20Breath_%20-%20Piece%20_Colored_.png?updatedAt=1770076437201")</f>
        <v>https://ik.imagekit.io/alaaalaa6171/197%20The%20Strongest%20Creature%20Alive%20-%20Kaido%20-%20Medal%20_Blast%20Breath_%20-%20Piece%20_Colored_.png?updatedAt=1770076437201</v>
      </c>
      <c r="AG147" s="114"/>
      <c r="AH147" s="114"/>
      <c r="AI147" s="121" t="s">
        <v>3888</v>
      </c>
      <c r="AJ147" s="121" t="str">
        <f>IFERROR(__xludf.DUMMYFUNCTION("regexreplace(regexreplace(AI147, ""  \["", "" ""), ""\]$"", """")"),"146 - Luffy &amp; Law Pirate Alliance ~ Monkey D. Luffy 1 - Medal - Crafted [Colored] - Fire_Fist Pistol Red Hawk")</f>
        <v>146 - Luffy &amp; Law Pirate Alliance ~ Monkey D. Luffy 1 - Medal - Crafted [Colored] - Fire_Fist Pistol Red Hawk</v>
      </c>
      <c r="AK147" s="114"/>
      <c r="AL147" s="117" t="s">
        <v>3889</v>
      </c>
      <c r="AM147" s="117" t="s">
        <v>3890</v>
      </c>
      <c r="AN147" s="114"/>
      <c r="AO147" s="122">
        <f>IFERROR(__xludf.DUMMYFUNCTION("""COMPUTED_VALUE"""),162.0)</f>
        <v>162</v>
      </c>
      <c r="AP147" s="114" t="str">
        <f>IFERROR(__xludf.DUMMYFUNCTION("""COMPUTED_VALUE"""),"Pop_Pop")</f>
        <v>Pop_Pop</v>
      </c>
      <c r="AQ147" s="114" t="str">
        <f>IFERROR(__xludf.DUMMYFUNCTION("""COMPUTED_VALUE"""),"Pop_Pop")</f>
        <v>Pop_Pop</v>
      </c>
      <c r="AR147" s="114"/>
      <c r="AS147" s="114"/>
      <c r="AT147" s="123" t="str">
        <f>IFERROR(__xludf.DUMMYFUNCTION("""COMPUTED_VALUE"""),"https://i.postimg.cc/vHK4PZLm/162.png")</f>
        <v>https://i.postimg.cc/vHK4PZLm/162.png</v>
      </c>
      <c r="AU147" s="114"/>
      <c r="AV147" s="114"/>
      <c r="AW147" s="114"/>
      <c r="AX147" s="114" t="str">
        <f t="shared" si="3"/>
        <v>162 - Medal [Event] - Crafted - Pop_Pop</v>
      </c>
      <c r="AY147" s="114" t="s">
        <v>3891</v>
      </c>
      <c r="AZ147" s="114"/>
      <c r="BA147" s="114"/>
      <c r="BB147" s="114"/>
      <c r="BC147" s="114"/>
      <c r="BD147" s="114"/>
      <c r="BE147" s="114"/>
    </row>
    <row r="148" ht="37.5" customHeight="1">
      <c r="A148" s="118" t="s">
        <v>3892</v>
      </c>
      <c r="B148" s="117" t="s">
        <v>3893</v>
      </c>
      <c r="C148" s="119">
        <f>IFERROR(__xludf.DUMMYFUNCTION("""COMPUTED_VALUE"""),195.0)</f>
        <v>195</v>
      </c>
      <c r="D148" s="114" t="str">
        <f>IFERROR(__xludf.DUMMYFUNCTION("""COMPUTED_VALUE"""),"Jack")</f>
        <v>Jack</v>
      </c>
      <c r="E148" s="114" t="str">
        <f>IFERROR(__xludf.DUMMYFUNCTION("""COMPUTED_VALUE"""),"")</f>
        <v/>
      </c>
      <c r="F148" s="114"/>
      <c r="G148" s="114"/>
      <c r="H148" s="114"/>
      <c r="I148" s="114"/>
      <c r="J148" s="114"/>
      <c r="K148" s="114" t="s">
        <v>3894</v>
      </c>
      <c r="L148" s="114" t="s">
        <v>3895</v>
      </c>
      <c r="M148" s="114" t="s">
        <v>3896</v>
      </c>
      <c r="N148" s="114" t="s">
        <v>3897</v>
      </c>
      <c r="O148" s="114"/>
      <c r="P148" s="120">
        <v>195.0</v>
      </c>
      <c r="Q148" s="117" t="s">
        <v>3898</v>
      </c>
      <c r="R148" s="114"/>
      <c r="S148" s="117" t="s">
        <v>3899</v>
      </c>
      <c r="T148" s="114">
        <f t="shared" si="1"/>
        <v>147</v>
      </c>
      <c r="U148" s="114" t="s">
        <v>1204</v>
      </c>
      <c r="V148" s="114" t="str">
        <f>IFERROR(__xludf.DUMMYFUNCTION("REGEXREPLACE(U148, ""\n"", "" "")"),"The Billion_Fold World Trichiliocosm")</f>
        <v>The Billion_Fold World Trichiliocosm</v>
      </c>
      <c r="W148" s="114"/>
      <c r="X148" s="115" t="str">
        <f t="shared" si="2"/>
        <v>147 The Billion-Fold World Trichiliocosm - Roronoa Zoro - Medal [The Billion_Fold World Trichiliocosm]</v>
      </c>
      <c r="Y148" s="119"/>
      <c r="Z148" s="117" t="s">
        <v>3900</v>
      </c>
      <c r="AA148" s="117" t="s">
        <v>2462</v>
      </c>
      <c r="AB148" s="114"/>
      <c r="AC148" s="123" t="str">
        <f>IFERROR(__xludf.DUMMYFUNCTION("""COMPUTED_VALUE"""),"https://ik.imagekit.io/alaaalaa6171/196%20Animal%20Kingdom%20Pirates_Lead%20Performer%20-%20Queen%20-%20Medal%20_Queen_.png?updatedAt=1770076437189")</f>
        <v>https://ik.imagekit.io/alaaalaa6171/196%20Animal%20Kingdom%20Pirates_Lead%20Performer%20-%20Queen%20-%20Medal%20_Queen_.png?updatedAt=1770076437189</v>
      </c>
      <c r="AD148" s="123" t="str">
        <f>IFERROR(__xludf.DUMMYFUNCTION("""COMPUTED_VALUE"""),"https://ik.imagekit.io/alaaalaa6171/196%20Animal%20Kingdom%20Pirates_Lead%20Performer%20-%20Queen%20-%20Medal%20_Queen_%20_Colored_.png?updatedAt=1770076437187")</f>
        <v>https://ik.imagekit.io/alaaalaa6171/196%20Animal%20Kingdom%20Pirates_Lead%20Performer%20-%20Queen%20-%20Medal%20_Queen_%20_Colored_.png?updatedAt=1770076437187</v>
      </c>
      <c r="AE148" s="123" t="str">
        <f>IFERROR(__xludf.DUMMYFUNCTION("""COMPUTED_VALUE"""),"https://ik.imagekit.io/alaaalaa6171/196%20Animal%20Kingdom%20Pirates_Lead%20Performer%20-%20Queen%20-%20Medal%20_Queen_%20-%20Piece.png?updatedAt=1770076437228")</f>
        <v>https://ik.imagekit.io/alaaalaa6171/196%20Animal%20Kingdom%20Pirates_Lead%20Performer%20-%20Queen%20-%20Medal%20_Queen_%20-%20Piece.png?updatedAt=1770076437228</v>
      </c>
      <c r="AF148" s="123" t="str">
        <f>IFERROR(__xludf.DUMMYFUNCTION("""COMPUTED_VALUE"""),"https://ik.imagekit.io/alaaalaa6171/196%20Animal%20Kingdom%20Pirates_Lead%20Performer%20-%20Queen%20-%20Medal%20_Queen_%20-%20Piece%20_Colored_.png?updatedAt=1770076437229")</f>
        <v>https://ik.imagekit.io/alaaalaa6171/196%20Animal%20Kingdom%20Pirates_Lead%20Performer%20-%20Queen%20-%20Medal%20_Queen_%20-%20Piece%20_Colored_.png?updatedAt=1770076437229</v>
      </c>
      <c r="AG148" s="114"/>
      <c r="AH148" s="114"/>
      <c r="AI148" s="121" t="s">
        <v>3901</v>
      </c>
      <c r="AJ148" s="121" t="str">
        <f>IFERROR(__xludf.DUMMYFUNCTION("regexreplace(regexreplace(AI148, ""  \["", "" ""), ""\]$"", """")"),"147 - The Billion-Fold World Trichiliocosm ~ Roronoa Zoro - Medal - Crafted [Colored] - The Billion_Fold World Trichiliocosm")</f>
        <v>147 - The Billion-Fold World Trichiliocosm ~ Roronoa Zoro - Medal - Crafted [Colored] - The Billion_Fold World Trichiliocosm</v>
      </c>
      <c r="AK148" s="114"/>
      <c r="AL148" s="117" t="s">
        <v>3902</v>
      </c>
      <c r="AM148" s="117" t="s">
        <v>3903</v>
      </c>
      <c r="AN148" s="114"/>
      <c r="AO148" s="122">
        <f>IFERROR(__xludf.DUMMYFUNCTION("""COMPUTED_VALUE"""),161.0)</f>
        <v>161</v>
      </c>
      <c r="AP148" s="114" t="str">
        <f>IFERROR(__xludf.DUMMYFUNCTION("""COMPUTED_VALUE"""),"Rockstar
(FILM RED)")</f>
        <v>Rockstar
(FILM RED)</v>
      </c>
      <c r="AQ148" s="114" t="str">
        <f>IFERROR(__xludf.DUMMYFUNCTION("""COMPUTED_VALUE"""),"Rockstar (FILM RED)")</f>
        <v>Rockstar (FILM RED)</v>
      </c>
      <c r="AR148" s="114"/>
      <c r="AS148" s="114"/>
      <c r="AT148" s="123" t="str">
        <f>IFERROR(__xludf.DUMMYFUNCTION("""COMPUTED_VALUE"""),"https://i.postimg.cc/ht7fNRp1/161.png")</f>
        <v>https://i.postimg.cc/ht7fNRp1/161.png</v>
      </c>
      <c r="AU148" s="114"/>
      <c r="AV148" s="114"/>
      <c r="AW148" s="114"/>
      <c r="AX148" s="114" t="str">
        <f t="shared" si="3"/>
        <v>161 - Medal [Event] - Crafted - Rockstar (FILM RED)</v>
      </c>
      <c r="AY148" s="114" t="s">
        <v>3904</v>
      </c>
      <c r="AZ148" s="114"/>
      <c r="BA148" s="114"/>
      <c r="BB148" s="114"/>
      <c r="BC148" s="114"/>
      <c r="BD148" s="114"/>
      <c r="BE148" s="114"/>
    </row>
    <row r="149" ht="37.5" customHeight="1">
      <c r="A149" s="118" t="s">
        <v>3905</v>
      </c>
      <c r="B149" s="117" t="s">
        <v>3906</v>
      </c>
      <c r="C149" s="119">
        <f>IFERROR(__xludf.DUMMYFUNCTION("""COMPUTED_VALUE"""),194.0)</f>
        <v>194</v>
      </c>
      <c r="D149" s="114" t="str">
        <f>IFERROR(__xludf.DUMMYFUNCTION("""COMPUTED_VALUE"""),"Kaido`s Son")</f>
        <v>Kaido`s Son</v>
      </c>
      <c r="E149" s="114" t="str">
        <f>IFERROR(__xludf.DUMMYFUNCTION("""COMPUTED_VALUE"""),"")</f>
        <v/>
      </c>
      <c r="F149" s="114"/>
      <c r="G149" s="114"/>
      <c r="H149" s="114"/>
      <c r="I149" s="114"/>
      <c r="J149" s="114"/>
      <c r="K149" s="114" t="s">
        <v>3907</v>
      </c>
      <c r="L149" s="114" t="s">
        <v>3908</v>
      </c>
      <c r="M149" s="114" t="s">
        <v>3909</v>
      </c>
      <c r="N149" s="114" t="s">
        <v>3910</v>
      </c>
      <c r="O149" s="114"/>
      <c r="P149" s="120">
        <v>194.0</v>
      </c>
      <c r="Q149" s="117" t="s">
        <v>3911</v>
      </c>
      <c r="R149" s="114"/>
      <c r="S149" s="117" t="s">
        <v>3912</v>
      </c>
      <c r="T149" s="114">
        <f t="shared" si="1"/>
        <v>148</v>
      </c>
      <c r="U149" s="114" t="s">
        <v>1198</v>
      </c>
      <c r="V149" s="114" t="str">
        <f>IFERROR(__xludf.DUMMYFUNCTION("REGEXREPLACE(U149, ""\n"", "" "")"),"Sky Walk")</f>
        <v>Sky Walk</v>
      </c>
      <c r="W149" s="114"/>
      <c r="X149" s="115" t="str">
        <f t="shared" si="2"/>
        <v>148 Royal Wedding - Sanji - Medal [Sky Walk]</v>
      </c>
      <c r="Y149" s="119"/>
      <c r="Z149" s="117" t="s">
        <v>3913</v>
      </c>
      <c r="AA149" s="117" t="s">
        <v>2463</v>
      </c>
      <c r="AB149" s="114"/>
      <c r="AC149" s="123" t="str">
        <f>IFERROR(__xludf.DUMMYFUNCTION("""COMPUTED_VALUE"""),"https://ik.imagekit.io/alaaalaa6171/195%20Animal%20Kingdom%20Pirates_Lead%20Performer%20-%20Jack%20-%20Medal%20_Jack_.png?updatedAt=1770076437208")</f>
        <v>https://ik.imagekit.io/alaaalaa6171/195%20Animal%20Kingdom%20Pirates_Lead%20Performer%20-%20Jack%20-%20Medal%20_Jack_.png?updatedAt=1770076437208</v>
      </c>
      <c r="AD149" s="123" t="str">
        <f>IFERROR(__xludf.DUMMYFUNCTION("""COMPUTED_VALUE"""),"https://ik.imagekit.io/alaaalaa6171/195%20Animal%20Kingdom%20Pirates_Lead%20Performer%20-%20Jack%20-%20Medal%20_Jack_%20_Colored_.png?updatedAt=1770076437222")</f>
        <v>https://ik.imagekit.io/alaaalaa6171/195%20Animal%20Kingdom%20Pirates_Lead%20Performer%20-%20Jack%20-%20Medal%20_Jack_%20_Colored_.png?updatedAt=1770076437222</v>
      </c>
      <c r="AE149" s="123" t="str">
        <f>IFERROR(__xludf.DUMMYFUNCTION("""COMPUTED_VALUE"""),"https://ik.imagekit.io/alaaalaa6171/195%20Animal%20Kingdom%20Pirates_Lead%20Performer%20-%20Jack%20-%20Medal%20_Jack_%20-%20Piece.png?updatedAt=1770076437155")</f>
        <v>https://ik.imagekit.io/alaaalaa6171/195%20Animal%20Kingdom%20Pirates_Lead%20Performer%20-%20Jack%20-%20Medal%20_Jack_%20-%20Piece.png?updatedAt=1770076437155</v>
      </c>
      <c r="AF149" s="123" t="str">
        <f>IFERROR(__xludf.DUMMYFUNCTION("""COMPUTED_VALUE"""),"https://ik.imagekit.io/alaaalaa6171/195%20Animal%20Kingdom%20Pirates_Lead%20Performer%20-%20Jack%20-%20Medal%20_Jack_%20-%20Piece%20_Colored_.png?updatedAt=1770076437167")</f>
        <v>https://ik.imagekit.io/alaaalaa6171/195%20Animal%20Kingdom%20Pirates_Lead%20Performer%20-%20Jack%20-%20Medal%20_Jack_%20-%20Piece%20_Colored_.png?updatedAt=1770076437167</v>
      </c>
      <c r="AG149" s="114"/>
      <c r="AH149" s="114"/>
      <c r="AI149" s="121" t="s">
        <v>3914</v>
      </c>
      <c r="AJ149" s="121" t="str">
        <f>IFERROR(__xludf.DUMMYFUNCTION("regexreplace(regexreplace(AI149, ""  \["", "" ""), ""\]$"", """")"),"148 - Royal Wedding ~ Sanji - Medal - Crafted [Colored] - Sky Walk")</f>
        <v>148 - Royal Wedding ~ Sanji - Medal - Crafted [Colored] - Sky Walk</v>
      </c>
      <c r="AK149" s="114"/>
      <c r="AL149" s="117" t="s">
        <v>3915</v>
      </c>
      <c r="AM149" s="117" t="s">
        <v>3916</v>
      </c>
      <c r="AN149" s="114"/>
      <c r="AO149" s="122">
        <f>IFERROR(__xludf.DUMMYFUNCTION("""COMPUTED_VALUE"""),160.0)</f>
        <v>160</v>
      </c>
      <c r="AP149" s="114" t="str">
        <f>IFERROR(__xludf.DUMMYFUNCTION("""COMPUTED_VALUE"""),"Sunny_Kun
(FILM RED)")</f>
        <v>Sunny_Kun
(FILM RED)</v>
      </c>
      <c r="AQ149" s="114" t="str">
        <f>IFERROR(__xludf.DUMMYFUNCTION("""COMPUTED_VALUE"""),"Sunny_Kun (FILM RED)")</f>
        <v>Sunny_Kun (FILM RED)</v>
      </c>
      <c r="AR149" s="114"/>
      <c r="AS149" s="114"/>
      <c r="AT149" s="123" t="str">
        <f>IFERROR(__xludf.DUMMYFUNCTION("""COMPUTED_VALUE"""),"https://i.postimg.cc/25RVD9tR/160.png")</f>
        <v>https://i.postimg.cc/25RVD9tR/160.png</v>
      </c>
      <c r="AU149" s="114"/>
      <c r="AV149" s="114"/>
      <c r="AW149" s="114"/>
      <c r="AX149" s="114" t="str">
        <f t="shared" si="3"/>
        <v>160 - Medal [Event] - Crafted - Sunny_Kun (FILM RED)</v>
      </c>
      <c r="AY149" s="114" t="s">
        <v>3917</v>
      </c>
      <c r="AZ149" s="114"/>
      <c r="BA149" s="114"/>
      <c r="BB149" s="114"/>
      <c r="BC149" s="114"/>
      <c r="BD149" s="114"/>
      <c r="BE149" s="114"/>
    </row>
    <row r="150" ht="37.5" customHeight="1">
      <c r="A150" s="118" t="s">
        <v>3918</v>
      </c>
      <c r="B150" s="117" t="s">
        <v>3919</v>
      </c>
      <c r="C150" s="119">
        <f>IFERROR(__xludf.DUMMYFUNCTION("""COMPUTED_VALUE"""),193.0)</f>
        <v>193</v>
      </c>
      <c r="D150" s="114" t="str">
        <f>IFERROR(__xludf.DUMMYFUNCTION("""COMPUTED_VALUE"""),"Izo")</f>
        <v>Izo</v>
      </c>
      <c r="E150" s="114" t="str">
        <f>IFERROR(__xludf.DUMMYFUNCTION("""COMPUTED_VALUE"""),"")</f>
        <v/>
      </c>
      <c r="F150" s="114"/>
      <c r="G150" s="114"/>
      <c r="H150" s="114"/>
      <c r="I150" s="114"/>
      <c r="J150" s="114"/>
      <c r="K150" s="114" t="s">
        <v>3920</v>
      </c>
      <c r="L150" s="114" t="s">
        <v>3921</v>
      </c>
      <c r="M150" s="114" t="s">
        <v>3922</v>
      </c>
      <c r="N150" s="114" t="s">
        <v>3923</v>
      </c>
      <c r="O150" s="114"/>
      <c r="P150" s="120">
        <v>193.0</v>
      </c>
      <c r="Q150" s="117" t="s">
        <v>3924</v>
      </c>
      <c r="R150" s="114"/>
      <c r="S150" s="117" t="s">
        <v>3925</v>
      </c>
      <c r="T150" s="114">
        <f t="shared" si="1"/>
        <v>149</v>
      </c>
      <c r="U150" s="114" t="s">
        <v>1191</v>
      </c>
      <c r="V150" s="114" t="str">
        <f>IFERROR(__xludf.DUMMYFUNCTION("REGEXREPLACE(U150, ""\n"", "" "")"),"Cross Fire")</f>
        <v>Cross Fire</v>
      </c>
      <c r="W150" s="114"/>
      <c r="X150" s="115" t="str">
        <f t="shared" si="2"/>
        <v>149 Fire Fist - Portgaz D. Ace 1 - Medal [Cross Fire]</v>
      </c>
      <c r="Y150" s="119"/>
      <c r="Z150" s="117" t="s">
        <v>3926</v>
      </c>
      <c r="AA150" s="117" t="s">
        <v>2461</v>
      </c>
      <c r="AB150" s="114"/>
      <c r="AC150" s="123" t="str">
        <f>IFERROR(__xludf.DUMMYFUNCTION("""COMPUTED_VALUE"""),"https://ik.imagekit.io/alaaalaa6171/194%20Kaido%60s%20Son%20-%20Yamato%20-%20Medal%20_Kaido%60s%20Son_.png?updatedAt=1770076437212")</f>
        <v>https://ik.imagekit.io/alaaalaa6171/194%20Kaido%60s%20Son%20-%20Yamato%20-%20Medal%20_Kaido%60s%20Son_.png?updatedAt=1770076437212</v>
      </c>
      <c r="AD150" s="123" t="str">
        <f>IFERROR(__xludf.DUMMYFUNCTION("""COMPUTED_VALUE"""),"https://ik.imagekit.io/alaaalaa6171/194%20Kaido%60s%20Son%20-%20Yamato%20-%20Medal%20_Kaido%60s%20Son_%20_Colored_.png?updatedAt=1770076437629")</f>
        <v>https://ik.imagekit.io/alaaalaa6171/194%20Kaido%60s%20Son%20-%20Yamato%20-%20Medal%20_Kaido%60s%20Son_%20_Colored_.png?updatedAt=1770076437629</v>
      </c>
      <c r="AE150" s="123" t="str">
        <f>IFERROR(__xludf.DUMMYFUNCTION("""COMPUTED_VALUE"""),"https://ik.imagekit.io/alaaalaa6171/194%20Kaido%60s%20Son%20-%20Yamato%20-%20Medal%20_Kaido%60s%20Son_%20-%20Piece.png?updatedAt=1770076437202")</f>
        <v>https://ik.imagekit.io/alaaalaa6171/194%20Kaido%60s%20Son%20-%20Yamato%20-%20Medal%20_Kaido%60s%20Son_%20-%20Piece.png?updatedAt=1770076437202</v>
      </c>
      <c r="AF150" s="123" t="str">
        <f>IFERROR(__xludf.DUMMYFUNCTION("""COMPUTED_VALUE"""),"https://ik.imagekit.io/alaaalaa6171/194%20Kaido%60s%20Son%20-%20Yamato%20-%20Medal%20_Kaido%60s%20Son_%20-%20Piece%20_Colored_.png?updatedAt=1770076437219")</f>
        <v>https://ik.imagekit.io/alaaalaa6171/194%20Kaido%60s%20Son%20-%20Yamato%20-%20Medal%20_Kaido%60s%20Son_%20-%20Piece%20_Colored_.png?updatedAt=1770076437219</v>
      </c>
      <c r="AG150" s="114"/>
      <c r="AH150" s="114"/>
      <c r="AI150" s="121" t="s">
        <v>3927</v>
      </c>
      <c r="AJ150" s="121" t="str">
        <f>IFERROR(__xludf.DUMMYFUNCTION("regexreplace(regexreplace(AI150, ""  \["", "" ""), ""\]$"", """")"),"149 - Fire Fist ~ Portgaz D. Ace 1 - Medal - Crafted [Colored] - Cross Fire")</f>
        <v>149 - Fire Fist ~ Portgaz D. Ace 1 - Medal - Crafted [Colored] - Cross Fire</v>
      </c>
      <c r="AK150" s="114"/>
      <c r="AL150" s="117" t="s">
        <v>3928</v>
      </c>
      <c r="AM150" s="117" t="s">
        <v>3929</v>
      </c>
      <c r="AN150" s="114"/>
      <c r="AO150" s="122">
        <f>IFERROR(__xludf.DUMMYFUNCTION("""COMPUTED_VALUE"""),159.0)</f>
        <v>159</v>
      </c>
      <c r="AP150" s="114" t="str">
        <f>IFERROR(__xludf.DUMMYFUNCTION("""COMPUTED_VALUE"""),"Brook
(FILM RED)")</f>
        <v>Brook
(FILM RED)</v>
      </c>
      <c r="AQ150" s="114" t="str">
        <f>IFERROR(__xludf.DUMMYFUNCTION("""COMPUTED_VALUE"""),"Brook (FILM RED)")</f>
        <v>Brook (FILM RED)</v>
      </c>
      <c r="AR150" s="114"/>
      <c r="AS150" s="114"/>
      <c r="AT150" s="123" t="str">
        <f>IFERROR(__xludf.DUMMYFUNCTION("""COMPUTED_VALUE"""),"https://i.postimg.cc/25Q38Fpq/159.png")</f>
        <v>https://i.postimg.cc/25Q38Fpq/159.png</v>
      </c>
      <c r="AU150" s="114"/>
      <c r="AV150" s="114"/>
      <c r="AW150" s="114"/>
      <c r="AX150" s="114" t="str">
        <f t="shared" si="3"/>
        <v>159 - Medal [Event] - Crafted - Brook (FILM RED)</v>
      </c>
      <c r="AY150" s="114" t="s">
        <v>3930</v>
      </c>
      <c r="AZ150" s="114"/>
      <c r="BA150" s="114"/>
      <c r="BB150" s="114"/>
      <c r="BC150" s="114"/>
      <c r="BD150" s="114"/>
      <c r="BE150" s="114"/>
    </row>
    <row r="151" ht="37.5" customHeight="1">
      <c r="A151" s="118" t="s">
        <v>3931</v>
      </c>
      <c r="B151" s="117" t="s">
        <v>3932</v>
      </c>
      <c r="C151" s="119">
        <f>IFERROR(__xludf.DUMMYFUNCTION("""COMPUTED_VALUE"""),192.0)</f>
        <v>192</v>
      </c>
      <c r="D151" s="114" t="str">
        <f>IFERROR(__xludf.DUMMYFUNCTION("""COMPUTED_VALUE"""),"Kanjuro")</f>
        <v>Kanjuro</v>
      </c>
      <c r="E151" s="114" t="str">
        <f>IFERROR(__xludf.DUMMYFUNCTION("""COMPUTED_VALUE"""),"")</f>
        <v/>
      </c>
      <c r="F151" s="114"/>
      <c r="G151" s="114"/>
      <c r="H151" s="114"/>
      <c r="I151" s="114"/>
      <c r="J151" s="114"/>
      <c r="K151" s="114" t="s">
        <v>3933</v>
      </c>
      <c r="L151" s="114" t="s">
        <v>3934</v>
      </c>
      <c r="M151" s="114" t="s">
        <v>3935</v>
      </c>
      <c r="N151" s="114" t="s">
        <v>3936</v>
      </c>
      <c r="O151" s="114"/>
      <c r="P151" s="120">
        <v>192.0</v>
      </c>
      <c r="Q151" s="117" t="s">
        <v>3937</v>
      </c>
      <c r="R151" s="114"/>
      <c r="S151" s="117" t="s">
        <v>3938</v>
      </c>
      <c r="T151" s="114">
        <f t="shared" si="1"/>
        <v>153</v>
      </c>
      <c r="U151" s="114" t="s">
        <v>1168</v>
      </c>
      <c r="V151" s="114" t="str">
        <f>IFERROR(__xludf.DUMMYFUNCTION("REGEXREPLACE(U151, ""\n"", "" "")"),"Chopperemon")</f>
        <v>Chopperemon</v>
      </c>
      <c r="W151" s="114"/>
      <c r="X151" s="115" t="str">
        <f t="shared" si="2"/>
        <v>153 Land of Wano - Chopperemon - Medal [Chopperemon]</v>
      </c>
      <c r="Y151" s="119"/>
      <c r="Z151" s="117" t="s">
        <v>3939</v>
      </c>
      <c r="AA151" s="117" t="s">
        <v>2473</v>
      </c>
      <c r="AB151" s="114"/>
      <c r="AC151" s="123" t="str">
        <f>IFERROR(__xludf.DUMMYFUNCTION("""COMPUTED_VALUE"""),"https://ik.imagekit.io/alaaalaa6171/193%20Former%20Whitebeard%20Pirates_16th%20Division%20Commander%20-%20Izo%20-%20Medal%20_Izo_.png?updatedAt=1770076437182")</f>
        <v>https://ik.imagekit.io/alaaalaa6171/193%20Former%20Whitebeard%20Pirates_16th%20Division%20Commander%20-%20Izo%20-%20Medal%20_Izo_.png?updatedAt=1770076437182</v>
      </c>
      <c r="AD151" s="123" t="str">
        <f>IFERROR(__xludf.DUMMYFUNCTION("""COMPUTED_VALUE"""),"https://ik.imagekit.io/alaaalaa6171/193%20Former%20Whitebeard%20Pirates_16th%20Division%20Commander%20-%20Izo%20-%20Medal%20_Izo_%20_Colored_.png?updatedAt=1770076437136")</f>
        <v>https://ik.imagekit.io/alaaalaa6171/193%20Former%20Whitebeard%20Pirates_16th%20Division%20Commander%20-%20Izo%20-%20Medal%20_Izo_%20_Colored_.png?updatedAt=1770076437136</v>
      </c>
      <c r="AE151" s="123" t="str">
        <f>IFERROR(__xludf.DUMMYFUNCTION("""COMPUTED_VALUE"""),"https://ik.imagekit.io/alaaalaa6171/193%20Former%20Whitebeard%20Pirates_16th%20Division%20Commander%20-%20Izo%20-%20Medal%20_Izo_%20-%20Piece.png?updatedAt=1770076437146")</f>
        <v>https://ik.imagekit.io/alaaalaa6171/193%20Former%20Whitebeard%20Pirates_16th%20Division%20Commander%20-%20Izo%20-%20Medal%20_Izo_%20-%20Piece.png?updatedAt=1770076437146</v>
      </c>
      <c r="AF151" s="123" t="str">
        <f>IFERROR(__xludf.DUMMYFUNCTION("""COMPUTED_VALUE"""),"https://ik.imagekit.io/alaaalaa6171/193%20Former%20Whitebeard%20Pirates_16th%20Division%20Commander%20-%20Izo%20-%20Medal%20_Izo_%20-%20Piece%20_Colored_.png?updatedAt=1770076437191")</f>
        <v>https://ik.imagekit.io/alaaalaa6171/193%20Former%20Whitebeard%20Pirates_16th%20Division%20Commander%20-%20Izo%20-%20Medal%20_Izo_%20-%20Piece%20_Colored_.png?updatedAt=1770076437191</v>
      </c>
      <c r="AG151" s="114"/>
      <c r="AH151" s="114"/>
      <c r="AI151" s="121" t="s">
        <v>3940</v>
      </c>
      <c r="AJ151" s="121" t="str">
        <f>IFERROR(__xludf.DUMMYFUNCTION("regexreplace(regexreplace(AI151, ""  \["", "" ""), ""\]$"", """")"),"150 - Daimyo of Kuri ~ Kozuki Oden - Medal - Crafted [Colored] - Kozuki Oden")</f>
        <v>150 - Daimyo of Kuri ~ Kozuki Oden - Medal - Crafted [Colored] - Kozuki Oden</v>
      </c>
      <c r="AK151" s="114"/>
      <c r="AL151" s="117" t="s">
        <v>3941</v>
      </c>
      <c r="AM151" s="117" t="s">
        <v>3942</v>
      </c>
      <c r="AN151" s="114"/>
      <c r="AO151" s="122">
        <f>IFERROR(__xludf.DUMMYFUNCTION("""COMPUTED_VALUE"""),158.0)</f>
        <v>158</v>
      </c>
      <c r="AP151" s="114" t="str">
        <f>IFERROR(__xludf.DUMMYFUNCTION("""COMPUTED_VALUE"""),"Franky
(FILM RED)")</f>
        <v>Franky
(FILM RED)</v>
      </c>
      <c r="AQ151" s="114" t="str">
        <f>IFERROR(__xludf.DUMMYFUNCTION("""COMPUTED_VALUE"""),"Franky (FILM RED)")</f>
        <v>Franky (FILM RED)</v>
      </c>
      <c r="AR151" s="114"/>
      <c r="AS151" s="114"/>
      <c r="AT151" s="123" t="str">
        <f>IFERROR(__xludf.DUMMYFUNCTION("""COMPUTED_VALUE"""),"https://i.postimg.cc/mDTkczRm/158.png")</f>
        <v>https://i.postimg.cc/mDTkczRm/158.png</v>
      </c>
      <c r="AU151" s="114"/>
      <c r="AV151" s="114"/>
      <c r="AW151" s="114"/>
      <c r="AX151" s="114" t="str">
        <f t="shared" si="3"/>
        <v>158 - Medal [Event] - Crafted - Franky (FILM RED)</v>
      </c>
      <c r="AY151" s="114" t="s">
        <v>3943</v>
      </c>
      <c r="AZ151" s="114"/>
      <c r="BA151" s="114"/>
      <c r="BB151" s="114"/>
      <c r="BC151" s="114"/>
      <c r="BD151" s="114"/>
      <c r="BE151" s="114"/>
    </row>
    <row r="152" ht="37.5" customHeight="1">
      <c r="A152" s="118" t="s">
        <v>3944</v>
      </c>
      <c r="B152" s="117" t="s">
        <v>3945</v>
      </c>
      <c r="C152" s="119">
        <f>IFERROR(__xludf.DUMMYFUNCTION("""COMPUTED_VALUE"""),191.0)</f>
        <v>191</v>
      </c>
      <c r="D152" s="114" t="str">
        <f>IFERROR(__xludf.DUMMYFUNCTION("""COMPUTED_VALUE"""),"The Dark King")</f>
        <v>The Dark King</v>
      </c>
      <c r="E152" s="114" t="str">
        <f>IFERROR(__xludf.DUMMYFUNCTION("""COMPUTED_VALUE"""),"")</f>
        <v/>
      </c>
      <c r="F152" s="114"/>
      <c r="G152" s="114"/>
      <c r="H152" s="114"/>
      <c r="I152" s="114"/>
      <c r="J152" s="114"/>
      <c r="K152" s="114" t="s">
        <v>3946</v>
      </c>
      <c r="L152" s="114" t="s">
        <v>3947</v>
      </c>
      <c r="M152" s="114" t="s">
        <v>3948</v>
      </c>
      <c r="N152" s="114" t="s">
        <v>3949</v>
      </c>
      <c r="O152" s="114"/>
      <c r="P152" s="120">
        <v>191.0</v>
      </c>
      <c r="Q152" s="117" t="s">
        <v>3950</v>
      </c>
      <c r="R152" s="114"/>
      <c r="S152" s="117" t="s">
        <v>3951</v>
      </c>
      <c r="T152" s="114">
        <f t="shared" si="1"/>
        <v>152</v>
      </c>
      <c r="U152" s="114" t="s">
        <v>1175</v>
      </c>
      <c r="V152" s="114" t="str">
        <f>IFERROR(__xludf.DUMMYFUNCTION("REGEXREPLACE(U152, ""\n"", "" "")"),"Kawamatsu")</f>
        <v>Kawamatsu</v>
      </c>
      <c r="W152" s="114"/>
      <c r="X152" s="115" t="str">
        <f t="shared" si="2"/>
        <v>152 Kozuki Clan / Servant - Kawamatsu - Medal [Kawamatsu]</v>
      </c>
      <c r="Y152" s="119"/>
      <c r="Z152" s="117" t="s">
        <v>3952</v>
      </c>
      <c r="AA152" s="117" t="s">
        <v>2475</v>
      </c>
      <c r="AB152" s="114"/>
      <c r="AC152" s="123" t="str">
        <f>IFERROR(__xludf.DUMMYFUNCTION("""COMPUTED_VALUE"""),"https://ik.imagekit.io/alaaalaa6171/192%20Kurozumi%20Spy%20-%20Kurozumi%20Kanjuro%20-%20Medal%20_Kanjuro_.png?updatedAt=1770076437222")</f>
        <v>https://ik.imagekit.io/alaaalaa6171/192%20Kurozumi%20Spy%20-%20Kurozumi%20Kanjuro%20-%20Medal%20_Kanjuro_.png?updatedAt=1770076437222</v>
      </c>
      <c r="AD152" s="123" t="str">
        <f>IFERROR(__xludf.DUMMYFUNCTION("""COMPUTED_VALUE"""),"https://ik.imagekit.io/alaaalaa6171/192%20Kurozumi%20Spy%20-%20Kurozumi%20Kanjuro%20-%20Medal%20_Kanjuro_%20_Colored_.png?updatedAt=1770076437195")</f>
        <v>https://ik.imagekit.io/alaaalaa6171/192%20Kurozumi%20Spy%20-%20Kurozumi%20Kanjuro%20-%20Medal%20_Kanjuro_%20_Colored_.png?updatedAt=1770076437195</v>
      </c>
      <c r="AE152" s="123" t="str">
        <f>IFERROR(__xludf.DUMMYFUNCTION("""COMPUTED_VALUE"""),"https://ik.imagekit.io/alaaalaa6171/192%20Kurozumi%20Spy%20-%20Kurozumi%20Kanjuro%20-%20Medal%20_Kanjuro_%20-%20Piece.png?updatedAt=1770076437196")</f>
        <v>https://ik.imagekit.io/alaaalaa6171/192%20Kurozumi%20Spy%20-%20Kurozumi%20Kanjuro%20-%20Medal%20_Kanjuro_%20-%20Piece.png?updatedAt=1770076437196</v>
      </c>
      <c r="AF152" s="123" t="str">
        <f>IFERROR(__xludf.DUMMYFUNCTION("""COMPUTED_VALUE"""),"https://ik.imagekit.io/alaaalaa6171/192%20Kurozumi%20Spy%20-%20Kurozumi%20Kanjuro%20-%20Medal%20_Kanjuro_%20-%20Piece%20_Colored_.png?updatedAt=1770076437174")</f>
        <v>https://ik.imagekit.io/alaaalaa6171/192%20Kurozumi%20Spy%20-%20Kurozumi%20Kanjuro%20-%20Medal%20_Kanjuro_%20-%20Piece%20_Colored_.png?updatedAt=1770076437174</v>
      </c>
      <c r="AG152" s="114"/>
      <c r="AH152" s="114"/>
      <c r="AI152" s="121" t="s">
        <v>3953</v>
      </c>
      <c r="AJ152" s="121" t="str">
        <f>IFERROR(__xludf.DUMMYFUNCTION("regexreplace(regexreplace(AI152, ""  \["", "" ""), ""\]$"", """")"),"151 - Most Handsome Swordman in the Land of Wano ~ Kikunojo - Medal - Crafted [Colored] - Kikunojo")</f>
        <v>151 - Most Handsome Swordman in the Land of Wano ~ Kikunojo - Medal - Crafted [Colored] - Kikunojo</v>
      </c>
      <c r="AK152" s="114"/>
      <c r="AL152" s="117" t="s">
        <v>3954</v>
      </c>
      <c r="AM152" s="117" t="s">
        <v>3955</v>
      </c>
      <c r="AN152" s="114"/>
      <c r="AO152" s="122">
        <f>IFERROR(__xludf.DUMMYFUNCTION("""COMPUTED_VALUE"""),157.0)</f>
        <v>157</v>
      </c>
      <c r="AP152" s="114" t="str">
        <f>IFERROR(__xludf.DUMMYFUNCTION("""COMPUTED_VALUE"""),"Limejuice
(FILM RED)")</f>
        <v>Limejuice
(FILM RED)</v>
      </c>
      <c r="AQ152" s="114" t="str">
        <f>IFERROR(__xludf.DUMMYFUNCTION("""COMPUTED_VALUE"""),"Limejuice (FILM RED)")</f>
        <v>Limejuice (FILM RED)</v>
      </c>
      <c r="AR152" s="114"/>
      <c r="AS152" s="114"/>
      <c r="AT152" s="123" t="str">
        <f>IFERROR(__xludf.DUMMYFUNCTION("""COMPUTED_VALUE"""),"https://i.postimg.cc/26T6nkSr/157.png")</f>
        <v>https://i.postimg.cc/26T6nkSr/157.png</v>
      </c>
      <c r="AU152" s="114"/>
      <c r="AV152" s="114"/>
      <c r="AW152" s="114"/>
      <c r="AX152" s="114" t="str">
        <f t="shared" si="3"/>
        <v>157 - Medal [Event] - Crafted - Limejuice (FILM RED)</v>
      </c>
      <c r="AY152" s="114" t="s">
        <v>3956</v>
      </c>
      <c r="AZ152" s="114"/>
      <c r="BA152" s="114"/>
      <c r="BB152" s="114"/>
      <c r="BC152" s="114"/>
      <c r="BD152" s="114"/>
      <c r="BE152" s="114"/>
    </row>
    <row r="153" ht="37.5" customHeight="1">
      <c r="A153" s="118" t="s">
        <v>3957</v>
      </c>
      <c r="B153" s="117" t="s">
        <v>3958</v>
      </c>
      <c r="C153" s="119">
        <f>IFERROR(__xludf.DUMMYFUNCTION("""COMPUTED_VALUE"""),190.0)</f>
        <v>190</v>
      </c>
      <c r="D153" s="114" t="str">
        <f>IFERROR(__xludf.DUMMYFUNCTION("""COMPUTED_VALUE"""),"Boss")</f>
        <v>Boss</v>
      </c>
      <c r="E153" s="114" t="str">
        <f>IFERROR(__xludf.DUMMYFUNCTION("""COMPUTED_VALUE"""),"")</f>
        <v/>
      </c>
      <c r="F153" s="114"/>
      <c r="G153" s="114"/>
      <c r="H153" s="114"/>
      <c r="I153" s="114"/>
      <c r="J153" s="114"/>
      <c r="K153" s="114" t="s">
        <v>3959</v>
      </c>
      <c r="L153" s="114" t="s">
        <v>3960</v>
      </c>
      <c r="M153" s="114" t="s">
        <v>3961</v>
      </c>
      <c r="N153" s="114" t="s">
        <v>3962</v>
      </c>
      <c r="O153" s="114"/>
      <c r="P153" s="120">
        <v>190.0</v>
      </c>
      <c r="Q153" s="117" t="s">
        <v>3963</v>
      </c>
      <c r="R153" s="114"/>
      <c r="S153" s="117" t="s">
        <v>3964</v>
      </c>
      <c r="T153" s="114">
        <f t="shared" si="1"/>
        <v>150</v>
      </c>
      <c r="U153" s="114" t="s">
        <v>1186</v>
      </c>
      <c r="V153" s="114" t="str">
        <f>IFERROR(__xludf.DUMMYFUNCTION("REGEXREPLACE(U153, ""\n"", "" "")"),"Kozuki Oden")</f>
        <v>Kozuki Oden</v>
      </c>
      <c r="W153" s="114"/>
      <c r="X153" s="115" t="str">
        <f t="shared" si="2"/>
        <v>150 Daimyo of Kuri - Kozuki Oden - Medal [Kozuki Oden]</v>
      </c>
      <c r="Y153" s="119"/>
      <c r="Z153" s="117" t="s">
        <v>3965</v>
      </c>
      <c r="AA153" s="117" t="s">
        <v>2476</v>
      </c>
      <c r="AB153" s="114"/>
      <c r="AC153" s="123" t="str">
        <f>IFERROR(__xludf.DUMMYFUNCTION("""COMPUTED_VALUE"""),"https://ik.imagekit.io/alaaalaa6171/191%20Roger%20Pirates_First%20Mate%20-%20Silvers%20Rayleigh%20-%20Medal%20_The%20Dark%20King_.png?updatedAt=1770076437132")</f>
        <v>https://ik.imagekit.io/alaaalaa6171/191%20Roger%20Pirates_First%20Mate%20-%20Silvers%20Rayleigh%20-%20Medal%20_The%20Dark%20King_.png?updatedAt=1770076437132</v>
      </c>
      <c r="AD153" s="123" t="str">
        <f>IFERROR(__xludf.DUMMYFUNCTION("""COMPUTED_VALUE"""),"https://ik.imagekit.io/alaaalaa6171/191%20Roger%20Pirates_First%20Mate%20-%20Silvers%20Rayleigh%20-%20Medal%20_The%20Dark%20King_%20_Colored_.png?updatedAt=1770076437101")</f>
        <v>https://ik.imagekit.io/alaaalaa6171/191%20Roger%20Pirates_First%20Mate%20-%20Silvers%20Rayleigh%20-%20Medal%20_The%20Dark%20King_%20_Colored_.png?updatedAt=1770076437101</v>
      </c>
      <c r="AE153" s="123" t="str">
        <f>IFERROR(__xludf.DUMMYFUNCTION("""COMPUTED_VALUE"""),"https://ik.imagekit.io/alaaalaa6171/191%20Roger%20Pirates_First%20Mate%20-%20Silvers%20Rayleigh%20-%20Medal%20_The%20Dark%20King_%20-%20Piece.png?updatedAt=1770076437131")</f>
        <v>https://ik.imagekit.io/alaaalaa6171/191%20Roger%20Pirates_First%20Mate%20-%20Silvers%20Rayleigh%20-%20Medal%20_The%20Dark%20King_%20-%20Piece.png?updatedAt=1770076437131</v>
      </c>
      <c r="AF153" s="123" t="str">
        <f>IFERROR(__xludf.DUMMYFUNCTION("""COMPUTED_VALUE"""),"https://ik.imagekit.io/alaaalaa6171/191%20Roger%20Pirates_First%20Mate%20-%20Silvers%20Rayleigh%20-%20Medal%20_The%20Dark%20King_%20-%20Piece%20_Colored_.png?updatedAt=1770076437214")</f>
        <v>https://ik.imagekit.io/alaaalaa6171/191%20Roger%20Pirates_First%20Mate%20-%20Silvers%20Rayleigh%20-%20Medal%20_The%20Dark%20King_%20-%20Piece%20_Colored_.png?updatedAt=1770076437214</v>
      </c>
      <c r="AG153" s="114"/>
      <c r="AH153" s="114"/>
      <c r="AI153" s="121" t="s">
        <v>3966</v>
      </c>
      <c r="AJ153" s="121" t="str">
        <f>IFERROR(__xludf.DUMMYFUNCTION("regexreplace(regexreplace(AI153, ""  \["", "" ""), ""\]$"", """")"),"152 - Kozuki Clan_Servant ~ Kawamatsu - Medal - Crafted [Colored] - Kawamatsu")</f>
        <v>152 - Kozuki Clan_Servant ~ Kawamatsu - Medal - Crafted [Colored] - Kawamatsu</v>
      </c>
      <c r="AK153" s="114"/>
      <c r="AL153" s="117" t="s">
        <v>3967</v>
      </c>
      <c r="AM153" s="117" t="s">
        <v>3968</v>
      </c>
      <c r="AN153" s="114"/>
      <c r="AO153" s="122">
        <f>IFERROR(__xludf.DUMMYFUNCTION("""COMPUTED_VALUE"""),156.0)</f>
        <v>156</v>
      </c>
      <c r="AP153" s="114" t="str">
        <f>IFERROR(__xludf.DUMMYFUNCTION("""COMPUTED_VALUE"""),"Lucky Roux
(FILM RED)")</f>
        <v>Lucky Roux
(FILM RED)</v>
      </c>
      <c r="AQ153" s="114" t="str">
        <f>IFERROR(__xludf.DUMMYFUNCTION("""COMPUTED_VALUE"""),"Lucky Roux (FILM RED)")</f>
        <v>Lucky Roux (FILM RED)</v>
      </c>
      <c r="AR153" s="114"/>
      <c r="AS153" s="114"/>
      <c r="AT153" s="123" t="str">
        <f>IFERROR(__xludf.DUMMYFUNCTION("""COMPUTED_VALUE"""),"https://i.postimg.cc/Gt2pQW4Y/156.png")</f>
        <v>https://i.postimg.cc/Gt2pQW4Y/156.png</v>
      </c>
      <c r="AU153" s="114"/>
      <c r="AV153" s="114"/>
      <c r="AW153" s="114"/>
      <c r="AX153" s="114" t="str">
        <f t="shared" si="3"/>
        <v>156 - Medal [Event] - Crafted - Lucky Roux (FILM RED)</v>
      </c>
      <c r="AY153" s="114" t="s">
        <v>3969</v>
      </c>
      <c r="AZ153" s="114"/>
      <c r="BA153" s="114"/>
      <c r="BB153" s="114"/>
      <c r="BC153" s="114"/>
      <c r="BD153" s="114"/>
      <c r="BE153" s="114"/>
    </row>
    <row r="154" ht="37.5" customHeight="1">
      <c r="A154" s="118" t="s">
        <v>3970</v>
      </c>
      <c r="B154" s="117" t="s">
        <v>3971</v>
      </c>
      <c r="C154" s="119">
        <f>IFERROR(__xludf.DUMMYFUNCTION("""COMPUTED_VALUE"""),189.0)</f>
        <v>189</v>
      </c>
      <c r="D154" s="114" t="str">
        <f>IFERROR(__xludf.DUMMYFUNCTION("""COMPUTED_VALUE"""),"Pudding")</f>
        <v>Pudding</v>
      </c>
      <c r="E154" s="114" t="str">
        <f>IFERROR(__xludf.DUMMYFUNCTION("""COMPUTED_VALUE"""),"")</f>
        <v/>
      </c>
      <c r="F154" s="114"/>
      <c r="G154" s="114"/>
      <c r="H154" s="114"/>
      <c r="I154" s="114"/>
      <c r="J154" s="114"/>
      <c r="K154" s="114" t="s">
        <v>3972</v>
      </c>
      <c r="L154" s="114" t="s">
        <v>3973</v>
      </c>
      <c r="M154" s="114" t="s">
        <v>3974</v>
      </c>
      <c r="N154" s="114" t="s">
        <v>3975</v>
      </c>
      <c r="O154" s="114"/>
      <c r="P154" s="120">
        <v>189.0</v>
      </c>
      <c r="Q154" s="117" t="s">
        <v>3976</v>
      </c>
      <c r="R154" s="114"/>
      <c r="S154" s="117" t="s">
        <v>3977</v>
      </c>
      <c r="T154" s="114">
        <f t="shared" si="1"/>
        <v>151</v>
      </c>
      <c r="U154" s="114" t="s">
        <v>1181</v>
      </c>
      <c r="V154" s="114" t="str">
        <f>IFERROR(__xludf.DUMMYFUNCTION("REGEXREPLACE(U154, ""\n"", "" "")"),"Kikunojo")</f>
        <v>Kikunojo</v>
      </c>
      <c r="W154" s="114"/>
      <c r="X154" s="115" t="str">
        <f t="shared" si="2"/>
        <v>151 Most Handsome Swordman in the Land of Wano - Kikunojo - Medal [Kikunojo]</v>
      </c>
      <c r="Y154" s="119"/>
      <c r="Z154" s="117" t="s">
        <v>3978</v>
      </c>
      <c r="AA154" s="117" t="s">
        <v>2474</v>
      </c>
      <c r="AB154" s="114"/>
      <c r="AC154" s="123" t="str">
        <f>IFERROR(__xludf.DUMMYFUNCTION("""COMPUTED_VALUE"""),"https://ik.imagekit.io/alaaalaa6171/190%20Whole%20Cake%20Island%20-%20Jinbe%20-%20Medal%20_Boss_.png?updatedAt=1770076437162")</f>
        <v>https://ik.imagekit.io/alaaalaa6171/190%20Whole%20Cake%20Island%20-%20Jinbe%20-%20Medal%20_Boss_.png?updatedAt=1770076437162</v>
      </c>
      <c r="AD154" s="123" t="str">
        <f>IFERROR(__xludf.DUMMYFUNCTION("""COMPUTED_VALUE"""),"https://ik.imagekit.io/alaaalaa6171/190%20Whole%20Cake%20Island%20-%20Jinbe%20-%20Medal%20_Boss_%20_Colored_.png?updatedAt=1770076437119")</f>
        <v>https://ik.imagekit.io/alaaalaa6171/190%20Whole%20Cake%20Island%20-%20Jinbe%20-%20Medal%20_Boss_%20_Colored_.png?updatedAt=1770076437119</v>
      </c>
      <c r="AE154" s="123" t="str">
        <f>IFERROR(__xludf.DUMMYFUNCTION("""COMPUTED_VALUE"""),"https://ik.imagekit.io/alaaalaa6171/190%20Whole%20Cake%20Island%20-%20Jinbe%20-%20Medal%20_Boss_%20-%20Piece.png?updatedAt=1770076437091")</f>
        <v>https://ik.imagekit.io/alaaalaa6171/190%20Whole%20Cake%20Island%20-%20Jinbe%20-%20Medal%20_Boss_%20-%20Piece.png?updatedAt=1770076437091</v>
      </c>
      <c r="AF154" s="123" t="str">
        <f>IFERROR(__xludf.DUMMYFUNCTION("""COMPUTED_VALUE"""),"https://ik.imagekit.io/alaaalaa6171/190%20Whole%20Cake%20Island%20-%20Jinbe%20-%20Medal%20_Boss_%20-%20Piece%20_Colored_.png?updatedAt=1770076437100")</f>
        <v>https://ik.imagekit.io/alaaalaa6171/190%20Whole%20Cake%20Island%20-%20Jinbe%20-%20Medal%20_Boss_%20-%20Piece%20_Colored_.png?updatedAt=1770076437100</v>
      </c>
      <c r="AG154" s="114"/>
      <c r="AH154" s="114"/>
      <c r="AI154" s="121" t="s">
        <v>3979</v>
      </c>
      <c r="AJ154" s="121" t="str">
        <f>IFERROR(__xludf.DUMMYFUNCTION("regexreplace(regexreplace(AI154, ""  \["", "" ""), ""\]$"", """")"),"153 - Land of Wano ~ Chopperemon - Medal - Crafted [Colored] - Chopperemon")</f>
        <v>153 - Land of Wano ~ Chopperemon - Medal - Crafted [Colored] - Chopperemon</v>
      </c>
      <c r="AK154" s="114"/>
      <c r="AL154" s="117" t="s">
        <v>3980</v>
      </c>
      <c r="AM154" s="117" t="s">
        <v>3981</v>
      </c>
      <c r="AN154" s="114"/>
      <c r="AO154" s="122">
        <f>IFERROR(__xludf.DUMMYFUNCTION("""COMPUTED_VALUE"""),155.0)</f>
        <v>155</v>
      </c>
      <c r="AP154" s="114" t="str">
        <f>IFERROR(__xludf.DUMMYFUNCTION("""COMPUTED_VALUE"""),"Robin
(FILM RED)")</f>
        <v>Robin
(FILM RED)</v>
      </c>
      <c r="AQ154" s="114" t="str">
        <f>IFERROR(__xludf.DUMMYFUNCTION("""COMPUTED_VALUE"""),"Robin (FILM RED)")</f>
        <v>Robin (FILM RED)</v>
      </c>
      <c r="AR154" s="114"/>
      <c r="AS154" s="114"/>
      <c r="AT154" s="123" t="str">
        <f>IFERROR(__xludf.DUMMYFUNCTION("""COMPUTED_VALUE"""),"https://i.postimg.cc/Gt5mSXDf/155.png")</f>
        <v>https://i.postimg.cc/Gt5mSXDf/155.png</v>
      </c>
      <c r="AU154" s="114"/>
      <c r="AV154" s="114"/>
      <c r="AW154" s="114"/>
      <c r="AX154" s="114" t="str">
        <f t="shared" si="3"/>
        <v>155 - Medal [Event] - Crafted - Robin (FILM RED)</v>
      </c>
      <c r="AY154" s="114" t="s">
        <v>3982</v>
      </c>
      <c r="AZ154" s="114"/>
      <c r="BA154" s="114"/>
      <c r="BB154" s="114"/>
      <c r="BC154" s="114"/>
      <c r="BD154" s="114"/>
      <c r="BE154" s="114"/>
    </row>
    <row r="155" ht="37.5" customHeight="1">
      <c r="A155" s="118" t="s">
        <v>3983</v>
      </c>
      <c r="B155" s="117" t="s">
        <v>3984</v>
      </c>
      <c r="C155" s="119">
        <f>IFERROR(__xludf.DUMMYFUNCTION("""COMPUTED_VALUE"""),188.0)</f>
        <v>188</v>
      </c>
      <c r="D155" s="114" t="str">
        <f>IFERROR(__xludf.DUMMYFUNCTION("""COMPUTED_VALUE"""),"Soul King")</f>
        <v>Soul King</v>
      </c>
      <c r="E155" s="114" t="str">
        <f>IFERROR(__xludf.DUMMYFUNCTION("""COMPUTED_VALUE"""),"")</f>
        <v/>
      </c>
      <c r="F155" s="114"/>
      <c r="G155" s="114"/>
      <c r="H155" s="114"/>
      <c r="I155" s="114"/>
      <c r="J155" s="114"/>
      <c r="K155" s="114" t="s">
        <v>3985</v>
      </c>
      <c r="L155" s="114" t="s">
        <v>3986</v>
      </c>
      <c r="M155" s="114" t="s">
        <v>3987</v>
      </c>
      <c r="N155" s="114" t="s">
        <v>3988</v>
      </c>
      <c r="O155" s="114"/>
      <c r="P155" s="120">
        <v>188.0</v>
      </c>
      <c r="Q155" s="117" t="s">
        <v>3989</v>
      </c>
      <c r="R155" s="114"/>
      <c r="S155" s="117" t="s">
        <v>3990</v>
      </c>
      <c r="T155" s="114">
        <f t="shared" si="1"/>
        <v>154</v>
      </c>
      <c r="U155" s="114" t="s">
        <v>1163</v>
      </c>
      <c r="V155" s="114" t="str">
        <f>IFERROR(__xludf.DUMMYFUNCTION("REGEXREPLACE(U155, ""\n"", "" "")"),"Roger")</f>
        <v>Roger</v>
      </c>
      <c r="W155" s="114"/>
      <c r="X155" s="115" t="str">
        <f t="shared" si="2"/>
        <v>154 King of the Pirates - Gol D. Roger - Medal [Roger]</v>
      </c>
      <c r="Y155" s="119"/>
      <c r="Z155" s="117" t="s">
        <v>3991</v>
      </c>
      <c r="AA155" s="117" t="s">
        <v>2486</v>
      </c>
      <c r="AB155" s="114"/>
      <c r="AC155" s="123" t="str">
        <f>IFERROR(__xludf.DUMMYFUNCTION("""COMPUTED_VALUE"""),"https://ik.imagekit.io/alaaalaa6171/189%20Big%20Mom%20Pirates_Crewmate%20-%20Charlotte%20Pudding%201%20-%20Medal%20_Pudding_.png?updatedAt=1770076437125")</f>
        <v>https://ik.imagekit.io/alaaalaa6171/189%20Big%20Mom%20Pirates_Crewmate%20-%20Charlotte%20Pudding%201%20-%20Medal%20_Pudding_.png?updatedAt=1770076437125</v>
      </c>
      <c r="AD155" s="123" t="str">
        <f>IFERROR(__xludf.DUMMYFUNCTION("""COMPUTED_VALUE"""),"https://ik.imagekit.io/alaaalaa6171/189%20Big%20Mom%20Pirates_Crewmate%20-%20Charlotte%20Pudding%201%20-%20Medal%20_Pudding_%20_Colored_.png?updatedAt=1770076437126")</f>
        <v>https://ik.imagekit.io/alaaalaa6171/189%20Big%20Mom%20Pirates_Crewmate%20-%20Charlotte%20Pudding%201%20-%20Medal%20_Pudding_%20_Colored_.png?updatedAt=1770076437126</v>
      </c>
      <c r="AE155" s="123" t="str">
        <f>IFERROR(__xludf.DUMMYFUNCTION("""COMPUTED_VALUE"""),"https://ik.imagekit.io/alaaalaa6171/189%20Big%20Mom%20Pirates_Crewmate%20-%20Charlotte%20Pudding%201%20-%20Medal%20_Pudding_%20-%20Piece.png?updatedAt=1770076437148")</f>
        <v>https://ik.imagekit.io/alaaalaa6171/189%20Big%20Mom%20Pirates_Crewmate%20-%20Charlotte%20Pudding%201%20-%20Medal%20_Pudding_%20-%20Piece.png?updatedAt=1770076437148</v>
      </c>
      <c r="AF155" s="123" t="str">
        <f>IFERROR(__xludf.DUMMYFUNCTION("""COMPUTED_VALUE"""),"https://ik.imagekit.io/alaaalaa6171/189%20Big%20Mom%20Pirates_Crewmate%20-%20Charlotte%20Pudding%201%20-%20Medal%20_Pudding_%20-%20Piece%20_Colored_.png?updatedAt=1770076437094")</f>
        <v>https://ik.imagekit.io/alaaalaa6171/189%20Big%20Mom%20Pirates_Crewmate%20-%20Charlotte%20Pudding%201%20-%20Medal%20_Pudding_%20-%20Piece%20_Colored_.png?updatedAt=1770076437094</v>
      </c>
      <c r="AG155" s="114"/>
      <c r="AH155" s="114"/>
      <c r="AI155" s="121" t="s">
        <v>3992</v>
      </c>
      <c r="AJ155" s="121" t="str">
        <f>IFERROR(__xludf.DUMMYFUNCTION("regexreplace(regexreplace(AI155, ""  \["", "" ""), ""\]$"", """")"),"154 - King of the Pirates ~ Gol D. Roger - Medal - Crafted [Colored] - Roger")</f>
        <v>154 - King of the Pirates ~ Gol D. Roger - Medal - Crafted [Colored] - Roger</v>
      </c>
      <c r="AK155" s="114"/>
      <c r="AL155" s="117" t="s">
        <v>3993</v>
      </c>
      <c r="AM155" s="117" t="s">
        <v>3994</v>
      </c>
      <c r="AN155" s="114"/>
      <c r="AO155" s="122">
        <f>IFERROR(__xludf.DUMMYFUNCTION("""COMPUTED_VALUE"""),154.0)</f>
        <v>154</v>
      </c>
      <c r="AP155" s="114" t="str">
        <f>IFERROR(__xludf.DUMMYFUNCTION("""COMPUTED_VALUE"""),"Jinbe
(FILM RED)")</f>
        <v>Jinbe
(FILM RED)</v>
      </c>
      <c r="AQ155" s="114" t="str">
        <f>IFERROR(__xludf.DUMMYFUNCTION("""COMPUTED_VALUE"""),"Jinbe (FILM RED)")</f>
        <v>Jinbe (FILM RED)</v>
      </c>
      <c r="AR155" s="114"/>
      <c r="AS155" s="114"/>
      <c r="AT155" s="123" t="str">
        <f>IFERROR(__xludf.DUMMYFUNCTION("""COMPUTED_VALUE"""),"https://i.postimg.cc/RCshFZYT/154.png")</f>
        <v>https://i.postimg.cc/RCshFZYT/154.png</v>
      </c>
      <c r="AU155" s="114"/>
      <c r="AV155" s="114"/>
      <c r="AW155" s="114"/>
      <c r="AX155" s="114" t="str">
        <f t="shared" si="3"/>
        <v>154 - Medal [Event] - Crafted - Jinbe (FILM RED)</v>
      </c>
      <c r="AY155" s="114" t="s">
        <v>3995</v>
      </c>
      <c r="AZ155" s="114"/>
      <c r="BA155" s="114"/>
      <c r="BB155" s="114"/>
      <c r="BC155" s="114"/>
      <c r="BD155" s="114"/>
      <c r="BE155" s="114"/>
    </row>
    <row r="156" ht="37.5" customHeight="1">
      <c r="A156" s="118" t="s">
        <v>3996</v>
      </c>
      <c r="B156" s="117" t="s">
        <v>3997</v>
      </c>
      <c r="C156" s="119">
        <f>IFERROR(__xludf.DUMMYFUNCTION("""COMPUTED_VALUE"""),187.0)</f>
        <v>187</v>
      </c>
      <c r="D156" s="114" t="str">
        <f>IFERROR(__xludf.DUMMYFUNCTION("""COMPUTED_VALUE"""),"Sorcery Climate Baton")</f>
        <v>Sorcery Climate Baton</v>
      </c>
      <c r="E156" s="114" t="str">
        <f>IFERROR(__xludf.DUMMYFUNCTION("""COMPUTED_VALUE"""),"")</f>
        <v/>
      </c>
      <c r="F156" s="114"/>
      <c r="G156" s="114"/>
      <c r="H156" s="114"/>
      <c r="I156" s="114"/>
      <c r="J156" s="114"/>
      <c r="K156" s="114" t="s">
        <v>3998</v>
      </c>
      <c r="L156" s="114" t="s">
        <v>3999</v>
      </c>
      <c r="M156" s="114" t="s">
        <v>4000</v>
      </c>
      <c r="N156" s="114" t="s">
        <v>4001</v>
      </c>
      <c r="O156" s="114"/>
      <c r="P156" s="120">
        <v>187.0</v>
      </c>
      <c r="Q156" s="117" t="s">
        <v>4002</v>
      </c>
      <c r="R156" s="114"/>
      <c r="S156" s="117" t="s">
        <v>4003</v>
      </c>
      <c r="T156" s="114">
        <f t="shared" si="1"/>
        <v>155</v>
      </c>
      <c r="U156" s="114" t="s">
        <v>1158</v>
      </c>
      <c r="V156" s="114" t="str">
        <f>IFERROR(__xludf.DUMMYFUNCTION("REGEXREPLACE(U156, ""\n"", "" "")"),"Napping Kyoshiro")</f>
        <v>Napping Kyoshiro</v>
      </c>
      <c r="W156" s="114"/>
      <c r="X156" s="115" t="str">
        <f t="shared" si="2"/>
        <v>155 Kyoshiro Family / Boss - Napping Kyoshiro - Medal [Napping Kyoshiro]</v>
      </c>
      <c r="Y156" s="119"/>
      <c r="Z156" s="117" t="s">
        <v>4004</v>
      </c>
      <c r="AA156" s="117" t="s">
        <v>2488</v>
      </c>
      <c r="AB156" s="114"/>
      <c r="AC156" s="123" t="str">
        <f>IFERROR(__xludf.DUMMYFUNCTION("""COMPUTED_VALUE"""),"https://ik.imagekit.io/alaaalaa6171/188%20Whole%20Cake%20Island%20-%20Brook%20-%20Medal%20_Soul%20King_.png?updatedAt=1770076437100")</f>
        <v>https://ik.imagekit.io/alaaalaa6171/188%20Whole%20Cake%20Island%20-%20Brook%20-%20Medal%20_Soul%20King_.png?updatedAt=1770076437100</v>
      </c>
      <c r="AD156" s="123" t="str">
        <f>IFERROR(__xludf.DUMMYFUNCTION("""COMPUTED_VALUE"""),"https://ik.imagekit.io/alaaalaa6171/188%20Whole%20Cake%20Island%20-%20Brook%20-%20Medal%20_Soul%20King_%20_Colored_.png?updatedAt=1770076437136")</f>
        <v>https://ik.imagekit.io/alaaalaa6171/188%20Whole%20Cake%20Island%20-%20Brook%20-%20Medal%20_Soul%20King_%20_Colored_.png?updatedAt=1770076437136</v>
      </c>
      <c r="AE156" s="123" t="str">
        <f>IFERROR(__xludf.DUMMYFUNCTION("""COMPUTED_VALUE"""),"https://ik.imagekit.io/alaaalaa6171/188%20Whole%20Cake%20Island%20-%20Brook%20-%20Medal%20_Soul%20King_%20-%20Piece.png?updatedAt=1770076437095")</f>
        <v>https://ik.imagekit.io/alaaalaa6171/188%20Whole%20Cake%20Island%20-%20Brook%20-%20Medal%20_Soul%20King_%20-%20Piece.png?updatedAt=1770076437095</v>
      </c>
      <c r="AF156" s="123" t="str">
        <f>IFERROR(__xludf.DUMMYFUNCTION("""COMPUTED_VALUE"""),"https://ik.imagekit.io/alaaalaa6171/188%20Whole%20Cake%20Island%20-%20Brook%20-%20Medal%20_Soul%20King_%20-%20Piece%20_Colored_.png?updatedAt=1770076437083")</f>
        <v>https://ik.imagekit.io/alaaalaa6171/188%20Whole%20Cake%20Island%20-%20Brook%20-%20Medal%20_Soul%20King_%20-%20Piece%20_Colored_.png?updatedAt=1770076437083</v>
      </c>
      <c r="AG156" s="114"/>
      <c r="AH156" s="114"/>
      <c r="AI156" s="121" t="s">
        <v>4005</v>
      </c>
      <c r="AJ156" s="121" t="str">
        <f>IFERROR(__xludf.DUMMYFUNCTION("regexreplace(regexreplace(AI156, ""  \["", "" ""), ""\]$"", """")"),"155 - Kyoshiro Family_Boss ~ Napping Kyoshiro - Medal - Crafted [Colored] - Napping Kyoshiro")</f>
        <v>155 - Kyoshiro Family_Boss ~ Napping Kyoshiro - Medal - Crafted [Colored] - Napping Kyoshiro</v>
      </c>
      <c r="AK156" s="114"/>
      <c r="AL156" s="117" t="s">
        <v>4006</v>
      </c>
      <c r="AM156" s="117" t="s">
        <v>4007</v>
      </c>
      <c r="AN156" s="114"/>
      <c r="AO156" s="122">
        <f>IFERROR(__xludf.DUMMYFUNCTION("""COMPUTED_VALUE"""),153.0)</f>
        <v>153</v>
      </c>
      <c r="AP156" s="114" t="str">
        <f>IFERROR(__xludf.DUMMYFUNCTION("""COMPUTED_VALUE"""),"Chopper
(FILM Z)")</f>
        <v>Chopper
(FILM Z)</v>
      </c>
      <c r="AQ156" s="114" t="str">
        <f>IFERROR(__xludf.DUMMYFUNCTION("""COMPUTED_VALUE"""),"Chopper (FILM Z)")</f>
        <v>Chopper (FILM Z)</v>
      </c>
      <c r="AR156" s="114"/>
      <c r="AS156" s="114"/>
      <c r="AT156" s="123" t="str">
        <f>IFERROR(__xludf.DUMMYFUNCTION("""COMPUTED_VALUE"""),"https://i.postimg.cc/BQj61G9f/153.png")</f>
        <v>https://i.postimg.cc/BQj61G9f/153.png</v>
      </c>
      <c r="AU156" s="114"/>
      <c r="AV156" s="114"/>
      <c r="AW156" s="114"/>
      <c r="AX156" s="114" t="str">
        <f t="shared" si="3"/>
        <v>153 - Medal [Event] - Crafted - Chopper (FILM Z)</v>
      </c>
      <c r="AY156" s="114" t="s">
        <v>4008</v>
      </c>
      <c r="AZ156" s="114"/>
      <c r="BA156" s="114"/>
      <c r="BB156" s="114"/>
      <c r="BC156" s="114"/>
      <c r="BD156" s="114"/>
      <c r="BE156" s="114"/>
    </row>
    <row r="157" ht="37.5" customHeight="1">
      <c r="A157" s="118" t="s">
        <v>4009</v>
      </c>
      <c r="B157" s="117" t="s">
        <v>4010</v>
      </c>
      <c r="C157" s="119">
        <f>IFERROR(__xludf.DUMMYFUNCTION("""COMPUTED_VALUE"""),186.0)</f>
        <v>186</v>
      </c>
      <c r="D157" s="114" t="str">
        <f>IFERROR(__xludf.DUMMYFUNCTION("""COMPUTED_VALUE"""),"Monet")</f>
        <v>Monet</v>
      </c>
      <c r="E157" s="114" t="str">
        <f>IFERROR(__xludf.DUMMYFUNCTION("""COMPUTED_VALUE"""),"")</f>
        <v/>
      </c>
      <c r="F157" s="114"/>
      <c r="G157" s="114"/>
      <c r="H157" s="114"/>
      <c r="I157" s="114"/>
      <c r="J157" s="114"/>
      <c r="K157" s="114" t="s">
        <v>4011</v>
      </c>
      <c r="L157" s="114" t="s">
        <v>4012</v>
      </c>
      <c r="M157" s="114" t="s">
        <v>4013</v>
      </c>
      <c r="N157" s="114" t="s">
        <v>4014</v>
      </c>
      <c r="O157" s="114"/>
      <c r="P157" s="120">
        <v>186.0</v>
      </c>
      <c r="Q157" s="117" t="s">
        <v>4015</v>
      </c>
      <c r="R157" s="114"/>
      <c r="S157" s="117" t="s">
        <v>4016</v>
      </c>
      <c r="T157" s="114">
        <f t="shared" si="1"/>
        <v>156</v>
      </c>
      <c r="U157" s="114" t="s">
        <v>1153</v>
      </c>
      <c r="V157" s="114" t="str">
        <f>IFERROR(__xludf.DUMMYFUNCTION("REGEXREPLACE(U157, ""\n"", "" "")"),"Ashura Doji")</f>
        <v>Ashura Doji</v>
      </c>
      <c r="W157" s="114"/>
      <c r="X157" s="115" t="str">
        <f t="shared" si="2"/>
        <v>156 Kozuki Clan / Servant - Ashura Doji - Medal [Ashura Doji]</v>
      </c>
      <c r="Y157" s="119"/>
      <c r="Z157" s="117" t="s">
        <v>4017</v>
      </c>
      <c r="AA157" s="117" t="s">
        <v>2489</v>
      </c>
      <c r="AB157" s="114"/>
      <c r="AC157" s="123" t="str">
        <f>IFERROR(__xludf.DUMMYFUNCTION("""COMPUTED_VALUE"""),"https://ik.imagekit.io/alaaalaa6171/187%20Whole%20Cake%20Island%20-%20Nami%20-%20Medal%20_Sorcery%20Climate%20Baton_.png?updatedAt=1770076437119")</f>
        <v>https://ik.imagekit.io/alaaalaa6171/187%20Whole%20Cake%20Island%20-%20Nami%20-%20Medal%20_Sorcery%20Climate%20Baton_.png?updatedAt=1770076437119</v>
      </c>
      <c r="AD157" s="123" t="str">
        <f>IFERROR(__xludf.DUMMYFUNCTION("""COMPUTED_VALUE"""),"https://ik.imagekit.io/alaaalaa6171/187%20Whole%20Cake%20Island%20-%20Nami%20-%20Medal%20_Sorcery%20Climate%20Baton_%20_Colored_.png?updatedAt=1770076437074")</f>
        <v>https://ik.imagekit.io/alaaalaa6171/187%20Whole%20Cake%20Island%20-%20Nami%20-%20Medal%20_Sorcery%20Climate%20Baton_%20_Colored_.png?updatedAt=1770076437074</v>
      </c>
      <c r="AE157" s="123" t="str">
        <f>IFERROR(__xludf.DUMMYFUNCTION("""COMPUTED_VALUE"""),"https://ik.imagekit.io/alaaalaa6171/187%20Whole%20Cake%20Island%20-%20Nami%20-%20Medal%20_Sorcery%20Climate%20Baton_%20-%20Piece.png?updatedAt=1770076437073")</f>
        <v>https://ik.imagekit.io/alaaalaa6171/187%20Whole%20Cake%20Island%20-%20Nami%20-%20Medal%20_Sorcery%20Climate%20Baton_%20-%20Piece.png?updatedAt=1770076437073</v>
      </c>
      <c r="AF157" s="123" t="str">
        <f>IFERROR(__xludf.DUMMYFUNCTION("""COMPUTED_VALUE"""),"https://ik.imagekit.io/alaaalaa6171/187%20Whole%20Cake%20Island%20-%20Nami%20-%20Medal%20_Sorcery%20Climate%20Baton_%20-%20Piece%20_Colored_.png?updatedAt=1770076437040")</f>
        <v>https://ik.imagekit.io/alaaalaa6171/187%20Whole%20Cake%20Island%20-%20Nami%20-%20Medal%20_Sorcery%20Climate%20Baton_%20-%20Piece%20_Colored_.png?updatedAt=1770076437040</v>
      </c>
      <c r="AG157" s="114"/>
      <c r="AH157" s="114"/>
      <c r="AI157" s="121" t="s">
        <v>4018</v>
      </c>
      <c r="AJ157" s="121" t="str">
        <f>IFERROR(__xludf.DUMMYFUNCTION("regexreplace(regexreplace(AI157, ""  \["", "" ""), ""\]$"", """")"),"156 - Kozuki Clan_Servant ~ Ashura Doji - Medal - Crafted [Colored] - Ashura Doji")</f>
        <v>156 - Kozuki Clan_Servant ~ Ashura Doji - Medal - Crafted [Colored] - Ashura Doji</v>
      </c>
      <c r="AK157" s="114"/>
      <c r="AL157" s="117" t="s">
        <v>4019</v>
      </c>
      <c r="AM157" s="117" t="s">
        <v>4020</v>
      </c>
      <c r="AN157" s="114"/>
      <c r="AO157" s="122">
        <f>IFERROR(__xludf.DUMMYFUNCTION("""COMPUTED_VALUE"""),152.0)</f>
        <v>152</v>
      </c>
      <c r="AP157" s="114" t="str">
        <f>IFERROR(__xludf.DUMMYFUNCTION("""COMPUTED_VALUE"""),"Zoro
(FILM Z)")</f>
        <v>Zoro
(FILM Z)</v>
      </c>
      <c r="AQ157" s="114" t="str">
        <f>IFERROR(__xludf.DUMMYFUNCTION("""COMPUTED_VALUE"""),"Zoro (FILM Z)")</f>
        <v>Zoro (FILM Z)</v>
      </c>
      <c r="AR157" s="114"/>
      <c r="AS157" s="114"/>
      <c r="AT157" s="123" t="str">
        <f>IFERROR(__xludf.DUMMYFUNCTION("""COMPUTED_VALUE"""),"https://i.postimg.cc/fT1bcgDt/152.png")</f>
        <v>https://i.postimg.cc/fT1bcgDt/152.png</v>
      </c>
      <c r="AU157" s="114"/>
      <c r="AV157" s="114"/>
      <c r="AW157" s="114"/>
      <c r="AX157" s="114" t="str">
        <f t="shared" si="3"/>
        <v>152 - Medal [Event] - Crafted - Zoro (FILM Z)</v>
      </c>
      <c r="AY157" s="114" t="s">
        <v>4021</v>
      </c>
      <c r="AZ157" s="114"/>
      <c r="BA157" s="114"/>
      <c r="BB157" s="114"/>
      <c r="BC157" s="114"/>
      <c r="BD157" s="114"/>
      <c r="BE157" s="114"/>
    </row>
    <row r="158" ht="37.5" customHeight="1">
      <c r="A158" s="118" t="s">
        <v>4022</v>
      </c>
      <c r="B158" s="117" t="s">
        <v>4023</v>
      </c>
      <c r="C158" s="119">
        <f>IFERROR(__xludf.DUMMYFUNCTION("""COMPUTED_VALUE"""),185.0)</f>
        <v>185</v>
      </c>
      <c r="D158" s="114" t="str">
        <f>IFERROR(__xludf.DUMMYFUNCTION("""COMPUTED_VALUE"""),"Bamboo Demon")</f>
        <v>Bamboo Demon</v>
      </c>
      <c r="E158" s="114" t="str">
        <f>IFERROR(__xludf.DUMMYFUNCTION("""COMPUTED_VALUE"""),"")</f>
        <v/>
      </c>
      <c r="F158" s="114"/>
      <c r="G158" s="114"/>
      <c r="H158" s="114"/>
      <c r="I158" s="114"/>
      <c r="J158" s="114"/>
      <c r="K158" s="114" t="s">
        <v>4024</v>
      </c>
      <c r="L158" s="114" t="s">
        <v>4025</v>
      </c>
      <c r="M158" s="114" t="s">
        <v>4026</v>
      </c>
      <c r="N158" s="114" t="s">
        <v>4027</v>
      </c>
      <c r="O158" s="114"/>
      <c r="P158" s="120">
        <v>185.0</v>
      </c>
      <c r="Q158" s="117" t="s">
        <v>4028</v>
      </c>
      <c r="R158" s="114"/>
      <c r="S158" s="117" t="s">
        <v>4029</v>
      </c>
      <c r="T158" s="114">
        <f t="shared" si="1"/>
        <v>158</v>
      </c>
      <c r="U158" s="114" t="s">
        <v>1143</v>
      </c>
      <c r="V158" s="114" t="str">
        <f>IFERROR(__xludf.DUMMYFUNCTION("REGEXREPLACE(U158, ""\n"", "" "")"),"Tremor_Tremor")</f>
        <v>Tremor_Tremor</v>
      </c>
      <c r="W158" s="114"/>
      <c r="X158" s="115" t="str">
        <f t="shared" si="2"/>
        <v>158 Roger`s Rival - Edward Newgate - Medal [Tremor_Tremor]</v>
      </c>
      <c r="Y158" s="119"/>
      <c r="Z158" s="117" t="s">
        <v>4030</v>
      </c>
      <c r="AA158" s="117" t="s">
        <v>2487</v>
      </c>
      <c r="AB158" s="114"/>
      <c r="AC158" s="123" t="str">
        <f>IFERROR(__xludf.DUMMYFUNCTION("""COMPUTED_VALUE"""),"https://ik.imagekit.io/alaaalaa6171/186%20Don%20Quixote%20Pirates_Officer%20-%20Monet%20-%20Medal%20_Monet_.png?updatedAt=1770076437094")</f>
        <v>https://ik.imagekit.io/alaaalaa6171/186%20Don%20Quixote%20Pirates_Officer%20-%20Monet%20-%20Medal%20_Monet_.png?updatedAt=1770076437094</v>
      </c>
      <c r="AD158" s="123" t="str">
        <f>IFERROR(__xludf.DUMMYFUNCTION("""COMPUTED_VALUE"""),"https://ik.imagekit.io/alaaalaa6171/186%20Don%20Quixote%20Pirates_Officer%20-%20Monet%20-%20Medal%20_Monet_%20_Colored_.png?updatedAt=1770076437069")</f>
        <v>https://ik.imagekit.io/alaaalaa6171/186%20Don%20Quixote%20Pirates_Officer%20-%20Monet%20-%20Medal%20_Monet_%20_Colored_.png?updatedAt=1770076437069</v>
      </c>
      <c r="AE158" s="123" t="str">
        <f>IFERROR(__xludf.DUMMYFUNCTION("""COMPUTED_VALUE"""),"https://ik.imagekit.io/alaaalaa6171/186%20Don%20Quixote%20Pirates_Officer%20-%20Monet%20-%20Medal%20_Monet_%20-%20Piece.png?updatedAt=1770076437067")</f>
        <v>https://ik.imagekit.io/alaaalaa6171/186%20Don%20Quixote%20Pirates_Officer%20-%20Monet%20-%20Medal%20_Monet_%20-%20Piece.png?updatedAt=1770076437067</v>
      </c>
      <c r="AF158" s="123" t="str">
        <f>IFERROR(__xludf.DUMMYFUNCTION("""COMPUTED_VALUE"""),"https://ik.imagekit.io/alaaalaa6171/186%20Don%20Quixote%20Pirates_Officer%20-%20Monet%20-%20Medal%20_Monet_%20-%20Piece%20_Colored_.png?updatedAt=1770076437039")</f>
        <v>https://ik.imagekit.io/alaaalaa6171/186%20Don%20Quixote%20Pirates_Officer%20-%20Monet%20-%20Medal%20_Monet_%20-%20Piece%20_Colored_.png?updatedAt=1770076437039</v>
      </c>
      <c r="AG158" s="114"/>
      <c r="AH158" s="114"/>
      <c r="AI158" s="121" t="s">
        <v>4031</v>
      </c>
      <c r="AJ158" s="121" t="str">
        <f>IFERROR(__xludf.DUMMYFUNCTION("regexreplace(regexreplace(AI158, ""  \["", "" ""), ""\]$"", """")"),"157 - Hero of the Navy ~ Monkey D. Garb - Medal - Crafted [Colored] - Hero")</f>
        <v>157 - Hero of the Navy ~ Monkey D. Garb - Medal - Crafted [Colored] - Hero</v>
      </c>
      <c r="AK158" s="114"/>
      <c r="AL158" s="117" t="s">
        <v>4032</v>
      </c>
      <c r="AM158" s="117" t="s">
        <v>4033</v>
      </c>
      <c r="AN158" s="114"/>
      <c r="AO158" s="122">
        <f>IFERROR(__xludf.DUMMYFUNCTION("""COMPUTED_VALUE"""),151.0)</f>
        <v>151</v>
      </c>
      <c r="AP158" s="114" t="str">
        <f>IFERROR(__xludf.DUMMYFUNCTION("""COMPUTED_VALUE"""),"Sanji
(FILM GOLD)")</f>
        <v>Sanji
(FILM GOLD)</v>
      </c>
      <c r="AQ158" s="114" t="str">
        <f>IFERROR(__xludf.DUMMYFUNCTION("""COMPUTED_VALUE"""),"Sanji (FILM GOLD)")</f>
        <v>Sanji (FILM GOLD)</v>
      </c>
      <c r="AR158" s="114"/>
      <c r="AS158" s="114"/>
      <c r="AT158" s="123" t="str">
        <f>IFERROR(__xludf.DUMMYFUNCTION("""COMPUTED_VALUE"""),"https://i.postimg.cc/kg8gfFgj/151.png")</f>
        <v>https://i.postimg.cc/kg8gfFgj/151.png</v>
      </c>
      <c r="AU158" s="114"/>
      <c r="AV158" s="114"/>
      <c r="AW158" s="114"/>
      <c r="AX158" s="114" t="str">
        <f t="shared" si="3"/>
        <v>151 - Medal [Event] - Crafted - Sanji (FILM GOLD)</v>
      </c>
      <c r="AY158" s="114" t="s">
        <v>4034</v>
      </c>
      <c r="AZ158" s="114"/>
      <c r="BA158" s="114"/>
      <c r="BB158" s="114"/>
      <c r="BC158" s="114"/>
      <c r="BD158" s="114"/>
      <c r="BE158" s="114"/>
    </row>
    <row r="159" ht="37.5" customHeight="1">
      <c r="A159" s="118" t="s">
        <v>4035</v>
      </c>
      <c r="B159" s="117" t="s">
        <v>4036</v>
      </c>
      <c r="C159" s="119">
        <f>IFERROR(__xludf.DUMMYFUNCTION("""COMPUTED_VALUE"""),184.0)</f>
        <v>184</v>
      </c>
      <c r="D159" s="114" t="str">
        <f>IFERROR(__xludf.DUMMYFUNCTION("""COMPUTED_VALUE"""),"Sugar")</f>
        <v>Sugar</v>
      </c>
      <c r="E159" s="114" t="str">
        <f>IFERROR(__xludf.DUMMYFUNCTION("""COMPUTED_VALUE"""),"")</f>
        <v/>
      </c>
      <c r="F159" s="114"/>
      <c r="G159" s="114"/>
      <c r="H159" s="114"/>
      <c r="I159" s="114"/>
      <c r="J159" s="114"/>
      <c r="K159" s="114" t="s">
        <v>4037</v>
      </c>
      <c r="L159" s="114" t="s">
        <v>4038</v>
      </c>
      <c r="M159" s="114" t="s">
        <v>4039</v>
      </c>
      <c r="N159" s="114" t="s">
        <v>4040</v>
      </c>
      <c r="O159" s="114"/>
      <c r="P159" s="120">
        <v>184.0</v>
      </c>
      <c r="Q159" s="117" t="s">
        <v>4041</v>
      </c>
      <c r="R159" s="114"/>
      <c r="S159" s="117" t="s">
        <v>4042</v>
      </c>
      <c r="T159" s="114">
        <f t="shared" si="1"/>
        <v>157</v>
      </c>
      <c r="U159" s="114" t="s">
        <v>1147</v>
      </c>
      <c r="V159" s="114" t="str">
        <f>IFERROR(__xludf.DUMMYFUNCTION("REGEXREPLACE(U159, ""\n"", "" "")"),"Hero")</f>
        <v>Hero</v>
      </c>
      <c r="W159" s="114"/>
      <c r="X159" s="115" t="str">
        <f t="shared" si="2"/>
        <v>157 Hero of the Navy - Monkey D. Garb - Medal [Hero]</v>
      </c>
      <c r="Y159" s="119"/>
      <c r="Z159" s="117" t="s">
        <v>4043</v>
      </c>
      <c r="AA159" s="117" t="s">
        <v>2499</v>
      </c>
      <c r="AB159" s="114"/>
      <c r="AC159" s="123" t="str">
        <f>IFERROR(__xludf.DUMMYFUNCTION("""COMPUTED_VALUE"""),"https://ik.imagekit.io/alaaalaa6171/185%20Don%20Quixote%20Pirates_Supreme%20Officer%20-%20Vergo%20-%20Medal%20_Bamboo%20Demon_.png?updatedAt=1770076437081")</f>
        <v>https://ik.imagekit.io/alaaalaa6171/185%20Don%20Quixote%20Pirates_Supreme%20Officer%20-%20Vergo%20-%20Medal%20_Bamboo%20Demon_.png?updatedAt=1770076437081</v>
      </c>
      <c r="AD159" s="123" t="str">
        <f>IFERROR(__xludf.DUMMYFUNCTION("""COMPUTED_VALUE"""),"https://ik.imagekit.io/alaaalaa6171/185%20Don%20Quixote%20Pirates_Supreme%20Officer%20-%20Vergo%20-%20Medal%20_Bamboo%20Demon_%20_Colored_.png?updatedAt=1770076437088")</f>
        <v>https://ik.imagekit.io/alaaalaa6171/185%20Don%20Quixote%20Pirates_Supreme%20Officer%20-%20Vergo%20-%20Medal%20_Bamboo%20Demon_%20_Colored_.png?updatedAt=1770076437088</v>
      </c>
      <c r="AE159" s="123" t="str">
        <f>IFERROR(__xludf.DUMMYFUNCTION("""COMPUTED_VALUE"""),"https://ik.imagekit.io/alaaalaa6171/185%20Don%20Quixote%20Pirates_Supreme%20Officer%20-%20Vergo%20-%20Medal%20_Bamboo%20Demon_%20-%20Piece.png?updatedAt=1770076437050")</f>
        <v>https://ik.imagekit.io/alaaalaa6171/185%20Don%20Quixote%20Pirates_Supreme%20Officer%20-%20Vergo%20-%20Medal%20_Bamboo%20Demon_%20-%20Piece.png?updatedAt=1770076437050</v>
      </c>
      <c r="AF159" s="123" t="str">
        <f>IFERROR(__xludf.DUMMYFUNCTION("""COMPUTED_VALUE"""),"https://ik.imagekit.io/alaaalaa6171/185%20Don%20Quixote%20Pirates_Supreme%20Officer%20-%20Vergo%20-%20Medal%20_Bamboo%20Demon_%20-%20Piece%20_Colored_.png?updatedAt=1770076437032")</f>
        <v>https://ik.imagekit.io/alaaalaa6171/185%20Don%20Quixote%20Pirates_Supreme%20Officer%20-%20Vergo%20-%20Medal%20_Bamboo%20Demon_%20-%20Piece%20_Colored_.png?updatedAt=1770076437032</v>
      </c>
      <c r="AG159" s="114"/>
      <c r="AH159" s="114"/>
      <c r="AI159" s="121" t="s">
        <v>4044</v>
      </c>
      <c r="AJ159" s="121" t="str">
        <f>IFERROR(__xludf.DUMMYFUNCTION("regexreplace(regexreplace(AI159, ""  \["", "" ""), ""\]$"", """")"),"158 - Roger`s Rival ~ Edward Newgate - Medal - Crafted [Colored] - Tremor_Tremor")</f>
        <v>158 - Roger`s Rival ~ Edward Newgate - Medal - Crafted [Colored] - Tremor_Tremor</v>
      </c>
      <c r="AK159" s="114"/>
      <c r="AL159" s="117" t="s">
        <v>4045</v>
      </c>
      <c r="AM159" s="117" t="s">
        <v>4046</v>
      </c>
      <c r="AN159" s="114"/>
      <c r="AO159" s="122">
        <f>IFERROR(__xludf.DUMMYFUNCTION("""COMPUTED_VALUE"""),150.0)</f>
        <v>150</v>
      </c>
      <c r="AP159" s="114" t="str">
        <f>IFERROR(__xludf.DUMMYFUNCTION("""COMPUTED_VALUE"""),"Usopp
(FILM GOLD)")</f>
        <v>Usopp
(FILM GOLD)</v>
      </c>
      <c r="AQ159" s="114" t="str">
        <f>IFERROR(__xludf.DUMMYFUNCTION("""COMPUTED_VALUE"""),"Usopp (FILM GOLD)")</f>
        <v>Usopp (FILM GOLD)</v>
      </c>
      <c r="AR159" s="114"/>
      <c r="AS159" s="114"/>
      <c r="AT159" s="123" t="str">
        <f>IFERROR(__xludf.DUMMYFUNCTION("""COMPUTED_VALUE"""),"https://i.postimg.cc/5tVNGYHf/150.png")</f>
        <v>https://i.postimg.cc/5tVNGYHf/150.png</v>
      </c>
      <c r="AU159" s="114"/>
      <c r="AV159" s="114"/>
      <c r="AW159" s="114"/>
      <c r="AX159" s="114" t="str">
        <f t="shared" si="3"/>
        <v>150 - Medal [Event] - Crafted - Usopp (FILM GOLD)</v>
      </c>
      <c r="AY159" s="114" t="s">
        <v>4047</v>
      </c>
      <c r="AZ159" s="114"/>
      <c r="BA159" s="114"/>
      <c r="BB159" s="114"/>
      <c r="BC159" s="114"/>
      <c r="BD159" s="114"/>
      <c r="BE159" s="114"/>
    </row>
    <row r="160" ht="37.5" customHeight="1">
      <c r="A160" s="118" t="s">
        <v>4048</v>
      </c>
      <c r="B160" s="117" t="s">
        <v>4049</v>
      </c>
      <c r="C160" s="119">
        <f>IFERROR(__xludf.DUMMYFUNCTION("""COMPUTED_VALUE"""),183.0)</f>
        <v>183</v>
      </c>
      <c r="D160" s="114" t="str">
        <f>IFERROR(__xludf.DUMMYFUNCTION("""COMPUTED_VALUE"""),"Young Master")</f>
        <v>Young Master</v>
      </c>
      <c r="E160" s="114" t="str">
        <f>IFERROR(__xludf.DUMMYFUNCTION("""COMPUTED_VALUE"""),"")</f>
        <v/>
      </c>
      <c r="F160" s="114"/>
      <c r="G160" s="114"/>
      <c r="H160" s="114"/>
      <c r="I160" s="114"/>
      <c r="J160" s="114"/>
      <c r="K160" s="114" t="s">
        <v>4050</v>
      </c>
      <c r="L160" s="114" t="s">
        <v>4051</v>
      </c>
      <c r="M160" s="114" t="s">
        <v>4052</v>
      </c>
      <c r="N160" s="114" t="s">
        <v>4053</v>
      </c>
      <c r="O160" s="114"/>
      <c r="P160" s="120">
        <v>183.0</v>
      </c>
      <c r="Q160" s="117" t="s">
        <v>4054</v>
      </c>
      <c r="R160" s="114"/>
      <c r="S160" s="117" t="s">
        <v>4055</v>
      </c>
      <c r="T160" s="114">
        <f t="shared" si="1"/>
        <v>159</v>
      </c>
      <c r="U160" s="114" t="s">
        <v>1138</v>
      </c>
      <c r="V160" s="114" t="str">
        <f>IFERROR(__xludf.DUMMYFUNCTION("REGEXREPLACE(U160, ""\n"", "" "")"),"Carrot")</f>
        <v>Carrot</v>
      </c>
      <c r="W160" s="114"/>
      <c r="X160" s="115" t="str">
        <f t="shared" si="2"/>
        <v>159 Minks - Carrot - Medal [Carrot]</v>
      </c>
      <c r="Y160" s="119"/>
      <c r="Z160" s="117" t="s">
        <v>4056</v>
      </c>
      <c r="AA160" s="117" t="s">
        <v>2501</v>
      </c>
      <c r="AB160" s="114"/>
      <c r="AC160" s="123" t="str">
        <f>IFERROR(__xludf.DUMMYFUNCTION("""COMPUTED_VALUE"""),"https://ik.imagekit.io/alaaalaa6171/184%20Don%20Quixote%20Pirates_Special%20Officer%20-%20Sugar%20-%20Medal%20_Sugar_.png?updatedAt=1770076437061")</f>
        <v>https://ik.imagekit.io/alaaalaa6171/184%20Don%20Quixote%20Pirates_Special%20Officer%20-%20Sugar%20-%20Medal%20_Sugar_.png?updatedAt=1770076437061</v>
      </c>
      <c r="AD160" s="123" t="str">
        <f>IFERROR(__xludf.DUMMYFUNCTION("""COMPUTED_VALUE"""),"https://ik.imagekit.io/alaaalaa6171/184%20Don%20Quixote%20Pirates_Special%20Officer%20-%20Sugar%20-%20Medal%20_Sugar_%20_Colored_.png?updatedAt=1770076437035")</f>
        <v>https://ik.imagekit.io/alaaalaa6171/184%20Don%20Quixote%20Pirates_Special%20Officer%20-%20Sugar%20-%20Medal%20_Sugar_%20_Colored_.png?updatedAt=1770076437035</v>
      </c>
      <c r="AE160" s="123" t="str">
        <f>IFERROR(__xludf.DUMMYFUNCTION("""COMPUTED_VALUE"""),"https://ik.imagekit.io/alaaalaa6171/184%20Don%20Quixote%20Pirates_Special%20Officer%20-%20Sugar%20-%20Medal%20_Sugar_%20-%20Piece.png?updatedAt=1770076437104")</f>
        <v>https://ik.imagekit.io/alaaalaa6171/184%20Don%20Quixote%20Pirates_Special%20Officer%20-%20Sugar%20-%20Medal%20_Sugar_%20-%20Piece.png?updatedAt=1770076437104</v>
      </c>
      <c r="AF160" s="123" t="str">
        <f>IFERROR(__xludf.DUMMYFUNCTION("""COMPUTED_VALUE"""),"https://ik.imagekit.io/alaaalaa6171/184%20Don%20Quixote%20Pirates_Special%20Officer%20-%20Sugar%20-%20Medal%20_Sugar_%20-%20Piece%20_Colored_.png?updatedAt=1770076437028")</f>
        <v>https://ik.imagekit.io/alaaalaa6171/184%20Don%20Quixote%20Pirates_Special%20Officer%20-%20Sugar%20-%20Medal%20_Sugar_%20-%20Piece%20_Colored_.png?updatedAt=1770076437028</v>
      </c>
      <c r="AG160" s="114"/>
      <c r="AH160" s="114"/>
      <c r="AI160" s="121" t="s">
        <v>4057</v>
      </c>
      <c r="AJ160" s="121" t="str">
        <f>IFERROR(__xludf.DUMMYFUNCTION("regexreplace(regexreplace(AI160, ""  \["", "" ""), ""\]$"", """")"),"159 - Minks ~ Carrot - Medal - Crafted [Colored] - Carrot")</f>
        <v>159 - Minks ~ Carrot - Medal - Crafted [Colored] - Carrot</v>
      </c>
      <c r="AK160" s="114"/>
      <c r="AL160" s="117" t="s">
        <v>4058</v>
      </c>
      <c r="AM160" s="117" t="s">
        <v>4059</v>
      </c>
      <c r="AN160" s="114"/>
      <c r="AO160" s="122">
        <f>IFERROR(__xludf.DUMMYFUNCTION("""COMPUTED_VALUE"""),149.0)</f>
        <v>149</v>
      </c>
      <c r="AP160" s="114" t="str">
        <f>IFERROR(__xludf.DUMMYFUNCTION("""COMPUTED_VALUE"""),"Nami
(FILM STRONG WORLD)")</f>
        <v>Nami
(FILM STRONG WORLD)</v>
      </c>
      <c r="AQ160" s="114" t="str">
        <f>IFERROR(__xludf.DUMMYFUNCTION("""COMPUTED_VALUE"""),"Nami (FILM STRONG WORLD)")</f>
        <v>Nami (FILM STRONG WORLD)</v>
      </c>
      <c r="AR160" s="114"/>
      <c r="AS160" s="114"/>
      <c r="AT160" s="123" t="str">
        <f>IFERROR(__xludf.DUMMYFUNCTION("""COMPUTED_VALUE"""),"https://i.postimg.cc/Xvk70jFd/149.png")</f>
        <v>https://i.postimg.cc/Xvk70jFd/149.png</v>
      </c>
      <c r="AU160" s="114"/>
      <c r="AV160" s="114"/>
      <c r="AW160" s="114"/>
      <c r="AX160" s="114" t="str">
        <f t="shared" si="3"/>
        <v>149 - Medal [Event] - Crafted - Nami (FILM STRONG WORLD)</v>
      </c>
      <c r="AY160" s="114" t="s">
        <v>4060</v>
      </c>
      <c r="AZ160" s="114"/>
      <c r="BA160" s="114"/>
      <c r="BB160" s="114"/>
      <c r="BC160" s="114"/>
      <c r="BD160" s="114"/>
      <c r="BE160" s="114"/>
    </row>
    <row r="161" ht="37.5" customHeight="1">
      <c r="A161" s="118" t="s">
        <v>4061</v>
      </c>
      <c r="B161" s="117" t="s">
        <v>4062</v>
      </c>
      <c r="C161" s="119">
        <f>IFERROR(__xludf.DUMMYFUNCTION("""COMPUTED_VALUE"""),182.0)</f>
        <v>182</v>
      </c>
      <c r="D161" s="114" t="str">
        <f>IFERROR(__xludf.DUMMYFUNCTION("""COMPUTED_VALUE"""),"Hard_Boiled")</f>
        <v>Hard_Boiled</v>
      </c>
      <c r="E161" s="114" t="str">
        <f>IFERROR(__xludf.DUMMYFUNCTION("""COMPUTED_VALUE"""),"")</f>
        <v/>
      </c>
      <c r="F161" s="114"/>
      <c r="G161" s="114"/>
      <c r="H161" s="114"/>
      <c r="I161" s="114"/>
      <c r="J161" s="114"/>
      <c r="K161" s="114" t="s">
        <v>4063</v>
      </c>
      <c r="L161" s="114" t="s">
        <v>4064</v>
      </c>
      <c r="M161" s="114" t="s">
        <v>4065</v>
      </c>
      <c r="N161" s="114" t="s">
        <v>4066</v>
      </c>
      <c r="O161" s="114"/>
      <c r="P161" s="120">
        <v>182.0</v>
      </c>
      <c r="Q161" s="117" t="s">
        <v>4067</v>
      </c>
      <c r="R161" s="114"/>
      <c r="S161" s="117" t="s">
        <v>4068</v>
      </c>
      <c r="T161" s="114">
        <f t="shared" si="1"/>
        <v>160</v>
      </c>
      <c r="U161" s="114" t="s">
        <v>4069</v>
      </c>
      <c r="V161" s="114" t="str">
        <f>IFERROR(__xludf.DUMMYFUNCTION("REGEXREPLACE(U161, ""\n"", "" "")"),"Assistant Fish_Man Karate Master")</f>
        <v>Assistant Fish_Man Karate Master</v>
      </c>
      <c r="W161" s="114"/>
      <c r="X161" s="115" t="str">
        <f t="shared" si="2"/>
        <v>160 Revolutionary Army / Officer - Koala 1 - Medal [Assistant Fish_Man Karate Master]</v>
      </c>
      <c r="Y161" s="119"/>
      <c r="Z161" s="117" t="s">
        <v>4070</v>
      </c>
      <c r="AA161" s="117" t="s">
        <v>2502</v>
      </c>
      <c r="AB161" s="114"/>
      <c r="AC161" s="123" t="str">
        <f>IFERROR(__xludf.DUMMYFUNCTION("""COMPUTED_VALUE"""),"https://ik.imagekit.io/alaaalaa6171/183%20Don%20Quixote%20Pirates_Captain%20-%20Don%20Quixote%20Doflamingo%20-%20Medal%20_Young%20Master_.png?updatedAt=1770076437055")</f>
        <v>https://ik.imagekit.io/alaaalaa6171/183%20Don%20Quixote%20Pirates_Captain%20-%20Don%20Quixote%20Doflamingo%20-%20Medal%20_Young%20Master_.png?updatedAt=1770076437055</v>
      </c>
      <c r="AD161" s="123" t="str">
        <f>IFERROR(__xludf.DUMMYFUNCTION("""COMPUTED_VALUE"""),"https://ik.imagekit.io/alaaalaa6171/183%20Don%20Quixote%20Pirates_Captain%20-%20Don%20Quixote%20Doflamingo%20-%20Medal%20_Young%20Master_%20_Colored_.png?updatedAt=1770076436999")</f>
        <v>https://ik.imagekit.io/alaaalaa6171/183%20Don%20Quixote%20Pirates_Captain%20-%20Don%20Quixote%20Doflamingo%20-%20Medal%20_Young%20Master_%20_Colored_.png?updatedAt=1770076436999</v>
      </c>
      <c r="AE161" s="123" t="str">
        <f>IFERROR(__xludf.DUMMYFUNCTION("""COMPUTED_VALUE"""),"https://ik.imagekit.io/alaaalaa6171/183%20Don%20Quixote%20Pirates_Captain%20-%20Don%20Quixote%20Doflamingo%20-%20Medal%20_Young%20Master_%20-%20Piece.png?updatedAt=1770076436987")</f>
        <v>https://ik.imagekit.io/alaaalaa6171/183%20Don%20Quixote%20Pirates_Captain%20-%20Don%20Quixote%20Doflamingo%20-%20Medal%20_Young%20Master_%20-%20Piece.png?updatedAt=1770076436987</v>
      </c>
      <c r="AF161" s="123" t="str">
        <f>IFERROR(__xludf.DUMMYFUNCTION("""COMPUTED_VALUE"""),"https://ik.imagekit.io/alaaalaa6171/183%20Don%20Quixote%20Pirates_Captain%20-%20Don%20Quixote%20Doflamingo%20-%20Medal%20_Young%20Master_%20-%20Piece%20_Colored_.png?updatedAt=1770076437038")</f>
        <v>https://ik.imagekit.io/alaaalaa6171/183%20Don%20Quixote%20Pirates_Captain%20-%20Don%20Quixote%20Doflamingo%20-%20Medal%20_Young%20Master_%20-%20Piece%20_Colored_.png?updatedAt=1770076437038</v>
      </c>
      <c r="AG161" s="114"/>
      <c r="AH161" s="114"/>
      <c r="AI161" s="121" t="s">
        <v>4071</v>
      </c>
      <c r="AJ161" s="121" t="str">
        <f>IFERROR(__xludf.DUMMYFUNCTION("regexreplace(regexreplace(AI161, ""  \["", "" ""), ""\]$"", """")"),"160 - Revolutionary Army_Officer ~ Koala 1 - Medal - Crafted [Colored] - Assistant Fish_Man Karate Master")</f>
        <v>160 - Revolutionary Army_Officer ~ Koala 1 - Medal - Crafted [Colored] - Assistant Fish_Man Karate Master</v>
      </c>
      <c r="AK161" s="114"/>
      <c r="AL161" s="117" t="s">
        <v>4072</v>
      </c>
      <c r="AM161" s="117" t="s">
        <v>4073</v>
      </c>
      <c r="AN161" s="114"/>
      <c r="AO161" s="122">
        <f>IFERROR(__xludf.DUMMYFUNCTION("""COMPUTED_VALUE"""),148.0)</f>
        <v>148</v>
      </c>
      <c r="AP161" s="114" t="str">
        <f>IFERROR(__xludf.DUMMYFUNCTION("""COMPUTED_VALUE"""),"Luffy
(FILM STRONG WORLD)")</f>
        <v>Luffy
(FILM STRONG WORLD)</v>
      </c>
      <c r="AQ161" s="114" t="str">
        <f>IFERROR(__xludf.DUMMYFUNCTION("""COMPUTED_VALUE"""),"Luffy (FILM STRONG WORLD)")</f>
        <v>Luffy (FILM STRONG WORLD)</v>
      </c>
      <c r="AR161" s="114"/>
      <c r="AS161" s="114"/>
      <c r="AT161" s="123" t="str">
        <f>IFERROR(__xludf.DUMMYFUNCTION("""COMPUTED_VALUE"""),"https://i.postimg.cc/bJYYy7HM/148.png")</f>
        <v>https://i.postimg.cc/bJYYy7HM/148.png</v>
      </c>
      <c r="AU161" s="114"/>
      <c r="AV161" s="114"/>
      <c r="AW161" s="114"/>
      <c r="AX161" s="114" t="str">
        <f t="shared" si="3"/>
        <v>148 - Medal [Event] - Crafted - Luffy (FILM STRONG WORLD)</v>
      </c>
      <c r="AY161" s="114" t="s">
        <v>4074</v>
      </c>
      <c r="AZ161" s="114"/>
      <c r="BA161" s="114"/>
      <c r="BB161" s="114"/>
      <c r="BC161" s="114"/>
      <c r="BD161" s="114"/>
      <c r="BE161" s="114"/>
    </row>
    <row r="162" ht="37.5" customHeight="1">
      <c r="A162" s="118" t="s">
        <v>4075</v>
      </c>
      <c r="B162" s="117" t="s">
        <v>4076</v>
      </c>
      <c r="C162" s="119">
        <f>IFERROR(__xludf.DUMMYFUNCTION("""COMPUTED_VALUE"""),181.0)</f>
        <v>181</v>
      </c>
      <c r="D162" s="114" t="str">
        <f>IFERROR(__xludf.DUMMYFUNCTION("""COMPUTED_VALUE"""),"Baby 5")</f>
        <v>Baby 5</v>
      </c>
      <c r="E162" s="114" t="str">
        <f>IFERROR(__xludf.DUMMYFUNCTION("""COMPUTED_VALUE"""),"")</f>
        <v/>
      </c>
      <c r="F162" s="114"/>
      <c r="G162" s="114"/>
      <c r="H162" s="114"/>
      <c r="I162" s="114"/>
      <c r="J162" s="114"/>
      <c r="K162" s="114" t="s">
        <v>4077</v>
      </c>
      <c r="L162" s="114" t="s">
        <v>4078</v>
      </c>
      <c r="M162" s="114" t="s">
        <v>4079</v>
      </c>
      <c r="N162" s="114" t="s">
        <v>4080</v>
      </c>
      <c r="O162" s="114"/>
      <c r="P162" s="120">
        <v>181.0</v>
      </c>
      <c r="Q162" s="117" t="s">
        <v>4081</v>
      </c>
      <c r="R162" s="114"/>
      <c r="S162" s="117" t="s">
        <v>4082</v>
      </c>
      <c r="T162" s="114">
        <f t="shared" si="1"/>
        <v>162</v>
      </c>
      <c r="U162" s="114" t="s">
        <v>1122</v>
      </c>
      <c r="V162" s="114" t="str">
        <f>IFERROR(__xludf.DUMMYFUNCTION("REGEXREPLACE(U162, ""\n"", "" "")"),"General Franky")</f>
        <v>General Franky</v>
      </c>
      <c r="W162" s="114"/>
      <c r="X162" s="115" t="str">
        <f t="shared" si="2"/>
        <v>162 Iron Pirate - General Franky - Medal [General Franky]</v>
      </c>
      <c r="Y162" s="119"/>
      <c r="Z162" s="117" t="s">
        <v>4083</v>
      </c>
      <c r="AA162" s="117" t="s">
        <v>2500</v>
      </c>
      <c r="AB162" s="114"/>
      <c r="AC162" s="123" t="str">
        <f>IFERROR(__xludf.DUMMYFUNCTION("""COMPUTED_VALUE"""),"https://ik.imagekit.io/alaaalaa6171/182%20Don%20Quixote%20Pirates_Officer%20-%20Se%C3%B1or%20Pink%20-%20Medal%20_Hard_Boiled_.png?updatedAt=1770076437028")</f>
        <v>https://ik.imagekit.io/alaaalaa6171/182%20Don%20Quixote%20Pirates_Officer%20-%20Se%C3%B1or%20Pink%20-%20Medal%20_Hard_Boiled_.png?updatedAt=1770076437028</v>
      </c>
      <c r="AD162" s="123" t="str">
        <f>IFERROR(__xludf.DUMMYFUNCTION("""COMPUTED_VALUE"""),"https://ik.imagekit.io/alaaalaa6171/182%20Don%20Quixote%20Pirates_Officer%20-%20Se%C3%B1or%20Pink%20-%20Medal%20_Hard_Boiled_%20_Colored_.png?updatedAt=1770076437053")</f>
        <v>https://ik.imagekit.io/alaaalaa6171/182%20Don%20Quixote%20Pirates_Officer%20-%20Se%C3%B1or%20Pink%20-%20Medal%20_Hard_Boiled_%20_Colored_.png?updatedAt=1770076437053</v>
      </c>
      <c r="AE162" s="123" t="str">
        <f>IFERROR(__xludf.DUMMYFUNCTION("""COMPUTED_VALUE"""),"https://ik.imagekit.io/alaaalaa6171/182%20Don%20Quixote%20Pirates_Officer%20-%20Se%C3%B1or%20Pink%20-%20Medal%20_Hard_Boiled_%20-%20Piece.png?updatedAt=1770076436990")</f>
        <v>https://ik.imagekit.io/alaaalaa6171/182%20Don%20Quixote%20Pirates_Officer%20-%20Se%C3%B1or%20Pink%20-%20Medal%20_Hard_Boiled_%20-%20Piece.png?updatedAt=1770076436990</v>
      </c>
      <c r="AF162" s="123" t="str">
        <f>IFERROR(__xludf.DUMMYFUNCTION("""COMPUTED_VALUE"""),"https://ik.imagekit.io/alaaalaa6171/182%20Don%20Quixote%20Pirates_Officer%20-%20Se%C3%B1or%20Pink%20-%20Medal%20_Hard_Boiled_%20-%20Piece%20_Colored_.png?updatedAt=1770076437045")</f>
        <v>https://ik.imagekit.io/alaaalaa6171/182%20Don%20Quixote%20Pirates_Officer%20-%20Se%C3%B1or%20Pink%20-%20Medal%20_Hard_Boiled_%20-%20Piece%20_Colored_.png?updatedAt=1770076437045</v>
      </c>
      <c r="AG162" s="114"/>
      <c r="AH162" s="114"/>
      <c r="AI162" s="121" t="s">
        <v>4084</v>
      </c>
      <c r="AJ162" s="121" t="str">
        <f>IFERROR(__xludf.DUMMYFUNCTION("regexreplace(regexreplace(AI162, ""  \["", "" ""), ""\]$"", """")"),"161 - Savior ~ God Usopp - Medal - Crafted [Colored] - God Usopp")</f>
        <v>161 - Savior ~ God Usopp - Medal - Crafted [Colored] - God Usopp</v>
      </c>
      <c r="AK162" s="114"/>
      <c r="AL162" s="117" t="s">
        <v>4085</v>
      </c>
      <c r="AM162" s="117" t="s">
        <v>4086</v>
      </c>
      <c r="AN162" s="114"/>
      <c r="AO162" s="122">
        <f>IFERROR(__xludf.DUMMYFUNCTION("""COMPUTED_VALUE"""),147.0)</f>
        <v>147</v>
      </c>
      <c r="AP162" s="114" t="str">
        <f>IFERROR(__xludf.DUMMYFUNCTION("""COMPUTED_VALUE"""),"Flampe
(Land of Wano)")</f>
        <v>Flampe
(Land of Wano)</v>
      </c>
      <c r="AQ162" s="114" t="str">
        <f>IFERROR(__xludf.DUMMYFUNCTION("""COMPUTED_VALUE"""),"Flampe (Land of Wano)")</f>
        <v>Flampe (Land of Wano)</v>
      </c>
      <c r="AR162" s="114"/>
      <c r="AS162" s="114"/>
      <c r="AT162" s="123" t="str">
        <f>IFERROR(__xludf.DUMMYFUNCTION("""COMPUTED_VALUE"""),"https://i.postimg.cc/cHDxrFFJ/147.png")</f>
        <v>https://i.postimg.cc/cHDxrFFJ/147.png</v>
      </c>
      <c r="AU162" s="114"/>
      <c r="AV162" s="114"/>
      <c r="AW162" s="114"/>
      <c r="AX162" s="114" t="str">
        <f t="shared" si="3"/>
        <v>147 - Medal [Event] - Crafted - Flampe (Land of Wano)</v>
      </c>
      <c r="AY162" s="114" t="s">
        <v>4087</v>
      </c>
      <c r="AZ162" s="114"/>
      <c r="BA162" s="114"/>
      <c r="BB162" s="114"/>
      <c r="BC162" s="114"/>
      <c r="BD162" s="114"/>
      <c r="BE162" s="114"/>
    </row>
    <row r="163" ht="37.5" customHeight="1">
      <c r="A163" s="118" t="s">
        <v>4088</v>
      </c>
      <c r="B163" s="117" t="s">
        <v>4089</v>
      </c>
      <c r="C163" s="119">
        <f>IFERROR(__xludf.DUMMYFUNCTION("""COMPUTED_VALUE"""),180.0)</f>
        <v>180</v>
      </c>
      <c r="D163" s="114" t="str">
        <f>IFERROR(__xludf.DUMMYFUNCTION("""COMPUTED_VALUE"""),"Sentomaru")</f>
        <v>Sentomaru</v>
      </c>
      <c r="E163" s="114" t="str">
        <f>IFERROR(__xludf.DUMMYFUNCTION("""COMPUTED_VALUE"""),"")</f>
        <v/>
      </c>
      <c r="F163" s="114"/>
      <c r="G163" s="114"/>
      <c r="H163" s="114"/>
      <c r="I163" s="114"/>
      <c r="J163" s="114"/>
      <c r="K163" s="114" t="s">
        <v>4090</v>
      </c>
      <c r="L163" s="114" t="s">
        <v>4091</v>
      </c>
      <c r="M163" s="114" t="s">
        <v>4092</v>
      </c>
      <c r="N163" s="114" t="s">
        <v>4093</v>
      </c>
      <c r="O163" s="114"/>
      <c r="P163" s="120">
        <v>180.0</v>
      </c>
      <c r="Q163" s="117" t="s">
        <v>4094</v>
      </c>
      <c r="R163" s="114"/>
      <c r="S163" s="117" t="s">
        <v>4095</v>
      </c>
      <c r="T163" s="114">
        <f t="shared" si="1"/>
        <v>161</v>
      </c>
      <c r="U163" s="114" t="s">
        <v>1127</v>
      </c>
      <c r="V163" s="114" t="str">
        <f>IFERROR(__xludf.DUMMYFUNCTION("REGEXREPLACE(U163, ""\n"", "" "")"),"God Usopp")</f>
        <v>God Usopp</v>
      </c>
      <c r="W163" s="114"/>
      <c r="X163" s="115" t="str">
        <f t="shared" si="2"/>
        <v>161 Savior - God Usopp - Medal [God Usopp]</v>
      </c>
      <c r="Y163" s="119"/>
      <c r="Z163" s="117" t="s">
        <v>4096</v>
      </c>
      <c r="AA163" s="117" t="s">
        <v>2512</v>
      </c>
      <c r="AB163" s="114"/>
      <c r="AC163" s="123" t="str">
        <f>IFERROR(__xludf.DUMMYFUNCTION("""COMPUTED_VALUE"""),"https://ik.imagekit.io/alaaalaa6171/181%20Don%20Quixote%20Pirates_Servant%20Assassin%20-%20Baby%205%20-%20Medal%20_Baby%205_.png?updatedAt=1770076436992")</f>
        <v>https://ik.imagekit.io/alaaalaa6171/181%20Don%20Quixote%20Pirates_Servant%20Assassin%20-%20Baby%205%20-%20Medal%20_Baby%205_.png?updatedAt=1770076436992</v>
      </c>
      <c r="AD163" s="123" t="str">
        <f>IFERROR(__xludf.DUMMYFUNCTION("""COMPUTED_VALUE"""),"https://ik.imagekit.io/alaaalaa6171/181%20Don%20Quixote%20Pirates_Servant%20Assassin%20-%20Baby%205%20-%20Medal%20_Baby%205_%20_Colored_.png?updatedAt=1770076436960")</f>
        <v>https://ik.imagekit.io/alaaalaa6171/181%20Don%20Quixote%20Pirates_Servant%20Assassin%20-%20Baby%205%20-%20Medal%20_Baby%205_%20_Colored_.png?updatedAt=1770076436960</v>
      </c>
      <c r="AE163" s="123" t="str">
        <f>IFERROR(__xludf.DUMMYFUNCTION("""COMPUTED_VALUE"""),"https://ik.imagekit.io/alaaalaa6171/181%20Don%20Quixote%20Pirates_Servant%20Assassin%20-%20Baby%205%20-%20Medal%20_Baby%205_%20-%20Piece.png?updatedAt=1770076437028")</f>
        <v>https://ik.imagekit.io/alaaalaa6171/181%20Don%20Quixote%20Pirates_Servant%20Assassin%20-%20Baby%205%20-%20Medal%20_Baby%205_%20-%20Piece.png?updatedAt=1770076437028</v>
      </c>
      <c r="AF163" s="123" t="str">
        <f>IFERROR(__xludf.DUMMYFUNCTION("""COMPUTED_VALUE"""),"https://ik.imagekit.io/alaaalaa6171/181%20Don%20Quixote%20Pirates_Servant%20Assassin%20-%20Baby%205%20-%20Medal%20_Baby%205_%20-%20Piece%20_Colored_.png?updatedAt=1770076436990")</f>
        <v>https://ik.imagekit.io/alaaalaa6171/181%20Don%20Quixote%20Pirates_Servant%20Assassin%20-%20Baby%205%20-%20Medal%20_Baby%205_%20-%20Piece%20_Colored_.png?updatedAt=1770076436990</v>
      </c>
      <c r="AG163" s="114"/>
      <c r="AH163" s="114"/>
      <c r="AI163" s="121" t="s">
        <v>4097</v>
      </c>
      <c r="AJ163" s="121" t="str">
        <f>IFERROR(__xludf.DUMMYFUNCTION("regexreplace(regexreplace(AI163, ""  \["", "" ""), ""\]$"", """")"),"162 - Iron Pirate ~ General Franky - Medal - Crafted [Colored] - General Franky")</f>
        <v>162 - Iron Pirate ~ General Franky - Medal - Crafted [Colored] - General Franky</v>
      </c>
      <c r="AK163" s="114"/>
      <c r="AL163" s="117" t="s">
        <v>4098</v>
      </c>
      <c r="AM163" s="117" t="s">
        <v>4099</v>
      </c>
      <c r="AN163" s="114"/>
      <c r="AO163" s="122">
        <f>IFERROR(__xludf.DUMMYFUNCTION("""COMPUTED_VALUE"""),146.0)</f>
        <v>146</v>
      </c>
      <c r="AP163" s="114" t="str">
        <f>IFERROR(__xludf.DUMMYFUNCTION("""COMPUTED_VALUE"""),"Daifuku
(Land of Wano)")</f>
        <v>Daifuku
(Land of Wano)</v>
      </c>
      <c r="AQ163" s="114" t="str">
        <f>IFERROR(__xludf.DUMMYFUNCTION("""COMPUTED_VALUE"""),"Daifuku (Land of Wano)")</f>
        <v>Daifuku (Land of Wano)</v>
      </c>
      <c r="AR163" s="114"/>
      <c r="AS163" s="114"/>
      <c r="AT163" s="123" t="str">
        <f>IFERROR(__xludf.DUMMYFUNCTION("""COMPUTED_VALUE"""),"https://i.postimg.cc/rsK8W5HN/146.png")</f>
        <v>https://i.postimg.cc/rsK8W5HN/146.png</v>
      </c>
      <c r="AU163" s="114"/>
      <c r="AV163" s="114"/>
      <c r="AW163" s="114"/>
      <c r="AX163" s="114" t="str">
        <f t="shared" si="3"/>
        <v>146 - Medal [Event] - Crafted - Daifuku (Land of Wano)</v>
      </c>
      <c r="AY163" s="114" t="s">
        <v>4100</v>
      </c>
      <c r="AZ163" s="114"/>
      <c r="BA163" s="114"/>
      <c r="BB163" s="114"/>
      <c r="BC163" s="114"/>
      <c r="BD163" s="114"/>
      <c r="BE163" s="114"/>
    </row>
    <row r="164" ht="37.5" customHeight="1">
      <c r="A164" s="118" t="s">
        <v>4101</v>
      </c>
      <c r="B164" s="117" t="s">
        <v>4102</v>
      </c>
      <c r="C164" s="119">
        <f>IFERROR(__xludf.DUMMYFUNCTION("""COMPUTED_VALUE"""),179.0)</f>
        <v>179</v>
      </c>
      <c r="D164" s="114" t="str">
        <f>IFERROR(__xludf.DUMMYFUNCTION("""COMPUTED_VALUE"""),"Koby
(Paramount War)")</f>
        <v>Koby
(Paramount War)</v>
      </c>
      <c r="E164" s="114" t="str">
        <f>IFERROR(__xludf.DUMMYFUNCTION("""COMPUTED_VALUE"""),"")</f>
        <v/>
      </c>
      <c r="F164" s="114"/>
      <c r="G164" s="114"/>
      <c r="H164" s="114"/>
      <c r="I164" s="114"/>
      <c r="J164" s="114"/>
      <c r="K164" s="114" t="s">
        <v>4103</v>
      </c>
      <c r="L164" s="114" t="s">
        <v>4104</v>
      </c>
      <c r="M164" s="114" t="s">
        <v>4105</v>
      </c>
      <c r="N164" s="114" t="s">
        <v>4106</v>
      </c>
      <c r="O164" s="114"/>
      <c r="P164" s="120">
        <v>179.0</v>
      </c>
      <c r="Q164" s="117" t="s">
        <v>4107</v>
      </c>
      <c r="R164" s="114"/>
      <c r="S164" s="117" t="s">
        <v>4108</v>
      </c>
      <c r="T164" s="114">
        <f t="shared" si="1"/>
        <v>163</v>
      </c>
      <c r="U164" s="114" t="s">
        <v>1117</v>
      </c>
      <c r="V164" s="114" t="str">
        <f>IFERROR(__xludf.DUMMYFUNCTION("REGEXREPLACE(U164, ""\n"", "" "")"),"Gaimon")</f>
        <v>Gaimon</v>
      </c>
      <c r="W164" s="114"/>
      <c r="X164" s="115" t="str">
        <f t="shared" si="2"/>
        <v>163 The Guardian of the Forest - Gaimon - Medal [Gaimon]</v>
      </c>
      <c r="Y164" s="119"/>
      <c r="Z164" s="117" t="s">
        <v>4109</v>
      </c>
      <c r="AA164" s="117" t="s">
        <v>2514</v>
      </c>
      <c r="AB164" s="114"/>
      <c r="AC164" s="123" t="str">
        <f>IFERROR(__xludf.DUMMYFUNCTION("""COMPUTED_VALUE"""),"https://ik.imagekit.io/alaaalaa6171/180%20Navy%20HQ_Science%20Team%20Captain%20-%20Sentomaru%20-%20Medal%20_Sentomaru_.png?updatedAt=1770076437057")</f>
        <v>https://ik.imagekit.io/alaaalaa6171/180%20Navy%20HQ_Science%20Team%20Captain%20-%20Sentomaru%20-%20Medal%20_Sentomaru_.png?updatedAt=1770076437057</v>
      </c>
      <c r="AD164" s="123" t="str">
        <f>IFERROR(__xludf.DUMMYFUNCTION("""COMPUTED_VALUE"""),"https://ik.imagekit.io/alaaalaa6171/180%20Navy%20HQ_Science%20Team%20Captain%20-%20Sentomaru%20-%20Medal%20_Sentomaru_%20_Colored_.png?updatedAt=1770076436973")</f>
        <v>https://ik.imagekit.io/alaaalaa6171/180%20Navy%20HQ_Science%20Team%20Captain%20-%20Sentomaru%20-%20Medal%20_Sentomaru_%20_Colored_.png?updatedAt=1770076436973</v>
      </c>
      <c r="AE164" s="123" t="str">
        <f>IFERROR(__xludf.DUMMYFUNCTION("""COMPUTED_VALUE"""),"https://ik.imagekit.io/alaaalaa6171/180%20Navy%20HQ_Science%20Team%20Captain%20-%20Sentomaru%20-%20Medal%20_Sentomaru_%20-%20Piece.png?updatedAt=1770076436961")</f>
        <v>https://ik.imagekit.io/alaaalaa6171/180%20Navy%20HQ_Science%20Team%20Captain%20-%20Sentomaru%20-%20Medal%20_Sentomaru_%20-%20Piece.png?updatedAt=1770076436961</v>
      </c>
      <c r="AF164" s="123" t="str">
        <f>IFERROR(__xludf.DUMMYFUNCTION("""COMPUTED_VALUE"""),"https://ik.imagekit.io/alaaalaa6171/180%20Navy%20HQ_Science%20Team%20Captain%20-%20Sentomaru%20-%20Medal%20_Sentomaru_%20-%20Piece%20_Colored_.png?updatedAt=1770076436979")</f>
        <v>https://ik.imagekit.io/alaaalaa6171/180%20Navy%20HQ_Science%20Team%20Captain%20-%20Sentomaru%20-%20Medal%20_Sentomaru_%20-%20Piece%20_Colored_.png?updatedAt=1770076436979</v>
      </c>
      <c r="AG164" s="114"/>
      <c r="AH164" s="114"/>
      <c r="AI164" s="121" t="s">
        <v>4110</v>
      </c>
      <c r="AJ164" s="121" t="str">
        <f>IFERROR(__xludf.DUMMYFUNCTION("regexreplace(regexreplace(AI164, ""  \["", "" ""), ""\]$"", """")"),"163 - The Guardian of the Forest ~ Gaimon - Medal - Crafted [Colored] - Gaimon")</f>
        <v>163 - The Guardian of the Forest ~ Gaimon - Medal - Crafted [Colored] - Gaimon</v>
      </c>
      <c r="AK164" s="114"/>
      <c r="AL164" s="117" t="s">
        <v>4111</v>
      </c>
      <c r="AM164" s="117" t="s">
        <v>4112</v>
      </c>
      <c r="AN164" s="114"/>
      <c r="AO164" s="122">
        <f>IFERROR(__xludf.DUMMYFUNCTION("""COMPUTED_VALUE"""),145.0)</f>
        <v>145</v>
      </c>
      <c r="AP164" s="114" t="str">
        <f>IFERROR(__xludf.DUMMYFUNCTION("""COMPUTED_VALUE"""),"Triceratops")</f>
        <v>Triceratops</v>
      </c>
      <c r="AQ164" s="114" t="str">
        <f>IFERROR(__xludf.DUMMYFUNCTION("""COMPUTED_VALUE"""),"Triceratops")</f>
        <v>Triceratops</v>
      </c>
      <c r="AR164" s="114"/>
      <c r="AS164" s="114"/>
      <c r="AT164" s="123" t="str">
        <f>IFERROR(__xludf.DUMMYFUNCTION("""COMPUTED_VALUE"""),"https://i.postimg.cc/vTkGvcFF/145.png")</f>
        <v>https://i.postimg.cc/vTkGvcFF/145.png</v>
      </c>
      <c r="AU164" s="114"/>
      <c r="AV164" s="114"/>
      <c r="AW164" s="114"/>
      <c r="AX164" s="114" t="str">
        <f t="shared" si="3"/>
        <v>145 - Medal [Event] - Crafted - Triceratops</v>
      </c>
      <c r="AY164" s="114" t="s">
        <v>4113</v>
      </c>
      <c r="AZ164" s="114"/>
      <c r="BA164" s="114"/>
      <c r="BB164" s="114"/>
      <c r="BC164" s="114"/>
      <c r="BD164" s="114"/>
      <c r="BE164" s="114"/>
    </row>
    <row r="165" ht="37.5" customHeight="1">
      <c r="A165" s="118" t="s">
        <v>4114</v>
      </c>
      <c r="B165" s="117" t="s">
        <v>4115</v>
      </c>
      <c r="C165" s="119">
        <f>IFERROR(__xludf.DUMMYFUNCTION("""COMPUTED_VALUE"""),178.0)</f>
        <v>178</v>
      </c>
      <c r="D165" s="114" t="str">
        <f>IFERROR(__xludf.DUMMYFUNCTION("""COMPUTED_VALUE"""),"Fleet Admiral Akainu")</f>
        <v>Fleet Admiral Akainu</v>
      </c>
      <c r="E165" s="114" t="str">
        <f>IFERROR(__xludf.DUMMYFUNCTION("""COMPUTED_VALUE"""),"")</f>
        <v/>
      </c>
      <c r="F165" s="114"/>
      <c r="G165" s="114"/>
      <c r="H165" s="114"/>
      <c r="I165" s="114"/>
      <c r="J165" s="114"/>
      <c r="K165" s="114" t="s">
        <v>4116</v>
      </c>
      <c r="L165" s="114" t="s">
        <v>4117</v>
      </c>
      <c r="M165" s="114" t="s">
        <v>4118</v>
      </c>
      <c r="N165" s="114" t="s">
        <v>4119</v>
      </c>
      <c r="O165" s="114"/>
      <c r="P165" s="120">
        <v>178.0</v>
      </c>
      <c r="Q165" s="117" t="s">
        <v>4120</v>
      </c>
      <c r="R165" s="114"/>
      <c r="S165" s="117" t="s">
        <v>4121</v>
      </c>
      <c r="T165" s="114">
        <f t="shared" si="1"/>
        <v>164</v>
      </c>
      <c r="U165" s="114" t="s">
        <v>1112</v>
      </c>
      <c r="V165" s="114" t="str">
        <f>IFERROR(__xludf.DUMMYFUNCTION("REGEXREPLACE(U165, ""\n"", "" "")"),"Duke Dogstorm")</f>
        <v>Duke Dogstorm</v>
      </c>
      <c r="W165" s="114"/>
      <c r="X165" s="115" t="str">
        <f t="shared" si="2"/>
        <v>164 King of the Day - Dogstorm - Medal [Duke Dogstorm]</v>
      </c>
      <c r="Y165" s="119"/>
      <c r="Z165" s="117" t="s">
        <v>4122</v>
      </c>
      <c r="AA165" s="117" t="s">
        <v>2515</v>
      </c>
      <c r="AB165" s="114"/>
      <c r="AC165" s="123" t="str">
        <f>IFERROR(__xludf.DUMMYFUNCTION("""COMPUTED_VALUE"""),"https://ik.imagekit.io/alaaalaa6171/179%20Navy%20HQ_Master%20Chief%20Petty%20Officer%20-%20Koby%20-%20Medal%20_Koby%20(Paramount%20War)_.png?updatedAt=1770076436984")</f>
        <v>https://ik.imagekit.io/alaaalaa6171/179%20Navy%20HQ_Master%20Chief%20Petty%20Officer%20-%20Koby%20-%20Medal%20_Koby%20(Paramount%20War)_.png?updatedAt=1770076436984</v>
      </c>
      <c r="AD165" s="123" t="str">
        <f>IFERROR(__xludf.DUMMYFUNCTION("""COMPUTED_VALUE"""),"https://ik.imagekit.io/alaaalaa6171/179%20Navy%20HQ_Master%20Chief%20Petty%20Officer%20-%20Koby%20-%20Medal%20_Koby%20(Paramount%20War)_%20_Colored_.png?updatedAt=1770076436951")</f>
        <v>https://ik.imagekit.io/alaaalaa6171/179%20Navy%20HQ_Master%20Chief%20Petty%20Officer%20-%20Koby%20-%20Medal%20_Koby%20(Paramount%20War)_%20_Colored_.png?updatedAt=1770076436951</v>
      </c>
      <c r="AE165" s="123" t="str">
        <f>IFERROR(__xludf.DUMMYFUNCTION("""COMPUTED_VALUE"""),"https://ik.imagekit.io/alaaalaa6171/179%20Navy%20HQ_Master%20Chief%20Petty%20Officer%20-%20Koby%20-%20Medal%20_Koby%20(Paramount%20War)_%20-%20Piece.png?updatedAt=1770076436980")</f>
        <v>https://ik.imagekit.io/alaaalaa6171/179%20Navy%20HQ_Master%20Chief%20Petty%20Officer%20-%20Koby%20-%20Medal%20_Koby%20(Paramount%20War)_%20-%20Piece.png?updatedAt=1770076436980</v>
      </c>
      <c r="AF165" s="123" t="str">
        <f>IFERROR(__xludf.DUMMYFUNCTION("""COMPUTED_VALUE"""),"https://ik.imagekit.io/alaaalaa6171/179%20Navy%20HQ_Master%20Chief%20Petty%20Officer%20-%20Koby%20-%20Medal%20_Koby%20(Paramount%20War)_%20-%20Piece%20_Colored_.png?updatedAt=1770076437014")</f>
        <v>https://ik.imagekit.io/alaaalaa6171/179%20Navy%20HQ_Master%20Chief%20Petty%20Officer%20-%20Koby%20-%20Medal%20_Koby%20(Paramount%20War)_%20-%20Piece%20_Colored_.png?updatedAt=1770076437014</v>
      </c>
      <c r="AG165" s="114"/>
      <c r="AH165" s="114"/>
      <c r="AI165" s="121" t="s">
        <v>4123</v>
      </c>
      <c r="AJ165" s="121" t="str">
        <f>IFERROR(__xludf.DUMMYFUNCTION("regexreplace(regexreplace(AI165, ""  \["", "" ""), ""\]$"", """")"),"164 - King of the Day ~ Dogstorm - Medal - Crafted [Colored] - Duke Dogstorm")</f>
        <v>164 - King of the Day ~ Dogstorm - Medal - Crafted [Colored] - Duke Dogstorm</v>
      </c>
      <c r="AK165" s="114"/>
      <c r="AL165" s="117" t="s">
        <v>4124</v>
      </c>
      <c r="AM165" s="117" t="s">
        <v>4125</v>
      </c>
      <c r="AN165" s="114"/>
      <c r="AO165" s="122">
        <f>IFERROR(__xludf.DUMMYFUNCTION("""COMPUTED_VALUE"""),144.0)</f>
        <v>144</v>
      </c>
      <c r="AP165" s="114" t="str">
        <f>IFERROR(__xludf.DUMMYFUNCTION("""COMPUTED_VALUE"""),"Saber_Toothed Tiger")</f>
        <v>Saber_Toothed Tiger</v>
      </c>
      <c r="AQ165" s="114" t="str">
        <f>IFERROR(__xludf.DUMMYFUNCTION("""COMPUTED_VALUE"""),"Saber_Toothed Tiger")</f>
        <v>Saber_Toothed Tiger</v>
      </c>
      <c r="AR165" s="114"/>
      <c r="AS165" s="114"/>
      <c r="AT165" s="123" t="str">
        <f>IFERROR(__xludf.DUMMYFUNCTION("""COMPUTED_VALUE"""),"https://i.postimg.cc/CMQM06ZP/144.png")</f>
        <v>https://i.postimg.cc/CMQM06ZP/144.png</v>
      </c>
      <c r="AU165" s="114"/>
      <c r="AV165" s="114"/>
      <c r="AW165" s="114"/>
      <c r="AX165" s="114" t="str">
        <f t="shared" si="3"/>
        <v>144 - Medal [Event] - Crafted - Saber_Toothed Tiger</v>
      </c>
      <c r="AY165" s="114" t="s">
        <v>4126</v>
      </c>
      <c r="AZ165" s="114"/>
      <c r="BA165" s="114"/>
      <c r="BB165" s="114"/>
      <c r="BC165" s="114"/>
      <c r="BD165" s="114"/>
      <c r="BE165" s="114"/>
    </row>
    <row r="166" ht="37.5" customHeight="1">
      <c r="A166" s="118" t="s">
        <v>4127</v>
      </c>
      <c r="B166" s="117" t="s">
        <v>4128</v>
      </c>
      <c r="C166" s="119">
        <f>IFERROR(__xludf.DUMMYFUNCTION("""COMPUTED_VALUE"""),177.0)</f>
        <v>177</v>
      </c>
      <c r="D166" s="114" t="str">
        <f>IFERROR(__xludf.DUMMYFUNCTION("""COMPUTED_VALUE"""),"Ice_Burn")</f>
        <v>Ice_Burn</v>
      </c>
      <c r="E166" s="114" t="str">
        <f>IFERROR(__xludf.DUMMYFUNCTION("""COMPUTED_VALUE"""),"")</f>
        <v/>
      </c>
      <c r="F166" s="114"/>
      <c r="G166" s="114"/>
      <c r="H166" s="114"/>
      <c r="I166" s="114"/>
      <c r="J166" s="114"/>
      <c r="K166" s="114" t="s">
        <v>4129</v>
      </c>
      <c r="L166" s="114" t="s">
        <v>4130</v>
      </c>
      <c r="M166" s="114" t="s">
        <v>4131</v>
      </c>
      <c r="N166" s="114" t="s">
        <v>4132</v>
      </c>
      <c r="O166" s="114"/>
      <c r="P166" s="120">
        <v>177.0</v>
      </c>
      <c r="Q166" s="117" t="s">
        <v>4133</v>
      </c>
      <c r="R166" s="114"/>
      <c r="S166" s="117" t="s">
        <v>4134</v>
      </c>
      <c r="T166" s="114">
        <f t="shared" si="1"/>
        <v>165</v>
      </c>
      <c r="U166" s="114" t="s">
        <v>1106</v>
      </c>
      <c r="V166" s="114" t="str">
        <f>IFERROR(__xludf.DUMMYFUNCTION("REGEXREPLACE(U166, ""\n"", "" "")"),"Cat Viper")</f>
        <v>Cat Viper</v>
      </c>
      <c r="W166" s="114"/>
      <c r="X166" s="115" t="str">
        <f t="shared" si="2"/>
        <v>165 King of the Night - Cat Viper - Medal [Cat Viper]</v>
      </c>
      <c r="Y166" s="119"/>
      <c r="Z166" s="117" t="s">
        <v>4135</v>
      </c>
      <c r="AA166" s="117" t="s">
        <v>2513</v>
      </c>
      <c r="AB166" s="114"/>
      <c r="AC166" s="123" t="str">
        <f>IFERROR(__xludf.DUMMYFUNCTION("""COMPUTED_VALUE"""),"https://ik.imagekit.io/alaaalaa6171/178%20Navy%20HQ_Fleet%20Admiral%20Akainu%20-%20_Sakazuki_%20-%20Medal%20_Fleet%20Admiral%20Akainu_.png?updatedAt=1770076436959")</f>
        <v>https://ik.imagekit.io/alaaalaa6171/178%20Navy%20HQ_Fleet%20Admiral%20Akainu%20-%20_Sakazuki_%20-%20Medal%20_Fleet%20Admiral%20Akainu_.png?updatedAt=1770076436959</v>
      </c>
      <c r="AD166" s="123" t="str">
        <f>IFERROR(__xludf.DUMMYFUNCTION("""COMPUTED_VALUE"""),"https://ik.imagekit.io/alaaalaa6171/178%20Navy%20HQ_Fleet%20Admiral%20Akainu%20-%20_Sakazuki_%20-%20Medal%20_Fleet%20Admiral%20Akainu_%20_Colored_.png?updatedAt=1770076436956")</f>
        <v>https://ik.imagekit.io/alaaalaa6171/178%20Navy%20HQ_Fleet%20Admiral%20Akainu%20-%20_Sakazuki_%20-%20Medal%20_Fleet%20Admiral%20Akainu_%20_Colored_.png?updatedAt=1770076436956</v>
      </c>
      <c r="AE166" s="123" t="str">
        <f>IFERROR(__xludf.DUMMYFUNCTION("""COMPUTED_VALUE"""),"https://ik.imagekit.io/alaaalaa6171/178%20Navy%20HQ_Fleet%20Admiral%20Akainu%20-%20_Sakazuki_%20-%20Medal%20_Fleet%20Admiral%20Akainu_%20-%20Piece.png?updatedAt=1770076436953")</f>
        <v>https://ik.imagekit.io/alaaalaa6171/178%20Navy%20HQ_Fleet%20Admiral%20Akainu%20-%20_Sakazuki_%20-%20Medal%20_Fleet%20Admiral%20Akainu_%20-%20Piece.png?updatedAt=1770076436953</v>
      </c>
      <c r="AF166" s="123" t="str">
        <f>IFERROR(__xludf.DUMMYFUNCTION("""COMPUTED_VALUE"""),"https://ik.imagekit.io/alaaalaa6171/178%20Navy%20HQ_Fleet%20Admiral%20Akainu%20-%20_Sakazuki_%20-%20Medal%20_Fleet%20Admiral%20Akainu_%20-%20Piece%20_Colored_.png?updatedAt=1770076436942")</f>
        <v>https://ik.imagekit.io/alaaalaa6171/178%20Navy%20HQ_Fleet%20Admiral%20Akainu%20-%20_Sakazuki_%20-%20Medal%20_Fleet%20Admiral%20Akainu_%20-%20Piece%20_Colored_.png?updatedAt=1770076436942</v>
      </c>
      <c r="AG166" s="114"/>
      <c r="AH166" s="114"/>
      <c r="AI166" s="121" t="s">
        <v>4136</v>
      </c>
      <c r="AJ166" s="121" t="str">
        <f>IFERROR(__xludf.DUMMYFUNCTION("regexreplace(regexreplace(AI166, ""  \["", "" ""), ""\]$"", """")"),"165 - King of the Night ~ Cat Viper - Medal - Crafted [Colored] - Cat Viper")</f>
        <v>165 - King of the Night ~ Cat Viper - Medal - Crafted [Colored] - Cat Viper</v>
      </c>
      <c r="AK166" s="114"/>
      <c r="AL166" s="117" t="s">
        <v>4137</v>
      </c>
      <c r="AM166" s="117" t="s">
        <v>4138</v>
      </c>
      <c r="AN166" s="114"/>
      <c r="AO166" s="122">
        <f>IFERROR(__xludf.DUMMYFUNCTION("""COMPUTED_VALUE"""),143.0)</f>
        <v>143</v>
      </c>
      <c r="AP166" s="114" t="str">
        <f>IFERROR(__xludf.DUMMYFUNCTION("""COMPUTED_VALUE"""),"Kalgara")</f>
        <v>Kalgara</v>
      </c>
      <c r="AQ166" s="114" t="str">
        <f>IFERROR(__xludf.DUMMYFUNCTION("""COMPUTED_VALUE"""),"Kalgara")</f>
        <v>Kalgara</v>
      </c>
      <c r="AR166" s="114"/>
      <c r="AS166" s="114"/>
      <c r="AT166" s="123" t="str">
        <f>IFERROR(__xludf.DUMMYFUNCTION("""COMPUTED_VALUE"""),"https://i.postimg.cc/L8dHYY3j/143.png")</f>
        <v>https://i.postimg.cc/L8dHYY3j/143.png</v>
      </c>
      <c r="AU166" s="114"/>
      <c r="AV166" s="114"/>
      <c r="AW166" s="114"/>
      <c r="AX166" s="114" t="str">
        <f t="shared" si="3"/>
        <v>143 - Medal [Event] - Crafted - Kalgara</v>
      </c>
      <c r="AY166" s="114" t="s">
        <v>4139</v>
      </c>
      <c r="AZ166" s="114"/>
      <c r="BA166" s="114"/>
      <c r="BB166" s="114"/>
      <c r="BC166" s="114"/>
      <c r="BD166" s="114"/>
      <c r="BE166" s="114"/>
    </row>
    <row r="167" ht="37.5" customHeight="1">
      <c r="A167" s="118" t="s">
        <v>4140</v>
      </c>
      <c r="B167" s="117" t="s">
        <v>4141</v>
      </c>
      <c r="C167" s="119">
        <f>IFERROR(__xludf.DUMMYFUNCTION("""COMPUTED_VALUE"""),176.0)</f>
        <v>176</v>
      </c>
      <c r="D167" s="114" t="str">
        <f>IFERROR(__xludf.DUMMYFUNCTION("""COMPUTED_VALUE"""),"Delphinium")</f>
        <v>Delphinium</v>
      </c>
      <c r="E167" s="114" t="str">
        <f>IFERROR(__xludf.DUMMYFUNCTION("""COMPUTED_VALUE"""),"")</f>
        <v/>
      </c>
      <c r="F167" s="114"/>
      <c r="G167" s="114"/>
      <c r="H167" s="114"/>
      <c r="I167" s="114"/>
      <c r="J167" s="114"/>
      <c r="K167" s="114" t="s">
        <v>4142</v>
      </c>
      <c r="L167" s="114" t="s">
        <v>4143</v>
      </c>
      <c r="M167" s="114" t="s">
        <v>4144</v>
      </c>
      <c r="N167" s="114" t="s">
        <v>4145</v>
      </c>
      <c r="O167" s="114"/>
      <c r="P167" s="120">
        <v>176.0</v>
      </c>
      <c r="Q167" s="117" t="s">
        <v>4146</v>
      </c>
      <c r="R167" s="114"/>
      <c r="S167" s="117" t="s">
        <v>4147</v>
      </c>
      <c r="T167" s="114">
        <f t="shared" si="1"/>
        <v>167</v>
      </c>
      <c r="U167" s="114" t="s">
        <v>1093</v>
      </c>
      <c r="V167" s="114" t="str">
        <f>IFERROR(__xludf.DUMMYFUNCTION("REGEXREPLACE(U167, ""\n"", "" "")"),"Candula")</f>
        <v>Candula</v>
      </c>
      <c r="W167" s="114"/>
      <c r="X167" s="115" t="str">
        <f t="shared" si="2"/>
        <v>167 Enies Lobby - Nico Robin - Medal [Candula]</v>
      </c>
      <c r="Y167" s="119"/>
      <c r="Z167" s="117" t="s">
        <v>4148</v>
      </c>
      <c r="AA167" s="117" t="s">
        <v>2525</v>
      </c>
      <c r="AB167" s="114"/>
      <c r="AC167" s="123" t="str">
        <f>IFERROR(__xludf.DUMMYFUNCTION("""COMPUTED_VALUE"""),"https://ik.imagekit.io/alaaalaa6171/177%20Land%20of%20Wano%20-%20Bonekichi%20-%20Medal%20_Ice_Burn_.png?updatedAt=1770076436973")</f>
        <v>https://ik.imagekit.io/alaaalaa6171/177%20Land%20of%20Wano%20-%20Bonekichi%20-%20Medal%20_Ice_Burn_.png?updatedAt=1770076436973</v>
      </c>
      <c r="AD167" s="123" t="str">
        <f>IFERROR(__xludf.DUMMYFUNCTION("""COMPUTED_VALUE"""),"https://ik.imagekit.io/alaaalaa6171/177%20Land%20of%20Wano%20-%20Bonekichi%20-%20Medal%20_Ice_Burn_%20_Colored_.png?updatedAt=1770076436915")</f>
        <v>https://ik.imagekit.io/alaaalaa6171/177%20Land%20of%20Wano%20-%20Bonekichi%20-%20Medal%20_Ice_Burn_%20_Colored_.png?updatedAt=1770076436915</v>
      </c>
      <c r="AE167" s="123" t="str">
        <f>IFERROR(__xludf.DUMMYFUNCTION("""COMPUTED_VALUE"""),"https://ik.imagekit.io/alaaalaa6171/177%20Land%20of%20Wano%20-%20Bonekichi%20-%20Medal%20_Ice_Burn_%20-%20Piece.png?updatedAt=1770076436910")</f>
        <v>https://ik.imagekit.io/alaaalaa6171/177%20Land%20of%20Wano%20-%20Bonekichi%20-%20Medal%20_Ice_Burn_%20-%20Piece.png?updatedAt=1770076436910</v>
      </c>
      <c r="AF167" s="123" t="str">
        <f>IFERROR(__xludf.DUMMYFUNCTION("""COMPUTED_VALUE"""),"https://ik.imagekit.io/alaaalaa6171/177%20Land%20of%20Wano%20-%20Bonekichi%20-%20Medal%20_Ice_Burn_%20-%20Piece%20_Colored_.png?updatedAt=1770076436963")</f>
        <v>https://ik.imagekit.io/alaaalaa6171/177%20Land%20of%20Wano%20-%20Bonekichi%20-%20Medal%20_Ice_Burn_%20-%20Piece%20_Colored_.png?updatedAt=1770076436963</v>
      </c>
      <c r="AG167" s="114"/>
      <c r="AH167" s="114"/>
      <c r="AI167" s="121" t="s">
        <v>4149</v>
      </c>
      <c r="AJ167" s="121" t="str">
        <f>IFERROR(__xludf.DUMMYFUNCTION("regexreplace(regexreplace(AI167, ""  \["", "" ""), ""\]$"", """")"),"166 - Monster Point ~ Tony Tony Chopper - Medal - Crafted [Colored] - Palm")</f>
        <v>166 - Monster Point ~ Tony Tony Chopper - Medal - Crafted [Colored] - Palm</v>
      </c>
      <c r="AK167" s="114"/>
      <c r="AL167" s="117" t="s">
        <v>4150</v>
      </c>
      <c r="AM167" s="117" t="s">
        <v>4151</v>
      </c>
      <c r="AN167" s="114"/>
      <c r="AO167" s="122">
        <f>IFERROR(__xludf.DUMMYFUNCTION("""COMPUTED_VALUE"""),142.0)</f>
        <v>142</v>
      </c>
      <c r="AP167" s="114" t="str">
        <f>IFERROR(__xludf.DUMMYFUNCTION("""COMPUTED_VALUE"""),"Noland")</f>
        <v>Noland</v>
      </c>
      <c r="AQ167" s="114" t="str">
        <f>IFERROR(__xludf.DUMMYFUNCTION("""COMPUTED_VALUE"""),"Noland")</f>
        <v>Noland</v>
      </c>
      <c r="AR167" s="114"/>
      <c r="AS167" s="114"/>
      <c r="AT167" s="123" t="str">
        <f>IFERROR(__xludf.DUMMYFUNCTION("""COMPUTED_VALUE"""),"https://i.postimg.cc/FHjhjrT8/142.png")</f>
        <v>https://i.postimg.cc/FHjhjrT8/142.png</v>
      </c>
      <c r="AU167" s="114"/>
      <c r="AV167" s="114"/>
      <c r="AW167" s="114"/>
      <c r="AX167" s="114" t="str">
        <f t="shared" si="3"/>
        <v>142 - Medal [Event] - Crafted - Noland</v>
      </c>
      <c r="AY167" s="114" t="s">
        <v>4152</v>
      </c>
      <c r="AZ167" s="114"/>
      <c r="BA167" s="114"/>
      <c r="BB167" s="114"/>
      <c r="BC167" s="114"/>
      <c r="BD167" s="114"/>
      <c r="BE167" s="114"/>
    </row>
    <row r="168" ht="37.5" customHeight="1">
      <c r="A168" s="118" t="s">
        <v>4153</v>
      </c>
      <c r="B168" s="117" t="s">
        <v>4154</v>
      </c>
      <c r="C168" s="119">
        <f>IFERROR(__xludf.DUMMYFUNCTION("""COMPUTED_VALUE"""),175.0)</f>
        <v>175</v>
      </c>
      <c r="D168" s="114" t="str">
        <f>IFERROR(__xludf.DUMMYFUNCTION("""COMPUTED_VALUE"""),"Vivi &amp; Karoo")</f>
        <v>Vivi &amp; Karoo</v>
      </c>
      <c r="E168" s="114" t="str">
        <f>IFERROR(__xludf.DUMMYFUNCTION("""COMPUTED_VALUE"""),"")</f>
        <v/>
      </c>
      <c r="F168" s="114"/>
      <c r="G168" s="114"/>
      <c r="H168" s="114"/>
      <c r="I168" s="114"/>
      <c r="J168" s="114"/>
      <c r="K168" s="114" t="s">
        <v>4155</v>
      </c>
      <c r="L168" s="114" t="s">
        <v>4156</v>
      </c>
      <c r="M168" s="114" t="s">
        <v>4157</v>
      </c>
      <c r="N168" s="114" t="s">
        <v>4158</v>
      </c>
      <c r="O168" s="114"/>
      <c r="P168" s="120">
        <v>175.0</v>
      </c>
      <c r="Q168" s="117" t="s">
        <v>4159</v>
      </c>
      <c r="R168" s="114"/>
      <c r="S168" s="117" t="s">
        <v>4160</v>
      </c>
      <c r="T168" s="114">
        <f t="shared" si="1"/>
        <v>166</v>
      </c>
      <c r="U168" s="114" t="s">
        <v>1100</v>
      </c>
      <c r="V168" s="114" t="str">
        <f>IFERROR(__xludf.DUMMYFUNCTION("REGEXREPLACE(U168, ""\n"", "" "")"),"Palm")</f>
        <v>Palm</v>
      </c>
      <c r="W168" s="114"/>
      <c r="X168" s="115" t="str">
        <f t="shared" si="2"/>
        <v>166 Monster Point - Tony Tony Chopper - Medal [Palm]</v>
      </c>
      <c r="Y168" s="119"/>
      <c r="Z168" s="117" t="s">
        <v>4161</v>
      </c>
      <c r="AA168" s="117" t="s">
        <v>2527</v>
      </c>
      <c r="AB168" s="114"/>
      <c r="AC168" s="123" t="str">
        <f>IFERROR(__xludf.DUMMYFUNCTION("""COMPUTED_VALUE"""),"https://ik.imagekit.io/alaaalaa6171/176%20Land%20of%20Wano%20-%20Orobi%20-%20Medal%20_Delphinium_.png?updatedAt=1770076436949")</f>
        <v>https://ik.imagekit.io/alaaalaa6171/176%20Land%20of%20Wano%20-%20Orobi%20-%20Medal%20_Delphinium_.png?updatedAt=1770076436949</v>
      </c>
      <c r="AD168" s="123" t="str">
        <f>IFERROR(__xludf.DUMMYFUNCTION("""COMPUTED_VALUE"""),"https://ik.imagekit.io/alaaalaa6171/176%20Land%20of%20Wano%20-%20Orobi%20-%20Medal%20_Delphinium_%20_Colored_.png?updatedAt=1770076436918")</f>
        <v>https://ik.imagekit.io/alaaalaa6171/176%20Land%20of%20Wano%20-%20Orobi%20-%20Medal%20_Delphinium_%20_Colored_.png?updatedAt=1770076436918</v>
      </c>
      <c r="AE168" s="123" t="str">
        <f>IFERROR(__xludf.DUMMYFUNCTION("""COMPUTED_VALUE"""),"https://ik.imagekit.io/alaaalaa6171/176%20Land%20of%20Wano%20-%20Orobi%20-%20Medal%20_Delphinium_%20-%20Piece.png?updatedAt=1770076436889")</f>
        <v>https://ik.imagekit.io/alaaalaa6171/176%20Land%20of%20Wano%20-%20Orobi%20-%20Medal%20_Delphinium_%20-%20Piece.png?updatedAt=1770076436889</v>
      </c>
      <c r="AF168" s="123" t="str">
        <f>IFERROR(__xludf.DUMMYFUNCTION("""COMPUTED_VALUE"""),"https://ik.imagekit.io/alaaalaa6171/176%20Land%20of%20Wano%20-%20Orobi%20-%20Medal%20_Delphinium_%20-%20Piece%20_Colored_.png?updatedAt=1770076436942")</f>
        <v>https://ik.imagekit.io/alaaalaa6171/176%20Land%20of%20Wano%20-%20Orobi%20-%20Medal%20_Delphinium_%20-%20Piece%20_Colored_.png?updatedAt=1770076436942</v>
      </c>
      <c r="AG168" s="114"/>
      <c r="AH168" s="114"/>
      <c r="AI168" s="121" t="s">
        <v>4162</v>
      </c>
      <c r="AJ168" s="121" t="str">
        <f>IFERROR(__xludf.DUMMYFUNCTION("regexreplace(regexreplace(AI168, ""  \["", "" ""), ""\]$"", """")"),"167 - Enies Lobby ~ Nico Robin - Medal - Crafted [Colored] - Candula")</f>
        <v>167 - Enies Lobby ~ Nico Robin - Medal - Crafted [Colored] - Candula</v>
      </c>
      <c r="AK168" s="114"/>
      <c r="AL168" s="117" t="s">
        <v>4163</v>
      </c>
      <c r="AM168" s="117" t="s">
        <v>4164</v>
      </c>
      <c r="AN168" s="114"/>
      <c r="AO168" s="122">
        <f>IFERROR(__xludf.DUMMYFUNCTION("""COMPUTED_VALUE"""),141.0)</f>
        <v>141</v>
      </c>
      <c r="AP168" s="114" t="str">
        <f>IFERROR(__xludf.DUMMYFUNCTION("""COMPUTED_VALUE"""),"Kami")</f>
        <v>Kami</v>
      </c>
      <c r="AQ168" s="114" t="str">
        <f>IFERROR(__xludf.DUMMYFUNCTION("""COMPUTED_VALUE"""),"Kami")</f>
        <v>Kami</v>
      </c>
      <c r="AR168" s="114"/>
      <c r="AS168" s="114"/>
      <c r="AT168" s="123" t="str">
        <f>IFERROR(__xludf.DUMMYFUNCTION("""COMPUTED_VALUE"""),"https://i.postimg.cc/cJ00hpjH/141.png")</f>
        <v>https://i.postimg.cc/cJ00hpjH/141.png</v>
      </c>
      <c r="AU168" s="114"/>
      <c r="AV168" s="114"/>
      <c r="AW168" s="114"/>
      <c r="AX168" s="114" t="str">
        <f t="shared" si="3"/>
        <v>141 - Medal [Event] - Crafted - Kami</v>
      </c>
      <c r="AY168" s="114" t="s">
        <v>4165</v>
      </c>
      <c r="AZ168" s="114"/>
      <c r="BA168" s="114"/>
      <c r="BB168" s="114"/>
      <c r="BC168" s="114"/>
      <c r="BD168" s="114"/>
      <c r="BE168" s="114"/>
    </row>
    <row r="169" ht="37.5" customHeight="1">
      <c r="A169" s="118" t="s">
        <v>4166</v>
      </c>
      <c r="B169" s="117" t="s">
        <v>4167</v>
      </c>
      <c r="C169" s="119">
        <f>IFERROR(__xludf.DUMMYFUNCTION("""COMPUTED_VALUE"""),174.0)</f>
        <v>174</v>
      </c>
      <c r="D169" s="114" t="str">
        <f>IFERROR(__xludf.DUMMYFUNCTION("""COMPUTED_VALUE"""),"Pell")</f>
        <v>Pell</v>
      </c>
      <c r="E169" s="114" t="str">
        <f>IFERROR(__xludf.DUMMYFUNCTION("""COMPUTED_VALUE"""),"")</f>
        <v/>
      </c>
      <c r="F169" s="114"/>
      <c r="G169" s="114"/>
      <c r="H169" s="114"/>
      <c r="I169" s="114"/>
      <c r="J169" s="114"/>
      <c r="K169" s="114" t="s">
        <v>4168</v>
      </c>
      <c r="L169" s="114" t="s">
        <v>4169</v>
      </c>
      <c r="M169" s="114" t="s">
        <v>4170</v>
      </c>
      <c r="N169" s="114" t="s">
        <v>4171</v>
      </c>
      <c r="O169" s="114"/>
      <c r="P169" s="120">
        <v>174.0</v>
      </c>
      <c r="Q169" s="117" t="s">
        <v>4172</v>
      </c>
      <c r="R169" s="114"/>
      <c r="S169" s="117" t="s">
        <v>4173</v>
      </c>
      <c r="T169" s="114">
        <f t="shared" si="1"/>
        <v>168</v>
      </c>
      <c r="U169" s="114" t="s">
        <v>1088</v>
      </c>
      <c r="V169" s="114" t="str">
        <f>IFERROR(__xludf.DUMMYFUNCTION("REGEXREPLACE(U169, ""\n"", "" "")"),"Raid Luffy")</f>
        <v>Raid Luffy</v>
      </c>
      <c r="W169" s="114"/>
      <c r="X169" s="115" t="str">
        <f t="shared" si="2"/>
        <v>168 Raid on Onigashima - Monkey D. Luffy - Medal [Raid Luffy]</v>
      </c>
      <c r="Y169" s="119"/>
      <c r="Z169" s="117" t="s">
        <v>4174</v>
      </c>
      <c r="AA169" s="117" t="s">
        <v>2528</v>
      </c>
      <c r="AB169" s="114"/>
      <c r="AC169" s="123" t="str">
        <f>IFERROR(__xludf.DUMMYFUNCTION("""COMPUTED_VALUE"""),"https://ik.imagekit.io/alaaalaa6171/175%20Princess%20and%20Loyal%20Partner%20-%20Vivi%20&amp;%20Karoo%20-%20Medal%20_Vivi%20&amp;%20Karoo_.png?updatedAt=1770076436897")</f>
        <v>https://ik.imagekit.io/alaaalaa6171/175%20Princess%20and%20Loyal%20Partner%20-%20Vivi%20&amp;%20Karoo%20-%20Medal%20_Vivi%20&amp;%20Karoo_.png?updatedAt=1770076436897</v>
      </c>
      <c r="AD169" s="123" t="str">
        <f>IFERROR(__xludf.DUMMYFUNCTION("""COMPUTED_VALUE"""),"https://ik.imagekit.io/alaaalaa6171/175%20Princess%20and%20Loyal%20Partner%20-%20Vivi%20&amp;%20Karoo%20-%20Medal%20_Vivi%20&amp;%20Karoo_%20_Colored_.png?updatedAt=1770076436880")</f>
        <v>https://ik.imagekit.io/alaaalaa6171/175%20Princess%20and%20Loyal%20Partner%20-%20Vivi%20&amp;%20Karoo%20-%20Medal%20_Vivi%20&amp;%20Karoo_%20_Colored_.png?updatedAt=1770076436880</v>
      </c>
      <c r="AE169" s="123" t="str">
        <f>IFERROR(__xludf.DUMMYFUNCTION("""COMPUTED_VALUE"""),"https://ik.imagekit.io/alaaalaa6171/175%20Princess%20and%20Loyal%20Partner%20-%20Vivi%20&amp;%20Karoo%20-%20Medal%20_Vivi%20&amp;%20Karoo_%20-%20Piece.png?updatedAt=1770076436888")</f>
        <v>https://ik.imagekit.io/alaaalaa6171/175%20Princess%20and%20Loyal%20Partner%20-%20Vivi%20&amp;%20Karoo%20-%20Medal%20_Vivi%20&amp;%20Karoo_%20-%20Piece.png?updatedAt=1770076436888</v>
      </c>
      <c r="AF169" s="123" t="str">
        <f>IFERROR(__xludf.DUMMYFUNCTION("""COMPUTED_VALUE"""),"https://ik.imagekit.io/alaaalaa6171/175%20Princess%20and%20Loyal%20Partner%20-%20Vivi%20&amp;%20Karoo%20-%20Medal%20_Vivi%20&amp;%20Karoo_%20-%20Piece%20_Colored_.png?updatedAt=1770076436889")</f>
        <v>https://ik.imagekit.io/alaaalaa6171/175%20Princess%20and%20Loyal%20Partner%20-%20Vivi%20&amp;%20Karoo%20-%20Medal%20_Vivi%20&amp;%20Karoo_%20-%20Piece%20_Colored_.png?updatedAt=1770076436889</v>
      </c>
      <c r="AG169" s="114"/>
      <c r="AH169" s="114"/>
      <c r="AI169" s="121" t="s">
        <v>4175</v>
      </c>
      <c r="AJ169" s="121" t="str">
        <f>IFERROR(__xludf.DUMMYFUNCTION("regexreplace(regexreplace(AI169, ""  \["", "" ""), ""\]$"", """")"),"168 - Raid on Onigashima ~ Monkey D. Luffy - Medal - Crafted [Colored] - Raid Luffy")</f>
        <v>168 - Raid on Onigashima ~ Monkey D. Luffy - Medal - Crafted [Colored] - Raid Luffy</v>
      </c>
      <c r="AK169" s="114"/>
      <c r="AL169" s="117" t="s">
        <v>4176</v>
      </c>
      <c r="AM169" s="117" t="s">
        <v>4177</v>
      </c>
      <c r="AN169" s="114"/>
      <c r="AO169" s="122">
        <f>IFERROR(__xludf.DUMMYFUNCTION("""COMPUTED_VALUE"""),140.0)</f>
        <v>140</v>
      </c>
      <c r="AP169" s="114" t="str">
        <f>IFERROR(__xludf.DUMMYFUNCTION("""COMPUTED_VALUE"""),"Savior")</f>
        <v>Savior</v>
      </c>
      <c r="AQ169" s="114" t="str">
        <f>IFERROR(__xludf.DUMMYFUNCTION("""COMPUTED_VALUE"""),"Savior")</f>
        <v>Savior</v>
      </c>
      <c r="AR169" s="114"/>
      <c r="AS169" s="114"/>
      <c r="AT169" s="123" t="str">
        <f>IFERROR(__xludf.DUMMYFUNCTION("""COMPUTED_VALUE"""),"https://i.postimg.cc/Jhxm2TVQ/140.png")</f>
        <v>https://i.postimg.cc/Jhxm2TVQ/140.png</v>
      </c>
      <c r="AU169" s="114"/>
      <c r="AV169" s="114"/>
      <c r="AW169" s="114"/>
      <c r="AX169" s="114" t="str">
        <f t="shared" si="3"/>
        <v>140 - Medal [Event] - Crafted - Savior</v>
      </c>
      <c r="AY169" s="114" t="s">
        <v>4178</v>
      </c>
      <c r="AZ169" s="114"/>
      <c r="BA169" s="114"/>
      <c r="BB169" s="114"/>
      <c r="BC169" s="114"/>
      <c r="BD169" s="114"/>
      <c r="BE169" s="114"/>
    </row>
    <row r="170" ht="37.5" customHeight="1">
      <c r="A170" s="118" t="s">
        <v>4179</v>
      </c>
      <c r="B170" s="117" t="s">
        <v>4180</v>
      </c>
      <c r="C170" s="119">
        <f>IFERROR(__xludf.DUMMYFUNCTION("""COMPUTED_VALUE"""),173.0)</f>
        <v>173</v>
      </c>
      <c r="D170" s="114" t="str">
        <f>IFERROR(__xludf.DUMMYFUNCTION("""COMPUTED_VALUE"""),"Ms. Goldenweek")</f>
        <v>Ms. Goldenweek</v>
      </c>
      <c r="E170" s="114" t="str">
        <f>IFERROR(__xludf.DUMMYFUNCTION("""COMPUTED_VALUE"""),"")</f>
        <v/>
      </c>
      <c r="F170" s="114"/>
      <c r="G170" s="114"/>
      <c r="H170" s="114"/>
      <c r="I170" s="114"/>
      <c r="J170" s="114"/>
      <c r="K170" s="114" t="s">
        <v>4181</v>
      </c>
      <c r="L170" s="114" t="s">
        <v>4182</v>
      </c>
      <c r="M170" s="114" t="s">
        <v>4183</v>
      </c>
      <c r="N170" s="114" t="s">
        <v>4184</v>
      </c>
      <c r="O170" s="114"/>
      <c r="P170" s="120">
        <v>173.0</v>
      </c>
      <c r="Q170" s="117" t="s">
        <v>4185</v>
      </c>
      <c r="R170" s="114"/>
      <c r="S170" s="117" t="s">
        <v>4186</v>
      </c>
      <c r="T170" s="114">
        <f t="shared" si="1"/>
        <v>169</v>
      </c>
      <c r="U170" s="114" t="s">
        <v>1082</v>
      </c>
      <c r="V170" s="114" t="str">
        <f>IFERROR(__xludf.DUMMYFUNCTION("REGEXREPLACE(U170, ""\n"", "" "")"),"Memoir of that Summer Day")</f>
        <v>Memoir of that Summer Day</v>
      </c>
      <c r="W170" s="114"/>
      <c r="X170" s="115" t="str">
        <f t="shared" si="2"/>
        <v>169 Impel Down / Prisoner - Bon Clay, aka Mr. 2 - Medal [Memoir of that Summer Day]</v>
      </c>
      <c r="Y170" s="119"/>
      <c r="Z170" s="117" t="s">
        <v>4187</v>
      </c>
      <c r="AA170" s="117" t="s">
        <v>2526</v>
      </c>
      <c r="AB170" s="114"/>
      <c r="AC170" s="123" t="str">
        <f>IFERROR(__xludf.DUMMYFUNCTION("""COMPUTED_VALUE"""),"https://ik.imagekit.io/alaaalaa6171/174%20Lieutenant%20Royal%20Guard%20of%20Alabasta%20-%20Pell%20-%20Medal%20_Pell_.png?updatedAt=1770076436886")</f>
        <v>https://ik.imagekit.io/alaaalaa6171/174%20Lieutenant%20Royal%20Guard%20of%20Alabasta%20-%20Pell%20-%20Medal%20_Pell_.png?updatedAt=1770076436886</v>
      </c>
      <c r="AD170" s="123" t="str">
        <f>IFERROR(__xludf.DUMMYFUNCTION("""COMPUTED_VALUE"""),"https://ik.imagekit.io/alaaalaa6171/174%20Lieutenant%20Royal%20Guard%20of%20Alabasta%20-%20Pell%20-%20Medal%20_Pell_%20_Colored_.png?updatedAt=1770076436576")</f>
        <v>https://ik.imagekit.io/alaaalaa6171/174%20Lieutenant%20Royal%20Guard%20of%20Alabasta%20-%20Pell%20-%20Medal%20_Pell_%20_Colored_.png?updatedAt=1770076436576</v>
      </c>
      <c r="AE170" s="123" t="str">
        <f>IFERROR(__xludf.DUMMYFUNCTION("""COMPUTED_VALUE"""),"https://ik.imagekit.io/alaaalaa6171/174%20Lieutenant%20Royal%20Guard%20of%20Alabasta%20-%20Pell%20-%20Medal%20_Pell_%20-%20Piece.png?updatedAt=1770076436612")</f>
        <v>https://ik.imagekit.io/alaaalaa6171/174%20Lieutenant%20Royal%20Guard%20of%20Alabasta%20-%20Pell%20-%20Medal%20_Pell_%20-%20Piece.png?updatedAt=1770076436612</v>
      </c>
      <c r="AF170" s="123" t="str">
        <f>IFERROR(__xludf.DUMMYFUNCTION("""COMPUTED_VALUE"""),"https://ik.imagekit.io/alaaalaa6171/174%20Lieutenant%20Royal%20Guard%20of%20Alabasta%20-%20Pell%20-%20Medal%20_Pell_%20-%20Piece%20_Colored_.png?updatedAt=1770076436454")</f>
        <v>https://ik.imagekit.io/alaaalaa6171/174%20Lieutenant%20Royal%20Guard%20of%20Alabasta%20-%20Pell%20-%20Medal%20_Pell_%20-%20Piece%20_Colored_.png?updatedAt=1770076436454</v>
      </c>
      <c r="AG170" s="114"/>
      <c r="AH170" s="114"/>
      <c r="AI170" s="121" t="s">
        <v>4188</v>
      </c>
      <c r="AJ170" s="121" t="str">
        <f>IFERROR(__xludf.DUMMYFUNCTION("regexreplace(regexreplace(AI170, ""  \["", "" ""), ""\]$"", """")"),"169 - Impel Down_Prisoner ~ Bon Clay, aka Mr. 2 - Medal - Crafted [Colored] - Memoir of that Summer Day")</f>
        <v>169 - Impel Down_Prisoner ~ Bon Clay, aka Mr. 2 - Medal - Crafted [Colored] - Memoir of that Summer Day</v>
      </c>
      <c r="AK170" s="114"/>
      <c r="AL170" s="117" t="s">
        <v>4189</v>
      </c>
      <c r="AM170" s="117" t="s">
        <v>4190</v>
      </c>
      <c r="AN170" s="114"/>
      <c r="AO170" s="122">
        <f>IFERROR(__xludf.DUMMYFUNCTION("""COMPUTED_VALUE"""),139.0)</f>
        <v>139</v>
      </c>
      <c r="AP170" s="114" t="str">
        <f>IFERROR(__xludf.DUMMYFUNCTION("""COMPUTED_VALUE"""),"Haruta")</f>
        <v>Haruta</v>
      </c>
      <c r="AQ170" s="114" t="str">
        <f>IFERROR(__xludf.DUMMYFUNCTION("""COMPUTED_VALUE"""),"Haruta")</f>
        <v>Haruta</v>
      </c>
      <c r="AR170" s="114"/>
      <c r="AS170" s="114"/>
      <c r="AT170" s="123" t="str">
        <f>IFERROR(__xludf.DUMMYFUNCTION("""COMPUTED_VALUE"""),"https://i.postimg.cc/sX2ydp3C/139.png")</f>
        <v>https://i.postimg.cc/sX2ydp3C/139.png</v>
      </c>
      <c r="AU170" s="114"/>
      <c r="AV170" s="114"/>
      <c r="AW170" s="114"/>
      <c r="AX170" s="114" t="str">
        <f t="shared" si="3"/>
        <v>139 - Medal [Event] - Crafted - Haruta</v>
      </c>
      <c r="AY170" s="114" t="s">
        <v>4191</v>
      </c>
      <c r="AZ170" s="114"/>
      <c r="BA170" s="114"/>
      <c r="BB170" s="114"/>
      <c r="BC170" s="114"/>
      <c r="BD170" s="114"/>
      <c r="BE170" s="114"/>
    </row>
    <row r="171" ht="37.5" customHeight="1">
      <c r="A171" s="118" t="s">
        <v>4192</v>
      </c>
      <c r="B171" s="117" t="s">
        <v>4193</v>
      </c>
      <c r="C171" s="119">
        <f>IFERROR(__xludf.DUMMYFUNCTION("""COMPUTED_VALUE"""),172.0)</f>
        <v>172</v>
      </c>
      <c r="D171" s="114" t="str">
        <f>IFERROR(__xludf.DUMMYFUNCTION("""COMPUTED_VALUE"""),"Galdino")</f>
        <v>Galdino</v>
      </c>
      <c r="E171" s="114" t="str">
        <f>IFERROR(__xludf.DUMMYFUNCTION("""COMPUTED_VALUE"""),"")</f>
        <v/>
      </c>
      <c r="F171" s="114"/>
      <c r="G171" s="114"/>
      <c r="H171" s="114"/>
      <c r="I171" s="114"/>
      <c r="J171" s="114"/>
      <c r="K171" s="114" t="s">
        <v>4194</v>
      </c>
      <c r="L171" s="114" t="s">
        <v>4195</v>
      </c>
      <c r="M171" s="114" t="s">
        <v>4196</v>
      </c>
      <c r="N171" s="114" t="s">
        <v>4197</v>
      </c>
      <c r="O171" s="114"/>
      <c r="P171" s="120">
        <v>172.0</v>
      </c>
      <c r="Q171" s="117" t="s">
        <v>4198</v>
      </c>
      <c r="R171" s="114"/>
      <c r="S171" s="117" t="s">
        <v>4199</v>
      </c>
      <c r="T171" s="114">
        <f t="shared" si="1"/>
        <v>170</v>
      </c>
      <c r="U171" s="114" t="s">
        <v>1076</v>
      </c>
      <c r="V171" s="114" t="str">
        <f>IFERROR(__xludf.DUMMYFUNCTION("REGEXREPLACE(U171, ""\n"", "" "")"),"Raid Kid")</f>
        <v>Raid Kid</v>
      </c>
      <c r="W171" s="114"/>
      <c r="X171" s="115" t="str">
        <f t="shared" si="2"/>
        <v>170 Raid on Onigashima - Eustass Kid - Medal [Raid Kid]</v>
      </c>
      <c r="Y171" s="119"/>
      <c r="Z171" s="117" t="s">
        <v>4200</v>
      </c>
      <c r="AA171" s="117" t="s">
        <v>2538</v>
      </c>
      <c r="AB171" s="114"/>
      <c r="AC171" s="123" t="str">
        <f>IFERROR(__xludf.DUMMYFUNCTION("""COMPUTED_VALUE"""),"https://ik.imagekit.io/alaaalaa6171/173%20Baroque%20Works_Officer%20Agent%20-%20Ms.%20Goldenweek%20-%20Medal%20_Ms.%20Goldenweek_.png?updatedAt=1770076436413")</f>
        <v>https://ik.imagekit.io/alaaalaa6171/173%20Baroque%20Works_Officer%20Agent%20-%20Ms.%20Goldenweek%20-%20Medal%20_Ms.%20Goldenweek_.png?updatedAt=1770076436413</v>
      </c>
      <c r="AD171" s="123" t="str">
        <f>IFERROR(__xludf.DUMMYFUNCTION("""COMPUTED_VALUE"""),"https://ik.imagekit.io/alaaalaa6171/173%20Baroque%20Works_Officer%20Agent%20-%20Ms.%20Goldenweek%20-%20Medal%20_Ms.%20Goldenweek_%20_Colored_.png?updatedAt=1770076436442")</f>
        <v>https://ik.imagekit.io/alaaalaa6171/173%20Baroque%20Works_Officer%20Agent%20-%20Ms.%20Goldenweek%20-%20Medal%20_Ms.%20Goldenweek_%20_Colored_.png?updatedAt=1770076436442</v>
      </c>
      <c r="AE171" s="123" t="str">
        <f>IFERROR(__xludf.DUMMYFUNCTION("""COMPUTED_VALUE"""),"https://ik.imagekit.io/alaaalaa6171/173%20Baroque%20Works_Officer%20Agent%20-%20Ms.%20Goldenweek%20-%20Medal%20_Ms.%20Goldenweek_%20-%20Piece.png?updatedAt=1770076435746")</f>
        <v>https://ik.imagekit.io/alaaalaa6171/173%20Baroque%20Works_Officer%20Agent%20-%20Ms.%20Goldenweek%20-%20Medal%20_Ms.%20Goldenweek_%20-%20Piece.png?updatedAt=1770076435746</v>
      </c>
      <c r="AF171" s="123" t="str">
        <f>IFERROR(__xludf.DUMMYFUNCTION("""COMPUTED_VALUE"""),"https://ik.imagekit.io/alaaalaa6171/173%20Baroque%20Works_Officer%20Agent%20-%20Ms.%20Goldenweek%20-%20Medal%20_Ms.%20Goldenweek_%20-%20Piece%20_Colored_.png?updatedAt=1770076435511")</f>
        <v>https://ik.imagekit.io/alaaalaa6171/173%20Baroque%20Works_Officer%20Agent%20-%20Ms.%20Goldenweek%20-%20Medal%20_Ms.%20Goldenweek_%20-%20Piece%20_Colored_.png?updatedAt=1770076435511</v>
      </c>
      <c r="AG171" s="114"/>
      <c r="AH171" s="114"/>
      <c r="AI171" s="121" t="s">
        <v>4201</v>
      </c>
      <c r="AJ171" s="121" t="str">
        <f>IFERROR(__xludf.DUMMYFUNCTION("regexreplace(regexreplace(AI171, ""  \["", "" ""), ""\]$"", """")"),"170 - Raid on Onigashima ~ Eustass Kid - Medal - Crafted [Colored] - Raid Kid")</f>
        <v>170 - Raid on Onigashima ~ Eustass Kid - Medal - Crafted [Colored] - Raid Kid</v>
      </c>
      <c r="AK171" s="114"/>
      <c r="AL171" s="117" t="s">
        <v>4202</v>
      </c>
      <c r="AM171" s="117" t="s">
        <v>4203</v>
      </c>
      <c r="AN171" s="114"/>
      <c r="AO171" s="122">
        <f>IFERROR(__xludf.DUMMYFUNCTION("""COMPUTED_VALUE"""),138.0)</f>
        <v>138</v>
      </c>
      <c r="AP171" s="114" t="str">
        <f>IFERROR(__xludf.DUMMYFUNCTION("""COMPUTED_VALUE"""),"The Strongest Man in the World")</f>
        <v>The Strongest Man in the World</v>
      </c>
      <c r="AQ171" s="114" t="str">
        <f>IFERROR(__xludf.DUMMYFUNCTION("""COMPUTED_VALUE"""),"The Strongest Man in the World")</f>
        <v>The Strongest Man in the World</v>
      </c>
      <c r="AR171" s="114"/>
      <c r="AS171" s="114"/>
      <c r="AT171" s="123" t="str">
        <f>IFERROR(__xludf.DUMMYFUNCTION("""COMPUTED_VALUE"""),"https://i.postimg.cc/pT1v2pdh/138.png")</f>
        <v>https://i.postimg.cc/pT1v2pdh/138.png</v>
      </c>
      <c r="AU171" s="114"/>
      <c r="AV171" s="114"/>
      <c r="AW171" s="114"/>
      <c r="AX171" s="114" t="str">
        <f t="shared" si="3"/>
        <v>138 - Medal [Event] - Crafted - The Strongest Man in the World</v>
      </c>
      <c r="AY171" s="114" t="s">
        <v>4204</v>
      </c>
      <c r="AZ171" s="114"/>
      <c r="BA171" s="114"/>
      <c r="BB171" s="114"/>
      <c r="BC171" s="114"/>
      <c r="BD171" s="114"/>
      <c r="BE171" s="114"/>
    </row>
    <row r="172" ht="37.5" customHeight="1">
      <c r="A172" s="118" t="s">
        <v>4205</v>
      </c>
      <c r="B172" s="117" t="s">
        <v>4206</v>
      </c>
      <c r="C172" s="119">
        <f>IFERROR(__xludf.DUMMYFUNCTION("""COMPUTED_VALUE"""),171.0)</f>
        <v>171</v>
      </c>
      <c r="D172" s="114" t="str">
        <f>IFERROR(__xludf.DUMMYFUNCTION("""COMPUTED_VALUE"""),"Raid Law")</f>
        <v>Raid Law</v>
      </c>
      <c r="E172" s="114" t="str">
        <f>IFERROR(__xludf.DUMMYFUNCTION("""COMPUTED_VALUE"""),"")</f>
        <v/>
      </c>
      <c r="F172" s="114"/>
      <c r="G172" s="114"/>
      <c r="H172" s="114"/>
      <c r="I172" s="114"/>
      <c r="J172" s="114"/>
      <c r="K172" s="114" t="s">
        <v>4207</v>
      </c>
      <c r="L172" s="114" t="s">
        <v>4208</v>
      </c>
      <c r="M172" s="114" t="s">
        <v>4209</v>
      </c>
      <c r="N172" s="114" t="s">
        <v>4210</v>
      </c>
      <c r="O172" s="114"/>
      <c r="P172" s="120">
        <v>171.0</v>
      </c>
      <c r="Q172" s="117" t="s">
        <v>4211</v>
      </c>
      <c r="R172" s="114"/>
      <c r="S172" s="117" t="s">
        <v>4206</v>
      </c>
      <c r="T172" s="114">
        <f t="shared" si="1"/>
        <v>171</v>
      </c>
      <c r="U172" s="114" t="s">
        <v>1069</v>
      </c>
      <c r="V172" s="114" t="str">
        <f>IFERROR(__xludf.DUMMYFUNCTION("REGEXREPLACE(U172, ""\n"", "" "")"),"Raid Law")</f>
        <v>Raid Law</v>
      </c>
      <c r="W172" s="114"/>
      <c r="X172" s="115" t="str">
        <f t="shared" si="2"/>
        <v>171 Raid on Onigashima - Trafalger Law - Medal [Raid Law]</v>
      </c>
      <c r="Y172" s="119"/>
      <c r="Z172" s="117" t="s">
        <v>4212</v>
      </c>
      <c r="AA172" s="117" t="s">
        <v>2540</v>
      </c>
      <c r="AB172" s="114"/>
      <c r="AC172" s="123" t="str">
        <f>IFERROR(__xludf.DUMMYFUNCTION("""COMPUTED_VALUE"""),"https://ik.imagekit.io/alaaalaa6171/172%20Baroque%20Works_Officer%20Agent%20-%20Mr.%203%20-%20Medal%20_Galdino_.png?updatedAt=1770076432530")</f>
        <v>https://ik.imagekit.io/alaaalaa6171/172%20Baroque%20Works_Officer%20Agent%20-%20Mr.%203%20-%20Medal%20_Galdino_.png?updatedAt=1770076432530</v>
      </c>
      <c r="AD172" s="123" t="str">
        <f>IFERROR(__xludf.DUMMYFUNCTION("""COMPUTED_VALUE"""),"https://ik.imagekit.io/alaaalaa6171/172%20Baroque%20Works_Officer%20Agent%20-%20Mr.%203%20-%20Medal%20_Galdino_%20_Colored_.png?updatedAt=1770076432514")</f>
        <v>https://ik.imagekit.io/alaaalaa6171/172%20Baroque%20Works_Officer%20Agent%20-%20Mr.%203%20-%20Medal%20_Galdino_%20_Colored_.png?updatedAt=1770076432514</v>
      </c>
      <c r="AE172" s="123" t="str">
        <f>IFERROR(__xludf.DUMMYFUNCTION("""COMPUTED_VALUE"""),"https://ik.imagekit.io/alaaalaa6171/172%20Baroque%20Works_Officer%20Agent%20-%20Mr.%203%20-%20Medal%20_Galdino_%20-%20Piece.png?updatedAt=1770076432643")</f>
        <v>https://ik.imagekit.io/alaaalaa6171/172%20Baroque%20Works_Officer%20Agent%20-%20Mr.%203%20-%20Medal%20_Galdino_%20-%20Piece.png?updatedAt=1770076432643</v>
      </c>
      <c r="AF172" s="123" t="str">
        <f>IFERROR(__xludf.DUMMYFUNCTION("""COMPUTED_VALUE"""),"https://ik.imagekit.io/alaaalaa6171/172%20Baroque%20Works_Officer%20Agent%20-%20Mr.%203%20-%20Medal%20_Galdino_%20-%20Piece%20_Colored_.png?updatedAt=1770076432524")</f>
        <v>https://ik.imagekit.io/alaaalaa6171/172%20Baroque%20Works_Officer%20Agent%20-%20Mr.%203%20-%20Medal%20_Galdino_%20-%20Piece%20_Colored_.png?updatedAt=1770076432524</v>
      </c>
      <c r="AG172" s="114"/>
      <c r="AH172" s="114"/>
      <c r="AI172" s="121" t="s">
        <v>4213</v>
      </c>
      <c r="AJ172" s="121" t="str">
        <f>IFERROR(__xludf.DUMMYFUNCTION("regexreplace(regexreplace(AI172, ""  \["", "" ""), ""\]$"", """")"),"171 - Raid on Onigashima ~ Trafalger Law - Medal - Crafted [Colored] - Raid Law")</f>
        <v>171 - Raid on Onigashima ~ Trafalger Law - Medal - Crafted [Colored] - Raid Law</v>
      </c>
      <c r="AK172" s="114"/>
      <c r="AL172" s="117" t="s">
        <v>4214</v>
      </c>
      <c r="AM172" s="117" t="s">
        <v>4215</v>
      </c>
      <c r="AN172" s="114"/>
      <c r="AO172" s="122">
        <f>IFERROR(__xludf.DUMMYFUNCTION("""COMPUTED_VALUE"""),137.0)</f>
        <v>137</v>
      </c>
      <c r="AP172" s="114" t="str">
        <f>IFERROR(__xludf.DUMMYFUNCTION("""COMPUTED_VALUE"""),"Doc Q")</f>
        <v>Doc Q</v>
      </c>
      <c r="AQ172" s="114" t="str">
        <f>IFERROR(__xludf.DUMMYFUNCTION("""COMPUTED_VALUE"""),"Doc Q")</f>
        <v>Doc Q</v>
      </c>
      <c r="AR172" s="114"/>
      <c r="AS172" s="114"/>
      <c r="AT172" s="123" t="str">
        <f>IFERROR(__xludf.DUMMYFUNCTION("""COMPUTED_VALUE"""),"https://i.postimg.cc/3N4TWYyL/137.png")</f>
        <v>https://i.postimg.cc/3N4TWYyL/137.png</v>
      </c>
      <c r="AU172" s="114"/>
      <c r="AV172" s="114"/>
      <c r="AW172" s="114"/>
      <c r="AX172" s="114" t="str">
        <f t="shared" si="3"/>
        <v>137 - Medal [Event] - Crafted - Doc Q</v>
      </c>
      <c r="AY172" s="114" t="s">
        <v>4216</v>
      </c>
      <c r="AZ172" s="114"/>
      <c r="BA172" s="114"/>
      <c r="BB172" s="114"/>
      <c r="BC172" s="114"/>
      <c r="BD172" s="114"/>
      <c r="BE172" s="114"/>
    </row>
    <row r="173" ht="37.5" customHeight="1">
      <c r="A173" s="118" t="s">
        <v>4217</v>
      </c>
      <c r="B173" s="117" t="s">
        <v>4199</v>
      </c>
      <c r="C173" s="119">
        <f>IFERROR(__xludf.DUMMYFUNCTION("""COMPUTED_VALUE"""),170.0)</f>
        <v>170</v>
      </c>
      <c r="D173" s="114" t="str">
        <f>IFERROR(__xludf.DUMMYFUNCTION("""COMPUTED_VALUE"""),"Raid Kid")</f>
        <v>Raid Kid</v>
      </c>
      <c r="E173" s="114" t="str">
        <f>IFERROR(__xludf.DUMMYFUNCTION("""COMPUTED_VALUE"""),"")</f>
        <v/>
      </c>
      <c r="F173" s="114"/>
      <c r="G173" s="114"/>
      <c r="H173" s="114"/>
      <c r="I173" s="114"/>
      <c r="J173" s="114"/>
      <c r="K173" s="114" t="s">
        <v>4218</v>
      </c>
      <c r="L173" s="114" t="s">
        <v>4219</v>
      </c>
      <c r="M173" s="114" t="s">
        <v>4220</v>
      </c>
      <c r="N173" s="114" t="s">
        <v>4221</v>
      </c>
      <c r="O173" s="114"/>
      <c r="P173" s="120">
        <v>170.0</v>
      </c>
      <c r="Q173" s="117" t="s">
        <v>4222</v>
      </c>
      <c r="R173" s="114"/>
      <c r="S173" s="117" t="s">
        <v>4193</v>
      </c>
      <c r="T173" s="114">
        <f t="shared" si="1"/>
        <v>172</v>
      </c>
      <c r="U173" s="114" t="s">
        <v>1063</v>
      </c>
      <c r="V173" s="114" t="str">
        <f>IFERROR(__xludf.DUMMYFUNCTION("REGEXREPLACE(U173, ""\n"", "" "")"),"Galdino")</f>
        <v>Galdino</v>
      </c>
      <c r="W173" s="114"/>
      <c r="X173" s="115" t="str">
        <f t="shared" si="2"/>
        <v>172 Baroque Works / Officer Agent - Mr. 3 - Medal [Galdino]</v>
      </c>
      <c r="Y173" s="119"/>
      <c r="Z173" s="117" t="s">
        <v>4223</v>
      </c>
      <c r="AA173" s="117" t="s">
        <v>2541</v>
      </c>
      <c r="AB173" s="114"/>
      <c r="AC173" s="123" t="str">
        <f>IFERROR(__xludf.DUMMYFUNCTION("""COMPUTED_VALUE"""),"https://ik.imagekit.io/alaaalaa6171/171%20Raid%20on%20Onigashima%20-%20Trafalger%20Law%20-%20Medal%20_Raid%20Law_.png?updatedAt=1770076432377")</f>
        <v>https://ik.imagekit.io/alaaalaa6171/171%20Raid%20on%20Onigashima%20-%20Trafalger%20Law%20-%20Medal%20_Raid%20Law_.png?updatedAt=1770076432377</v>
      </c>
      <c r="AD173" s="123" t="str">
        <f>IFERROR(__xludf.DUMMYFUNCTION("""COMPUTED_VALUE"""),"https://ik.imagekit.io/alaaalaa6171/171%20Raid%20on%20Onigashima%20-%20Trafalger%20Law%20-%20Medal%20_Raid%20Law_%20_Colored_.png?updatedAt=1770076432381")</f>
        <v>https://ik.imagekit.io/alaaalaa6171/171%20Raid%20on%20Onigashima%20-%20Trafalger%20Law%20-%20Medal%20_Raid%20Law_%20_Colored_.png?updatedAt=1770076432381</v>
      </c>
      <c r="AE173" s="123" t="str">
        <f>IFERROR(__xludf.DUMMYFUNCTION("""COMPUTED_VALUE"""),"https://ik.imagekit.io/alaaalaa6171/171%20Raid%20on%20Onigashima%20-%20Trafalger%20Law%20-%20Medal%20_Raid%20Law_%20-%20Piece.png?updatedAt=1770076432337")</f>
        <v>https://ik.imagekit.io/alaaalaa6171/171%20Raid%20on%20Onigashima%20-%20Trafalger%20Law%20-%20Medal%20_Raid%20Law_%20-%20Piece.png?updatedAt=1770076432337</v>
      </c>
      <c r="AF173" s="123" t="str">
        <f>IFERROR(__xludf.DUMMYFUNCTION("""COMPUTED_VALUE"""),"https://ik.imagekit.io/alaaalaa6171/171%20Raid%20on%20Onigashima%20-%20Trafalger%20Law%20-%20Medal%20_Raid%20Law_%20-%20Piece%20_Colored_.png?updatedAt=1770076432320")</f>
        <v>https://ik.imagekit.io/alaaalaa6171/171%20Raid%20on%20Onigashima%20-%20Trafalger%20Law%20-%20Medal%20_Raid%20Law_%20-%20Piece%20_Colored_.png?updatedAt=1770076432320</v>
      </c>
      <c r="AG173" s="114"/>
      <c r="AH173" s="114"/>
      <c r="AI173" s="121" t="s">
        <v>4224</v>
      </c>
      <c r="AJ173" s="121" t="str">
        <f>IFERROR(__xludf.DUMMYFUNCTION("regexreplace(regexreplace(AI173, ""  \["", "" ""), ""\]$"", """")"),"172 - Baroque Works_Officer Agent ~ Mr. 3 - Medal - Crafted [Colored] - Galdino")</f>
        <v>172 - Baroque Works_Officer Agent ~ Mr. 3 - Medal - Crafted [Colored] - Galdino</v>
      </c>
      <c r="AK173" s="114"/>
      <c r="AL173" s="117" t="s">
        <v>4225</v>
      </c>
      <c r="AM173" s="117" t="s">
        <v>4226</v>
      </c>
      <c r="AN173" s="114"/>
      <c r="AO173" s="122">
        <f>IFERROR(__xludf.DUMMYFUNCTION("""COMPUTED_VALUE"""),136.0)</f>
        <v>136</v>
      </c>
      <c r="AP173" s="114" t="str">
        <f>IFERROR(__xludf.DUMMYFUNCTION("""COMPUTED_VALUE"""),"Van Ogre")</f>
        <v>Van Ogre</v>
      </c>
      <c r="AQ173" s="114" t="str">
        <f>IFERROR(__xludf.DUMMYFUNCTION("""COMPUTED_VALUE"""),"Van Ogre")</f>
        <v>Van Ogre</v>
      </c>
      <c r="AR173" s="114"/>
      <c r="AS173" s="114"/>
      <c r="AT173" s="123" t="str">
        <f>IFERROR(__xludf.DUMMYFUNCTION("""COMPUTED_VALUE"""),"https://i.postimg.cc/BbrGKkHJ/136.png")</f>
        <v>https://i.postimg.cc/BbrGKkHJ/136.png</v>
      </c>
      <c r="AU173" s="114"/>
      <c r="AV173" s="114"/>
      <c r="AW173" s="114"/>
      <c r="AX173" s="114" t="str">
        <f t="shared" si="3"/>
        <v>136 - Medal [Event] - Crafted - Van Ogre</v>
      </c>
      <c r="AY173" s="114" t="s">
        <v>4227</v>
      </c>
      <c r="AZ173" s="114"/>
      <c r="BA173" s="114"/>
      <c r="BB173" s="114"/>
      <c r="BC173" s="114"/>
      <c r="BD173" s="114"/>
      <c r="BE173" s="114"/>
    </row>
    <row r="174" ht="37.5" customHeight="1">
      <c r="A174" s="118" t="s">
        <v>4228</v>
      </c>
      <c r="B174" s="117" t="s">
        <v>4186</v>
      </c>
      <c r="C174" s="119">
        <f>IFERROR(__xludf.DUMMYFUNCTION("""COMPUTED_VALUE"""),169.0)</f>
        <v>169</v>
      </c>
      <c r="D174" s="114" t="str">
        <f>IFERROR(__xludf.DUMMYFUNCTION("""COMPUTED_VALUE"""),"Memoir of that Summer Day")</f>
        <v>Memoir of that Summer Day</v>
      </c>
      <c r="E174" s="114" t="str">
        <f>IFERROR(__xludf.DUMMYFUNCTION("""COMPUTED_VALUE"""),"")</f>
        <v/>
      </c>
      <c r="F174" s="114"/>
      <c r="G174" s="114"/>
      <c r="H174" s="114"/>
      <c r="I174" s="114"/>
      <c r="J174" s="114"/>
      <c r="K174" s="114" t="s">
        <v>4229</v>
      </c>
      <c r="L174" s="114" t="s">
        <v>4230</v>
      </c>
      <c r="M174" s="114" t="s">
        <v>4231</v>
      </c>
      <c r="N174" s="114" t="s">
        <v>4232</v>
      </c>
      <c r="O174" s="114"/>
      <c r="P174" s="120">
        <v>169.0</v>
      </c>
      <c r="Q174" s="117" t="s">
        <v>4233</v>
      </c>
      <c r="R174" s="114"/>
      <c r="S174" s="117" t="s">
        <v>4180</v>
      </c>
      <c r="T174" s="114">
        <f t="shared" si="1"/>
        <v>173</v>
      </c>
      <c r="U174" s="114" t="s">
        <v>1058</v>
      </c>
      <c r="V174" s="114" t="str">
        <f>IFERROR(__xludf.DUMMYFUNCTION("REGEXREPLACE(U174, ""\n"", "" "")"),"Ms. Goldenweek")</f>
        <v>Ms. Goldenweek</v>
      </c>
      <c r="W174" s="114"/>
      <c r="X174" s="115" t="str">
        <f t="shared" si="2"/>
        <v>173 Baroque Works / Officer Agent - Ms. Goldenweek - Medal [Ms. Goldenweek]</v>
      </c>
      <c r="Y174" s="119"/>
      <c r="Z174" s="117" t="s">
        <v>4234</v>
      </c>
      <c r="AA174" s="117" t="s">
        <v>2539</v>
      </c>
      <c r="AB174" s="114"/>
      <c r="AC174" s="123" t="str">
        <f>IFERROR(__xludf.DUMMYFUNCTION("""COMPUTED_VALUE"""),"https://ik.imagekit.io/alaaalaa6171/170%20Raid%20on%20Onigashima%20-%20Eustass%20Kid%20-%20Medal%20_Raid%20Kid_.png?updatedAt=1770076431841")</f>
        <v>https://ik.imagekit.io/alaaalaa6171/170%20Raid%20on%20Onigashima%20-%20Eustass%20Kid%20-%20Medal%20_Raid%20Kid_.png?updatedAt=1770076431841</v>
      </c>
      <c r="AD174" s="123" t="str">
        <f>IFERROR(__xludf.DUMMYFUNCTION("""COMPUTED_VALUE"""),"https://ik.imagekit.io/alaaalaa6171/170%20Raid%20on%20Onigashima%20-%20Eustass%20Kid%20-%20Medal%20_Raid%20Kid_%20_Colored_.png?updatedAt=1770076431739")</f>
        <v>https://ik.imagekit.io/alaaalaa6171/170%20Raid%20on%20Onigashima%20-%20Eustass%20Kid%20-%20Medal%20_Raid%20Kid_%20_Colored_.png?updatedAt=1770076431739</v>
      </c>
      <c r="AE174" s="123" t="str">
        <f>IFERROR(__xludf.DUMMYFUNCTION("""COMPUTED_VALUE"""),"https://ik.imagekit.io/alaaalaa6171/170%20Raid%20on%20Onigashima%20-%20Eustass%20Kid%20-%20Medal%20_Raid%20Kid_%20-%20Piece.png?updatedAt=1770076431723")</f>
        <v>https://ik.imagekit.io/alaaalaa6171/170%20Raid%20on%20Onigashima%20-%20Eustass%20Kid%20-%20Medal%20_Raid%20Kid_%20-%20Piece.png?updatedAt=1770076431723</v>
      </c>
      <c r="AF174" s="123" t="str">
        <f>IFERROR(__xludf.DUMMYFUNCTION("""COMPUTED_VALUE"""),"https://ik.imagekit.io/alaaalaa6171/170%20Raid%20on%20Onigashima%20-%20Eustass%20Kid%20-%20Medal%20_Raid%20Kid_%20-%20Piece%20_Colored_.png?updatedAt=1770076431730")</f>
        <v>https://ik.imagekit.io/alaaalaa6171/170%20Raid%20on%20Onigashima%20-%20Eustass%20Kid%20-%20Medal%20_Raid%20Kid_%20-%20Piece%20_Colored_.png?updatedAt=1770076431730</v>
      </c>
      <c r="AG174" s="114"/>
      <c r="AH174" s="114"/>
      <c r="AI174" s="121" t="s">
        <v>4235</v>
      </c>
      <c r="AJ174" s="121" t="str">
        <f>IFERROR(__xludf.DUMMYFUNCTION("regexreplace(regexreplace(AI174, ""  \["", "" ""), ""\]$"", """")"),"173 - Baroque Works_Officer Agent ~ Ms. Goldenweek - Medal - Crafted [Colored] - Ms. Goldenweek")</f>
        <v>173 - Baroque Works_Officer Agent ~ Ms. Goldenweek - Medal - Crafted [Colored] - Ms. Goldenweek</v>
      </c>
      <c r="AK174" s="114"/>
      <c r="AL174" s="117" t="s">
        <v>4236</v>
      </c>
      <c r="AM174" s="117" t="s">
        <v>4237</v>
      </c>
      <c r="AN174" s="114"/>
      <c r="AO174" s="122">
        <f>IFERROR(__xludf.DUMMYFUNCTION("""COMPUTED_VALUE"""),135.0)</f>
        <v>135</v>
      </c>
      <c r="AP174" s="114" t="str">
        <f>IFERROR(__xludf.DUMMYFUNCTION("""COMPUTED_VALUE"""),"Sanji
(Child)")</f>
        <v>Sanji
(Child)</v>
      </c>
      <c r="AQ174" s="114" t="str">
        <f>IFERROR(__xludf.DUMMYFUNCTION("""COMPUTED_VALUE"""),"Sanji (Child)")</f>
        <v>Sanji (Child)</v>
      </c>
      <c r="AR174" s="114"/>
      <c r="AS174" s="114"/>
      <c r="AT174" s="123" t="str">
        <f>IFERROR(__xludf.DUMMYFUNCTION("""COMPUTED_VALUE"""),"https://i.postimg.cc/L4wSwY7G/135.png")</f>
        <v>https://i.postimg.cc/L4wSwY7G/135.png</v>
      </c>
      <c r="AU174" s="114"/>
      <c r="AV174" s="114"/>
      <c r="AW174" s="114"/>
      <c r="AX174" s="114" t="str">
        <f t="shared" si="3"/>
        <v>135 - Medal [Event] - Crafted - Sanji (Child)</v>
      </c>
      <c r="AY174" s="114" t="s">
        <v>4238</v>
      </c>
      <c r="AZ174" s="114"/>
      <c r="BA174" s="114"/>
      <c r="BB174" s="114"/>
      <c r="BC174" s="114"/>
      <c r="BD174" s="114"/>
      <c r="BE174" s="114"/>
    </row>
    <row r="175" ht="37.5" customHeight="1">
      <c r="A175" s="118" t="s">
        <v>4239</v>
      </c>
      <c r="B175" s="117" t="s">
        <v>4173</v>
      </c>
      <c r="C175" s="119">
        <f>IFERROR(__xludf.DUMMYFUNCTION("""COMPUTED_VALUE"""),168.0)</f>
        <v>168</v>
      </c>
      <c r="D175" s="114" t="str">
        <f>IFERROR(__xludf.DUMMYFUNCTION("""COMPUTED_VALUE"""),"Raid Luffy")</f>
        <v>Raid Luffy</v>
      </c>
      <c r="E175" s="114" t="str">
        <f>IFERROR(__xludf.DUMMYFUNCTION("""COMPUTED_VALUE"""),"")</f>
        <v/>
      </c>
      <c r="F175" s="114"/>
      <c r="G175" s="114"/>
      <c r="H175" s="114"/>
      <c r="I175" s="114"/>
      <c r="J175" s="114"/>
      <c r="K175" s="114" t="s">
        <v>4240</v>
      </c>
      <c r="L175" s="114" t="s">
        <v>4241</v>
      </c>
      <c r="M175" s="114" t="s">
        <v>4242</v>
      </c>
      <c r="N175" s="114" t="s">
        <v>4243</v>
      </c>
      <c r="O175" s="114"/>
      <c r="P175" s="120">
        <v>168.0</v>
      </c>
      <c r="Q175" s="117" t="s">
        <v>4244</v>
      </c>
      <c r="R175" s="114"/>
      <c r="S175" s="117" t="s">
        <v>4167</v>
      </c>
      <c r="T175" s="114">
        <f t="shared" si="1"/>
        <v>174</v>
      </c>
      <c r="U175" s="114" t="s">
        <v>1051</v>
      </c>
      <c r="V175" s="114" t="str">
        <f>IFERROR(__xludf.DUMMYFUNCTION("REGEXREPLACE(U175, ""\n"", "" "")"),"Pell")</f>
        <v>Pell</v>
      </c>
      <c r="W175" s="114"/>
      <c r="X175" s="115" t="str">
        <f t="shared" si="2"/>
        <v>174 Lieutenant Royal Guard of Alabasta - Pell - Medal [Pell]</v>
      </c>
      <c r="Y175" s="119"/>
      <c r="Z175" s="117" t="s">
        <v>4245</v>
      </c>
      <c r="AA175" s="117" t="s">
        <v>2551</v>
      </c>
      <c r="AB175" s="114"/>
      <c r="AC175" s="123" t="str">
        <f>IFERROR(__xludf.DUMMYFUNCTION("""COMPUTED_VALUE"""),"https://ik.imagekit.io/alaaalaa6171/169%20Impel%20Down_Prisoner%20-%20Bon%20Clay,%20aka%20Mr.%202%20-%20Medal%20_Memoir%20of%20that%20Summer%20Day_.png?updatedAt=1770076431969")</f>
        <v>https://ik.imagekit.io/alaaalaa6171/169%20Impel%20Down_Prisoner%20-%20Bon%20Clay,%20aka%20Mr.%202%20-%20Medal%20_Memoir%20of%20that%20Summer%20Day_.png?updatedAt=1770076431969</v>
      </c>
      <c r="AD175" s="123" t="str">
        <f>IFERROR(__xludf.DUMMYFUNCTION("""COMPUTED_VALUE"""),"https://ik.imagekit.io/alaaalaa6171/169%20Impel%20Down_Prisoner%20-%20Bon%20Clay,%20aka%20Mr.%202%20-%20Medal%20_Memoir%20of%20that%20Summer%20Day_%20_Colored_.png?updatedAt=1770076431734")</f>
        <v>https://ik.imagekit.io/alaaalaa6171/169%20Impel%20Down_Prisoner%20-%20Bon%20Clay,%20aka%20Mr.%202%20-%20Medal%20_Memoir%20of%20that%20Summer%20Day_%20_Colored_.png?updatedAt=1770076431734</v>
      </c>
      <c r="AE175" s="123" t="str">
        <f>IFERROR(__xludf.DUMMYFUNCTION("""COMPUTED_VALUE"""),"https://ik.imagekit.io/alaaalaa6171/169%20Impel%20Down_Prisoner%20-%20Bon%20Clay,%20aka%20Mr.%202%20-%20Medal%20_Memoir%20of%20that%20Summer%20Day_%20-%20Piece.png?updatedAt=1770076431727")</f>
        <v>https://ik.imagekit.io/alaaalaa6171/169%20Impel%20Down_Prisoner%20-%20Bon%20Clay,%20aka%20Mr.%202%20-%20Medal%20_Memoir%20of%20that%20Summer%20Day_%20-%20Piece.png?updatedAt=1770076431727</v>
      </c>
      <c r="AF175" s="123" t="str">
        <f>IFERROR(__xludf.DUMMYFUNCTION("""COMPUTED_VALUE"""),"https://ik.imagekit.io/alaaalaa6171/169%20Impel%20Down_Prisoner%20-%20Bon%20Clay,%20aka%20Mr.%202%20-%20Medal%20_Memoir%20of%20that%20Summer%20Day_%20-%20Piece%20_Colored_.png?updatedAt=1770076431707")</f>
        <v>https://ik.imagekit.io/alaaalaa6171/169%20Impel%20Down_Prisoner%20-%20Bon%20Clay,%20aka%20Mr.%202%20-%20Medal%20_Memoir%20of%20that%20Summer%20Day_%20-%20Piece%20_Colored_.png?updatedAt=1770076431707</v>
      </c>
      <c r="AG175" s="114"/>
      <c r="AH175" s="114"/>
      <c r="AI175" s="121" t="s">
        <v>4246</v>
      </c>
      <c r="AJ175" s="121" t="str">
        <f>IFERROR(__xludf.DUMMYFUNCTION("regexreplace(regexreplace(AI175, ""  \["", "" ""), ""\]$"", """")"),"174 - Lieutenant Royal Guard of Alabasta ~ Pell - Medal - Crafted [Colored] - Pell")</f>
        <v>174 - Lieutenant Royal Guard of Alabasta ~ Pell - Medal - Crafted [Colored] - Pell</v>
      </c>
      <c r="AK175" s="114"/>
      <c r="AL175" s="117" t="s">
        <v>4247</v>
      </c>
      <c r="AM175" s="117" t="s">
        <v>4248</v>
      </c>
      <c r="AN175" s="114"/>
      <c r="AO175" s="122">
        <f>IFERROR(__xludf.DUMMYFUNCTION("""COMPUTED_VALUE"""),134.0)</f>
        <v>134</v>
      </c>
      <c r="AP175" s="114" t="str">
        <f>IFERROR(__xludf.DUMMYFUNCTION("""COMPUTED_VALUE"""),"Reiju
(Child)")</f>
        <v>Reiju
(Child)</v>
      </c>
      <c r="AQ175" s="114" t="str">
        <f>IFERROR(__xludf.DUMMYFUNCTION("""COMPUTED_VALUE"""),"Reiju (Child)")</f>
        <v>Reiju (Child)</v>
      </c>
      <c r="AR175" s="114"/>
      <c r="AS175" s="114"/>
      <c r="AT175" s="123" t="str">
        <f>IFERROR(__xludf.DUMMYFUNCTION("""COMPUTED_VALUE"""),"https://i.postimg.cc/9F92hXH0/134.png")</f>
        <v>https://i.postimg.cc/9F92hXH0/134.png</v>
      </c>
      <c r="AU175" s="114"/>
      <c r="AV175" s="114"/>
      <c r="AW175" s="114"/>
      <c r="AX175" s="114" t="str">
        <f t="shared" si="3"/>
        <v>134 - Medal [Event] - Crafted - Reiju (Child)</v>
      </c>
      <c r="AY175" s="114" t="s">
        <v>4249</v>
      </c>
      <c r="AZ175" s="114"/>
      <c r="BA175" s="114"/>
      <c r="BB175" s="114"/>
      <c r="BC175" s="114"/>
      <c r="BD175" s="114"/>
      <c r="BE175" s="114"/>
    </row>
    <row r="176" ht="37.5" customHeight="1">
      <c r="A176" s="118" t="s">
        <v>4250</v>
      </c>
      <c r="B176" s="117" t="s">
        <v>4147</v>
      </c>
      <c r="C176" s="119">
        <f>IFERROR(__xludf.DUMMYFUNCTION("""COMPUTED_VALUE"""),167.0)</f>
        <v>167</v>
      </c>
      <c r="D176" s="114" t="str">
        <f>IFERROR(__xludf.DUMMYFUNCTION("""COMPUTED_VALUE"""),"Candula")</f>
        <v>Candula</v>
      </c>
      <c r="E176" s="114" t="str">
        <f>IFERROR(__xludf.DUMMYFUNCTION("""COMPUTED_VALUE"""),"")</f>
        <v/>
      </c>
      <c r="F176" s="114"/>
      <c r="G176" s="114"/>
      <c r="H176" s="114"/>
      <c r="I176" s="114"/>
      <c r="J176" s="114"/>
      <c r="K176" s="114" t="s">
        <v>4251</v>
      </c>
      <c r="L176" s="114" t="s">
        <v>4252</v>
      </c>
      <c r="M176" s="114" t="s">
        <v>4253</v>
      </c>
      <c r="N176" s="114" t="s">
        <v>4254</v>
      </c>
      <c r="O176" s="114"/>
      <c r="P176" s="120">
        <v>167.0</v>
      </c>
      <c r="Q176" s="117" t="s">
        <v>4255</v>
      </c>
      <c r="R176" s="114"/>
      <c r="S176" s="117" t="s">
        <v>4154</v>
      </c>
      <c r="T176" s="114">
        <f t="shared" si="1"/>
        <v>175</v>
      </c>
      <c r="U176" s="114" t="s">
        <v>1044</v>
      </c>
      <c r="V176" s="114" t="str">
        <f>IFERROR(__xludf.DUMMYFUNCTION("REGEXREPLACE(U176, ""\n"", "" "")"),"Vivi &amp; Karoo")</f>
        <v>Vivi &amp; Karoo</v>
      </c>
      <c r="W176" s="114"/>
      <c r="X176" s="115" t="str">
        <f t="shared" si="2"/>
        <v>175 Princess and Loyal Partner - Vivi &amp; Karoo - Medal [Vivi &amp; Karoo]</v>
      </c>
      <c r="Y176" s="119"/>
      <c r="Z176" s="117" t="s">
        <v>4256</v>
      </c>
      <c r="AA176" s="117" t="s">
        <v>2553</v>
      </c>
      <c r="AB176" s="114"/>
      <c r="AC176" s="123" t="str">
        <f>IFERROR(__xludf.DUMMYFUNCTION("""COMPUTED_VALUE"""),"https://ik.imagekit.io/alaaalaa6171/168%20Raid%20on%20Onigashima%20-%20Monkey%20D.%20Luffy%20-%20Medal%20_Raid%20Luffy_.png?updatedAt=1770076431806")</f>
        <v>https://ik.imagekit.io/alaaalaa6171/168%20Raid%20on%20Onigashima%20-%20Monkey%20D.%20Luffy%20-%20Medal%20_Raid%20Luffy_.png?updatedAt=1770076431806</v>
      </c>
      <c r="AD176" s="123" t="str">
        <f>IFERROR(__xludf.DUMMYFUNCTION("""COMPUTED_VALUE"""),"https://ik.imagekit.io/alaaalaa6171/168%20Raid%20on%20Onigashima%20-%20Monkey%20D.%20Luffy%20-%20Medal%20_Raid%20Luffy_%20_Colored_.png?updatedAt=1770076431733")</f>
        <v>https://ik.imagekit.io/alaaalaa6171/168%20Raid%20on%20Onigashima%20-%20Monkey%20D.%20Luffy%20-%20Medal%20_Raid%20Luffy_%20_Colored_.png?updatedAt=1770076431733</v>
      </c>
      <c r="AE176" s="123" t="str">
        <f>IFERROR(__xludf.DUMMYFUNCTION("""COMPUTED_VALUE"""),"https://ik.imagekit.io/alaaalaa6171/168%20Raid%20on%20Onigashima%20-%20Monkey%20D.%20Luffy%20-%20Medal%20_Raid%20Luffy_%20-%20Piece.png?updatedAt=1770076431733")</f>
        <v>https://ik.imagekit.io/alaaalaa6171/168%20Raid%20on%20Onigashima%20-%20Monkey%20D.%20Luffy%20-%20Medal%20_Raid%20Luffy_%20-%20Piece.png?updatedAt=1770076431733</v>
      </c>
      <c r="AF176" s="123" t="str">
        <f>IFERROR(__xludf.DUMMYFUNCTION("""COMPUTED_VALUE"""),"https://ik.imagekit.io/alaaalaa6171/168%20Raid%20on%20Onigashima%20-%20Monkey%20D.%20Luffy%20-%20Medal%20_Raid%20Luffy_%20-%20Piece%20_Colored_.png?updatedAt=1770076431715")</f>
        <v>https://ik.imagekit.io/alaaalaa6171/168%20Raid%20on%20Onigashima%20-%20Monkey%20D.%20Luffy%20-%20Medal%20_Raid%20Luffy_%20-%20Piece%20_Colored_.png?updatedAt=1770076431715</v>
      </c>
      <c r="AG176" s="114"/>
      <c r="AH176" s="114"/>
      <c r="AI176" s="121" t="s">
        <v>4257</v>
      </c>
      <c r="AJ176" s="121" t="str">
        <f>IFERROR(__xludf.DUMMYFUNCTION("regexreplace(regexreplace(AI176, ""  \["", "" ""), ""\]$"", """")"),"175 - Princess and Loyal Partner ~ Vivi &amp; Karoo - Medal - Crafted [Colored] - Vivi &amp; Karoo")</f>
        <v>175 - Princess and Loyal Partner ~ Vivi &amp; Karoo - Medal - Crafted [Colored] - Vivi &amp; Karoo</v>
      </c>
      <c r="AK176" s="114"/>
      <c r="AL176" s="117" t="s">
        <v>4258</v>
      </c>
      <c r="AM176" s="117" t="s">
        <v>4259</v>
      </c>
      <c r="AN176" s="114"/>
      <c r="AO176" s="122">
        <f>IFERROR(__xludf.DUMMYFUNCTION("""COMPUTED_VALUE"""),133.0)</f>
        <v>133</v>
      </c>
      <c r="AP176" s="114" t="str">
        <f>IFERROR(__xludf.DUMMYFUNCTION("""COMPUTED_VALUE"""),"Cat Burglar")</f>
        <v>Cat Burglar</v>
      </c>
      <c r="AQ176" s="114" t="str">
        <f>IFERROR(__xludf.DUMMYFUNCTION("""COMPUTED_VALUE"""),"Cat Burglar")</f>
        <v>Cat Burglar</v>
      </c>
      <c r="AR176" s="114"/>
      <c r="AS176" s="114"/>
      <c r="AT176" s="123" t="str">
        <f>IFERROR(__xludf.DUMMYFUNCTION("""COMPUTED_VALUE"""),"https://i.postimg.cc/L8Mp6dmT/133.png")</f>
        <v>https://i.postimg.cc/L8Mp6dmT/133.png</v>
      </c>
      <c r="AU176" s="114"/>
      <c r="AV176" s="114"/>
      <c r="AW176" s="114"/>
      <c r="AX176" s="114" t="str">
        <f t="shared" si="3"/>
        <v>133 - Medal [Event] - Crafted - Cat Burglar</v>
      </c>
      <c r="AY176" s="114" t="s">
        <v>4260</v>
      </c>
      <c r="AZ176" s="114"/>
      <c r="BA176" s="114"/>
      <c r="BB176" s="114"/>
      <c r="BC176" s="114"/>
      <c r="BD176" s="114"/>
      <c r="BE176" s="114"/>
    </row>
    <row r="177" ht="37.5" customHeight="1">
      <c r="A177" s="118" t="s">
        <v>4261</v>
      </c>
      <c r="B177" s="117" t="s">
        <v>4160</v>
      </c>
      <c r="C177" s="119">
        <f>IFERROR(__xludf.DUMMYFUNCTION("""COMPUTED_VALUE"""),166.0)</f>
        <v>166</v>
      </c>
      <c r="D177" s="114" t="str">
        <f>IFERROR(__xludf.DUMMYFUNCTION("""COMPUTED_VALUE"""),"Palm")</f>
        <v>Palm</v>
      </c>
      <c r="E177" s="114" t="str">
        <f>IFERROR(__xludf.DUMMYFUNCTION("""COMPUTED_VALUE"""),"")</f>
        <v/>
      </c>
      <c r="F177" s="114"/>
      <c r="G177" s="114"/>
      <c r="H177" s="114"/>
      <c r="I177" s="114"/>
      <c r="J177" s="114"/>
      <c r="K177" s="114" t="s">
        <v>4262</v>
      </c>
      <c r="L177" s="114" t="s">
        <v>4263</v>
      </c>
      <c r="M177" s="114" t="s">
        <v>4264</v>
      </c>
      <c r="N177" s="114" t="s">
        <v>4265</v>
      </c>
      <c r="O177" s="114"/>
      <c r="P177" s="120">
        <v>166.0</v>
      </c>
      <c r="Q177" s="117" t="s">
        <v>4266</v>
      </c>
      <c r="R177" s="114"/>
      <c r="S177" s="117" t="s">
        <v>4141</v>
      </c>
      <c r="T177" s="114">
        <f t="shared" si="1"/>
        <v>176</v>
      </c>
      <c r="U177" s="114" t="s">
        <v>1038</v>
      </c>
      <c r="V177" s="114" t="str">
        <f>IFERROR(__xludf.DUMMYFUNCTION("REGEXREPLACE(U177, ""\n"", "" "")"),"Delphinium")</f>
        <v>Delphinium</v>
      </c>
      <c r="W177" s="114"/>
      <c r="X177" s="115" t="str">
        <f t="shared" si="2"/>
        <v>176 Land of Wano - Orobi - Medal [Delphinium]</v>
      </c>
      <c r="Y177" s="119"/>
      <c r="Z177" s="117" t="s">
        <v>4267</v>
      </c>
      <c r="AA177" s="117" t="s">
        <v>2554</v>
      </c>
      <c r="AB177" s="114"/>
      <c r="AC177" s="123" t="str">
        <f>IFERROR(__xludf.DUMMYFUNCTION("""COMPUTED_VALUE"""),"https://ik.imagekit.io/alaaalaa6171/167%20Enies%20Lobby%20-%20Nico%20Robin%20-%20Medal%20_Candula_.png?updatedAt=1770076431724")</f>
        <v>https://ik.imagekit.io/alaaalaa6171/167%20Enies%20Lobby%20-%20Nico%20Robin%20-%20Medal%20_Candula_.png?updatedAt=1770076431724</v>
      </c>
      <c r="AD177" s="123" t="str">
        <f>IFERROR(__xludf.DUMMYFUNCTION("""COMPUTED_VALUE"""),"https://ik.imagekit.io/alaaalaa6171/167%20Enies%20Lobby%20-%20Nico%20Robin%20-%20Medal%20_Candula_%20_Colored_.png?updatedAt=1770076431725")</f>
        <v>https://ik.imagekit.io/alaaalaa6171/167%20Enies%20Lobby%20-%20Nico%20Robin%20-%20Medal%20_Candula_%20_Colored_.png?updatedAt=1770076431725</v>
      </c>
      <c r="AE177" s="123" t="str">
        <f>IFERROR(__xludf.DUMMYFUNCTION("""COMPUTED_VALUE"""),"https://ik.imagekit.io/alaaalaa6171/167%20Enies%20Lobby%20-%20Nico%20Robin%20-%20Medal%20_Candula_%20-%20Piece.png?updatedAt=1770076431670")</f>
        <v>https://ik.imagekit.io/alaaalaa6171/167%20Enies%20Lobby%20-%20Nico%20Robin%20-%20Medal%20_Candula_%20-%20Piece.png?updatedAt=1770076431670</v>
      </c>
      <c r="AF177" s="123" t="str">
        <f>IFERROR(__xludf.DUMMYFUNCTION("""COMPUTED_VALUE"""),"https://ik.imagekit.io/alaaalaa6171/167%20Enies%20Lobby%20-%20Nico%20Robin%20-%20Medal%20_Candula_%20-%20Piece%20_Colored_.png?updatedAt=1770076431730")</f>
        <v>https://ik.imagekit.io/alaaalaa6171/167%20Enies%20Lobby%20-%20Nico%20Robin%20-%20Medal%20_Candula_%20-%20Piece%20_Colored_.png?updatedAt=1770076431730</v>
      </c>
      <c r="AG177" s="114"/>
      <c r="AH177" s="114"/>
      <c r="AI177" s="121" t="s">
        <v>4268</v>
      </c>
      <c r="AJ177" s="121" t="str">
        <f>IFERROR(__xludf.DUMMYFUNCTION("regexreplace(regexreplace(AI177, ""  \["", "" ""), ""\]$"", """")"),"176 - Land of Wano ~ Orobi - Medal - Crafted [Colored] - Delphinium")</f>
        <v>176 - Land of Wano ~ Orobi - Medal - Crafted [Colored] - Delphinium</v>
      </c>
      <c r="AK177" s="114"/>
      <c r="AL177" s="117" t="s">
        <v>4269</v>
      </c>
      <c r="AM177" s="117" t="s">
        <v>4270</v>
      </c>
      <c r="AN177" s="114"/>
      <c r="AO177" s="122">
        <f>IFERROR(__xludf.DUMMYFUNCTION("""COMPUTED_VALUE"""),132.0)</f>
        <v>132</v>
      </c>
      <c r="AP177" s="114" t="str">
        <f>IFERROR(__xludf.DUMMYFUNCTION("""COMPUTED_VALUE"""),"Pirate Hunter")</f>
        <v>Pirate Hunter</v>
      </c>
      <c r="AQ177" s="114" t="str">
        <f>IFERROR(__xludf.DUMMYFUNCTION("""COMPUTED_VALUE"""),"Pirate Hunter")</f>
        <v>Pirate Hunter</v>
      </c>
      <c r="AR177" s="114"/>
      <c r="AS177" s="114"/>
      <c r="AT177" s="123" t="str">
        <f>IFERROR(__xludf.DUMMYFUNCTION("""COMPUTED_VALUE"""),"https://i.postimg.cc/wjcd1Wvd/132.png")</f>
        <v>https://i.postimg.cc/wjcd1Wvd/132.png</v>
      </c>
      <c r="AU177" s="114"/>
      <c r="AV177" s="114"/>
      <c r="AW177" s="114"/>
      <c r="AX177" s="114" t="str">
        <f t="shared" si="3"/>
        <v>132 - Medal [Event] - Crafted - Pirate Hunter</v>
      </c>
      <c r="AY177" s="114" t="s">
        <v>4271</v>
      </c>
      <c r="AZ177" s="114"/>
      <c r="BA177" s="114"/>
      <c r="BB177" s="114"/>
      <c r="BC177" s="114"/>
      <c r="BD177" s="114"/>
      <c r="BE177" s="114"/>
    </row>
    <row r="178" ht="37.5" customHeight="1">
      <c r="A178" s="118" t="s">
        <v>4272</v>
      </c>
      <c r="B178" s="117" t="s">
        <v>4134</v>
      </c>
      <c r="C178" s="119">
        <f>IFERROR(__xludf.DUMMYFUNCTION("""COMPUTED_VALUE"""),165.0)</f>
        <v>165</v>
      </c>
      <c r="D178" s="114" t="str">
        <f>IFERROR(__xludf.DUMMYFUNCTION("""COMPUTED_VALUE"""),"Cat Viper")</f>
        <v>Cat Viper</v>
      </c>
      <c r="E178" s="114" t="str">
        <f>IFERROR(__xludf.DUMMYFUNCTION("""COMPUTED_VALUE"""),"")</f>
        <v/>
      </c>
      <c r="F178" s="114"/>
      <c r="G178" s="114"/>
      <c r="H178" s="114"/>
      <c r="I178" s="114"/>
      <c r="J178" s="114"/>
      <c r="K178" s="114" t="s">
        <v>4273</v>
      </c>
      <c r="L178" s="114" t="s">
        <v>4274</v>
      </c>
      <c r="M178" s="114" t="s">
        <v>4275</v>
      </c>
      <c r="N178" s="114" t="s">
        <v>4276</v>
      </c>
      <c r="O178" s="114"/>
      <c r="P178" s="120">
        <v>165.0</v>
      </c>
      <c r="Q178" s="117" t="s">
        <v>4277</v>
      </c>
      <c r="R178" s="114"/>
      <c r="S178" s="117" t="s">
        <v>4128</v>
      </c>
      <c r="T178" s="114">
        <f t="shared" si="1"/>
        <v>177</v>
      </c>
      <c r="U178" s="114" t="s">
        <v>1033</v>
      </c>
      <c r="V178" s="114" t="str">
        <f>IFERROR(__xludf.DUMMYFUNCTION("REGEXREPLACE(U178, ""\n"", "" "")"),"Ice_Burn")</f>
        <v>Ice_Burn</v>
      </c>
      <c r="W178" s="114"/>
      <c r="X178" s="115" t="str">
        <f t="shared" si="2"/>
        <v>177 Land of Wano - Bonekichi - Medal [Ice_Burn]</v>
      </c>
      <c r="Y178" s="119"/>
      <c r="Z178" s="117" t="s">
        <v>4278</v>
      </c>
      <c r="AA178" s="117" t="s">
        <v>2552</v>
      </c>
      <c r="AB178" s="114"/>
      <c r="AC178" s="123" t="str">
        <f>IFERROR(__xludf.DUMMYFUNCTION("""COMPUTED_VALUE"""),"https://ik.imagekit.io/alaaalaa6171/166%20Monster%20Point%20-%20Tony%20Tony%20Chopper%20-%20Medal%20_Palm_.png?updatedAt=1770076431679")</f>
        <v>https://ik.imagekit.io/alaaalaa6171/166%20Monster%20Point%20-%20Tony%20Tony%20Chopper%20-%20Medal%20_Palm_.png?updatedAt=1770076431679</v>
      </c>
      <c r="AD178" s="123" t="str">
        <f>IFERROR(__xludf.DUMMYFUNCTION("""COMPUTED_VALUE"""),"https://ik.imagekit.io/alaaalaa6171/166%20Monster%20Point%20-%20Tony%20Tony%20Chopper%20-%20Medal%20_Palm_%20_Colored_.png?updatedAt=1770076431719")</f>
        <v>https://ik.imagekit.io/alaaalaa6171/166%20Monster%20Point%20-%20Tony%20Tony%20Chopper%20-%20Medal%20_Palm_%20_Colored_.png?updatedAt=1770076431719</v>
      </c>
      <c r="AE178" s="123" t="str">
        <f>IFERROR(__xludf.DUMMYFUNCTION("""COMPUTED_VALUE"""),"https://ik.imagekit.io/alaaalaa6171/166%20Monster%20Point%20-%20Tony%20Tony%20Chopper%20-%20Medal%20_Palm_%20-%20Piece.png?updatedAt=1770076431703")</f>
        <v>https://ik.imagekit.io/alaaalaa6171/166%20Monster%20Point%20-%20Tony%20Tony%20Chopper%20-%20Medal%20_Palm_%20-%20Piece.png?updatedAt=1770076431703</v>
      </c>
      <c r="AF178" s="123" t="str">
        <f>IFERROR(__xludf.DUMMYFUNCTION("""COMPUTED_VALUE"""),"https://ik.imagekit.io/alaaalaa6171/166%20Monster%20Point%20-%20Tony%20Tony%20Chopper%20-%20Medal%20_Palm_%20-%20Piece%20_Colored_.png?updatedAt=1770076431675")</f>
        <v>https://ik.imagekit.io/alaaalaa6171/166%20Monster%20Point%20-%20Tony%20Tony%20Chopper%20-%20Medal%20_Palm_%20-%20Piece%20_Colored_.png?updatedAt=1770076431675</v>
      </c>
      <c r="AG178" s="114"/>
      <c r="AH178" s="114"/>
      <c r="AI178" s="121" t="s">
        <v>4279</v>
      </c>
      <c r="AJ178" s="121" t="str">
        <f>IFERROR(__xludf.DUMMYFUNCTION("regexreplace(regexreplace(AI178, ""  \["", "" ""), ""\]$"", """")"),"177 - Land of Wano ~ Bonekichi - Medal - Crafted [Colored] - Ice_Burn")</f>
        <v>177 - Land of Wano ~ Bonekichi - Medal - Crafted [Colored] - Ice_Burn</v>
      </c>
      <c r="AK178" s="114"/>
      <c r="AL178" s="117" t="s">
        <v>4280</v>
      </c>
      <c r="AM178" s="117" t="s">
        <v>4281</v>
      </c>
      <c r="AN178" s="114"/>
      <c r="AO178" s="122">
        <f>IFERROR(__xludf.DUMMYFUNCTION("""COMPUTED_VALUE"""),131.0)</f>
        <v>131</v>
      </c>
      <c r="AP178" s="114" t="str">
        <f>IFERROR(__xludf.DUMMYFUNCTION("""COMPUTED_VALUE"""),"Black Maria")</f>
        <v>Black Maria</v>
      </c>
      <c r="AQ178" s="114" t="str">
        <f>IFERROR(__xludf.DUMMYFUNCTION("""COMPUTED_VALUE"""),"Black Maria")</f>
        <v>Black Maria</v>
      </c>
      <c r="AR178" s="114"/>
      <c r="AS178" s="114"/>
      <c r="AT178" s="123" t="str">
        <f>IFERROR(__xludf.DUMMYFUNCTION("""COMPUTED_VALUE"""),"https://i.postimg.cc/N0svm192/131.png")</f>
        <v>https://i.postimg.cc/N0svm192/131.png</v>
      </c>
      <c r="AU178" s="114"/>
      <c r="AV178" s="114"/>
      <c r="AW178" s="114"/>
      <c r="AX178" s="114" t="str">
        <f t="shared" si="3"/>
        <v>131 - Medal [Event] - Crafted - Black Maria</v>
      </c>
      <c r="AY178" s="114" t="s">
        <v>4282</v>
      </c>
      <c r="AZ178" s="114"/>
      <c r="BA178" s="114"/>
      <c r="BB178" s="114"/>
      <c r="BC178" s="114"/>
      <c r="BD178" s="114"/>
      <c r="BE178" s="114"/>
    </row>
    <row r="179" ht="37.5" customHeight="1">
      <c r="A179" s="118" t="s">
        <v>4283</v>
      </c>
      <c r="B179" s="117" t="s">
        <v>4121</v>
      </c>
      <c r="C179" s="119">
        <f>IFERROR(__xludf.DUMMYFUNCTION("""COMPUTED_VALUE"""),164.0)</f>
        <v>164</v>
      </c>
      <c r="D179" s="114" t="str">
        <f>IFERROR(__xludf.DUMMYFUNCTION("""COMPUTED_VALUE"""),"Duke Dogstorm")</f>
        <v>Duke Dogstorm</v>
      </c>
      <c r="E179" s="114" t="str">
        <f>IFERROR(__xludf.DUMMYFUNCTION("""COMPUTED_VALUE"""),"")</f>
        <v/>
      </c>
      <c r="F179" s="114"/>
      <c r="G179" s="114"/>
      <c r="H179" s="114"/>
      <c r="I179" s="114"/>
      <c r="J179" s="114"/>
      <c r="K179" s="114" t="s">
        <v>4284</v>
      </c>
      <c r="L179" s="114" t="s">
        <v>4285</v>
      </c>
      <c r="M179" s="114" t="s">
        <v>4286</v>
      </c>
      <c r="N179" s="114" t="s">
        <v>4287</v>
      </c>
      <c r="O179" s="114"/>
      <c r="P179" s="120">
        <v>164.0</v>
      </c>
      <c r="Q179" s="117" t="s">
        <v>4288</v>
      </c>
      <c r="R179" s="114"/>
      <c r="S179" s="117" t="s">
        <v>4089</v>
      </c>
      <c r="T179" s="114">
        <f t="shared" si="1"/>
        <v>180</v>
      </c>
      <c r="U179" s="114" t="s">
        <v>1017</v>
      </c>
      <c r="V179" s="114" t="str">
        <f>IFERROR(__xludf.DUMMYFUNCTION("REGEXREPLACE(U179, ""\n"", "" "")"),"Sentomaru")</f>
        <v>Sentomaru</v>
      </c>
      <c r="W179" s="114"/>
      <c r="X179" s="115" t="str">
        <f t="shared" si="2"/>
        <v>180 Navy HQ / Science Team Captain - Sentomaru - Medal [Sentomaru]</v>
      </c>
      <c r="Y179" s="119"/>
      <c r="Z179" s="117" t="s">
        <v>4289</v>
      </c>
      <c r="AA179" s="117" t="s">
        <v>2564</v>
      </c>
      <c r="AB179" s="114"/>
      <c r="AC179" s="123" t="str">
        <f>IFERROR(__xludf.DUMMYFUNCTION("""COMPUTED_VALUE"""),"https://ik.imagekit.io/alaaalaa6171/165%20King%20of%20the%20Night%20-%20Cat%20Viper%20-%20Medal%20_Cat%20Viper_.png?updatedAt=1770076431719")</f>
        <v>https://ik.imagekit.io/alaaalaa6171/165%20King%20of%20the%20Night%20-%20Cat%20Viper%20-%20Medal%20_Cat%20Viper_.png?updatedAt=1770076431719</v>
      </c>
      <c r="AD179" s="123" t="str">
        <f>IFERROR(__xludf.DUMMYFUNCTION("""COMPUTED_VALUE"""),"https://ik.imagekit.io/alaaalaa6171/165%20King%20of%20the%20Night%20-%20Cat%20Viper%20-%20Medal%20_Cat%20Viper_%20_Colored_.png?updatedAt=1770076431722")</f>
        <v>https://ik.imagekit.io/alaaalaa6171/165%20King%20of%20the%20Night%20-%20Cat%20Viper%20-%20Medal%20_Cat%20Viper_%20_Colored_.png?updatedAt=1770076431722</v>
      </c>
      <c r="AE179" s="123" t="str">
        <f>IFERROR(__xludf.DUMMYFUNCTION("""COMPUTED_VALUE"""),"https://ik.imagekit.io/alaaalaa6171/165%20King%20of%20the%20Night%20-%20Cat%20Viper%20-%20Medal%20_Cat%20Viper_%20-%20Piece.png?updatedAt=1770076431699")</f>
        <v>https://ik.imagekit.io/alaaalaa6171/165%20King%20of%20the%20Night%20-%20Cat%20Viper%20-%20Medal%20_Cat%20Viper_%20-%20Piece.png?updatedAt=1770076431699</v>
      </c>
      <c r="AF179" s="123" t="str">
        <f>IFERROR(__xludf.DUMMYFUNCTION("""COMPUTED_VALUE"""),"https://ik.imagekit.io/alaaalaa6171/165%20King%20of%20the%20Night%20-%20Cat%20Viper%20-%20Medal%20_Cat%20Viper_%20-%20Piece%20_Colored_.png?updatedAt=1770076431673")</f>
        <v>https://ik.imagekit.io/alaaalaa6171/165%20King%20of%20the%20Night%20-%20Cat%20Viper%20-%20Medal%20_Cat%20Viper_%20-%20Piece%20_Colored_.png?updatedAt=1770076431673</v>
      </c>
      <c r="AG179" s="114"/>
      <c r="AH179" s="114"/>
      <c r="AI179" s="121" t="s">
        <v>4290</v>
      </c>
      <c r="AJ179" s="121" t="str">
        <f>IFERROR(__xludf.DUMMYFUNCTION("regexreplace(regexreplace(AI179, ""  \["", "" ""), ""\]$"", """")"),"178 - Navy HQ_Fleet Admiral Akainu ~ [Sakazuki] - Medal - Crafted [Colored] - Fleet Admiral Akainu")</f>
        <v>178 - Navy HQ_Fleet Admiral Akainu ~ [Sakazuki] - Medal - Crafted [Colored] - Fleet Admiral Akainu</v>
      </c>
      <c r="AK179" s="114"/>
      <c r="AL179" s="117" t="s">
        <v>4291</v>
      </c>
      <c r="AM179" s="117" t="s">
        <v>4292</v>
      </c>
      <c r="AN179" s="114"/>
      <c r="AO179" s="122">
        <f>IFERROR(__xludf.DUMMYFUNCTION("""COMPUTED_VALUE"""),130.0)</f>
        <v>130</v>
      </c>
      <c r="AP179" s="114" t="str">
        <f>IFERROR(__xludf.DUMMYFUNCTION("""COMPUTED_VALUE"""),"Wildfire")</f>
        <v>Wildfire</v>
      </c>
      <c r="AQ179" s="114" t="str">
        <f>IFERROR(__xludf.DUMMYFUNCTION("""COMPUTED_VALUE"""),"Wildfire")</f>
        <v>Wildfire</v>
      </c>
      <c r="AR179" s="114"/>
      <c r="AS179" s="114"/>
      <c r="AT179" s="123" t="str">
        <f>IFERROR(__xludf.DUMMYFUNCTION("""COMPUTED_VALUE"""),"https://i.postimg.cc/6QMJ0ynj/130.png")</f>
        <v>https://i.postimg.cc/6QMJ0ynj/130.png</v>
      </c>
      <c r="AU179" s="114"/>
      <c r="AV179" s="114"/>
      <c r="AW179" s="114"/>
      <c r="AX179" s="114" t="str">
        <f t="shared" si="3"/>
        <v>130 - Medal [Event] - Crafted - Wildfire</v>
      </c>
      <c r="AY179" s="114" t="s">
        <v>4293</v>
      </c>
      <c r="AZ179" s="114"/>
      <c r="BA179" s="114"/>
      <c r="BB179" s="114"/>
      <c r="BC179" s="114"/>
      <c r="BD179" s="114"/>
      <c r="BE179" s="114"/>
    </row>
    <row r="180" ht="37.5" customHeight="1">
      <c r="A180" s="118" t="s">
        <v>4294</v>
      </c>
      <c r="B180" s="117" t="s">
        <v>4108</v>
      </c>
      <c r="C180" s="119">
        <f>IFERROR(__xludf.DUMMYFUNCTION("""COMPUTED_VALUE"""),163.0)</f>
        <v>163</v>
      </c>
      <c r="D180" s="114" t="str">
        <f>IFERROR(__xludf.DUMMYFUNCTION("""COMPUTED_VALUE"""),"Gaimon")</f>
        <v>Gaimon</v>
      </c>
      <c r="E180" s="114" t="str">
        <f>IFERROR(__xludf.DUMMYFUNCTION("""COMPUTED_VALUE"""),"")</f>
        <v/>
      </c>
      <c r="F180" s="114"/>
      <c r="G180" s="114"/>
      <c r="H180" s="114"/>
      <c r="I180" s="114"/>
      <c r="J180" s="114"/>
      <c r="K180" s="114" t="s">
        <v>4295</v>
      </c>
      <c r="L180" s="114" t="s">
        <v>4296</v>
      </c>
      <c r="M180" s="114" t="s">
        <v>4297</v>
      </c>
      <c r="N180" s="114" t="s">
        <v>4298</v>
      </c>
      <c r="O180" s="114"/>
      <c r="P180" s="120">
        <v>163.0</v>
      </c>
      <c r="Q180" s="117" t="s">
        <v>4299</v>
      </c>
      <c r="R180" s="114"/>
      <c r="S180" s="117" t="s">
        <v>4102</v>
      </c>
      <c r="T180" s="114">
        <f t="shared" si="1"/>
        <v>179</v>
      </c>
      <c r="U180" s="114" t="s">
        <v>4300</v>
      </c>
      <c r="V180" s="114" t="str">
        <f>IFERROR(__xludf.DUMMYFUNCTION("REGEXREPLACE(U180, ""\n"", "" "")"),"Koby (Paramount War)")</f>
        <v>Koby (Paramount War)</v>
      </c>
      <c r="W180" s="114"/>
      <c r="X180" s="115" t="str">
        <f t="shared" si="2"/>
        <v>179 Navy HQ / Master Chief Petty Officer - Koby - Medal [Koby (Paramount War)]</v>
      </c>
      <c r="Y180" s="119"/>
      <c r="Z180" s="117" t="s">
        <v>4301</v>
      </c>
      <c r="AA180" s="117" t="s">
        <v>2566</v>
      </c>
      <c r="AB180" s="114"/>
      <c r="AC180" s="123" t="str">
        <f>IFERROR(__xludf.DUMMYFUNCTION("""COMPUTED_VALUE"""),"https://ik.imagekit.io/alaaalaa6171/164%20King%20of%20the%20Day%20-%20Dogstorm%20-%20Medal%20_Duke%20Dogstorm_.png?updatedAt=1770076431726")</f>
        <v>https://ik.imagekit.io/alaaalaa6171/164%20King%20of%20the%20Day%20-%20Dogstorm%20-%20Medal%20_Duke%20Dogstorm_.png?updatedAt=1770076431726</v>
      </c>
      <c r="AD180" s="123" t="str">
        <f>IFERROR(__xludf.DUMMYFUNCTION("""COMPUTED_VALUE"""),"https://ik.imagekit.io/alaaalaa6171/164%20King%20of%20the%20Day%20-%20Dogstorm%20-%20Medal%20_Duke%20Dogstorm_%20_Colored_.png?updatedAt=1770076431659")</f>
        <v>https://ik.imagekit.io/alaaalaa6171/164%20King%20of%20the%20Day%20-%20Dogstorm%20-%20Medal%20_Duke%20Dogstorm_%20_Colored_.png?updatedAt=1770076431659</v>
      </c>
      <c r="AE180" s="123" t="str">
        <f>IFERROR(__xludf.DUMMYFUNCTION("""COMPUTED_VALUE"""),"https://ik.imagekit.io/alaaalaa6171/164%20King%20of%20the%20Day%20-%20Dogstorm%20-%20Medal%20_Duke%20Dogstorm_%20-%20Piece.png?updatedAt=1770076431665")</f>
        <v>https://ik.imagekit.io/alaaalaa6171/164%20King%20of%20the%20Day%20-%20Dogstorm%20-%20Medal%20_Duke%20Dogstorm_%20-%20Piece.png?updatedAt=1770076431665</v>
      </c>
      <c r="AF180" s="123" t="str">
        <f>IFERROR(__xludf.DUMMYFUNCTION("""COMPUTED_VALUE"""),"https://ik.imagekit.io/alaaalaa6171/164%20King%20of%20the%20Day%20-%20Dogstorm%20-%20Medal%20_Duke%20Dogstorm_%20-%20Piece%20_Colored_.png?updatedAt=1770076431671")</f>
        <v>https://ik.imagekit.io/alaaalaa6171/164%20King%20of%20the%20Day%20-%20Dogstorm%20-%20Medal%20_Duke%20Dogstorm_%20-%20Piece%20_Colored_.png?updatedAt=1770076431671</v>
      </c>
      <c r="AG180" s="114"/>
      <c r="AH180" s="114"/>
      <c r="AI180" s="121" t="s">
        <v>4302</v>
      </c>
      <c r="AJ180" s="121" t="str">
        <f>IFERROR(__xludf.DUMMYFUNCTION("regexreplace(regexreplace(AI180, ""  \["", "" ""), ""\]$"", """")"),"179 - Navy HQ_Master Chief Petty Officer ~ Koby - Medal - Crafted [Colored] - Koby (Paramount War)")</f>
        <v>179 - Navy HQ_Master Chief Petty Officer ~ Koby - Medal - Crafted [Colored] - Koby (Paramount War)</v>
      </c>
      <c r="AK180" s="114"/>
      <c r="AL180" s="117" t="s">
        <v>4303</v>
      </c>
      <c r="AM180" s="117" t="s">
        <v>4304</v>
      </c>
      <c r="AN180" s="114"/>
      <c r="AO180" s="122">
        <f>IFERROR(__xludf.DUMMYFUNCTION("""COMPUTED_VALUE"""),129.0)</f>
        <v>129</v>
      </c>
      <c r="AP180" s="114" t="str">
        <f>IFERROR(__xludf.DUMMYFUNCTION("""COMPUTED_VALUE"""),"Page One")</f>
        <v>Page One</v>
      </c>
      <c r="AQ180" s="114" t="str">
        <f>IFERROR(__xludf.DUMMYFUNCTION("""COMPUTED_VALUE"""),"Page One")</f>
        <v>Page One</v>
      </c>
      <c r="AR180" s="114"/>
      <c r="AS180" s="114"/>
      <c r="AT180" s="123" t="str">
        <f>IFERROR(__xludf.DUMMYFUNCTION("""COMPUTED_VALUE"""),"https://i.postimg.cc/3RWMbYZK/129.png")</f>
        <v>https://i.postimg.cc/3RWMbYZK/129.png</v>
      </c>
      <c r="AU180" s="114"/>
      <c r="AV180" s="114"/>
      <c r="AW180" s="114"/>
      <c r="AX180" s="114" t="str">
        <f t="shared" si="3"/>
        <v>129 - Medal [Event] - Crafted - Page One</v>
      </c>
      <c r="AY180" s="114" t="s">
        <v>4305</v>
      </c>
      <c r="AZ180" s="114"/>
      <c r="BA180" s="114"/>
      <c r="BB180" s="114"/>
      <c r="BC180" s="114"/>
      <c r="BD180" s="114"/>
      <c r="BE180" s="114"/>
    </row>
    <row r="181" ht="37.5" customHeight="1">
      <c r="A181" s="118" t="s">
        <v>4306</v>
      </c>
      <c r="B181" s="117" t="s">
        <v>4082</v>
      </c>
      <c r="C181" s="119">
        <f>IFERROR(__xludf.DUMMYFUNCTION("""COMPUTED_VALUE"""),162.0)</f>
        <v>162</v>
      </c>
      <c r="D181" s="114" t="str">
        <f>IFERROR(__xludf.DUMMYFUNCTION("""COMPUTED_VALUE"""),"General Franky")</f>
        <v>General Franky</v>
      </c>
      <c r="E181" s="114" t="str">
        <f>IFERROR(__xludf.DUMMYFUNCTION("""COMPUTED_VALUE"""),"")</f>
        <v/>
      </c>
      <c r="F181" s="114"/>
      <c r="G181" s="114"/>
      <c r="H181" s="114"/>
      <c r="I181" s="114"/>
      <c r="J181" s="114"/>
      <c r="K181" s="114" t="s">
        <v>4307</v>
      </c>
      <c r="L181" s="114" t="s">
        <v>4308</v>
      </c>
      <c r="M181" s="114" t="s">
        <v>4309</v>
      </c>
      <c r="N181" s="114" t="s">
        <v>4310</v>
      </c>
      <c r="O181" s="114"/>
      <c r="P181" s="120">
        <v>162.0</v>
      </c>
      <c r="Q181" s="117" t="s">
        <v>4311</v>
      </c>
      <c r="R181" s="114"/>
      <c r="S181" s="117" t="s">
        <v>4115</v>
      </c>
      <c r="T181" s="114">
        <f t="shared" si="1"/>
        <v>178</v>
      </c>
      <c r="U181" s="114" t="s">
        <v>1028</v>
      </c>
      <c r="V181" s="114" t="str">
        <f>IFERROR(__xludf.DUMMYFUNCTION("REGEXREPLACE(U181, ""\n"", "" "")"),"Fleet Admiral Akainu")</f>
        <v>Fleet Admiral Akainu</v>
      </c>
      <c r="W181" s="114"/>
      <c r="X181" s="115" t="str">
        <f t="shared" si="2"/>
        <v>178 Navy HQ / Fleet Admiral Akainu - [Sakazuki] - Medal [Fleet Admiral Akainu]</v>
      </c>
      <c r="Y181" s="119"/>
      <c r="Z181" s="117" t="s">
        <v>4312</v>
      </c>
      <c r="AA181" s="117" t="s">
        <v>2567</v>
      </c>
      <c r="AB181" s="114"/>
      <c r="AC181" s="123" t="str">
        <f>IFERROR(__xludf.DUMMYFUNCTION("""COMPUTED_VALUE"""),"https://ik.imagekit.io/alaaalaa6171/163%20The%20Guardian%20of%20the%20Forest%20-%20Gaimon%20-%20Medal%20_Gaimon_.png?updatedAt=1770076431648")</f>
        <v>https://ik.imagekit.io/alaaalaa6171/163%20The%20Guardian%20of%20the%20Forest%20-%20Gaimon%20-%20Medal%20_Gaimon_.png?updatedAt=1770076431648</v>
      </c>
      <c r="AD181" s="123" t="str">
        <f>IFERROR(__xludf.DUMMYFUNCTION("""COMPUTED_VALUE"""),"https://ik.imagekit.io/alaaalaa6171/163%20The%20Guardian%20of%20the%20Forest%20-%20Gaimon%20-%20Medal%20_Gaimon_%20_Colored_.png?updatedAt=1770076431705")</f>
        <v>https://ik.imagekit.io/alaaalaa6171/163%20The%20Guardian%20of%20the%20Forest%20-%20Gaimon%20-%20Medal%20_Gaimon_%20_Colored_.png?updatedAt=1770076431705</v>
      </c>
      <c r="AE181" s="123" t="str">
        <f>IFERROR(__xludf.DUMMYFUNCTION("""COMPUTED_VALUE"""),"https://ik.imagekit.io/alaaalaa6171/163%20The%20Guardian%20of%20the%20Forest%20-%20Gaimon%20-%20Medal%20_Gaimon_%20-%20Piece.png?updatedAt=1770076431689")</f>
        <v>https://ik.imagekit.io/alaaalaa6171/163%20The%20Guardian%20of%20the%20Forest%20-%20Gaimon%20-%20Medal%20_Gaimon_%20-%20Piece.png?updatedAt=1770076431689</v>
      </c>
      <c r="AF181" s="123" t="str">
        <f>IFERROR(__xludf.DUMMYFUNCTION("""COMPUTED_VALUE"""),"https://ik.imagekit.io/alaaalaa6171/163%20The%20Guardian%20of%20the%20Forest%20-%20Gaimon%20-%20Medal%20_Gaimon_%20-%20Piece%20_Colored_.png?updatedAt=1770076431649")</f>
        <v>https://ik.imagekit.io/alaaalaa6171/163%20The%20Guardian%20of%20the%20Forest%20-%20Gaimon%20-%20Medal%20_Gaimon_%20-%20Piece%20_Colored_.png?updatedAt=1770076431649</v>
      </c>
      <c r="AG181" s="114"/>
      <c r="AH181" s="114"/>
      <c r="AI181" s="121" t="s">
        <v>4313</v>
      </c>
      <c r="AJ181" s="121" t="str">
        <f>IFERROR(__xludf.DUMMYFUNCTION("regexreplace(regexreplace(AI181, ""  \["", "" ""), ""\]$"", """")"),"180 - Navy HQ_Science Team Captain ~ Sentomaru - Medal - Crafted [Colored] - Sentomaru")</f>
        <v>180 - Navy HQ_Science Team Captain ~ Sentomaru - Medal - Crafted [Colored] - Sentomaru</v>
      </c>
      <c r="AK181" s="114"/>
      <c r="AL181" s="117" t="s">
        <v>4314</v>
      </c>
      <c r="AM181" s="117" t="s">
        <v>4315</v>
      </c>
      <c r="AN181" s="114"/>
      <c r="AO181" s="122">
        <f>IFERROR(__xludf.DUMMYFUNCTION("""COMPUTED_VALUE"""),128.0)</f>
        <v>128</v>
      </c>
      <c r="AP181" s="114" t="str">
        <f>IFERROR(__xludf.DUMMYFUNCTION("""COMPUTED_VALUE"""),"Ulti")</f>
        <v>Ulti</v>
      </c>
      <c r="AQ181" s="114" t="str">
        <f>IFERROR(__xludf.DUMMYFUNCTION("""COMPUTED_VALUE"""),"Ulti")</f>
        <v>Ulti</v>
      </c>
      <c r="AR181" s="114"/>
      <c r="AS181" s="114"/>
      <c r="AT181" s="123" t="str">
        <f>IFERROR(__xludf.DUMMYFUNCTION("""COMPUTED_VALUE"""),"https://i.postimg.cc/nzWyygdq/128.png")</f>
        <v>https://i.postimg.cc/nzWyygdq/128.png</v>
      </c>
      <c r="AU181" s="114"/>
      <c r="AV181" s="114"/>
      <c r="AW181" s="114"/>
      <c r="AX181" s="114" t="str">
        <f t="shared" si="3"/>
        <v>128 - Medal [Event] - Crafted - Ulti</v>
      </c>
      <c r="AY181" s="114" t="s">
        <v>4316</v>
      </c>
      <c r="AZ181" s="114"/>
      <c r="BA181" s="114"/>
      <c r="BB181" s="114"/>
      <c r="BC181" s="114"/>
      <c r="BD181" s="114"/>
      <c r="BE181" s="114"/>
    </row>
    <row r="182" ht="37.5" customHeight="1">
      <c r="A182" s="118" t="s">
        <v>4317</v>
      </c>
      <c r="B182" s="117" t="s">
        <v>4095</v>
      </c>
      <c r="C182" s="119">
        <f>IFERROR(__xludf.DUMMYFUNCTION("""COMPUTED_VALUE"""),161.0)</f>
        <v>161</v>
      </c>
      <c r="D182" s="114" t="str">
        <f>IFERROR(__xludf.DUMMYFUNCTION("""COMPUTED_VALUE"""),"God Usopp")</f>
        <v>God Usopp</v>
      </c>
      <c r="E182" s="114" t="str">
        <f>IFERROR(__xludf.DUMMYFUNCTION("""COMPUTED_VALUE"""),"")</f>
        <v/>
      </c>
      <c r="F182" s="114"/>
      <c r="G182" s="114"/>
      <c r="H182" s="114"/>
      <c r="I182" s="114"/>
      <c r="J182" s="114"/>
      <c r="K182" s="114" t="s">
        <v>4318</v>
      </c>
      <c r="L182" s="114" t="s">
        <v>4319</v>
      </c>
      <c r="M182" s="114" t="s">
        <v>4320</v>
      </c>
      <c r="N182" s="114" t="s">
        <v>4321</v>
      </c>
      <c r="O182" s="114"/>
      <c r="P182" s="120">
        <v>161.0</v>
      </c>
      <c r="Q182" s="117" t="s">
        <v>4322</v>
      </c>
      <c r="R182" s="114"/>
      <c r="S182" s="117" t="s">
        <v>4076</v>
      </c>
      <c r="T182" s="114">
        <f t="shared" si="1"/>
        <v>181</v>
      </c>
      <c r="U182" s="114" t="s">
        <v>1012</v>
      </c>
      <c r="V182" s="114" t="str">
        <f>IFERROR(__xludf.DUMMYFUNCTION("REGEXREPLACE(U182, ""\n"", "" "")"),"Baby 5")</f>
        <v>Baby 5</v>
      </c>
      <c r="W182" s="114"/>
      <c r="X182" s="115" t="str">
        <f t="shared" si="2"/>
        <v>181 Don Quixote Pirates / Servant Assassin - Baby 5 - Medal [Baby 5]</v>
      </c>
      <c r="Y182" s="119"/>
      <c r="Z182" s="117" t="s">
        <v>4323</v>
      </c>
      <c r="AA182" s="117" t="s">
        <v>2565</v>
      </c>
      <c r="AB182" s="114"/>
      <c r="AC182" s="123" t="str">
        <f>IFERROR(__xludf.DUMMYFUNCTION("""COMPUTED_VALUE"""),"https://ik.imagekit.io/alaaalaa6171/162%20Iron%20Pirate%20-%20General%20Franky%20-%20Medal%20_General%20Franky_.png?updatedAt=1770076431716")</f>
        <v>https://ik.imagekit.io/alaaalaa6171/162%20Iron%20Pirate%20-%20General%20Franky%20-%20Medal%20_General%20Franky_.png?updatedAt=1770076431716</v>
      </c>
      <c r="AD182" s="123" t="str">
        <f>IFERROR(__xludf.DUMMYFUNCTION("""COMPUTED_VALUE"""),"https://ik.imagekit.io/alaaalaa6171/162%20Iron%20Pirate%20-%20General%20Franky%20-%20Medal%20_General%20Franky_%20_Colored_.png?updatedAt=1770076431640")</f>
        <v>https://ik.imagekit.io/alaaalaa6171/162%20Iron%20Pirate%20-%20General%20Franky%20-%20Medal%20_General%20Franky_%20_Colored_.png?updatedAt=1770076431640</v>
      </c>
      <c r="AE182" s="123" t="str">
        <f>IFERROR(__xludf.DUMMYFUNCTION("""COMPUTED_VALUE"""),"https://ik.imagekit.io/alaaalaa6171/162%20Iron%20Pirate%20-%20General%20Franky%20-%20Medal%20_General%20Franky_%20-%20Piece.png?updatedAt=1770076431622")</f>
        <v>https://ik.imagekit.io/alaaalaa6171/162%20Iron%20Pirate%20-%20General%20Franky%20-%20Medal%20_General%20Franky_%20-%20Piece.png?updatedAt=1770076431622</v>
      </c>
      <c r="AF182" s="123" t="str">
        <f>IFERROR(__xludf.DUMMYFUNCTION("""COMPUTED_VALUE"""),"https://ik.imagekit.io/alaaalaa6171/162%20Iron%20Pirate%20-%20General%20Franky%20-%20Medal%20_General%20Franky_%20-%20Piece%20_Colored_.png?updatedAt=1770076431593")</f>
        <v>https://ik.imagekit.io/alaaalaa6171/162%20Iron%20Pirate%20-%20General%20Franky%20-%20Medal%20_General%20Franky_%20-%20Piece%20_Colored_.png?updatedAt=1770076431593</v>
      </c>
      <c r="AG182" s="114"/>
      <c r="AH182" s="114"/>
      <c r="AI182" s="121" t="s">
        <v>4324</v>
      </c>
      <c r="AJ182" s="121" t="str">
        <f>IFERROR(__xludf.DUMMYFUNCTION("regexreplace(regexreplace(AI182, ""  \["", "" ""), ""\]$"", """")"),"181 - Don Quixote Pirates_Servant Assassin ~ Baby 5 - Medal - Crafted [Colored] - Baby 5")</f>
        <v>181 - Don Quixote Pirates_Servant Assassin ~ Baby 5 - Medal - Crafted [Colored] - Baby 5</v>
      </c>
      <c r="AK182" s="114"/>
      <c r="AL182" s="117" t="s">
        <v>4325</v>
      </c>
      <c r="AM182" s="117" t="s">
        <v>4326</v>
      </c>
      <c r="AN182" s="114"/>
      <c r="AO182" s="122">
        <f>IFERROR(__xludf.DUMMYFUNCTION("""COMPUTED_VALUE"""),127.0)</f>
        <v>127</v>
      </c>
      <c r="AP182" s="114" t="str">
        <f>IFERROR(__xludf.DUMMYFUNCTION("""COMPUTED_VALUE"""),"Otama")</f>
        <v>Otama</v>
      </c>
      <c r="AQ182" s="114" t="str">
        <f>IFERROR(__xludf.DUMMYFUNCTION("""COMPUTED_VALUE"""),"Otama")</f>
        <v>Otama</v>
      </c>
      <c r="AR182" s="114"/>
      <c r="AS182" s="114"/>
      <c r="AT182" s="123" t="str">
        <f>IFERROR(__xludf.DUMMYFUNCTION("""COMPUTED_VALUE"""),"https://i.postimg.cc/QVGRt5Zt/127.png")</f>
        <v>https://i.postimg.cc/QVGRt5Zt/127.png</v>
      </c>
      <c r="AU182" s="114"/>
      <c r="AV182" s="114"/>
      <c r="AW182" s="114"/>
      <c r="AX182" s="114" t="str">
        <f t="shared" si="3"/>
        <v>127 - Medal [Event] - Crafted - Otama</v>
      </c>
      <c r="AY182" s="114" t="s">
        <v>4327</v>
      </c>
      <c r="AZ182" s="114"/>
      <c r="BA182" s="114"/>
      <c r="BB182" s="114"/>
      <c r="BC182" s="114"/>
      <c r="BD182" s="114"/>
      <c r="BE182" s="114"/>
    </row>
    <row r="183" ht="37.5" customHeight="1">
      <c r="A183" s="118" t="s">
        <v>4328</v>
      </c>
      <c r="B183" s="117" t="s">
        <v>4068</v>
      </c>
      <c r="C183" s="119">
        <f>IFERROR(__xludf.DUMMYFUNCTION("""COMPUTED_VALUE"""),160.0)</f>
        <v>160</v>
      </c>
      <c r="D183" s="114" t="str">
        <f>IFERROR(__xludf.DUMMYFUNCTION("""COMPUTED_VALUE"""),"Assistant Fish_Man
Karate Master")</f>
        <v>Assistant Fish_Man
Karate Master</v>
      </c>
      <c r="E183" s="114" t="str">
        <f>IFERROR(__xludf.DUMMYFUNCTION("""COMPUTED_VALUE"""),"")</f>
        <v/>
      </c>
      <c r="F183" s="114"/>
      <c r="G183" s="114"/>
      <c r="H183" s="114"/>
      <c r="I183" s="114"/>
      <c r="J183" s="114"/>
      <c r="K183" s="114" t="s">
        <v>4329</v>
      </c>
      <c r="L183" s="114" t="s">
        <v>4330</v>
      </c>
      <c r="M183" s="114" t="s">
        <v>4331</v>
      </c>
      <c r="N183" s="114" t="s">
        <v>4332</v>
      </c>
      <c r="O183" s="114"/>
      <c r="P183" s="120">
        <v>160.0</v>
      </c>
      <c r="Q183" s="117" t="s">
        <v>4333</v>
      </c>
      <c r="R183" s="114"/>
      <c r="S183" s="117" t="s">
        <v>4062</v>
      </c>
      <c r="T183" s="114">
        <f t="shared" si="1"/>
        <v>182</v>
      </c>
      <c r="U183" s="114" t="s">
        <v>1007</v>
      </c>
      <c r="V183" s="114" t="str">
        <f>IFERROR(__xludf.DUMMYFUNCTION("REGEXREPLACE(U183, ""\n"", "" "")"),"Hard_Boiled")</f>
        <v>Hard_Boiled</v>
      </c>
      <c r="W183" s="114"/>
      <c r="X183" s="115" t="str">
        <f t="shared" si="2"/>
        <v>182 Don Quixote Pirates / Officer - Señor Pink - Medal [Hard_Boiled]</v>
      </c>
      <c r="Y183" s="119"/>
      <c r="Z183" s="117" t="s">
        <v>4334</v>
      </c>
      <c r="AA183" s="117" t="s">
        <v>2577</v>
      </c>
      <c r="AB183" s="114"/>
      <c r="AC183" s="123" t="str">
        <f>IFERROR(__xludf.DUMMYFUNCTION("""COMPUTED_VALUE"""),"https://ik.imagekit.io/alaaalaa6171/161%20Savior%20-%20God%20Usopp%20-%20Medal%20_God%20Usopp_.png?updatedAt=1770076431632")</f>
        <v>https://ik.imagekit.io/alaaalaa6171/161%20Savior%20-%20God%20Usopp%20-%20Medal%20_God%20Usopp_.png?updatedAt=1770076431632</v>
      </c>
      <c r="AD183" s="123" t="str">
        <f>IFERROR(__xludf.DUMMYFUNCTION("""COMPUTED_VALUE"""),"https://ik.imagekit.io/alaaalaa6171/161%20Savior%20-%20God%20Usopp%20-%20Medal%20_God%20Usopp_%20_Colored_.png?updatedAt=1770076431627")</f>
        <v>https://ik.imagekit.io/alaaalaa6171/161%20Savior%20-%20God%20Usopp%20-%20Medal%20_God%20Usopp_%20_Colored_.png?updatedAt=1770076431627</v>
      </c>
      <c r="AE183" s="123" t="str">
        <f>IFERROR(__xludf.DUMMYFUNCTION("""COMPUTED_VALUE"""),"https://ik.imagekit.io/alaaalaa6171/161%20Savior%20-%20God%20Usopp%20-%20Medal%20_God%20Usopp_%20-%20Piece.png?updatedAt=1770076431623")</f>
        <v>https://ik.imagekit.io/alaaalaa6171/161%20Savior%20-%20God%20Usopp%20-%20Medal%20_God%20Usopp_%20-%20Piece.png?updatedAt=1770076431623</v>
      </c>
      <c r="AF183" s="123" t="str">
        <f>IFERROR(__xludf.DUMMYFUNCTION("""COMPUTED_VALUE"""),"https://ik.imagekit.io/alaaalaa6171/161%20Savior%20-%20God%20Usopp%20-%20Medal%20_God%20Usopp_%20-%20Piece%20_Colored_.png?updatedAt=1770076431634")</f>
        <v>https://ik.imagekit.io/alaaalaa6171/161%20Savior%20-%20God%20Usopp%20-%20Medal%20_God%20Usopp_%20-%20Piece%20_Colored_.png?updatedAt=1770076431634</v>
      </c>
      <c r="AG183" s="114"/>
      <c r="AH183" s="114"/>
      <c r="AI183" s="121" t="s">
        <v>4335</v>
      </c>
      <c r="AJ183" s="121" t="str">
        <f>IFERROR(__xludf.DUMMYFUNCTION("regexreplace(regexreplace(AI183, ""  \["", "" ""), ""\]$"", """")"),"182 - Don Quixote Pirates_Officer ~ Señor Pink - Medal - Crafted [Colored] - Hard_Boiled")</f>
        <v>182 - Don Quixote Pirates_Officer ~ Señor Pink - Medal - Crafted [Colored] - Hard_Boiled</v>
      </c>
      <c r="AK183" s="114"/>
      <c r="AL183" s="117" t="s">
        <v>4336</v>
      </c>
      <c r="AM183" s="117" t="s">
        <v>4337</v>
      </c>
      <c r="AN183" s="114"/>
      <c r="AO183" s="122">
        <f>IFERROR(__xludf.DUMMYFUNCTION("""COMPUTED_VALUE"""),126.0)</f>
        <v>126</v>
      </c>
      <c r="AP183" s="114" t="str">
        <f>IFERROR(__xludf.DUMMYFUNCTION("""COMPUTED_VALUE"""),"Ace
(Land of Wano)")</f>
        <v>Ace
(Land of Wano)</v>
      </c>
      <c r="AQ183" s="114" t="str">
        <f>IFERROR(__xludf.DUMMYFUNCTION("""COMPUTED_VALUE"""),"Ace (Land of Wano)")</f>
        <v>Ace (Land of Wano)</v>
      </c>
      <c r="AR183" s="114"/>
      <c r="AS183" s="114"/>
      <c r="AT183" s="123" t="str">
        <f>IFERROR(__xludf.DUMMYFUNCTION("""COMPUTED_VALUE"""),"https://i.postimg.cc/pVhrmHtb/126.png")</f>
        <v>https://i.postimg.cc/pVhrmHtb/126.png</v>
      </c>
      <c r="AU183" s="114"/>
      <c r="AV183" s="114"/>
      <c r="AW183" s="114"/>
      <c r="AX183" s="114" t="str">
        <f t="shared" si="3"/>
        <v>126 - Medal [Event] - Crafted - Ace (Land of Wano)</v>
      </c>
      <c r="AY183" s="114" t="s">
        <v>4338</v>
      </c>
      <c r="AZ183" s="114"/>
      <c r="BA183" s="114"/>
      <c r="BB183" s="114"/>
      <c r="BC183" s="114"/>
      <c r="BD183" s="114"/>
      <c r="BE183" s="114"/>
    </row>
    <row r="184" ht="37.5" customHeight="1">
      <c r="A184" s="118" t="s">
        <v>4339</v>
      </c>
      <c r="B184" s="117" t="s">
        <v>4055</v>
      </c>
      <c r="C184" s="119">
        <f>IFERROR(__xludf.DUMMYFUNCTION("""COMPUTED_VALUE"""),159.0)</f>
        <v>159</v>
      </c>
      <c r="D184" s="114" t="str">
        <f>IFERROR(__xludf.DUMMYFUNCTION("""COMPUTED_VALUE"""),"Carrot")</f>
        <v>Carrot</v>
      </c>
      <c r="E184" s="114" t="str">
        <f>IFERROR(__xludf.DUMMYFUNCTION("""COMPUTED_VALUE"""),"")</f>
        <v/>
      </c>
      <c r="F184" s="114"/>
      <c r="G184" s="114"/>
      <c r="H184" s="114"/>
      <c r="I184" s="114"/>
      <c r="J184" s="114"/>
      <c r="K184" s="114" t="s">
        <v>4340</v>
      </c>
      <c r="L184" s="114" t="s">
        <v>4341</v>
      </c>
      <c r="M184" s="114" t="s">
        <v>4342</v>
      </c>
      <c r="N184" s="114" t="s">
        <v>4343</v>
      </c>
      <c r="O184" s="114"/>
      <c r="P184" s="120">
        <v>159.0</v>
      </c>
      <c r="Q184" s="117" t="s">
        <v>4344</v>
      </c>
      <c r="R184" s="114"/>
      <c r="S184" s="117" t="s">
        <v>4036</v>
      </c>
      <c r="T184" s="114">
        <f t="shared" si="1"/>
        <v>184</v>
      </c>
      <c r="U184" s="114" t="s">
        <v>996</v>
      </c>
      <c r="V184" s="114" t="str">
        <f>IFERROR(__xludf.DUMMYFUNCTION("REGEXREPLACE(U184, ""\n"", "" "")"),"Sugar")</f>
        <v>Sugar</v>
      </c>
      <c r="W184" s="114"/>
      <c r="X184" s="115" t="str">
        <f t="shared" si="2"/>
        <v>184 Don Quixote Pirates / Special Officer - Sugar - Medal [Sugar]</v>
      </c>
      <c r="Y184" s="119"/>
      <c r="Z184" s="117" t="s">
        <v>4345</v>
      </c>
      <c r="AA184" s="117" t="s">
        <v>2579</v>
      </c>
      <c r="AB184" s="114"/>
      <c r="AC184" s="123" t="str">
        <f>IFERROR(__xludf.DUMMYFUNCTION("""COMPUTED_VALUE"""),"https://ik.imagekit.io/alaaalaa6171/160%20Revolutionary%20Army_Officer%20-%20Koala%201%20-%20Medal%20_Assistant%20Fish_Man%20Karate%20Master_.png?updatedAt=1770076431543")</f>
        <v>https://ik.imagekit.io/alaaalaa6171/160%20Revolutionary%20Army_Officer%20-%20Koala%201%20-%20Medal%20_Assistant%20Fish_Man%20Karate%20Master_.png?updatedAt=1770076431543</v>
      </c>
      <c r="AD184" s="123" t="str">
        <f>IFERROR(__xludf.DUMMYFUNCTION("""COMPUTED_VALUE"""),"https://ik.imagekit.io/alaaalaa6171/160%20Revolutionary%20Army_Officer%20-%20Koala%201%20-%20Medal%20_Assistant%20Fish_Man%20Karate%20Master_%20_Colored_.png?updatedAt=1770076431588")</f>
        <v>https://ik.imagekit.io/alaaalaa6171/160%20Revolutionary%20Army_Officer%20-%20Koala%201%20-%20Medal%20_Assistant%20Fish_Man%20Karate%20Master_%20_Colored_.png?updatedAt=1770076431588</v>
      </c>
      <c r="AE184" s="123" t="str">
        <f>IFERROR(__xludf.DUMMYFUNCTION("""COMPUTED_VALUE"""),"https://ik.imagekit.io/alaaalaa6171/160%20Revolutionary%20Army_Officer%20-%20Koala%201%20-%20Medal%20_Assistant%20Fish_Man%20Karate%20Master_%20-%20Piece.png?updatedAt=1770076431492")</f>
        <v>https://ik.imagekit.io/alaaalaa6171/160%20Revolutionary%20Army_Officer%20-%20Koala%201%20-%20Medal%20_Assistant%20Fish_Man%20Karate%20Master_%20-%20Piece.png?updatedAt=1770076431492</v>
      </c>
      <c r="AF184" s="123" t="str">
        <f>IFERROR(__xludf.DUMMYFUNCTION("""COMPUTED_VALUE"""),"https://ik.imagekit.io/alaaalaa6171/160%20Revolutionary%20Army_Officer%20-%20Koala%201%20-%20Medal%20_Assistant%20Fish_Man%20Karate%20Master_%20-%20Piece%20_Colored_.png?updatedAt=1770076431485")</f>
        <v>https://ik.imagekit.io/alaaalaa6171/160%20Revolutionary%20Army_Officer%20-%20Koala%201%20-%20Medal%20_Assistant%20Fish_Man%20Karate%20Master_%20-%20Piece%20_Colored_.png?updatedAt=1770076431485</v>
      </c>
      <c r="AG184" s="114"/>
      <c r="AH184" s="114"/>
      <c r="AI184" s="121" t="s">
        <v>4346</v>
      </c>
      <c r="AJ184" s="121" t="str">
        <f>IFERROR(__xludf.DUMMYFUNCTION("regexreplace(regexreplace(AI184, ""  \["", "" ""), ""\]$"", """")"),"183 - Don Quixote Pirates_Captain ~ Don Quixote Doflamingo - Medal - Crafted [Colored] - Young Master")</f>
        <v>183 - Don Quixote Pirates_Captain ~ Don Quixote Doflamingo - Medal - Crafted [Colored] - Young Master</v>
      </c>
      <c r="AK184" s="114"/>
      <c r="AL184" s="117" t="s">
        <v>4347</v>
      </c>
      <c r="AM184" s="117" t="s">
        <v>4348</v>
      </c>
      <c r="AN184" s="114"/>
      <c r="AO184" s="122">
        <f>IFERROR(__xludf.DUMMYFUNCTION("""COMPUTED_VALUE"""),125.0)</f>
        <v>125</v>
      </c>
      <c r="AP184" s="114" t="str">
        <f>IFERROR(__xludf.DUMMYFUNCTION("""COMPUTED_VALUE"""),"Kikunojo
(Child)")</f>
        <v>Kikunojo
(Child)</v>
      </c>
      <c r="AQ184" s="114" t="str">
        <f>IFERROR(__xludf.DUMMYFUNCTION("""COMPUTED_VALUE"""),"Kikunojo (Child)")</f>
        <v>Kikunojo (Child)</v>
      </c>
      <c r="AR184" s="114"/>
      <c r="AS184" s="114"/>
      <c r="AT184" s="123" t="str">
        <f>IFERROR(__xludf.DUMMYFUNCTION("""COMPUTED_VALUE"""),"https://i.postimg.cc/9X6MTnW4/125.png")</f>
        <v>https://i.postimg.cc/9X6MTnW4/125.png</v>
      </c>
      <c r="AU184" s="114"/>
      <c r="AV184" s="114"/>
      <c r="AW184" s="114"/>
      <c r="AX184" s="114" t="str">
        <f t="shared" si="3"/>
        <v>125 - Medal [Event] - Crafted - Kikunojo (Child)</v>
      </c>
      <c r="AY184" s="114" t="s">
        <v>4349</v>
      </c>
      <c r="AZ184" s="114"/>
      <c r="BA184" s="114"/>
      <c r="BB184" s="114"/>
      <c r="BC184" s="114"/>
      <c r="BD184" s="114"/>
      <c r="BE184" s="114"/>
    </row>
    <row r="185" ht="37.5" customHeight="1">
      <c r="A185" s="118" t="s">
        <v>4350</v>
      </c>
      <c r="B185" s="117" t="s">
        <v>4029</v>
      </c>
      <c r="C185" s="119">
        <f>IFERROR(__xludf.DUMMYFUNCTION("""COMPUTED_VALUE"""),158.0)</f>
        <v>158</v>
      </c>
      <c r="D185" s="114" t="str">
        <f>IFERROR(__xludf.DUMMYFUNCTION("""COMPUTED_VALUE"""),"Tremor_Tremor")</f>
        <v>Tremor_Tremor</v>
      </c>
      <c r="E185" s="114" t="str">
        <f>IFERROR(__xludf.DUMMYFUNCTION("""COMPUTED_VALUE"""),"")</f>
        <v/>
      </c>
      <c r="F185" s="114"/>
      <c r="G185" s="114"/>
      <c r="H185" s="114"/>
      <c r="I185" s="114"/>
      <c r="J185" s="114"/>
      <c r="K185" s="114" t="s">
        <v>4351</v>
      </c>
      <c r="L185" s="114" t="s">
        <v>4352</v>
      </c>
      <c r="M185" s="114" t="s">
        <v>4353</v>
      </c>
      <c r="N185" s="114" t="s">
        <v>4354</v>
      </c>
      <c r="O185" s="114"/>
      <c r="P185" s="120">
        <v>158.0</v>
      </c>
      <c r="Q185" s="117" t="s">
        <v>4355</v>
      </c>
      <c r="R185" s="114"/>
      <c r="S185" s="117" t="s">
        <v>4049</v>
      </c>
      <c r="T185" s="114">
        <f t="shared" si="1"/>
        <v>183</v>
      </c>
      <c r="U185" s="114" t="s">
        <v>1001</v>
      </c>
      <c r="V185" s="114" t="str">
        <f>IFERROR(__xludf.DUMMYFUNCTION("REGEXREPLACE(U185, ""\n"", "" "")"),"Young Master")</f>
        <v>Young Master</v>
      </c>
      <c r="W185" s="114"/>
      <c r="X185" s="115" t="str">
        <f t="shared" si="2"/>
        <v>183 Don Quixote Pirates / Captain - Don Quixote Doflamingo - Medal [Young Master]</v>
      </c>
      <c r="Y185" s="119"/>
      <c r="Z185" s="117" t="s">
        <v>4356</v>
      </c>
      <c r="AA185" s="117" t="s">
        <v>2580</v>
      </c>
      <c r="AB185" s="114"/>
      <c r="AC185" s="123" t="str">
        <f>IFERROR(__xludf.DUMMYFUNCTION("""COMPUTED_VALUE"""),"https://ik.imagekit.io/alaaalaa6171/159%20Minks%20-%20Carrot%20-%20Medal%20_Carrot_.png?updatedAt=1770076431496")</f>
        <v>https://ik.imagekit.io/alaaalaa6171/159%20Minks%20-%20Carrot%20-%20Medal%20_Carrot_.png?updatedAt=1770076431496</v>
      </c>
      <c r="AD185" s="123" t="str">
        <f>IFERROR(__xludf.DUMMYFUNCTION("""COMPUTED_VALUE"""),"https://ik.imagekit.io/alaaalaa6171/159%20Minks%20-%20Carrot%20-%20Medal%20_Carrot_%20_Colored_.png?updatedAt=1770076431527")</f>
        <v>https://ik.imagekit.io/alaaalaa6171/159%20Minks%20-%20Carrot%20-%20Medal%20_Carrot_%20_Colored_.png?updatedAt=1770076431527</v>
      </c>
      <c r="AE185" s="123" t="str">
        <f>IFERROR(__xludf.DUMMYFUNCTION("""COMPUTED_VALUE"""),"https://ik.imagekit.io/alaaalaa6171/159%20Minks%20-%20Carrot%20-%20Medal%20_Carrot_%20-%20Piece.png?updatedAt=1770076431548")</f>
        <v>https://ik.imagekit.io/alaaalaa6171/159%20Minks%20-%20Carrot%20-%20Medal%20_Carrot_%20-%20Piece.png?updatedAt=1770076431548</v>
      </c>
      <c r="AF185" s="123" t="str">
        <f>IFERROR(__xludf.DUMMYFUNCTION("""COMPUTED_VALUE"""),"https://ik.imagekit.io/alaaalaa6171/159%20Minks%20-%20Carrot%20-%20Medal%20_Carrot_%20-%20Piece%20_Colored_.png?updatedAt=1770076431521")</f>
        <v>https://ik.imagekit.io/alaaalaa6171/159%20Minks%20-%20Carrot%20-%20Medal%20_Carrot_%20-%20Piece%20_Colored_.png?updatedAt=1770076431521</v>
      </c>
      <c r="AG185" s="114"/>
      <c r="AH185" s="114"/>
      <c r="AI185" s="121" t="s">
        <v>4357</v>
      </c>
      <c r="AJ185" s="121" t="str">
        <f>IFERROR(__xludf.DUMMYFUNCTION("regexreplace(regexreplace(AI185, ""  \["", "" ""), ""\]$"", """")"),"184 - Don Quixote Pirates_Special Officer ~ Sugar - Medal - Crafted [Colored] - Sugar")</f>
        <v>184 - Don Quixote Pirates_Special Officer ~ Sugar - Medal - Crafted [Colored] - Sugar</v>
      </c>
      <c r="AK185" s="114"/>
      <c r="AL185" s="117" t="s">
        <v>4358</v>
      </c>
      <c r="AM185" s="117" t="s">
        <v>4359</v>
      </c>
      <c r="AN185" s="114"/>
      <c r="AO185" s="122">
        <f>IFERROR(__xludf.DUMMYFUNCTION("""COMPUTED_VALUE"""),124.0)</f>
        <v>124</v>
      </c>
      <c r="AP185" s="114" t="str">
        <f>IFERROR(__xludf.DUMMYFUNCTION("""COMPUTED_VALUE"""),"Izo
(Child)")</f>
        <v>Izo
(Child)</v>
      </c>
      <c r="AQ185" s="114" t="str">
        <f>IFERROR(__xludf.DUMMYFUNCTION("""COMPUTED_VALUE"""),"Izo (Child)")</f>
        <v>Izo (Child)</v>
      </c>
      <c r="AR185" s="114"/>
      <c r="AS185" s="114"/>
      <c r="AT185" s="123" t="str">
        <f>IFERROR(__xludf.DUMMYFUNCTION("""COMPUTED_VALUE"""),"https://i.postimg.cc/4Np31QdW/124.png")</f>
        <v>https://i.postimg.cc/4Np31QdW/124.png</v>
      </c>
      <c r="AU185" s="114"/>
      <c r="AV185" s="114"/>
      <c r="AW185" s="114"/>
      <c r="AX185" s="114" t="str">
        <f t="shared" si="3"/>
        <v>124 - Medal [Event] - Crafted - Izo (Child)</v>
      </c>
      <c r="AY185" s="114" t="s">
        <v>4360</v>
      </c>
      <c r="AZ185" s="114"/>
      <c r="BA185" s="114"/>
      <c r="BB185" s="114"/>
      <c r="BC185" s="114"/>
      <c r="BD185" s="114"/>
      <c r="BE185" s="114"/>
    </row>
    <row r="186" ht="37.5" customHeight="1">
      <c r="A186" s="118" t="s">
        <v>4361</v>
      </c>
      <c r="B186" s="117" t="s">
        <v>4042</v>
      </c>
      <c r="C186" s="119">
        <f>IFERROR(__xludf.DUMMYFUNCTION("""COMPUTED_VALUE"""),157.0)</f>
        <v>157</v>
      </c>
      <c r="D186" s="114" t="str">
        <f>IFERROR(__xludf.DUMMYFUNCTION("""COMPUTED_VALUE"""),"Hero")</f>
        <v>Hero</v>
      </c>
      <c r="E186" s="114" t="str">
        <f>IFERROR(__xludf.DUMMYFUNCTION("""COMPUTED_VALUE"""),"")</f>
        <v/>
      </c>
      <c r="F186" s="114"/>
      <c r="G186" s="114"/>
      <c r="H186" s="114"/>
      <c r="I186" s="114"/>
      <c r="J186" s="114"/>
      <c r="K186" s="114" t="s">
        <v>4362</v>
      </c>
      <c r="L186" s="114" t="s">
        <v>4363</v>
      </c>
      <c r="M186" s="114" t="s">
        <v>4364</v>
      </c>
      <c r="N186" s="114" t="s">
        <v>4365</v>
      </c>
      <c r="O186" s="114"/>
      <c r="P186" s="120">
        <v>157.0</v>
      </c>
      <c r="Q186" s="117" t="s">
        <v>4366</v>
      </c>
      <c r="R186" s="114"/>
      <c r="S186" s="117" t="s">
        <v>4023</v>
      </c>
      <c r="T186" s="114">
        <f t="shared" si="1"/>
        <v>185</v>
      </c>
      <c r="U186" s="114" t="s">
        <v>989</v>
      </c>
      <c r="V186" s="114" t="str">
        <f>IFERROR(__xludf.DUMMYFUNCTION("REGEXREPLACE(U186, ""\n"", "" "")"),"Bamboo Demon")</f>
        <v>Bamboo Demon</v>
      </c>
      <c r="W186" s="114"/>
      <c r="X186" s="115" t="str">
        <f t="shared" si="2"/>
        <v>185 Don Quixote Pirates / Supreme Officer - Vergo - Medal [Bamboo Demon]</v>
      </c>
      <c r="Y186" s="119"/>
      <c r="Z186" s="117" t="s">
        <v>4367</v>
      </c>
      <c r="AA186" s="117" t="s">
        <v>2578</v>
      </c>
      <c r="AB186" s="114"/>
      <c r="AC186" s="123" t="str">
        <f>IFERROR(__xludf.DUMMYFUNCTION("""COMPUTED_VALUE"""),"https://ik.imagekit.io/alaaalaa6171/158%20Roger%60s%20Rival%20-%20Edward%20Newgate%20-%20Medal%20_Tremor_Tremor_.png?updatedAt=1770076431398")</f>
        <v>https://ik.imagekit.io/alaaalaa6171/158%20Roger%60s%20Rival%20-%20Edward%20Newgate%20-%20Medal%20_Tremor_Tremor_.png?updatedAt=1770076431398</v>
      </c>
      <c r="AD186" s="123" t="str">
        <f>IFERROR(__xludf.DUMMYFUNCTION("""COMPUTED_VALUE"""),"https://ik.imagekit.io/alaaalaa6171/158%20Roger%60s%20Rival%20-%20Edward%20Newgate%20-%20Medal%20_Tremor_Tremor_%20_Colored_.png?updatedAt=1770076431397")</f>
        <v>https://ik.imagekit.io/alaaalaa6171/158%20Roger%60s%20Rival%20-%20Edward%20Newgate%20-%20Medal%20_Tremor_Tremor_%20_Colored_.png?updatedAt=1770076431397</v>
      </c>
      <c r="AE186" s="123" t="str">
        <f>IFERROR(__xludf.DUMMYFUNCTION("""COMPUTED_VALUE"""),"https://ik.imagekit.io/alaaalaa6171/158%20Roger%60s%20Rival%20-%20Edward%20Newgate%20-%20Medal%20_Tremor_Tremor_%20-%20Piece.png?updatedAt=1770076431395")</f>
        <v>https://ik.imagekit.io/alaaalaa6171/158%20Roger%60s%20Rival%20-%20Edward%20Newgate%20-%20Medal%20_Tremor_Tremor_%20-%20Piece.png?updatedAt=1770076431395</v>
      </c>
      <c r="AF186" s="123" t="str">
        <f>IFERROR(__xludf.DUMMYFUNCTION("""COMPUTED_VALUE"""),"https://ik.imagekit.io/alaaalaa6171/158%20Roger%60s%20Rival%20-%20Edward%20Newgate%20-%20Medal%20_Tremor_Tremor_%20-%20Piece%20_Colored_.png?updatedAt=1770076431398")</f>
        <v>https://ik.imagekit.io/alaaalaa6171/158%20Roger%60s%20Rival%20-%20Edward%20Newgate%20-%20Medal%20_Tremor_Tremor_%20-%20Piece%20_Colored_.png?updatedAt=1770076431398</v>
      </c>
      <c r="AG186" s="114"/>
      <c r="AH186" s="114"/>
      <c r="AI186" s="121" t="s">
        <v>4368</v>
      </c>
      <c r="AJ186" s="121" t="str">
        <f>IFERROR(__xludf.DUMMYFUNCTION("regexreplace(regexreplace(AI186, ""  \["", "" ""), ""\]$"", """")"),"185 - Don Quixote Pirates_Supreme Officer ~ Vergo - Medal - Crafted [Colored] - Bamboo Demon")</f>
        <v>185 - Don Quixote Pirates_Supreme Officer ~ Vergo - Medal - Crafted [Colored] - Bamboo Demon</v>
      </c>
      <c r="AK186" s="114"/>
      <c r="AL186" s="117" t="s">
        <v>4369</v>
      </c>
      <c r="AM186" s="117" t="s">
        <v>4370</v>
      </c>
      <c r="AN186" s="114"/>
      <c r="AO186" s="122">
        <f>IFERROR(__xludf.DUMMYFUNCTION("""COMPUTED_VALUE"""),123.0)</f>
        <v>123</v>
      </c>
      <c r="AP186" s="114" t="str">
        <f>IFERROR(__xludf.DUMMYFUNCTION("""COMPUTED_VALUE"""),"Buggy
(Child)")</f>
        <v>Buggy
(Child)</v>
      </c>
      <c r="AQ186" s="114" t="str">
        <f>IFERROR(__xludf.DUMMYFUNCTION("""COMPUTED_VALUE"""),"Buggy (Child)")</f>
        <v>Buggy (Child)</v>
      </c>
      <c r="AR186" s="114"/>
      <c r="AS186" s="114"/>
      <c r="AT186" s="123" t="str">
        <f>IFERROR(__xludf.DUMMYFUNCTION("""COMPUTED_VALUE"""),"https://i.postimg.cc/htgtZQQc/123.png")</f>
        <v>https://i.postimg.cc/htgtZQQc/123.png</v>
      </c>
      <c r="AU186" s="114"/>
      <c r="AV186" s="114"/>
      <c r="AW186" s="114"/>
      <c r="AX186" s="114" t="str">
        <f t="shared" si="3"/>
        <v>123 - Medal [Event] - Crafted - Buggy (Child)</v>
      </c>
      <c r="AY186" s="114" t="s">
        <v>4371</v>
      </c>
      <c r="AZ186" s="114"/>
      <c r="BA186" s="114"/>
      <c r="BB186" s="114"/>
      <c r="BC186" s="114"/>
      <c r="BD186" s="114"/>
      <c r="BE186" s="114"/>
    </row>
    <row r="187" ht="37.5" customHeight="1">
      <c r="A187" s="118" t="s">
        <v>4372</v>
      </c>
      <c r="B187" s="117" t="s">
        <v>4016</v>
      </c>
      <c r="C187" s="119">
        <f>IFERROR(__xludf.DUMMYFUNCTION("""COMPUTED_VALUE"""),156.0)</f>
        <v>156</v>
      </c>
      <c r="D187" s="114" t="str">
        <f>IFERROR(__xludf.DUMMYFUNCTION("""COMPUTED_VALUE"""),"Ashura Doji")</f>
        <v>Ashura Doji</v>
      </c>
      <c r="E187" s="114" t="str">
        <f>IFERROR(__xludf.DUMMYFUNCTION("""COMPUTED_VALUE"""),"")</f>
        <v/>
      </c>
      <c r="F187" s="114"/>
      <c r="G187" s="114"/>
      <c r="H187" s="114"/>
      <c r="I187" s="114"/>
      <c r="J187" s="114"/>
      <c r="K187" s="114" t="s">
        <v>4373</v>
      </c>
      <c r="L187" s="114" t="s">
        <v>4374</v>
      </c>
      <c r="M187" s="114" t="s">
        <v>4375</v>
      </c>
      <c r="N187" s="114" t="s">
        <v>4376</v>
      </c>
      <c r="O187" s="114"/>
      <c r="P187" s="120">
        <v>156.0</v>
      </c>
      <c r="Q187" s="117" t="s">
        <v>4377</v>
      </c>
      <c r="R187" s="114"/>
      <c r="S187" s="117" t="s">
        <v>4010</v>
      </c>
      <c r="T187" s="114">
        <f t="shared" si="1"/>
        <v>186</v>
      </c>
      <c r="U187" s="114" t="s">
        <v>983</v>
      </c>
      <c r="V187" s="114" t="str">
        <f>IFERROR(__xludf.DUMMYFUNCTION("REGEXREPLACE(U187, ""\n"", "" "")"),"Monet")</f>
        <v>Monet</v>
      </c>
      <c r="W187" s="114"/>
      <c r="X187" s="115" t="str">
        <f t="shared" si="2"/>
        <v>186 Don Quixote Pirates / Officer - Monet - Medal [Monet]</v>
      </c>
      <c r="Y187" s="119"/>
      <c r="Z187" s="117" t="s">
        <v>4378</v>
      </c>
      <c r="AA187" s="117" t="s">
        <v>2590</v>
      </c>
      <c r="AB187" s="114"/>
      <c r="AC187" s="123" t="str">
        <f>IFERROR(__xludf.DUMMYFUNCTION("""COMPUTED_VALUE"""),"https://ik.imagekit.io/alaaalaa6171/157%20Hero%20of%20the%20Navy%20-%20Monkey%20D.%20Garb%20-%20Medal%20_Hero_.png?updatedAt=1770076431397")</f>
        <v>https://ik.imagekit.io/alaaalaa6171/157%20Hero%20of%20the%20Navy%20-%20Monkey%20D.%20Garb%20-%20Medal%20_Hero_.png?updatedAt=1770076431397</v>
      </c>
      <c r="AD187" s="123" t="str">
        <f>IFERROR(__xludf.DUMMYFUNCTION("""COMPUTED_VALUE"""),"https://ik.imagekit.io/alaaalaa6171/157%20Hero%20of%20the%20Navy%20-%20Monkey%20D.%20Garb%20-%20Medal%20_Hero_%20_Colored_.png?updatedAt=1770076431628")</f>
        <v>https://ik.imagekit.io/alaaalaa6171/157%20Hero%20of%20the%20Navy%20-%20Monkey%20D.%20Garb%20-%20Medal%20_Hero_%20_Colored_.png?updatedAt=1770076431628</v>
      </c>
      <c r="AE187" s="123" t="str">
        <f>IFERROR(__xludf.DUMMYFUNCTION("""COMPUTED_VALUE"""),"https://ik.imagekit.io/alaaalaa6171/157%20Hero%20of%20the%20Navy%20-%20Monkey%20D.%20Garb%20-%20Medal%20_Hero_%20-%20Piece.png?updatedAt=1770076431607")</f>
        <v>https://ik.imagekit.io/alaaalaa6171/157%20Hero%20of%20the%20Navy%20-%20Monkey%20D.%20Garb%20-%20Medal%20_Hero_%20-%20Piece.png?updatedAt=1770076431607</v>
      </c>
      <c r="AF187" s="123" t="str">
        <f>IFERROR(__xludf.DUMMYFUNCTION("""COMPUTED_VALUE"""),"https://ik.imagekit.io/alaaalaa6171/157%20Hero%20of%20the%20Navy%20-%20Monkey%20D.%20Garb%20-%20Medal%20_Hero_%20-%20Piece%20_Colored_.png?updatedAt=1770076431617")</f>
        <v>https://ik.imagekit.io/alaaalaa6171/157%20Hero%20of%20the%20Navy%20-%20Monkey%20D.%20Garb%20-%20Medal%20_Hero_%20-%20Piece%20_Colored_.png?updatedAt=1770076431617</v>
      </c>
      <c r="AG187" s="114"/>
      <c r="AH187" s="114"/>
      <c r="AI187" s="121" t="s">
        <v>4379</v>
      </c>
      <c r="AJ187" s="121" t="str">
        <f>IFERROR(__xludf.DUMMYFUNCTION("regexreplace(regexreplace(AI187, ""  \["", "" ""), ""\]$"", """")"),"186 - Don Quixote Pirates_Officer ~ Monet - Medal - Crafted [Colored] - Monet")</f>
        <v>186 - Don Quixote Pirates_Officer ~ Monet - Medal - Crafted [Colored] - Monet</v>
      </c>
      <c r="AK187" s="114"/>
      <c r="AL187" s="117" t="s">
        <v>4380</v>
      </c>
      <c r="AM187" s="117" t="s">
        <v>4381</v>
      </c>
      <c r="AN187" s="114"/>
      <c r="AO187" s="122">
        <f>IFERROR(__xludf.DUMMYFUNCTION("""COMPUTED_VALUE"""),122.0)</f>
        <v>122</v>
      </c>
      <c r="AP187" s="114" t="str">
        <f>IFERROR(__xludf.DUMMYFUNCTION("""COMPUTED_VALUE"""),"Shanks
(Child)")</f>
        <v>Shanks
(Child)</v>
      </c>
      <c r="AQ187" s="114" t="str">
        <f>IFERROR(__xludf.DUMMYFUNCTION("""COMPUTED_VALUE"""),"Shanks (Child)")</f>
        <v>Shanks (Child)</v>
      </c>
      <c r="AR187" s="114"/>
      <c r="AS187" s="114"/>
      <c r="AT187" s="123" t="str">
        <f>IFERROR(__xludf.DUMMYFUNCTION("""COMPUTED_VALUE"""),"https://i.postimg.cc/nhkcyVq7/122.png")</f>
        <v>https://i.postimg.cc/nhkcyVq7/122.png</v>
      </c>
      <c r="AU187" s="114"/>
      <c r="AV187" s="114"/>
      <c r="AW187" s="114"/>
      <c r="AX187" s="114" t="str">
        <f t="shared" si="3"/>
        <v>122 - Medal [Event] - Crafted - Shanks (Child)</v>
      </c>
      <c r="AY187" s="114" t="s">
        <v>4382</v>
      </c>
      <c r="AZ187" s="114"/>
      <c r="BA187" s="114"/>
      <c r="BB187" s="114"/>
      <c r="BC187" s="114"/>
      <c r="BD187" s="114"/>
      <c r="BE187" s="114"/>
    </row>
    <row r="188" ht="37.5" customHeight="1">
      <c r="A188" s="118" t="s">
        <v>4383</v>
      </c>
      <c r="B188" s="117" t="s">
        <v>4003</v>
      </c>
      <c r="C188" s="119">
        <f>IFERROR(__xludf.DUMMYFUNCTION("""COMPUTED_VALUE"""),155.0)</f>
        <v>155</v>
      </c>
      <c r="D188" s="114" t="str">
        <f>IFERROR(__xludf.DUMMYFUNCTION("""COMPUTED_VALUE"""),"Napping Kyoshiro")</f>
        <v>Napping Kyoshiro</v>
      </c>
      <c r="E188" s="114" t="str">
        <f>IFERROR(__xludf.DUMMYFUNCTION("""COMPUTED_VALUE"""),"")</f>
        <v/>
      </c>
      <c r="F188" s="114"/>
      <c r="G188" s="114"/>
      <c r="H188" s="114"/>
      <c r="I188" s="114"/>
      <c r="J188" s="114"/>
      <c r="K188" s="114" t="s">
        <v>4384</v>
      </c>
      <c r="L188" s="114" t="s">
        <v>4385</v>
      </c>
      <c r="M188" s="114" t="s">
        <v>4386</v>
      </c>
      <c r="N188" s="114" t="s">
        <v>4387</v>
      </c>
      <c r="O188" s="114"/>
      <c r="P188" s="120">
        <v>155.0</v>
      </c>
      <c r="Q188" s="117" t="s">
        <v>4388</v>
      </c>
      <c r="R188" s="114"/>
      <c r="S188" s="117" t="s">
        <v>3997</v>
      </c>
      <c r="T188" s="114">
        <f t="shared" si="1"/>
        <v>187</v>
      </c>
      <c r="U188" s="114" t="s">
        <v>977</v>
      </c>
      <c r="V188" s="114" t="str">
        <f>IFERROR(__xludf.DUMMYFUNCTION("REGEXREPLACE(U188, ""\n"", "" "")"),"Sorcery Climate Baton")</f>
        <v>Sorcery Climate Baton</v>
      </c>
      <c r="W188" s="114"/>
      <c r="X188" s="115" t="str">
        <f t="shared" si="2"/>
        <v>187 Whole Cake Island - Nami - Medal [Sorcery Climate Baton]</v>
      </c>
      <c r="Y188" s="119"/>
      <c r="Z188" s="117" t="s">
        <v>4389</v>
      </c>
      <c r="AA188" s="117" t="s">
        <v>2592</v>
      </c>
      <c r="AB188" s="114"/>
      <c r="AC188" s="123" t="str">
        <f>IFERROR(__xludf.DUMMYFUNCTION("""COMPUTED_VALUE"""),"https://ik.imagekit.io/alaaalaa6171/156%20Kozuki%20Clan_Servant%20-%20Ashura%20Doji%20-%20Medal%20_Ashura%20Doji_.png?updatedAt=1770076431590")</f>
        <v>https://ik.imagekit.io/alaaalaa6171/156%20Kozuki%20Clan_Servant%20-%20Ashura%20Doji%20-%20Medal%20_Ashura%20Doji_.png?updatedAt=1770076431590</v>
      </c>
      <c r="AD188" s="123" t="str">
        <f>IFERROR(__xludf.DUMMYFUNCTION("""COMPUTED_VALUE"""),"https://ik.imagekit.io/alaaalaa6171/156%20Kozuki%20Clan_Servant%20-%20Ashura%20Doji%20-%20Medal%20_Ashura%20Doji_%20_Colored_.png?updatedAt=1770076431628")</f>
        <v>https://ik.imagekit.io/alaaalaa6171/156%20Kozuki%20Clan_Servant%20-%20Ashura%20Doji%20-%20Medal%20_Ashura%20Doji_%20_Colored_.png?updatedAt=1770076431628</v>
      </c>
      <c r="AE188" s="123" t="str">
        <f>IFERROR(__xludf.DUMMYFUNCTION("""COMPUTED_VALUE"""),"https://ik.imagekit.io/alaaalaa6171/156%20Kozuki%20Clan_Servant%20-%20Ashura%20Doji%20-%20Medal%20_Ashura%20Doji_%20-%20Piece.png?updatedAt=1770076431596")</f>
        <v>https://ik.imagekit.io/alaaalaa6171/156%20Kozuki%20Clan_Servant%20-%20Ashura%20Doji%20-%20Medal%20_Ashura%20Doji_%20-%20Piece.png?updatedAt=1770076431596</v>
      </c>
      <c r="AF188" s="123" t="str">
        <f>IFERROR(__xludf.DUMMYFUNCTION("""COMPUTED_VALUE"""),"https://ik.imagekit.io/alaaalaa6171/156%20Kozuki%20Clan_Servant%20-%20Ashura%20Doji%20-%20Medal%20_Ashura%20Doji_%20-%20Piece%20_Colored_.png?updatedAt=1770076431606")</f>
        <v>https://ik.imagekit.io/alaaalaa6171/156%20Kozuki%20Clan_Servant%20-%20Ashura%20Doji%20-%20Medal%20_Ashura%20Doji_%20-%20Piece%20_Colored_.png?updatedAt=1770076431606</v>
      </c>
      <c r="AG188" s="114"/>
      <c r="AH188" s="114"/>
      <c r="AI188" s="121" t="s">
        <v>4390</v>
      </c>
      <c r="AJ188" s="121" t="str">
        <f>IFERROR(__xludf.DUMMYFUNCTION("regexreplace(regexreplace(AI188, ""  \["", "" ""), ""\]$"", """")"),"187 - Whole Cake Island ~ Nami - Medal - Crafted [Colored] - Sorcery Climate Baton")</f>
        <v>187 - Whole Cake Island ~ Nami - Medal - Crafted [Colored] - Sorcery Climate Baton</v>
      </c>
      <c r="AK188" s="114"/>
      <c r="AL188" s="117" t="s">
        <v>4391</v>
      </c>
      <c r="AM188" s="117" t="s">
        <v>4392</v>
      </c>
      <c r="AN188" s="114"/>
      <c r="AO188" s="122">
        <f>IFERROR(__xludf.DUMMYFUNCTION("""COMPUTED_VALUE"""),121.0)</f>
        <v>121</v>
      </c>
      <c r="AP188" s="114" t="str">
        <f>IFERROR(__xludf.DUMMYFUNCTION("""COMPUTED_VALUE"""),"Praline")</f>
        <v>Praline</v>
      </c>
      <c r="AQ188" s="114" t="str">
        <f>IFERROR(__xludf.DUMMYFUNCTION("""COMPUTED_VALUE"""),"Praline")</f>
        <v>Praline</v>
      </c>
      <c r="AR188" s="114"/>
      <c r="AS188" s="114"/>
      <c r="AT188" s="123" t="str">
        <f>IFERROR(__xludf.DUMMYFUNCTION("""COMPUTED_VALUE"""),"https://i.postimg.cc/rpwFM69H/121.png")</f>
        <v>https://i.postimg.cc/rpwFM69H/121.png</v>
      </c>
      <c r="AU188" s="114"/>
      <c r="AV188" s="114"/>
      <c r="AW188" s="114"/>
      <c r="AX188" s="114" t="str">
        <f t="shared" si="3"/>
        <v>121 - Medal [Event] - Crafted - Praline</v>
      </c>
      <c r="AY188" s="114" t="s">
        <v>4393</v>
      </c>
      <c r="AZ188" s="114"/>
      <c r="BA188" s="114"/>
      <c r="BB188" s="114"/>
      <c r="BC188" s="114"/>
      <c r="BD188" s="114"/>
      <c r="BE188" s="114"/>
    </row>
    <row r="189" ht="37.5" customHeight="1">
      <c r="A189" s="118" t="s">
        <v>4394</v>
      </c>
      <c r="B189" s="117" t="s">
        <v>3990</v>
      </c>
      <c r="C189" s="119">
        <f>IFERROR(__xludf.DUMMYFUNCTION("""COMPUTED_VALUE"""),154.0)</f>
        <v>154</v>
      </c>
      <c r="D189" s="114" t="str">
        <f>IFERROR(__xludf.DUMMYFUNCTION("""COMPUTED_VALUE"""),"Roger")</f>
        <v>Roger</v>
      </c>
      <c r="E189" s="114" t="str">
        <f>IFERROR(__xludf.DUMMYFUNCTION("""COMPUTED_VALUE"""),"")</f>
        <v/>
      </c>
      <c r="F189" s="114"/>
      <c r="G189" s="114"/>
      <c r="H189" s="114"/>
      <c r="I189" s="114"/>
      <c r="J189" s="114"/>
      <c r="K189" s="114" t="s">
        <v>4395</v>
      </c>
      <c r="L189" s="114" t="s">
        <v>4396</v>
      </c>
      <c r="M189" s="114" t="s">
        <v>4397</v>
      </c>
      <c r="N189" s="114" t="s">
        <v>4398</v>
      </c>
      <c r="O189" s="114"/>
      <c r="P189" s="120">
        <v>154.0</v>
      </c>
      <c r="Q189" s="117" t="s">
        <v>4399</v>
      </c>
      <c r="R189" s="114"/>
      <c r="S189" s="117" t="s">
        <v>3984</v>
      </c>
      <c r="T189" s="114">
        <f t="shared" si="1"/>
        <v>188</v>
      </c>
      <c r="U189" s="114" t="s">
        <v>971</v>
      </c>
      <c r="V189" s="114" t="str">
        <f>IFERROR(__xludf.DUMMYFUNCTION("REGEXREPLACE(U189, ""\n"", "" "")"),"Soul King")</f>
        <v>Soul King</v>
      </c>
      <c r="W189" s="114"/>
      <c r="X189" s="115" t="str">
        <f t="shared" si="2"/>
        <v>188 Whole Cake Island - Brook - Medal [Soul King]</v>
      </c>
      <c r="Y189" s="119"/>
      <c r="Z189" s="117" t="s">
        <v>4400</v>
      </c>
      <c r="AA189" s="117" t="s">
        <v>2593</v>
      </c>
      <c r="AB189" s="114"/>
      <c r="AC189" s="123" t="str">
        <f>IFERROR(__xludf.DUMMYFUNCTION("""COMPUTED_VALUE"""),"https://ik.imagekit.io/alaaalaa6171/155%20Kyoshiro%20Family_Boss%20-%20Napping%20Kyoshiro%20-%20Medal%20_Napping%20Kyoshiro_.png?updatedAt=1770076431615")</f>
        <v>https://ik.imagekit.io/alaaalaa6171/155%20Kyoshiro%20Family_Boss%20-%20Napping%20Kyoshiro%20-%20Medal%20_Napping%20Kyoshiro_.png?updatedAt=1770076431615</v>
      </c>
      <c r="AD189" s="123" t="str">
        <f>IFERROR(__xludf.DUMMYFUNCTION("""COMPUTED_VALUE"""),"https://ik.imagekit.io/alaaalaa6171/155%20Kyoshiro%20Family_Boss%20-%20Napping%20Kyoshiro%20-%20Medal%20_Napping%20Kyoshiro_%20_Colored_.png?updatedAt=1770076431630")</f>
        <v>https://ik.imagekit.io/alaaalaa6171/155%20Kyoshiro%20Family_Boss%20-%20Napping%20Kyoshiro%20-%20Medal%20_Napping%20Kyoshiro_%20_Colored_.png?updatedAt=1770076431630</v>
      </c>
      <c r="AE189" s="123" t="str">
        <f>IFERROR(__xludf.DUMMYFUNCTION("""COMPUTED_VALUE"""),"https://ik.imagekit.io/alaaalaa6171/155%20Kyoshiro%20Family_Boss%20-%20Napping%20Kyoshiro%20-%20Medal%20_Napping%20Kyoshiro_%20-%20Piece.png?updatedAt=1770076431621")</f>
        <v>https://ik.imagekit.io/alaaalaa6171/155%20Kyoshiro%20Family_Boss%20-%20Napping%20Kyoshiro%20-%20Medal%20_Napping%20Kyoshiro_%20-%20Piece.png?updatedAt=1770076431621</v>
      </c>
      <c r="AF189" s="123" t="str">
        <f>IFERROR(__xludf.DUMMYFUNCTION("""COMPUTED_VALUE"""),"https://ik.imagekit.io/alaaalaa6171/155%20Kyoshiro%20Family_Boss%20-%20Napping%20Kyoshiro%20-%20Medal%20_Napping%20Kyoshiro_%20-%20Piece%20_Colored_.png?updatedAt=1770076431623")</f>
        <v>https://ik.imagekit.io/alaaalaa6171/155%20Kyoshiro%20Family_Boss%20-%20Napping%20Kyoshiro%20-%20Medal%20_Napping%20Kyoshiro_%20-%20Piece%20_Colored_.png?updatedAt=1770076431623</v>
      </c>
      <c r="AG189" s="114"/>
      <c r="AH189" s="114"/>
      <c r="AI189" s="121" t="s">
        <v>4401</v>
      </c>
      <c r="AJ189" s="121" t="str">
        <f>IFERROR(__xludf.DUMMYFUNCTION("regexreplace(regexreplace(AI189, ""  \["", "" ""), ""\]$"", """")"),"188 - Whole Cake Island ~ Brook - Medal - Crafted [Colored] - Soul King")</f>
        <v>188 - Whole Cake Island ~ Brook - Medal - Crafted [Colored] - Soul King</v>
      </c>
      <c r="AK189" s="114"/>
      <c r="AL189" s="117" t="s">
        <v>4402</v>
      </c>
      <c r="AM189" s="117" t="s">
        <v>4403</v>
      </c>
      <c r="AN189" s="114"/>
      <c r="AO189" s="122">
        <f>IFERROR(__xludf.DUMMYFUNCTION("""COMPUTED_VALUE"""),120.0)</f>
        <v>120</v>
      </c>
      <c r="AP189" s="114" t="str">
        <f>IFERROR(__xludf.DUMMYFUNCTION("""COMPUTED_VALUE"""),"Aladdin")</f>
        <v>Aladdin</v>
      </c>
      <c r="AQ189" s="114" t="str">
        <f>IFERROR(__xludf.DUMMYFUNCTION("""COMPUTED_VALUE"""),"Aladdin")</f>
        <v>Aladdin</v>
      </c>
      <c r="AR189" s="114"/>
      <c r="AS189" s="114"/>
      <c r="AT189" s="123" t="str">
        <f>IFERROR(__xludf.DUMMYFUNCTION("""COMPUTED_VALUE"""),"https://i.postimg.cc/YSD2SXnC/120.png")</f>
        <v>https://i.postimg.cc/YSD2SXnC/120.png</v>
      </c>
      <c r="AU189" s="114"/>
      <c r="AV189" s="114"/>
      <c r="AW189" s="114"/>
      <c r="AX189" s="114" t="str">
        <f t="shared" si="3"/>
        <v>120 - Medal [Event] - Crafted - Aladdin</v>
      </c>
      <c r="AY189" s="114" t="s">
        <v>4404</v>
      </c>
      <c r="AZ189" s="114"/>
      <c r="BA189" s="114"/>
      <c r="BB189" s="114"/>
      <c r="BC189" s="114"/>
      <c r="BD189" s="114"/>
      <c r="BE189" s="114"/>
    </row>
    <row r="190" ht="37.5" customHeight="1">
      <c r="A190" s="118" t="s">
        <v>4405</v>
      </c>
      <c r="B190" s="117" t="s">
        <v>3938</v>
      </c>
      <c r="C190" s="119">
        <f>IFERROR(__xludf.DUMMYFUNCTION("""COMPUTED_VALUE"""),153.0)</f>
        <v>153</v>
      </c>
      <c r="D190" s="114" t="str">
        <f>IFERROR(__xludf.DUMMYFUNCTION("""COMPUTED_VALUE"""),"Chopperemon")</f>
        <v>Chopperemon</v>
      </c>
      <c r="E190" s="114" t="str">
        <f>IFERROR(__xludf.DUMMYFUNCTION("""COMPUTED_VALUE"""),"")</f>
        <v/>
      </c>
      <c r="F190" s="114"/>
      <c r="G190" s="114"/>
      <c r="H190" s="114"/>
      <c r="I190" s="114"/>
      <c r="J190" s="114"/>
      <c r="K190" s="114" t="s">
        <v>4406</v>
      </c>
      <c r="L190" s="114" t="s">
        <v>4407</v>
      </c>
      <c r="M190" s="114" t="s">
        <v>4408</v>
      </c>
      <c r="N190" s="114" t="s">
        <v>4409</v>
      </c>
      <c r="O190" s="114"/>
      <c r="P190" s="120">
        <v>153.0</v>
      </c>
      <c r="Q190" s="117" t="s">
        <v>4410</v>
      </c>
      <c r="R190" s="114"/>
      <c r="S190" s="117" t="s">
        <v>3971</v>
      </c>
      <c r="T190" s="114">
        <f t="shared" si="1"/>
        <v>189</v>
      </c>
      <c r="U190" s="114" t="s">
        <v>966</v>
      </c>
      <c r="V190" s="114" t="str">
        <f>IFERROR(__xludf.DUMMYFUNCTION("REGEXREPLACE(U190, ""\n"", "" "")"),"Pudding")</f>
        <v>Pudding</v>
      </c>
      <c r="W190" s="114"/>
      <c r="X190" s="115" t="str">
        <f t="shared" si="2"/>
        <v>189 Big Mom Pirates / Crewmate - Charlotte Pudding 1 - Medal [Pudding]</v>
      </c>
      <c r="Y190" s="119"/>
      <c r="Z190" s="117" t="s">
        <v>4411</v>
      </c>
      <c r="AA190" s="117" t="s">
        <v>2591</v>
      </c>
      <c r="AB190" s="114"/>
      <c r="AC190" s="123" t="str">
        <f>IFERROR(__xludf.DUMMYFUNCTION("""COMPUTED_VALUE"""),"https://ik.imagekit.io/alaaalaa6171/154%20King%20of%20the%20Pirates%20-%20Gol%20D.%20Roger%20-%20Medal%20_Roger_.png?updatedAt=1770076431624")</f>
        <v>https://ik.imagekit.io/alaaalaa6171/154%20King%20of%20the%20Pirates%20-%20Gol%20D.%20Roger%20-%20Medal%20_Roger_.png?updatedAt=1770076431624</v>
      </c>
      <c r="AD190" s="123" t="str">
        <f>IFERROR(__xludf.DUMMYFUNCTION("""COMPUTED_VALUE"""),"https://ik.imagekit.io/alaaalaa6171/154%20King%20of%20the%20Pirates%20-%20Gol%20D.%20Roger%20-%20Medal%20_Roger_%20_Colored_.png?updatedAt=1770076431627")</f>
        <v>https://ik.imagekit.io/alaaalaa6171/154%20King%20of%20the%20Pirates%20-%20Gol%20D.%20Roger%20-%20Medal%20_Roger_%20_Colored_.png?updatedAt=1770076431627</v>
      </c>
      <c r="AE190" s="123" t="str">
        <f>IFERROR(__xludf.DUMMYFUNCTION("""COMPUTED_VALUE"""),"https://ik.imagekit.io/alaaalaa6171/154%20King%20of%20the%20Pirates%20-%20Gol%20D.%20Roger%20-%20Medal%20_Roger_%20-%20Piece.png?updatedAt=1770076431566")</f>
        <v>https://ik.imagekit.io/alaaalaa6171/154%20King%20of%20the%20Pirates%20-%20Gol%20D.%20Roger%20-%20Medal%20_Roger_%20-%20Piece.png?updatedAt=1770076431566</v>
      </c>
      <c r="AF190" s="123" t="str">
        <f>IFERROR(__xludf.DUMMYFUNCTION("""COMPUTED_VALUE"""),"https://ik.imagekit.io/alaaalaa6171/154%20King%20of%20the%20Pirates%20-%20Gol%20D.%20Roger%20-%20Medal%20_Roger_%20-%20Piece%20_Colored_.png?updatedAt=1770076431487")</f>
        <v>https://ik.imagekit.io/alaaalaa6171/154%20King%20of%20the%20Pirates%20-%20Gol%20D.%20Roger%20-%20Medal%20_Roger_%20-%20Piece%20_Colored_.png?updatedAt=1770076431487</v>
      </c>
      <c r="AG190" s="114"/>
      <c r="AH190" s="114"/>
      <c r="AI190" s="121" t="s">
        <v>4412</v>
      </c>
      <c r="AJ190" s="121" t="str">
        <f>IFERROR(__xludf.DUMMYFUNCTION("regexreplace(regexreplace(AI190, ""  \["", "" ""), ""\]$"", """")"),"189 - Big Mom Pirates_Crewmate ~ Charlotte Pudding 1 - Medal - Crafted [Colored] - Pudding")</f>
        <v>189 - Big Mom Pirates_Crewmate ~ Charlotte Pudding 1 - Medal - Crafted [Colored] - Pudding</v>
      </c>
      <c r="AK190" s="114"/>
      <c r="AL190" s="117" t="s">
        <v>4413</v>
      </c>
      <c r="AM190" s="117" t="s">
        <v>4414</v>
      </c>
      <c r="AN190" s="114"/>
      <c r="AO190" s="122">
        <f>IFERROR(__xludf.DUMMYFUNCTION("""COMPUTED_VALUE"""),119.0)</f>
        <v>119</v>
      </c>
      <c r="AP190" s="114" t="str">
        <f>IFERROR(__xludf.DUMMYFUNCTION("""COMPUTED_VALUE"""),"Pedro
(Whole Cake Island)")</f>
        <v>Pedro
(Whole Cake Island)</v>
      </c>
      <c r="AQ190" s="114" t="str">
        <f>IFERROR(__xludf.DUMMYFUNCTION("""COMPUTED_VALUE"""),"Pedro (Whole Cake Island)")</f>
        <v>Pedro (Whole Cake Island)</v>
      </c>
      <c r="AR190" s="114"/>
      <c r="AS190" s="114"/>
      <c r="AT190" s="123" t="str">
        <f>IFERROR(__xludf.DUMMYFUNCTION("""COMPUTED_VALUE"""),"https://i.postimg.cc/TwZRVKX8/119.png")</f>
        <v>https://i.postimg.cc/TwZRVKX8/119.png</v>
      </c>
      <c r="AU190" s="114"/>
      <c r="AV190" s="114"/>
      <c r="AW190" s="114"/>
      <c r="AX190" s="114" t="str">
        <f t="shared" si="3"/>
        <v>119 - Medal [Event] - Crafted - Pedro (Whole Cake Island)</v>
      </c>
      <c r="AY190" s="114" t="s">
        <v>4415</v>
      </c>
      <c r="AZ190" s="114"/>
      <c r="BA190" s="114"/>
      <c r="BB190" s="114"/>
      <c r="BC190" s="114"/>
      <c r="BD190" s="114"/>
      <c r="BE190" s="114"/>
    </row>
    <row r="191" ht="37.5" customHeight="1">
      <c r="A191" s="118" t="s">
        <v>4416</v>
      </c>
      <c r="B191" s="117" t="s">
        <v>3951</v>
      </c>
      <c r="C191" s="119">
        <f>IFERROR(__xludf.DUMMYFUNCTION("""COMPUTED_VALUE"""),152.0)</f>
        <v>152</v>
      </c>
      <c r="D191" s="114" t="str">
        <f>IFERROR(__xludf.DUMMYFUNCTION("""COMPUTED_VALUE"""),"Kawamatsu")</f>
        <v>Kawamatsu</v>
      </c>
      <c r="E191" s="114" t="str">
        <f>IFERROR(__xludf.DUMMYFUNCTION("""COMPUTED_VALUE"""),"")</f>
        <v/>
      </c>
      <c r="F191" s="114"/>
      <c r="G191" s="114"/>
      <c r="H191" s="114"/>
      <c r="I191" s="114"/>
      <c r="J191" s="114"/>
      <c r="K191" s="114" t="s">
        <v>4417</v>
      </c>
      <c r="L191" s="114" t="s">
        <v>4418</v>
      </c>
      <c r="M191" s="114" t="s">
        <v>4419</v>
      </c>
      <c r="N191" s="114" t="s">
        <v>4420</v>
      </c>
      <c r="O191" s="114"/>
      <c r="P191" s="120">
        <v>152.0</v>
      </c>
      <c r="Q191" s="117" t="s">
        <v>4421</v>
      </c>
      <c r="R191" s="114"/>
      <c r="S191" s="117" t="s">
        <v>3958</v>
      </c>
      <c r="T191" s="114">
        <f t="shared" si="1"/>
        <v>190</v>
      </c>
      <c r="U191" s="114" t="s">
        <v>961</v>
      </c>
      <c r="V191" s="114" t="str">
        <f>IFERROR(__xludf.DUMMYFUNCTION("REGEXREPLACE(U191, ""\n"", "" "")"),"Boss")</f>
        <v>Boss</v>
      </c>
      <c r="W191" s="114"/>
      <c r="X191" s="115" t="str">
        <f t="shared" si="2"/>
        <v>190 Whole Cake Island - Jinbe - Medal [Boss]</v>
      </c>
      <c r="Y191" s="119"/>
      <c r="Z191" s="117" t="s">
        <v>4422</v>
      </c>
      <c r="AA191" s="117" t="s">
        <v>2603</v>
      </c>
      <c r="AB191" s="114"/>
      <c r="AC191" s="123" t="str">
        <f>IFERROR(__xludf.DUMMYFUNCTION("""COMPUTED_VALUE"""),"https://ik.imagekit.io/alaaalaa6171/153%20Land%20of%20Wano%20-%20Chopperemon%20-%20Medal%20_Chopperemon_.png?updatedAt=1770076431545")</f>
        <v>https://ik.imagekit.io/alaaalaa6171/153%20Land%20of%20Wano%20-%20Chopperemon%20-%20Medal%20_Chopperemon_.png?updatedAt=1770076431545</v>
      </c>
      <c r="AD191" s="123" t="str">
        <f>IFERROR(__xludf.DUMMYFUNCTION("""COMPUTED_VALUE"""),"https://ik.imagekit.io/alaaalaa6171/153%20Land%20of%20Wano%20-%20Chopperemon%20-%20Medal%20_Chopperemon_%20_Colored_.png?updatedAt=1770076431534")</f>
        <v>https://ik.imagekit.io/alaaalaa6171/153%20Land%20of%20Wano%20-%20Chopperemon%20-%20Medal%20_Chopperemon_%20_Colored_.png?updatedAt=1770076431534</v>
      </c>
      <c r="AE191" s="123" t="str">
        <f>IFERROR(__xludf.DUMMYFUNCTION("""COMPUTED_VALUE"""),"https://ik.imagekit.io/alaaalaa6171/153%20Land%20of%20Wano%20-%20Chopperemon%20-%20Medal%20_Chopperemon_%20-%20Piece.png?updatedAt=1770076431558")</f>
        <v>https://ik.imagekit.io/alaaalaa6171/153%20Land%20of%20Wano%20-%20Chopperemon%20-%20Medal%20_Chopperemon_%20-%20Piece.png?updatedAt=1770076431558</v>
      </c>
      <c r="AF191" s="123" t="str">
        <f>IFERROR(__xludf.DUMMYFUNCTION("""COMPUTED_VALUE"""),"https://ik.imagekit.io/alaaalaa6171/153%20Land%20of%20Wano%20-%20Chopperemon%20-%20Medal%20_Chopperemon_%20-%20Piece%20_Colored_.png?updatedAt=1770076431625")</f>
        <v>https://ik.imagekit.io/alaaalaa6171/153%20Land%20of%20Wano%20-%20Chopperemon%20-%20Medal%20_Chopperemon_%20-%20Piece%20_Colored_.png?updatedAt=1770076431625</v>
      </c>
      <c r="AG191" s="114"/>
      <c r="AH191" s="114"/>
      <c r="AI191" s="121" t="s">
        <v>4423</v>
      </c>
      <c r="AJ191" s="121" t="str">
        <f>IFERROR(__xludf.DUMMYFUNCTION("regexreplace(regexreplace(AI191, ""  \["", "" ""), ""\]$"", """")"),"190 - Whole Cake Island ~ Jinbe - Medal - Crafted [Colored] - Boss")</f>
        <v>190 - Whole Cake Island ~ Jinbe - Medal - Crafted [Colored] - Boss</v>
      </c>
      <c r="AK191" s="114"/>
      <c r="AL191" s="117" t="s">
        <v>4424</v>
      </c>
      <c r="AM191" s="117" t="s">
        <v>4425</v>
      </c>
      <c r="AN191" s="114"/>
      <c r="AO191" s="122">
        <f>IFERROR(__xludf.DUMMYFUNCTION("""COMPUTED_VALUE"""),118.0)</f>
        <v>118</v>
      </c>
      <c r="AP191" s="114" t="str">
        <f>IFERROR(__xludf.DUMMYFUNCTION("""COMPUTED_VALUE"""),"Chopper
(Whole Cake Island)")</f>
        <v>Chopper
(Whole Cake Island)</v>
      </c>
      <c r="AQ191" s="114" t="str">
        <f>IFERROR(__xludf.DUMMYFUNCTION("""COMPUTED_VALUE"""),"Chopper (Whole Cake Island)")</f>
        <v>Chopper (Whole Cake Island)</v>
      </c>
      <c r="AR191" s="114"/>
      <c r="AS191" s="114"/>
      <c r="AT191" s="123" t="str">
        <f>IFERROR(__xludf.DUMMYFUNCTION("""COMPUTED_VALUE"""),"https://i.postimg.cc/FHDNPWQV/118.png")</f>
        <v>https://i.postimg.cc/FHDNPWQV/118.png</v>
      </c>
      <c r="AU191" s="114"/>
      <c r="AV191" s="114"/>
      <c r="AW191" s="114"/>
      <c r="AX191" s="114" t="str">
        <f t="shared" si="3"/>
        <v>118 - Medal [Event] - Crafted - Chopper (Whole Cake Island)</v>
      </c>
      <c r="AY191" s="114" t="s">
        <v>4426</v>
      </c>
      <c r="AZ191" s="114"/>
      <c r="BA191" s="114"/>
      <c r="BB191" s="114"/>
      <c r="BC191" s="114"/>
      <c r="BD191" s="114"/>
      <c r="BE191" s="114"/>
    </row>
    <row r="192" ht="37.5" customHeight="1">
      <c r="A192" s="118" t="s">
        <v>4427</v>
      </c>
      <c r="B192" s="117" t="s">
        <v>3977</v>
      </c>
      <c r="C192" s="119">
        <f>IFERROR(__xludf.DUMMYFUNCTION("""COMPUTED_VALUE"""),151.0)</f>
        <v>151</v>
      </c>
      <c r="D192" s="114" t="str">
        <f>IFERROR(__xludf.DUMMYFUNCTION("""COMPUTED_VALUE"""),"Kikunojo")</f>
        <v>Kikunojo</v>
      </c>
      <c r="E192" s="114" t="str">
        <f>IFERROR(__xludf.DUMMYFUNCTION("""COMPUTED_VALUE"""),"")</f>
        <v/>
      </c>
      <c r="F192" s="114"/>
      <c r="G192" s="114"/>
      <c r="H192" s="114"/>
      <c r="I192" s="114"/>
      <c r="J192" s="114"/>
      <c r="K192" s="114" t="s">
        <v>4428</v>
      </c>
      <c r="L192" s="114" t="s">
        <v>4429</v>
      </c>
      <c r="M192" s="114" t="s">
        <v>4430</v>
      </c>
      <c r="N192" s="114" t="s">
        <v>4431</v>
      </c>
      <c r="O192" s="114"/>
      <c r="P192" s="120">
        <v>151.0</v>
      </c>
      <c r="Q192" s="117" t="s">
        <v>4432</v>
      </c>
      <c r="R192" s="114"/>
      <c r="S192" s="117" t="s">
        <v>3945</v>
      </c>
      <c r="T192" s="114">
        <f t="shared" si="1"/>
        <v>191</v>
      </c>
      <c r="U192" s="114" t="s">
        <v>957</v>
      </c>
      <c r="V192" s="114" t="str">
        <f>IFERROR(__xludf.DUMMYFUNCTION("REGEXREPLACE(U192, ""\n"", "" "")"),"The Dark King")</f>
        <v>The Dark King</v>
      </c>
      <c r="W192" s="114"/>
      <c r="X192" s="115" t="str">
        <f t="shared" si="2"/>
        <v>191 Roger Pirates / First Mate - Silvers Rayleigh - Medal [The Dark King]</v>
      </c>
      <c r="Y192" s="119"/>
      <c r="Z192" s="117" t="s">
        <v>4433</v>
      </c>
      <c r="AA192" s="117" t="s">
        <v>2605</v>
      </c>
      <c r="AB192" s="114"/>
      <c r="AC192" s="123" t="str">
        <f>IFERROR(__xludf.DUMMYFUNCTION("""COMPUTED_VALUE"""),"https://ik.imagekit.io/alaaalaa6171/152%20Kozuki%20Clan_Servant%20-%20Kawamatsu%20-%20Medal%20_Kawamatsu_.png?updatedAt=1770076431586")</f>
        <v>https://ik.imagekit.io/alaaalaa6171/152%20Kozuki%20Clan_Servant%20-%20Kawamatsu%20-%20Medal%20_Kawamatsu_.png?updatedAt=1770076431586</v>
      </c>
      <c r="AD192" s="123" t="str">
        <f>IFERROR(__xludf.DUMMYFUNCTION("""COMPUTED_VALUE"""),"https://ik.imagekit.io/alaaalaa6171/152%20Kozuki%20Clan_Servant%20-%20Kawamatsu%20-%20Medal%20_Kawamatsu_%20_Colored_.png?updatedAt=1770076431549")</f>
        <v>https://ik.imagekit.io/alaaalaa6171/152%20Kozuki%20Clan_Servant%20-%20Kawamatsu%20-%20Medal%20_Kawamatsu_%20_Colored_.png?updatedAt=1770076431549</v>
      </c>
      <c r="AE192" s="123" t="str">
        <f>IFERROR(__xludf.DUMMYFUNCTION("""COMPUTED_VALUE"""),"https://ik.imagekit.io/alaaalaa6171/152%20Kozuki%20Clan_Servant%20-%20Kawamatsu%20-%20Medal%20_Kawamatsu_%20-%20Piece.png?updatedAt=1770076431551")</f>
        <v>https://ik.imagekit.io/alaaalaa6171/152%20Kozuki%20Clan_Servant%20-%20Kawamatsu%20-%20Medal%20_Kawamatsu_%20-%20Piece.png?updatedAt=1770076431551</v>
      </c>
      <c r="AF192" s="123" t="str">
        <f>IFERROR(__xludf.DUMMYFUNCTION("""COMPUTED_VALUE"""),"https://ik.imagekit.io/alaaalaa6171/152%20Kozuki%20Clan_Servant%20-%20Kawamatsu%20-%20Medal%20_Kawamatsu_%20-%20Piece%20_Colored_.png?updatedAt=1770076431641")</f>
        <v>https://ik.imagekit.io/alaaalaa6171/152%20Kozuki%20Clan_Servant%20-%20Kawamatsu%20-%20Medal%20_Kawamatsu_%20-%20Piece%20_Colored_.png?updatedAt=1770076431641</v>
      </c>
      <c r="AG192" s="114"/>
      <c r="AH192" s="114"/>
      <c r="AI192" s="121" t="s">
        <v>4434</v>
      </c>
      <c r="AJ192" s="121" t="str">
        <f>IFERROR(__xludf.DUMMYFUNCTION("regexreplace(regexreplace(AI192, ""  \["", "" ""), ""\]$"", """")"),"191 - Roger Pirates_First Mate ~ Silvers Rayleigh - Medal - Crafted [Colored] - The Dark King")</f>
        <v>191 - Roger Pirates_First Mate ~ Silvers Rayleigh - Medal - Crafted [Colored] - The Dark King</v>
      </c>
      <c r="AK192" s="114"/>
      <c r="AL192" s="117" t="s">
        <v>4435</v>
      </c>
      <c r="AM192" s="117" t="s">
        <v>4436</v>
      </c>
      <c r="AN192" s="114"/>
      <c r="AO192" s="122">
        <f>IFERROR(__xludf.DUMMYFUNCTION("""COMPUTED_VALUE"""),117.0)</f>
        <v>117</v>
      </c>
      <c r="AP192" s="114" t="str">
        <f>IFERROR(__xludf.DUMMYFUNCTION("""COMPUTED_VALUE"""),"Land of the Dead")</f>
        <v>Land of the Dead</v>
      </c>
      <c r="AQ192" s="114" t="str">
        <f>IFERROR(__xludf.DUMMYFUNCTION("""COMPUTED_VALUE"""),"Land of the Dead")</f>
        <v>Land of the Dead</v>
      </c>
      <c r="AR192" s="114"/>
      <c r="AS192" s="114"/>
      <c r="AT192" s="123" t="str">
        <f>IFERROR(__xludf.DUMMYFUNCTION("""COMPUTED_VALUE"""),"https://i.postimg.cc/Dw27PVRz/117.png")</f>
        <v>https://i.postimg.cc/Dw27PVRz/117.png</v>
      </c>
      <c r="AU192" s="114"/>
      <c r="AV192" s="114"/>
      <c r="AW192" s="114"/>
      <c r="AX192" s="114" t="str">
        <f t="shared" si="3"/>
        <v>117 - Medal [Event] - Crafted - Land of the Dead</v>
      </c>
      <c r="AY192" s="114" t="s">
        <v>4437</v>
      </c>
      <c r="AZ192" s="114"/>
      <c r="BA192" s="114"/>
      <c r="BB192" s="114"/>
      <c r="BC192" s="114"/>
      <c r="BD192" s="114"/>
      <c r="BE192" s="114"/>
    </row>
    <row r="193" ht="37.5" customHeight="1">
      <c r="A193" s="118" t="s">
        <v>4438</v>
      </c>
      <c r="B193" s="117" t="s">
        <v>3964</v>
      </c>
      <c r="C193" s="119">
        <f>IFERROR(__xludf.DUMMYFUNCTION("""COMPUTED_VALUE"""),150.0)</f>
        <v>150</v>
      </c>
      <c r="D193" s="114" t="str">
        <f>IFERROR(__xludf.DUMMYFUNCTION("""COMPUTED_VALUE"""),"Kozuki Oden")</f>
        <v>Kozuki Oden</v>
      </c>
      <c r="E193" s="114" t="str">
        <f>IFERROR(__xludf.DUMMYFUNCTION("""COMPUTED_VALUE"""),"")</f>
        <v/>
      </c>
      <c r="F193" s="114"/>
      <c r="G193" s="114"/>
      <c r="H193" s="114"/>
      <c r="I193" s="114"/>
      <c r="J193" s="114"/>
      <c r="K193" s="114" t="s">
        <v>4439</v>
      </c>
      <c r="L193" s="114" t="s">
        <v>4440</v>
      </c>
      <c r="M193" s="114" t="s">
        <v>4441</v>
      </c>
      <c r="N193" s="114" t="s">
        <v>4442</v>
      </c>
      <c r="O193" s="114"/>
      <c r="P193" s="120">
        <v>150.0</v>
      </c>
      <c r="Q193" s="117" t="s">
        <v>4443</v>
      </c>
      <c r="R193" s="114"/>
      <c r="S193" s="117" t="s">
        <v>3932</v>
      </c>
      <c r="T193" s="114">
        <f t="shared" si="1"/>
        <v>192</v>
      </c>
      <c r="U193" s="114" t="s">
        <v>951</v>
      </c>
      <c r="V193" s="114" t="str">
        <f>IFERROR(__xludf.DUMMYFUNCTION("REGEXREPLACE(U193, ""\n"", "" "")"),"Kanjuro")</f>
        <v>Kanjuro</v>
      </c>
      <c r="W193" s="114"/>
      <c r="X193" s="115" t="str">
        <f t="shared" si="2"/>
        <v>192 Kurozumi Spy - Kurozumi Kanjuro - Medal [Kanjuro]</v>
      </c>
      <c r="Y193" s="119"/>
      <c r="Z193" s="117" t="s">
        <v>4444</v>
      </c>
      <c r="AA193" s="117" t="s">
        <v>2606</v>
      </c>
      <c r="AB193" s="114"/>
      <c r="AC193" s="123" t="str">
        <f>IFERROR(__xludf.DUMMYFUNCTION("""COMPUTED_VALUE"""),"https://ik.imagekit.io/alaaalaa6171/151%20Most%20Handsome%20Swordman%20in%20the%20Land%20of%20Wano%20-%20Kikunojo%20-%20Medal%20_Kikunojo_.png?updatedAt=1770076431564")</f>
        <v>https://ik.imagekit.io/alaaalaa6171/151%20Most%20Handsome%20Swordman%20in%20the%20Land%20of%20Wano%20-%20Kikunojo%20-%20Medal%20_Kikunojo_.png?updatedAt=1770076431564</v>
      </c>
      <c r="AD193" s="123" t="str">
        <f>IFERROR(__xludf.DUMMYFUNCTION("""COMPUTED_VALUE"""),"https://ik.imagekit.io/alaaalaa6171/151%20Most%20Handsome%20Swordman%20in%20the%20Land%20of%20Wano%20-%20Kikunojo%20-%20Medal%20_Kikunojo_%20_Colored_.png?updatedAt=1770076431554")</f>
        <v>https://ik.imagekit.io/alaaalaa6171/151%20Most%20Handsome%20Swordman%20in%20the%20Land%20of%20Wano%20-%20Kikunojo%20-%20Medal%20_Kikunojo_%20_Colored_.png?updatedAt=1770076431554</v>
      </c>
      <c r="AE193" s="123" t="str">
        <f>IFERROR(__xludf.DUMMYFUNCTION("""COMPUTED_VALUE"""),"https://ik.imagekit.io/alaaalaa6171/151%20Most%20Handsome%20Swordman%20in%20the%20Land%20of%20Wano%20-%20Kikunojo%20-%20Medal%20_Kikunojo_%20-%20Piece.png?updatedAt=1770076431516")</f>
        <v>https://ik.imagekit.io/alaaalaa6171/151%20Most%20Handsome%20Swordman%20in%20the%20Land%20of%20Wano%20-%20Kikunojo%20-%20Medal%20_Kikunojo_%20-%20Piece.png?updatedAt=1770076431516</v>
      </c>
      <c r="AF193" s="123" t="str">
        <f>IFERROR(__xludf.DUMMYFUNCTION("""COMPUTED_VALUE"""),"https://ik.imagekit.io/alaaalaa6171/151%20Most%20Handsome%20Swordman%20in%20the%20Land%20of%20Wano%20-%20Kikunojo%20-%20Medal%20_Kikunojo_%20-%20Piece%20_Colored_.png?updatedAt=1770076431606")</f>
        <v>https://ik.imagekit.io/alaaalaa6171/151%20Most%20Handsome%20Swordman%20in%20the%20Land%20of%20Wano%20-%20Kikunojo%20-%20Medal%20_Kikunojo_%20-%20Piece%20_Colored_.png?updatedAt=1770076431606</v>
      </c>
      <c r="AG193" s="114"/>
      <c r="AH193" s="114"/>
      <c r="AI193" s="121" t="s">
        <v>4445</v>
      </c>
      <c r="AJ193" s="121" t="str">
        <f>IFERROR(__xludf.DUMMYFUNCTION("regexreplace(regexreplace(AI193, ""  \["", "" ""), ""\]$"", """")"),"192 - Kurozumi Spy ~ Kurozumi Kanjuro - Medal - Crafted [Colored] - Kanjuro")</f>
        <v>192 - Kurozumi Spy ~ Kurozumi Kanjuro - Medal - Crafted [Colored] - Kanjuro</v>
      </c>
      <c r="AK193" s="114"/>
      <c r="AL193" s="117" t="s">
        <v>4446</v>
      </c>
      <c r="AM193" s="117" t="s">
        <v>4447</v>
      </c>
      <c r="AN193" s="114"/>
      <c r="AO193" s="122">
        <f>IFERROR(__xludf.DUMMYFUNCTION("""COMPUTED_VALUE"""),116.0)</f>
        <v>116</v>
      </c>
      <c r="AP193" s="114" t="str">
        <f>IFERROR(__xludf.DUMMYFUNCTION("""COMPUTED_VALUE"""),"Counter_Shock")</f>
        <v>Counter_Shock</v>
      </c>
      <c r="AQ193" s="114" t="str">
        <f>IFERROR(__xludf.DUMMYFUNCTION("""COMPUTED_VALUE"""),"Counter_Shock")</f>
        <v>Counter_Shock</v>
      </c>
      <c r="AR193" s="114"/>
      <c r="AS193" s="114"/>
      <c r="AT193" s="123" t="str">
        <f>IFERROR(__xludf.DUMMYFUNCTION("""COMPUTED_VALUE"""),"https://i.postimg.cc/T1gTCTRK/116.png")</f>
        <v>https://i.postimg.cc/T1gTCTRK/116.png</v>
      </c>
      <c r="AU193" s="114"/>
      <c r="AV193" s="114"/>
      <c r="AW193" s="114"/>
      <c r="AX193" s="114" t="str">
        <f t="shared" si="3"/>
        <v>116 - Medal [Event] - Crafted - Counter_Shock</v>
      </c>
      <c r="AY193" s="114" t="s">
        <v>4448</v>
      </c>
      <c r="AZ193" s="114"/>
      <c r="BA193" s="114"/>
      <c r="BB193" s="114"/>
      <c r="BC193" s="114"/>
      <c r="BD193" s="114"/>
      <c r="BE193" s="114"/>
    </row>
    <row r="194" ht="37.5" customHeight="1">
      <c r="A194" s="118" t="s">
        <v>4449</v>
      </c>
      <c r="B194" s="117" t="s">
        <v>3925</v>
      </c>
      <c r="C194" s="119">
        <f>IFERROR(__xludf.DUMMYFUNCTION("""COMPUTED_VALUE"""),149.0)</f>
        <v>149</v>
      </c>
      <c r="D194" s="114" t="str">
        <f>IFERROR(__xludf.DUMMYFUNCTION("""COMPUTED_VALUE"""),"Cross Fire")</f>
        <v>Cross Fire</v>
      </c>
      <c r="E194" s="114" t="str">
        <f>IFERROR(__xludf.DUMMYFUNCTION("""COMPUTED_VALUE"""),"")</f>
        <v/>
      </c>
      <c r="F194" s="114"/>
      <c r="G194" s="114"/>
      <c r="H194" s="114"/>
      <c r="I194" s="114"/>
      <c r="J194" s="114"/>
      <c r="K194" s="114" t="s">
        <v>4450</v>
      </c>
      <c r="L194" s="114" t="s">
        <v>4451</v>
      </c>
      <c r="M194" s="114" t="s">
        <v>4452</v>
      </c>
      <c r="N194" s="114" t="s">
        <v>4453</v>
      </c>
      <c r="O194" s="114"/>
      <c r="P194" s="120">
        <v>149.0</v>
      </c>
      <c r="Q194" s="117" t="s">
        <v>4454</v>
      </c>
      <c r="R194" s="114"/>
      <c r="S194" s="117" t="s">
        <v>3919</v>
      </c>
      <c r="T194" s="114">
        <f t="shared" si="1"/>
        <v>193</v>
      </c>
      <c r="U194" s="114" t="s">
        <v>944</v>
      </c>
      <c r="V194" s="114" t="str">
        <f>IFERROR(__xludf.DUMMYFUNCTION("REGEXREPLACE(U194, ""\n"", "" "")"),"Izo")</f>
        <v>Izo</v>
      </c>
      <c r="W194" s="114"/>
      <c r="X194" s="115" t="str">
        <f t="shared" si="2"/>
        <v>193 Former Whitebeard Pirates / 16th Division Commander - Izo - Medal [Izo]</v>
      </c>
      <c r="Y194" s="119"/>
      <c r="Z194" s="117" t="s">
        <v>4455</v>
      </c>
      <c r="AA194" s="117" t="s">
        <v>2604</v>
      </c>
      <c r="AB194" s="114"/>
      <c r="AC194" s="123" t="str">
        <f>IFERROR(__xludf.DUMMYFUNCTION("""COMPUTED_VALUE"""),"https://ik.imagekit.io/alaaalaa6171/150%20Daimyo%20of%20Kuri%20-%20Kozuki%20Oden%20-%20Medal%20_Kozuki%20Oden_.png?updatedAt=1770076431462")</f>
        <v>https://ik.imagekit.io/alaaalaa6171/150%20Daimyo%20of%20Kuri%20-%20Kozuki%20Oden%20-%20Medal%20_Kozuki%20Oden_.png?updatedAt=1770076431462</v>
      </c>
      <c r="AD194" s="123" t="str">
        <f>IFERROR(__xludf.DUMMYFUNCTION("""COMPUTED_VALUE"""),"https://ik.imagekit.io/alaaalaa6171/150%20Daimyo%20of%20Kuri%20-%20Kozuki%20Oden%20-%20Medal%20_Kozuki%20Oden_%20_Colored_.png?updatedAt=1770076431558")</f>
        <v>https://ik.imagekit.io/alaaalaa6171/150%20Daimyo%20of%20Kuri%20-%20Kozuki%20Oden%20-%20Medal%20_Kozuki%20Oden_%20_Colored_.png?updatedAt=1770076431558</v>
      </c>
      <c r="AE194" s="123" t="str">
        <f>IFERROR(__xludf.DUMMYFUNCTION("""COMPUTED_VALUE"""),"https://ik.imagekit.io/alaaalaa6171/150%20Daimyo%20of%20Kuri%20-%20Kozuki%20Oden%20-%20Medal%20_Kozuki%20Oden_%20-%20Piece.png?updatedAt=1770076431508")</f>
        <v>https://ik.imagekit.io/alaaalaa6171/150%20Daimyo%20of%20Kuri%20-%20Kozuki%20Oden%20-%20Medal%20_Kozuki%20Oden_%20-%20Piece.png?updatedAt=1770076431508</v>
      </c>
      <c r="AF194" s="123" t="str">
        <f>IFERROR(__xludf.DUMMYFUNCTION("""COMPUTED_VALUE"""),"https://ik.imagekit.io/alaaalaa6171/150%20Daimyo%20of%20Kuri%20-%20Kozuki%20Oden%20-%20Medal%20_Kozuki%20Oden_%20-%20Piece%20_Colored_.png?updatedAt=1770076431547")</f>
        <v>https://ik.imagekit.io/alaaalaa6171/150%20Daimyo%20of%20Kuri%20-%20Kozuki%20Oden%20-%20Medal%20_Kozuki%20Oden_%20-%20Piece%20_Colored_.png?updatedAt=1770076431547</v>
      </c>
      <c r="AG194" s="114"/>
      <c r="AH194" s="114"/>
      <c r="AI194" s="121" t="s">
        <v>4456</v>
      </c>
      <c r="AJ194" s="121" t="str">
        <f>IFERROR(__xludf.DUMMYFUNCTION("regexreplace(regexreplace(AI194, ""  \["", "" ""), ""\]$"", """")"),"193 - Former Whitebeard Pirates_16th Division Commander ~ Izo - Medal - Crafted [Colored] - Izo")</f>
        <v>193 - Former Whitebeard Pirates_16th Division Commander ~ Izo - Medal - Crafted [Colored] - Izo</v>
      </c>
      <c r="AK194" s="114"/>
      <c r="AL194" s="117" t="s">
        <v>4457</v>
      </c>
      <c r="AM194" s="117" t="s">
        <v>4458</v>
      </c>
      <c r="AN194" s="114"/>
      <c r="AO194" s="122">
        <f>IFERROR(__xludf.DUMMYFUNCTION("""COMPUTED_VALUE"""),115.0)</f>
        <v>115</v>
      </c>
      <c r="AP194" s="114" t="str">
        <f>IFERROR(__xludf.DUMMYFUNCTION("""COMPUTED_VALUE"""),"Dellinger")</f>
        <v>Dellinger</v>
      </c>
      <c r="AQ194" s="114" t="str">
        <f>IFERROR(__xludf.DUMMYFUNCTION("""COMPUTED_VALUE"""),"Dellinger")</f>
        <v>Dellinger</v>
      </c>
      <c r="AR194" s="114"/>
      <c r="AS194" s="114"/>
      <c r="AT194" s="123" t="str">
        <f>IFERROR(__xludf.DUMMYFUNCTION("""COMPUTED_VALUE"""),"https://i.postimg.cc/wxmx6Qh9/115.png")</f>
        <v>https://i.postimg.cc/wxmx6Qh9/115.png</v>
      </c>
      <c r="AU194" s="114"/>
      <c r="AV194" s="114"/>
      <c r="AW194" s="114"/>
      <c r="AX194" s="114" t="str">
        <f t="shared" si="3"/>
        <v>115 - Medal [Event] - Crafted - Dellinger</v>
      </c>
      <c r="AY194" s="114" t="s">
        <v>4459</v>
      </c>
      <c r="AZ194" s="114"/>
      <c r="BA194" s="114"/>
      <c r="BB194" s="114"/>
      <c r="BC194" s="114"/>
      <c r="BD194" s="114"/>
      <c r="BE194" s="114"/>
    </row>
    <row r="195" ht="37.5" customHeight="1">
      <c r="A195" s="118" t="s">
        <v>4460</v>
      </c>
      <c r="B195" s="117" t="s">
        <v>3912</v>
      </c>
      <c r="C195" s="119">
        <f>IFERROR(__xludf.DUMMYFUNCTION("""COMPUTED_VALUE"""),148.0)</f>
        <v>148</v>
      </c>
      <c r="D195" s="114" t="str">
        <f>IFERROR(__xludf.DUMMYFUNCTION("""COMPUTED_VALUE"""),"Sky Walk")</f>
        <v>Sky Walk</v>
      </c>
      <c r="E195" s="114" t="str">
        <f>IFERROR(__xludf.DUMMYFUNCTION("""COMPUTED_VALUE"""),"")</f>
        <v/>
      </c>
      <c r="F195" s="114"/>
      <c r="G195" s="114"/>
      <c r="H195" s="114"/>
      <c r="I195" s="114"/>
      <c r="J195" s="114"/>
      <c r="K195" s="114" t="s">
        <v>4461</v>
      </c>
      <c r="L195" s="114" t="s">
        <v>4462</v>
      </c>
      <c r="M195" s="114" t="s">
        <v>4463</v>
      </c>
      <c r="N195" s="114" t="s">
        <v>4464</v>
      </c>
      <c r="O195" s="114"/>
      <c r="P195" s="120">
        <v>148.0</v>
      </c>
      <c r="Q195" s="117" t="s">
        <v>4465</v>
      </c>
      <c r="R195" s="114"/>
      <c r="S195" s="117" t="s">
        <v>3906</v>
      </c>
      <c r="T195" s="114">
        <f t="shared" si="1"/>
        <v>194</v>
      </c>
      <c r="U195" s="114" t="s">
        <v>939</v>
      </c>
      <c r="V195" s="114" t="str">
        <f>IFERROR(__xludf.DUMMYFUNCTION("REGEXREPLACE(U195, ""\n"", "" "")"),"Kaido`s Son")</f>
        <v>Kaido`s Son</v>
      </c>
      <c r="W195" s="114"/>
      <c r="X195" s="115" t="str">
        <f t="shared" si="2"/>
        <v>194 Kaido`s Son - Yamato - Medal [Kaido`s Son]</v>
      </c>
      <c r="Y195" s="119"/>
      <c r="Z195" s="117" t="s">
        <v>4466</v>
      </c>
      <c r="AA195" s="117" t="s">
        <v>2616</v>
      </c>
      <c r="AB195" s="114"/>
      <c r="AC195" s="123" t="str">
        <f>IFERROR(__xludf.DUMMYFUNCTION("""COMPUTED_VALUE"""),"https://ik.imagekit.io/alaaalaa6171/149%20Fire%20Fist%20-%20Portgaz%20D.%20Ace%201%20-%20Medal%20_Cross%20Fire_.png?updatedAt=1770076431427")</f>
        <v>https://ik.imagekit.io/alaaalaa6171/149%20Fire%20Fist%20-%20Portgaz%20D.%20Ace%201%20-%20Medal%20_Cross%20Fire_.png?updatedAt=1770076431427</v>
      </c>
      <c r="AD195" s="123" t="str">
        <f>IFERROR(__xludf.DUMMYFUNCTION("""COMPUTED_VALUE"""),"https://ik.imagekit.io/alaaalaa6171/149%20Fire%20Fist%20-%20Portgaz%20D.%20Ace%201%20-%20Medal%20_Cross%20Fire_%20_Colored_.png?updatedAt=1770076431480")</f>
        <v>https://ik.imagekit.io/alaaalaa6171/149%20Fire%20Fist%20-%20Portgaz%20D.%20Ace%201%20-%20Medal%20_Cross%20Fire_%20_Colored_.png?updatedAt=1770076431480</v>
      </c>
      <c r="AE195" s="123" t="str">
        <f>IFERROR(__xludf.DUMMYFUNCTION("""COMPUTED_VALUE"""),"https://ik.imagekit.io/alaaalaa6171/149%20Fire%20Fist%20-%20Portgaz%20D.%20Ace%201%20-%20Medal%20_Cross%20Fire_%20-%20Piece.png?updatedAt=1770076431488")</f>
        <v>https://ik.imagekit.io/alaaalaa6171/149%20Fire%20Fist%20-%20Portgaz%20D.%20Ace%201%20-%20Medal%20_Cross%20Fire_%20-%20Piece.png?updatedAt=1770076431488</v>
      </c>
      <c r="AF195" s="123" t="str">
        <f>IFERROR(__xludf.DUMMYFUNCTION("""COMPUTED_VALUE"""),"https://ik.imagekit.io/alaaalaa6171/149%20Fire%20Fist%20-%20Portgaz%20D.%20Ace%201%20-%20Medal%20_Cross%20Fire_%20-%20Piece%20_Colored_.png?updatedAt=1770076431447")</f>
        <v>https://ik.imagekit.io/alaaalaa6171/149%20Fire%20Fist%20-%20Portgaz%20D.%20Ace%201%20-%20Medal%20_Cross%20Fire_%20-%20Piece%20_Colored_.png?updatedAt=1770076431447</v>
      </c>
      <c r="AG195" s="114"/>
      <c r="AH195" s="114"/>
      <c r="AI195" s="121" t="s">
        <v>4467</v>
      </c>
      <c r="AJ195" s="121" t="str">
        <f>IFERROR(__xludf.DUMMYFUNCTION("regexreplace(regexreplace(AI195, ""  \["", "" ""), ""\]$"", """")"),"194 - Kaido`s Son ~ Yamato - Medal - Crafted [Colored] - Kaido`s Son")</f>
        <v>194 - Kaido`s Son ~ Yamato - Medal - Crafted [Colored] - Kaido`s Son</v>
      </c>
      <c r="AK195" s="114"/>
      <c r="AL195" s="117" t="s">
        <v>4468</v>
      </c>
      <c r="AM195" s="117" t="s">
        <v>4469</v>
      </c>
      <c r="AN195" s="114"/>
      <c r="AO195" s="122">
        <f>IFERROR(__xludf.DUMMYFUNCTION("""COMPUTED_VALUE"""),114.0)</f>
        <v>114</v>
      </c>
      <c r="AP195" s="114" t="str">
        <f>IFERROR(__xludf.DUMMYFUNCTION("""COMPUTED_VALUE"""),"Diamante")</f>
        <v>Diamante</v>
      </c>
      <c r="AQ195" s="114" t="str">
        <f>IFERROR(__xludf.DUMMYFUNCTION("""COMPUTED_VALUE"""),"Diamante")</f>
        <v>Diamante</v>
      </c>
      <c r="AR195" s="114"/>
      <c r="AS195" s="114"/>
      <c r="AT195" s="123" t="str">
        <f>IFERROR(__xludf.DUMMYFUNCTION("""COMPUTED_VALUE"""),"https://i.postimg.cc/pXMWy5Zz/114.png")</f>
        <v>https://i.postimg.cc/pXMWy5Zz/114.png</v>
      </c>
      <c r="AU195" s="114"/>
      <c r="AV195" s="114"/>
      <c r="AW195" s="114"/>
      <c r="AX195" s="114" t="str">
        <f t="shared" si="3"/>
        <v>114 - Medal [Event] - Crafted - Diamante</v>
      </c>
      <c r="AY195" s="114" t="s">
        <v>4470</v>
      </c>
      <c r="AZ195" s="114"/>
      <c r="BA195" s="114"/>
      <c r="BB195" s="114"/>
      <c r="BC195" s="114"/>
      <c r="BD195" s="114"/>
      <c r="BE195" s="114"/>
    </row>
    <row r="196" ht="37.5" customHeight="1">
      <c r="A196" s="118" t="s">
        <v>4471</v>
      </c>
      <c r="B196" s="117" t="s">
        <v>3899</v>
      </c>
      <c r="C196" s="119">
        <f>IFERROR(__xludf.DUMMYFUNCTION("""COMPUTED_VALUE"""),147.0)</f>
        <v>147</v>
      </c>
      <c r="D196" s="114" t="str">
        <f>IFERROR(__xludf.DUMMYFUNCTION("""COMPUTED_VALUE"""),"The Billion_Fold World Trichiliocosm")</f>
        <v>The Billion_Fold World Trichiliocosm</v>
      </c>
      <c r="E196" s="114" t="str">
        <f>IFERROR(__xludf.DUMMYFUNCTION("""COMPUTED_VALUE"""),"")</f>
        <v/>
      </c>
      <c r="F196" s="114"/>
      <c r="G196" s="114"/>
      <c r="H196" s="114"/>
      <c r="I196" s="114"/>
      <c r="J196" s="114"/>
      <c r="K196" s="114" t="s">
        <v>4472</v>
      </c>
      <c r="L196" s="114" t="s">
        <v>4473</v>
      </c>
      <c r="M196" s="114" t="s">
        <v>4474</v>
      </c>
      <c r="N196" s="114" t="s">
        <v>4475</v>
      </c>
      <c r="O196" s="114"/>
      <c r="P196" s="120">
        <v>147.0</v>
      </c>
      <c r="Q196" s="117" t="s">
        <v>4476</v>
      </c>
      <c r="R196" s="114"/>
      <c r="S196" s="117" t="s">
        <v>3893</v>
      </c>
      <c r="T196" s="114">
        <f t="shared" si="1"/>
        <v>195</v>
      </c>
      <c r="U196" s="114" t="s">
        <v>935</v>
      </c>
      <c r="V196" s="114" t="str">
        <f>IFERROR(__xludf.DUMMYFUNCTION("REGEXREPLACE(U196, ""\n"", "" "")"),"Jack")</f>
        <v>Jack</v>
      </c>
      <c r="W196" s="114"/>
      <c r="X196" s="115" t="str">
        <f t="shared" si="2"/>
        <v>195 Animal Kingdom Pirates / Lead Performer - Jack - Medal [Jack]</v>
      </c>
      <c r="Y196" s="119"/>
      <c r="Z196" s="117" t="s">
        <v>4477</v>
      </c>
      <c r="AA196" s="117" t="s">
        <v>2618</v>
      </c>
      <c r="AB196" s="114"/>
      <c r="AC196" s="123" t="str">
        <f>IFERROR(__xludf.DUMMYFUNCTION("""COMPUTED_VALUE"""),"https://ik.imagekit.io/alaaalaa6171/148%20Royal%20Wedding%20-%20Sanji%20-%20Medal%20_Sky%20Walk_.png?updatedAt=1770076431469")</f>
        <v>https://ik.imagekit.io/alaaalaa6171/148%20Royal%20Wedding%20-%20Sanji%20-%20Medal%20_Sky%20Walk_.png?updatedAt=1770076431469</v>
      </c>
      <c r="AD196" s="123" t="str">
        <f>IFERROR(__xludf.DUMMYFUNCTION("""COMPUTED_VALUE"""),"https://ik.imagekit.io/alaaalaa6171/148%20Royal%20Wedding%20-%20Sanji%20-%20Medal%20_Sky%20Walk_%20_Colored_.png?updatedAt=1770076431383")</f>
        <v>https://ik.imagekit.io/alaaalaa6171/148%20Royal%20Wedding%20-%20Sanji%20-%20Medal%20_Sky%20Walk_%20_Colored_.png?updatedAt=1770076431383</v>
      </c>
      <c r="AE196" s="123" t="str">
        <f>IFERROR(__xludf.DUMMYFUNCTION("""COMPUTED_VALUE"""),"https://ik.imagekit.io/alaaalaa6171/148%20Royal%20Wedding%20-%20Sanji%20-%20Medal%20_Sky%20Walk_%20-%20Piece.png?updatedAt=1770076431424")</f>
        <v>https://ik.imagekit.io/alaaalaa6171/148%20Royal%20Wedding%20-%20Sanji%20-%20Medal%20_Sky%20Walk_%20-%20Piece.png?updatedAt=1770076431424</v>
      </c>
      <c r="AF196" s="123" t="str">
        <f>IFERROR(__xludf.DUMMYFUNCTION("""COMPUTED_VALUE"""),"https://ik.imagekit.io/alaaalaa6171/148%20Royal%20Wedding%20-%20Sanji%20-%20Medal%20_Sky%20Walk_%20-%20Piece%20_Colored_.png?updatedAt=1770076431396")</f>
        <v>https://ik.imagekit.io/alaaalaa6171/148%20Royal%20Wedding%20-%20Sanji%20-%20Medal%20_Sky%20Walk_%20-%20Piece%20_Colored_.png?updatedAt=1770076431396</v>
      </c>
      <c r="AG196" s="114"/>
      <c r="AH196" s="114"/>
      <c r="AI196" s="121" t="s">
        <v>4478</v>
      </c>
      <c r="AJ196" s="121" t="str">
        <f>IFERROR(__xludf.DUMMYFUNCTION("regexreplace(regexreplace(AI196, ""  \["", "" ""), ""\]$"", """")"),"195 - Animal Kingdom Pirates_Lead Performer ~ Jack - Medal - Crafted [Colored] - Jack")</f>
        <v>195 - Animal Kingdom Pirates_Lead Performer ~ Jack - Medal - Crafted [Colored] - Jack</v>
      </c>
      <c r="AK196" s="114"/>
      <c r="AL196" s="117" t="s">
        <v>4479</v>
      </c>
      <c r="AM196" s="117" t="s">
        <v>4480</v>
      </c>
      <c r="AN196" s="114"/>
      <c r="AO196" s="122">
        <f>IFERROR(__xludf.DUMMYFUNCTION("""COMPUTED_VALUE"""),113.0)</f>
        <v>113</v>
      </c>
      <c r="AP196" s="114" t="str">
        <f>IFERROR(__xludf.DUMMYFUNCTION("""COMPUTED_VALUE"""),"Buffalo")</f>
        <v>Buffalo</v>
      </c>
      <c r="AQ196" s="114" t="str">
        <f>IFERROR(__xludf.DUMMYFUNCTION("""COMPUTED_VALUE"""),"Buffalo")</f>
        <v>Buffalo</v>
      </c>
      <c r="AR196" s="114"/>
      <c r="AS196" s="114"/>
      <c r="AT196" s="123" t="str">
        <f>IFERROR(__xludf.DUMMYFUNCTION("""COMPUTED_VALUE"""),"https://i.postimg.cc/dtRqCQHX/113.png")</f>
        <v>https://i.postimg.cc/dtRqCQHX/113.png</v>
      </c>
      <c r="AU196" s="114"/>
      <c r="AV196" s="114"/>
      <c r="AW196" s="114"/>
      <c r="AX196" s="114" t="str">
        <f t="shared" si="3"/>
        <v>113 - Medal [Event] - Crafted - Buffalo</v>
      </c>
      <c r="AY196" s="114" t="s">
        <v>4481</v>
      </c>
      <c r="AZ196" s="114"/>
      <c r="BA196" s="114"/>
      <c r="BB196" s="114"/>
      <c r="BC196" s="114"/>
      <c r="BD196" s="114"/>
      <c r="BE196" s="114"/>
    </row>
    <row r="197" ht="37.5" customHeight="1">
      <c r="A197" s="118" t="s">
        <v>4482</v>
      </c>
      <c r="B197" s="117" t="s">
        <v>3886</v>
      </c>
      <c r="C197" s="119">
        <f>IFERROR(__xludf.DUMMYFUNCTION("""COMPUTED_VALUE"""),146.0)</f>
        <v>146</v>
      </c>
      <c r="D197" s="114" t="str">
        <f>IFERROR(__xludf.DUMMYFUNCTION("""COMPUTED_VALUE"""),"Fire_Fist Pistol Red Hawk")</f>
        <v>Fire_Fist Pistol Red Hawk</v>
      </c>
      <c r="E197" s="114" t="str">
        <f>IFERROR(__xludf.DUMMYFUNCTION("""COMPUTED_VALUE"""),"")</f>
        <v/>
      </c>
      <c r="F197" s="114"/>
      <c r="G197" s="114"/>
      <c r="H197" s="114"/>
      <c r="I197" s="114"/>
      <c r="J197" s="114"/>
      <c r="K197" s="114" t="s">
        <v>4483</v>
      </c>
      <c r="L197" s="114" t="s">
        <v>4484</v>
      </c>
      <c r="M197" s="114" t="s">
        <v>4485</v>
      </c>
      <c r="N197" s="114" t="s">
        <v>4486</v>
      </c>
      <c r="O197" s="114"/>
      <c r="P197" s="120">
        <v>146.0</v>
      </c>
      <c r="Q197" s="117" t="s">
        <v>4487</v>
      </c>
      <c r="R197" s="114"/>
      <c r="S197" s="117" t="s">
        <v>3880</v>
      </c>
      <c r="T197" s="114">
        <f t="shared" si="1"/>
        <v>196</v>
      </c>
      <c r="U197" s="114" t="s">
        <v>930</v>
      </c>
      <c r="V197" s="114" t="str">
        <f>IFERROR(__xludf.DUMMYFUNCTION("REGEXREPLACE(U197, ""\n"", "" "")"),"Queen")</f>
        <v>Queen</v>
      </c>
      <c r="W197" s="114"/>
      <c r="X197" s="115" t="str">
        <f t="shared" si="2"/>
        <v>196 Animal Kingdom Pirates / Lead Performer - Queen - Medal [Queen]</v>
      </c>
      <c r="Y197" s="119"/>
      <c r="Z197" s="117" t="s">
        <v>4488</v>
      </c>
      <c r="AA197" s="117" t="s">
        <v>2619</v>
      </c>
      <c r="AB197" s="114"/>
      <c r="AC197" s="123" t="str">
        <f>IFERROR(__xludf.DUMMYFUNCTION("""COMPUTED_VALUE"""),"https://ik.imagekit.io/alaaalaa6171/147%20The%20Billion-Fold%20World%20Trichiliocosm%20-%20Roronoa%20Zoro%20-%20Medal%20_The%20Billion_Fold%20World%20Trichiliocosm_.png?updatedAt=1770076430783")</f>
        <v>https://ik.imagekit.io/alaaalaa6171/147%20The%20Billion-Fold%20World%20Trichiliocosm%20-%20Roronoa%20Zoro%20-%20Medal%20_The%20Billion_Fold%20World%20Trichiliocosm_.png?updatedAt=1770076430783</v>
      </c>
      <c r="AD197" s="123" t="str">
        <f>IFERROR(__xludf.DUMMYFUNCTION("""COMPUTED_VALUE"""),"https://ik.imagekit.io/alaaalaa6171/147%20The%20Billion-Fold%20World%20Trichiliocosm%20-%20Roronoa%20Zoro%20-%20Medal%20_The%20Billion_Fold%20World%20Trichiliocosm_%20_Colored_.png?updatedAt=1770076430782")</f>
        <v>https://ik.imagekit.io/alaaalaa6171/147%20The%20Billion-Fold%20World%20Trichiliocosm%20-%20Roronoa%20Zoro%20-%20Medal%20_The%20Billion_Fold%20World%20Trichiliocosm_%20_Colored_.png?updatedAt=1770076430782</v>
      </c>
      <c r="AE197" s="123" t="str">
        <f>IFERROR(__xludf.DUMMYFUNCTION("""COMPUTED_VALUE"""),"https://ik.imagekit.io/alaaalaa6171/147%20The%20Billion-Fold%20World%20Trichiliocosm%20-%20Roronoa%20Zoro%20-%20Medal%20_The%20Billion_Fold%20World%20Trichiliocosm_%20-%20Piece.png?updatedAt=1770076430780")</f>
        <v>https://ik.imagekit.io/alaaalaa6171/147%20The%20Billion-Fold%20World%20Trichiliocosm%20-%20Roronoa%20Zoro%20-%20Medal%20_The%20Billion_Fold%20World%20Trichiliocosm_%20-%20Piece.png?updatedAt=1770076430780</v>
      </c>
      <c r="AF197" s="123" t="str">
        <f>IFERROR(__xludf.DUMMYFUNCTION("""COMPUTED_VALUE"""),"https://ik.imagekit.io/alaaalaa6171/147%20The%20Billion-Fold%20World%20Trichiliocosm%20-%20Roronoa%20Zoro%20-%20Medal%20_The%20Billion_Fold%20World%20Trichiliocosm_%20-%20Piece%20_Colored_.png?updatedAt=1770076430788")</f>
        <v>https://ik.imagekit.io/alaaalaa6171/147%20The%20Billion-Fold%20World%20Trichiliocosm%20-%20Roronoa%20Zoro%20-%20Medal%20_The%20Billion_Fold%20World%20Trichiliocosm_%20-%20Piece%20_Colored_.png?updatedAt=1770076430788</v>
      </c>
      <c r="AG197" s="114"/>
      <c r="AH197" s="114"/>
      <c r="AI197" s="121" t="s">
        <v>4489</v>
      </c>
      <c r="AJ197" s="121" t="str">
        <f>IFERROR(__xludf.DUMMYFUNCTION("regexreplace(regexreplace(AI197, ""  \["", "" ""), ""\]$"", """")"),"196 - Animal Kingdom Pirates_Lead Performer ~ Queen - Medal - Crafted [Colored] - Queen")</f>
        <v>196 - Animal Kingdom Pirates_Lead Performer ~ Queen - Medal - Crafted [Colored] - Queen</v>
      </c>
      <c r="AK197" s="114"/>
      <c r="AL197" s="117" t="s">
        <v>4490</v>
      </c>
      <c r="AM197" s="117" t="s">
        <v>4491</v>
      </c>
      <c r="AN197" s="114"/>
      <c r="AO197" s="122">
        <f>IFERROR(__xludf.DUMMYFUNCTION("""COMPUTED_VALUE"""),112.0)</f>
        <v>112</v>
      </c>
      <c r="AP197" s="114" t="str">
        <f>IFERROR(__xludf.DUMMYFUNCTION("""COMPUTED_VALUE"""),"Pica")</f>
        <v>Pica</v>
      </c>
      <c r="AQ197" s="114" t="str">
        <f>IFERROR(__xludf.DUMMYFUNCTION("""COMPUTED_VALUE"""),"Pica")</f>
        <v>Pica</v>
      </c>
      <c r="AR197" s="114"/>
      <c r="AS197" s="114"/>
      <c r="AT197" s="123" t="str">
        <f>IFERROR(__xludf.DUMMYFUNCTION("""COMPUTED_VALUE"""),"https://i.postimg.cc/fbyZ1czn/112.png")</f>
        <v>https://i.postimg.cc/fbyZ1czn/112.png</v>
      </c>
      <c r="AU197" s="114"/>
      <c r="AV197" s="114"/>
      <c r="AW197" s="114"/>
      <c r="AX197" s="114" t="str">
        <f t="shared" si="3"/>
        <v>112 - Medal [Event] - Crafted - Pica</v>
      </c>
      <c r="AY197" s="114" t="s">
        <v>4492</v>
      </c>
      <c r="AZ197" s="114"/>
      <c r="BA197" s="114"/>
      <c r="BB197" s="114"/>
      <c r="BC197" s="114"/>
      <c r="BD197" s="114"/>
      <c r="BE197" s="114"/>
    </row>
    <row r="198" ht="37.5" customHeight="1">
      <c r="A198" s="118" t="s">
        <v>4493</v>
      </c>
      <c r="B198" s="117" t="s">
        <v>3873</v>
      </c>
      <c r="C198" s="119">
        <f>IFERROR(__xludf.DUMMYFUNCTION("""COMPUTED_VALUE"""),145.0)</f>
        <v>145</v>
      </c>
      <c r="D198" s="114" t="str">
        <f>IFERROR(__xludf.DUMMYFUNCTION("""COMPUTED_VALUE"""),"Kin``emon")</f>
        <v>Kin``emon</v>
      </c>
      <c r="E198" s="114" t="str">
        <f>IFERROR(__xludf.DUMMYFUNCTION("""COMPUTED_VALUE"""),"")</f>
        <v/>
      </c>
      <c r="F198" s="114"/>
      <c r="G198" s="114"/>
      <c r="H198" s="114"/>
      <c r="I198" s="114"/>
      <c r="J198" s="114"/>
      <c r="K198" s="114" t="s">
        <v>4494</v>
      </c>
      <c r="L198" s="114" t="s">
        <v>4495</v>
      </c>
      <c r="M198" s="114" t="s">
        <v>4496</v>
      </c>
      <c r="N198" s="114" t="s">
        <v>4497</v>
      </c>
      <c r="O198" s="114"/>
      <c r="P198" s="120">
        <v>145.0</v>
      </c>
      <c r="Q198" s="117" t="s">
        <v>4498</v>
      </c>
      <c r="R198" s="114"/>
      <c r="S198" s="117" t="s">
        <v>3867</v>
      </c>
      <c r="T198" s="114">
        <f t="shared" si="1"/>
        <v>197</v>
      </c>
      <c r="U198" s="114" t="s">
        <v>925</v>
      </c>
      <c r="V198" s="114" t="str">
        <f>IFERROR(__xludf.DUMMYFUNCTION("REGEXREPLACE(U198, ""\n"", "" "")"),"Blast Breath")</f>
        <v>Blast Breath</v>
      </c>
      <c r="W198" s="114"/>
      <c r="X198" s="115" t="str">
        <f t="shared" si="2"/>
        <v>197 The Strongest Creature Alive - Kaido - Medal [Blast Breath]</v>
      </c>
      <c r="Y198" s="119"/>
      <c r="Z198" s="117" t="s">
        <v>4499</v>
      </c>
      <c r="AA198" s="117" t="s">
        <v>2617</v>
      </c>
      <c r="AB198" s="114"/>
      <c r="AC198" s="123" t="str">
        <f>IFERROR(__xludf.DUMMYFUNCTION("""COMPUTED_VALUE"""),"https://ik.imagekit.io/alaaalaa6171/146%20Luffy%20&amp;%20Law%20Pirate%20Alliance%20-%20Monkey%20D.%20Luffy%201%20-%20Medal%20_Fire_Fist%20Pistol%20Red%20Hawk_.png?updatedAt=1770076430791")</f>
        <v>https://ik.imagekit.io/alaaalaa6171/146%20Luffy%20&amp;%20Law%20Pirate%20Alliance%20-%20Monkey%20D.%20Luffy%201%20-%20Medal%20_Fire_Fist%20Pistol%20Red%20Hawk_.png?updatedAt=1770076430791</v>
      </c>
      <c r="AD198" s="123" t="str">
        <f>IFERROR(__xludf.DUMMYFUNCTION("""COMPUTED_VALUE"""),"https://ik.imagekit.io/alaaalaa6171/146%20Luffy%20&amp;%20Law%20Pirate%20Alliance%20-%20Monkey%20D.%20Luffy%201%20-%20Medal%20_Fire_Fist%20Pistol%20Red%20Hawk_%20_Colored_.png?updatedAt=1770076430777")</f>
        <v>https://ik.imagekit.io/alaaalaa6171/146%20Luffy%20&amp;%20Law%20Pirate%20Alliance%20-%20Monkey%20D.%20Luffy%201%20-%20Medal%20_Fire_Fist%20Pistol%20Red%20Hawk_%20_Colored_.png?updatedAt=1770076430777</v>
      </c>
      <c r="AE198" s="123" t="str">
        <f>IFERROR(__xludf.DUMMYFUNCTION("""COMPUTED_VALUE"""),"https://ik.imagekit.io/alaaalaa6171/146%20Luffy%20&amp;%20Law%20Pirate%20Alliance%20-%20Monkey%20D.%20Luffy%201%20-%20Medal%20_Fire_Fist%20Pistol%20Red%20Hawk_%20-%20Piece.png?updatedAt=1770076430755")</f>
        <v>https://ik.imagekit.io/alaaalaa6171/146%20Luffy%20&amp;%20Law%20Pirate%20Alliance%20-%20Monkey%20D.%20Luffy%201%20-%20Medal%20_Fire_Fist%20Pistol%20Red%20Hawk_%20-%20Piece.png?updatedAt=1770076430755</v>
      </c>
      <c r="AF198" s="123" t="str">
        <f>IFERROR(__xludf.DUMMYFUNCTION("""COMPUTED_VALUE"""),"https://ik.imagekit.io/alaaalaa6171/146%20Luffy%20&amp;%20Law%20Pirate%20Alliance%20-%20Monkey%20D.%20Luffy%201%20-%20Medal%20_Fire_Fist%20Pistol%20Red%20Hawk_%20-%20Piece%20_Colored_.png?updatedAt=1770076430752")</f>
        <v>https://ik.imagekit.io/alaaalaa6171/146%20Luffy%20&amp;%20Law%20Pirate%20Alliance%20-%20Monkey%20D.%20Luffy%201%20-%20Medal%20_Fire_Fist%20Pistol%20Red%20Hawk_%20-%20Piece%20_Colored_.png?updatedAt=1770076430752</v>
      </c>
      <c r="AG198" s="114"/>
      <c r="AH198" s="114"/>
      <c r="AI198" s="121" t="s">
        <v>4500</v>
      </c>
      <c r="AJ198" s="121" t="str">
        <f>IFERROR(__xludf.DUMMYFUNCTION("regexreplace(regexreplace(AI198, ""  \["", "" ""), ""\]$"", """")"),"197 - The Strongest Creature Alive ~ Kaido - Medal - Crafted [Colored] - Blast Breath")</f>
        <v>197 - The Strongest Creature Alive ~ Kaido - Medal - Crafted [Colored] - Blast Breath</v>
      </c>
      <c r="AK198" s="114"/>
      <c r="AL198" s="117" t="s">
        <v>4501</v>
      </c>
      <c r="AM198" s="117" t="s">
        <v>4502</v>
      </c>
      <c r="AN198" s="114"/>
      <c r="AO198" s="122">
        <f>IFERROR(__xludf.DUMMYFUNCTION("""COMPUTED_VALUE"""),111.0)</f>
        <v>111</v>
      </c>
      <c r="AP198" s="114" t="str">
        <f>IFERROR(__xludf.DUMMYFUNCTION("""COMPUTED_VALUE"""),"Izo
(Paramount War)")</f>
        <v>Izo
(Paramount War)</v>
      </c>
      <c r="AQ198" s="114" t="str">
        <f>IFERROR(__xludf.DUMMYFUNCTION("""COMPUTED_VALUE"""),"Izo (Paramount War)")</f>
        <v>Izo (Paramount War)</v>
      </c>
      <c r="AR198" s="114"/>
      <c r="AS198" s="114"/>
      <c r="AT198" s="123" t="str">
        <f>IFERROR(__xludf.DUMMYFUNCTION("""COMPUTED_VALUE"""),"https://i.postimg.cc/RFnmZvJg/111.png")</f>
        <v>https://i.postimg.cc/RFnmZvJg/111.png</v>
      </c>
      <c r="AU198" s="114"/>
      <c r="AV198" s="114"/>
      <c r="AW198" s="114"/>
      <c r="AX198" s="114" t="str">
        <f t="shared" si="3"/>
        <v>111 - Medal [Event] - Crafted - Izo (Paramount War)</v>
      </c>
      <c r="AY198" s="114" t="s">
        <v>4503</v>
      </c>
      <c r="AZ198" s="114"/>
      <c r="BA198" s="114"/>
      <c r="BB198" s="114"/>
      <c r="BC198" s="114"/>
      <c r="BD198" s="114"/>
      <c r="BE198" s="114"/>
    </row>
    <row r="199" ht="37.5" customHeight="1">
      <c r="A199" s="118" t="s">
        <v>4504</v>
      </c>
      <c r="B199" s="117" t="s">
        <v>3860</v>
      </c>
      <c r="C199" s="119">
        <f>IFERROR(__xludf.DUMMYFUNCTION("""COMPUTED_VALUE"""),144.0)</f>
        <v>144</v>
      </c>
      <c r="D199" s="114" t="str">
        <f>IFERROR(__xludf.DUMMYFUNCTION("""COMPUTED_VALUE"""),"Pheasant Peck")</f>
        <v>Pheasant Peck</v>
      </c>
      <c r="E199" s="114" t="str">
        <f>IFERROR(__xludf.DUMMYFUNCTION("""COMPUTED_VALUE"""),"")</f>
        <v/>
      </c>
      <c r="F199" s="114"/>
      <c r="G199" s="114"/>
      <c r="H199" s="114"/>
      <c r="I199" s="114"/>
      <c r="J199" s="114"/>
      <c r="K199" s="114" t="s">
        <v>4505</v>
      </c>
      <c r="L199" s="114" t="s">
        <v>4506</v>
      </c>
      <c r="M199" s="114" t="s">
        <v>4507</v>
      </c>
      <c r="N199" s="114" t="s">
        <v>4508</v>
      </c>
      <c r="O199" s="114"/>
      <c r="P199" s="120">
        <v>144.0</v>
      </c>
      <c r="Q199" s="117" t="s">
        <v>4509</v>
      </c>
      <c r="R199" s="114"/>
      <c r="S199" s="117" t="s">
        <v>3854</v>
      </c>
      <c r="T199" s="114">
        <f t="shared" si="1"/>
        <v>198</v>
      </c>
      <c r="U199" s="114" t="s">
        <v>920</v>
      </c>
      <c r="V199" s="114" t="str">
        <f>IFERROR(__xludf.DUMMYFUNCTION("REGEXREPLACE(U199, ""\n"", "" "")"),"Straw Hat")</f>
        <v>Straw Hat</v>
      </c>
      <c r="W199" s="114"/>
      <c r="X199" s="115" t="str">
        <f t="shared" si="2"/>
        <v>198 Man Who Dreams of Becoming the King of the Pirates - Monkey D. Luffy - Medal [Straw Hat]</v>
      </c>
      <c r="Y199" s="119"/>
      <c r="Z199" s="117" t="s">
        <v>4510</v>
      </c>
      <c r="AA199" s="117" t="s">
        <v>2629</v>
      </c>
      <c r="AB199" s="114"/>
      <c r="AC199" s="123" t="str">
        <f>IFERROR(__xludf.DUMMYFUNCTION("""COMPUTED_VALUE"""),"https://ik.imagekit.io/alaaalaa6171/145%20Kozuki%20Clan_Servant%20-%20Kin'emon%20-%20Medal%20_Kin%60%60emon_.png?updatedAt=1770076429775")</f>
        <v>https://ik.imagekit.io/alaaalaa6171/145%20Kozuki%20Clan_Servant%20-%20Kin'emon%20-%20Medal%20_Kin%60%60emon_.png?updatedAt=1770076429775</v>
      </c>
      <c r="AD199" s="123" t="str">
        <f>IFERROR(__xludf.DUMMYFUNCTION("""COMPUTED_VALUE"""),"https://ik.imagekit.io/alaaalaa6171/145%20Kozuki%20Clan_Servant%20-%20Kin'emon%20-%20Medal%20_Kin%60%60emon_%20_Colored_.png?updatedAt=1770076429449")</f>
        <v>https://ik.imagekit.io/alaaalaa6171/145%20Kozuki%20Clan_Servant%20-%20Kin'emon%20-%20Medal%20_Kin%60%60emon_%20_Colored_.png?updatedAt=1770076429449</v>
      </c>
      <c r="AE199" s="123" t="str">
        <f>IFERROR(__xludf.DUMMYFUNCTION("""COMPUTED_VALUE"""),"https://ik.imagekit.io/alaaalaa6171/145%20Kozuki%20Clan_Servant%20-%20Kin'emon%20-%20Medal%20_Kin%60%60emon_%20-%20Piece.png?updatedAt=1770076429095")</f>
        <v>https://ik.imagekit.io/alaaalaa6171/145%20Kozuki%20Clan_Servant%20-%20Kin'emon%20-%20Medal%20_Kin%60%60emon_%20-%20Piece.png?updatedAt=1770076429095</v>
      </c>
      <c r="AF199" s="123" t="str">
        <f>IFERROR(__xludf.DUMMYFUNCTION("""COMPUTED_VALUE"""),"https://ik.imagekit.io/alaaalaa6171/145%20Kozuki%20Clan_Servant%20-%20Kin'emon%20-%20Medal%20_Kin%60%60emon_%20-%20Piece%20_Colored_.png?updatedAt=1770076426864")</f>
        <v>https://ik.imagekit.io/alaaalaa6171/145%20Kozuki%20Clan_Servant%20-%20Kin'emon%20-%20Medal%20_Kin%60%60emon_%20-%20Piece%20_Colored_.png?updatedAt=1770076426864</v>
      </c>
      <c r="AG199" s="114"/>
      <c r="AH199" s="114"/>
      <c r="AI199" s="121" t="s">
        <v>4511</v>
      </c>
      <c r="AJ199" s="121" t="str">
        <f>IFERROR(__xludf.DUMMYFUNCTION("regexreplace(regexreplace(AI199, ""  \["", "" ""), ""\]$"", """")"),"198 - Man Who Dreams of Becoming the King of the Pirates ~ Monkey D. Luffy - Medal - Crafted [Colored] - Straw Hat")</f>
        <v>198 - Man Who Dreams of Becoming the King of the Pirates ~ Monkey D. Luffy - Medal - Crafted [Colored] - Straw Hat</v>
      </c>
      <c r="AK199" s="114"/>
      <c r="AL199" s="117" t="s">
        <v>4512</v>
      </c>
      <c r="AM199" s="117" t="s">
        <v>4513</v>
      </c>
      <c r="AN199" s="114"/>
      <c r="AO199" s="122">
        <f>IFERROR(__xludf.DUMMYFUNCTION("""COMPUTED_VALUE"""),110.0)</f>
        <v>110</v>
      </c>
      <c r="AP199" s="114" t="str">
        <f>IFERROR(__xludf.DUMMYFUNCTION("""COMPUTED_VALUE"""),"Vista
(Paramount War)")</f>
        <v>Vista
(Paramount War)</v>
      </c>
      <c r="AQ199" s="114" t="str">
        <f>IFERROR(__xludf.DUMMYFUNCTION("""COMPUTED_VALUE"""),"Vista (Paramount War)")</f>
        <v>Vista (Paramount War)</v>
      </c>
      <c r="AR199" s="114"/>
      <c r="AS199" s="114"/>
      <c r="AT199" s="123" t="str">
        <f>IFERROR(__xludf.DUMMYFUNCTION("""COMPUTED_VALUE"""),"https://i.postimg.cc/L5KpqGz2/110.png")</f>
        <v>https://i.postimg.cc/L5KpqGz2/110.png</v>
      </c>
      <c r="AU199" s="114"/>
      <c r="AV199" s="114"/>
      <c r="AW199" s="114"/>
      <c r="AX199" s="114" t="str">
        <f t="shared" si="3"/>
        <v>110 - Medal [Event] - Crafted - Vista (Paramount War)</v>
      </c>
      <c r="AY199" s="114" t="s">
        <v>4514</v>
      </c>
      <c r="AZ199" s="114"/>
      <c r="BA199" s="114"/>
      <c r="BB199" s="114"/>
      <c r="BC199" s="114"/>
      <c r="BD199" s="114"/>
      <c r="BE199" s="114"/>
    </row>
    <row r="200" ht="37.5" customHeight="1">
      <c r="A200" s="118" t="s">
        <v>4515</v>
      </c>
      <c r="B200" s="117" t="s">
        <v>3846</v>
      </c>
      <c r="C200" s="119">
        <f>IFERROR(__xludf.DUMMYFUNCTION("""COMPUTED_VALUE"""),143.0)</f>
        <v>143</v>
      </c>
      <c r="D200" s="114" t="str">
        <f>IFERROR(__xludf.DUMMYFUNCTION("""COMPUTED_VALUE"""),"Smoker
(Chambres)")</f>
        <v>Smoker
(Chambres)</v>
      </c>
      <c r="E200" s="114" t="str">
        <f>IFERROR(__xludf.DUMMYFUNCTION("""COMPUTED_VALUE"""),"")</f>
        <v/>
      </c>
      <c r="F200" s="114"/>
      <c r="G200" s="114"/>
      <c r="H200" s="114"/>
      <c r="I200" s="114"/>
      <c r="J200" s="114"/>
      <c r="K200" s="114" t="s">
        <v>4516</v>
      </c>
      <c r="L200" s="114" t="s">
        <v>4517</v>
      </c>
      <c r="M200" s="114" t="s">
        <v>4518</v>
      </c>
      <c r="N200" s="114" t="s">
        <v>4519</v>
      </c>
      <c r="O200" s="114"/>
      <c r="P200" s="120">
        <v>143.0</v>
      </c>
      <c r="Q200" s="117" t="s">
        <v>4520</v>
      </c>
      <c r="R200" s="114"/>
      <c r="S200" s="117" t="s">
        <v>3827</v>
      </c>
      <c r="T200" s="114">
        <f t="shared" si="1"/>
        <v>200</v>
      </c>
      <c r="U200" s="114" t="s">
        <v>911</v>
      </c>
      <c r="V200" s="114" t="str">
        <f>IFERROR(__xludf.DUMMYFUNCTION("REGEXREPLACE(U200, ""\n"", "" "")"),"Soba Mask")</f>
        <v>Soba Mask</v>
      </c>
      <c r="W200" s="114"/>
      <c r="X200" s="115" t="str">
        <f t="shared" si="2"/>
        <v>200 Stealth Black - Soba Mask - Medal [Soba Mask]</v>
      </c>
      <c r="Y200" s="119"/>
      <c r="Z200" s="117" t="s">
        <v>4521</v>
      </c>
      <c r="AA200" s="117" t="s">
        <v>2631</v>
      </c>
      <c r="AB200" s="114"/>
      <c r="AC200" s="123" t="str">
        <f>IFERROR(__xludf.DUMMYFUNCTION("""COMPUTED_VALUE"""),"https://ik.imagekit.io/alaaalaa6171/144%20Former%20Navy%20Admiral%20-%20Kuzan%20-%20Medal%20_Pheasant%20Peck_.png?updatedAt=1770076426866")</f>
        <v>https://ik.imagekit.io/alaaalaa6171/144%20Former%20Navy%20Admiral%20-%20Kuzan%20-%20Medal%20_Pheasant%20Peck_.png?updatedAt=1770076426866</v>
      </c>
      <c r="AD200" s="123" t="str">
        <f>IFERROR(__xludf.DUMMYFUNCTION("""COMPUTED_VALUE"""),"https://ik.imagekit.io/alaaalaa6171/144%20Former%20Navy%20Admiral%20-%20Kuzan%20-%20Medal%20_Pheasant%20Peck_%20_Colored_.png?updatedAt=1770076426813")</f>
        <v>https://ik.imagekit.io/alaaalaa6171/144%20Former%20Navy%20Admiral%20-%20Kuzan%20-%20Medal%20_Pheasant%20Peck_%20_Colored_.png?updatedAt=1770076426813</v>
      </c>
      <c r="AE200" s="123" t="str">
        <f>IFERROR(__xludf.DUMMYFUNCTION("""COMPUTED_VALUE"""),"https://ik.imagekit.io/alaaalaa6171/144%20Former%20Navy%20Admiral%20-%20Kuzan%20-%20Medal%20_Pheasant%20Peck_%20-%20Piece.png?updatedAt=1770076426776")</f>
        <v>https://ik.imagekit.io/alaaalaa6171/144%20Former%20Navy%20Admiral%20-%20Kuzan%20-%20Medal%20_Pheasant%20Peck_%20-%20Piece.png?updatedAt=1770076426776</v>
      </c>
      <c r="AF200" s="123" t="str">
        <f>IFERROR(__xludf.DUMMYFUNCTION("""COMPUTED_VALUE"""),"https://ik.imagekit.io/alaaalaa6171/144%20Former%20Navy%20Admiral%20-%20Kuzan%20-%20Medal%20_Pheasant%20Peck_%20-%20Piece%20_Colored_.png?updatedAt=1770076426808")</f>
        <v>https://ik.imagekit.io/alaaalaa6171/144%20Former%20Navy%20Admiral%20-%20Kuzan%20-%20Medal%20_Pheasant%20Peck_%20-%20Piece%20_Colored_.png?updatedAt=1770076426808</v>
      </c>
      <c r="AG200" s="114"/>
      <c r="AH200" s="114"/>
      <c r="AI200" s="121" t="s">
        <v>4522</v>
      </c>
      <c r="AJ200" s="121" t="str">
        <f>IFERROR(__xludf.DUMMYFUNCTION("regexreplace(regexreplace(AI200, ""  \["", "" ""), ""\]$"", """")"),"199 - Germa 66_Generalissimo ~ Vinsmoke Judge 1 - Medal - Crafted [Colored] - Judge")</f>
        <v>199 - Germa 66_Generalissimo ~ Vinsmoke Judge 1 - Medal - Crafted [Colored] - Judge</v>
      </c>
      <c r="AK200" s="114"/>
      <c r="AL200" s="117" t="s">
        <v>4523</v>
      </c>
      <c r="AM200" s="117" t="s">
        <v>4524</v>
      </c>
      <c r="AN200" s="114"/>
      <c r="AO200" s="122">
        <f>IFERROR(__xludf.DUMMYFUNCTION("""COMPUTED_VALUE"""),109.0)</f>
        <v>109</v>
      </c>
      <c r="AP200" s="114" t="str">
        <f>IFERROR(__xludf.DUMMYFUNCTION("""COMPUTED_VALUE"""),"Ronin")</f>
        <v>Ronin</v>
      </c>
      <c r="AQ200" s="114" t="str">
        <f>IFERROR(__xludf.DUMMYFUNCTION("""COMPUTED_VALUE"""),"Ronin")</f>
        <v>Ronin</v>
      </c>
      <c r="AR200" s="114"/>
      <c r="AS200" s="114"/>
      <c r="AT200" s="123" t="str">
        <f>IFERROR(__xludf.DUMMYFUNCTION("""COMPUTED_VALUE"""),"https://i.postimg.cc/yxmz0nP9/109.png")</f>
        <v>https://i.postimg.cc/yxmz0nP9/109.png</v>
      </c>
      <c r="AU200" s="114"/>
      <c r="AV200" s="114"/>
      <c r="AW200" s="114"/>
      <c r="AX200" s="114" t="str">
        <f t="shared" si="3"/>
        <v>109 - Medal [Event] - Crafted - Ronin</v>
      </c>
      <c r="AY200" s="114" t="s">
        <v>4525</v>
      </c>
      <c r="AZ200" s="114"/>
      <c r="BA200" s="114"/>
      <c r="BB200" s="114"/>
      <c r="BC200" s="114"/>
      <c r="BD200" s="114"/>
      <c r="BE200" s="114"/>
    </row>
    <row r="201" ht="37.5" customHeight="1">
      <c r="A201" s="118" t="s">
        <v>4526</v>
      </c>
      <c r="B201" s="117" t="s">
        <v>3833</v>
      </c>
      <c r="C201" s="119">
        <f>IFERROR(__xludf.DUMMYFUNCTION("""COMPUTED_VALUE"""),142.0)</f>
        <v>142</v>
      </c>
      <c r="D201" s="114" t="str">
        <f>IFERROR(__xludf.DUMMYFUNCTION("""COMPUTED_VALUE"""),"Spiky Shadow Iizard")</f>
        <v>Spiky Shadow Iizard</v>
      </c>
      <c r="E201" s="114" t="str">
        <f>IFERROR(__xludf.DUMMYFUNCTION("""COMPUTED_VALUE"""),"")</f>
        <v/>
      </c>
      <c r="F201" s="114"/>
      <c r="G201" s="114"/>
      <c r="H201" s="114"/>
      <c r="I201" s="114"/>
      <c r="J201" s="114"/>
      <c r="K201" s="114" t="s">
        <v>4527</v>
      </c>
      <c r="L201" s="114" t="s">
        <v>4528</v>
      </c>
      <c r="M201" s="114" t="s">
        <v>4529</v>
      </c>
      <c r="N201" s="114" t="s">
        <v>4530</v>
      </c>
      <c r="O201" s="114"/>
      <c r="P201" s="120">
        <v>142.0</v>
      </c>
      <c r="Q201" s="117" t="s">
        <v>4531</v>
      </c>
      <c r="R201" s="114"/>
      <c r="S201" s="117" t="s">
        <v>3840</v>
      </c>
      <c r="T201" s="114">
        <f t="shared" si="1"/>
        <v>199</v>
      </c>
      <c r="U201" s="114" t="s">
        <v>916</v>
      </c>
      <c r="V201" s="114" t="str">
        <f>IFERROR(__xludf.DUMMYFUNCTION("REGEXREPLACE(U201, ""\n"", "" "")"),"Judge")</f>
        <v>Judge</v>
      </c>
      <c r="W201" s="114"/>
      <c r="X201" s="115" t="str">
        <f t="shared" si="2"/>
        <v>199 Germa 66 / Generalissimo - Vinsmoke Judge 1 - Medal [Judge]</v>
      </c>
      <c r="Y201" s="119"/>
      <c r="Z201" s="117" t="s">
        <v>4532</v>
      </c>
      <c r="AA201" s="117" t="s">
        <v>2632</v>
      </c>
      <c r="AB201" s="114"/>
      <c r="AC201" s="123" t="str">
        <f>IFERROR(__xludf.DUMMYFUNCTION("""COMPUTED_VALUE"""),"https://ik.imagekit.io/alaaalaa6171/143%20Punk%20Hazard%20-%20Smoker%20(Chambres)%20-%20Medal%20_Smoker%20(Chambres)_.png?updatedAt=1770076426784")</f>
        <v>https://ik.imagekit.io/alaaalaa6171/143%20Punk%20Hazard%20-%20Smoker%20(Chambres)%20-%20Medal%20_Smoker%20(Chambres)_.png?updatedAt=1770076426784</v>
      </c>
      <c r="AD201" s="123" t="str">
        <f>IFERROR(__xludf.DUMMYFUNCTION("""COMPUTED_VALUE"""),"https://ik.imagekit.io/alaaalaa6171/143%20Punk%20Hazard%20-%20Smoker%20(Chambres)%20-%20Medal%20_Smoker%20(Chambres)_%20_Colored_.png?updatedAt=1770076426817")</f>
        <v>https://ik.imagekit.io/alaaalaa6171/143%20Punk%20Hazard%20-%20Smoker%20(Chambres)%20-%20Medal%20_Smoker%20(Chambres)_%20_Colored_.png?updatedAt=1770076426817</v>
      </c>
      <c r="AE201" s="123" t="str">
        <f>IFERROR(__xludf.DUMMYFUNCTION("""COMPUTED_VALUE"""),"https://ik.imagekit.io/alaaalaa6171/143%20Punk%20Hazard%20-%20Smoker%20(Chambres)%20-%20Medal%20_Smoker%20(Chambres)_%20-%20Piece.png?updatedAt=1770076426768")</f>
        <v>https://ik.imagekit.io/alaaalaa6171/143%20Punk%20Hazard%20-%20Smoker%20(Chambres)%20-%20Medal%20_Smoker%20(Chambres)_%20-%20Piece.png?updatedAt=1770076426768</v>
      </c>
      <c r="AF201" s="123" t="str">
        <f>IFERROR(__xludf.DUMMYFUNCTION("""COMPUTED_VALUE"""),"https://ik.imagekit.io/alaaalaa6171/143%20Punk%20Hazard%20-%20Smoker%20(Chambres)%20-%20Medal%20_Smoker%20(Chambres)_%20-%20Piece%20_Colored_.png?updatedAt=1770076426754")</f>
        <v>https://ik.imagekit.io/alaaalaa6171/143%20Punk%20Hazard%20-%20Smoker%20(Chambres)%20-%20Medal%20_Smoker%20(Chambres)_%20-%20Piece%20_Colored_.png?updatedAt=1770076426754</v>
      </c>
      <c r="AG201" s="114"/>
      <c r="AH201" s="114"/>
      <c r="AI201" s="121" t="s">
        <v>4533</v>
      </c>
      <c r="AJ201" s="121" t="str">
        <f>IFERROR(__xludf.DUMMYFUNCTION("regexreplace(regexreplace(AI201, ""  \["", "" ""), ""\]$"", """")"),"200 - Stealth Black ~ Soba Mask - Medal - Crafted [Colored] - Soba Mask")</f>
        <v>200 - Stealth Black ~ Soba Mask - Medal - Crafted [Colored] - Soba Mask</v>
      </c>
      <c r="AK201" s="114"/>
      <c r="AL201" s="117" t="s">
        <v>4534</v>
      </c>
      <c r="AM201" s="117" t="s">
        <v>4535</v>
      </c>
      <c r="AN201" s="114"/>
      <c r="AO201" s="122">
        <f>IFERROR(__xludf.DUMMYFUNCTION("""COMPUTED_VALUE"""),108.0)</f>
        <v>108</v>
      </c>
      <c r="AP201" s="114" t="str">
        <f>IFERROR(__xludf.DUMMYFUNCTION("""COMPUTED_VALUE"""),"Soba Cart Cook")</f>
        <v>Soba Cart Cook</v>
      </c>
      <c r="AQ201" s="114" t="str">
        <f>IFERROR(__xludf.DUMMYFUNCTION("""COMPUTED_VALUE"""),"Soba Cart Cook")</f>
        <v>Soba Cart Cook</v>
      </c>
      <c r="AR201" s="114"/>
      <c r="AS201" s="114"/>
      <c r="AT201" s="123" t="str">
        <f>IFERROR(__xludf.DUMMYFUNCTION("""COMPUTED_VALUE"""),"https://i.postimg.cc/qBy0fMTR/108.png")</f>
        <v>https://i.postimg.cc/qBy0fMTR/108.png</v>
      </c>
      <c r="AU201" s="114"/>
      <c r="AV201" s="114"/>
      <c r="AW201" s="114"/>
      <c r="AX201" s="114" t="str">
        <f t="shared" si="3"/>
        <v>108 - Medal [Event] - Crafted - Soba Cart Cook</v>
      </c>
      <c r="AY201" s="114" t="s">
        <v>4536</v>
      </c>
      <c r="AZ201" s="114"/>
      <c r="BA201" s="114"/>
      <c r="BB201" s="114"/>
      <c r="BC201" s="114"/>
      <c r="BD201" s="114"/>
      <c r="BE201" s="114"/>
    </row>
    <row r="202" ht="37.5" customHeight="1">
      <c r="A202" s="118" t="s">
        <v>4537</v>
      </c>
      <c r="B202" s="117" t="s">
        <v>3820</v>
      </c>
      <c r="C202" s="119">
        <f>IFERROR(__xludf.DUMMYFUNCTION("""COMPUTED_VALUE"""),141.0)</f>
        <v>141</v>
      </c>
      <c r="D202" s="114" t="str">
        <f>IFERROR(__xludf.DUMMYFUNCTION("""COMPUTED_VALUE"""),"Crescent Cutlass")</f>
        <v>Crescent Cutlass</v>
      </c>
      <c r="E202" s="114" t="str">
        <f>IFERROR(__xludf.DUMMYFUNCTION("""COMPUTED_VALUE"""),"")</f>
        <v/>
      </c>
      <c r="F202" s="114"/>
      <c r="G202" s="114"/>
      <c r="H202" s="114"/>
      <c r="I202" s="114"/>
      <c r="J202" s="114"/>
      <c r="K202" s="114" t="s">
        <v>4538</v>
      </c>
      <c r="L202" s="114" t="s">
        <v>4539</v>
      </c>
      <c r="M202" s="114" t="s">
        <v>4540</v>
      </c>
      <c r="N202" s="114" t="s">
        <v>4541</v>
      </c>
      <c r="O202" s="114"/>
      <c r="P202" s="120">
        <v>141.0</v>
      </c>
      <c r="Q202" s="117" t="s">
        <v>4542</v>
      </c>
      <c r="R202" s="114"/>
      <c r="S202" s="117" t="s">
        <v>3814</v>
      </c>
      <c r="T202" s="114">
        <f t="shared" si="1"/>
        <v>201</v>
      </c>
      <c r="U202" s="114" t="s">
        <v>905</v>
      </c>
      <c r="V202" s="114" t="str">
        <f>IFERROR(__xludf.DUMMYFUNCTION("REGEXREPLACE(U202, ""\n"", "" "")"),"Burgess")</f>
        <v>Burgess</v>
      </c>
      <c r="W202" s="114"/>
      <c r="X202" s="115" t="str">
        <f t="shared" si="2"/>
        <v>201 Blackbeard Pirates / Helsman "Champ" - Jesus Burgess - Medal [Burgess]</v>
      </c>
      <c r="Y202" s="119"/>
      <c r="Z202" s="117" t="s">
        <v>4543</v>
      </c>
      <c r="AA202" s="117" t="s">
        <v>2630</v>
      </c>
      <c r="AB202" s="114"/>
      <c r="AC202" s="123" t="str">
        <f>IFERROR(__xludf.DUMMYFUNCTION("""COMPUTED_VALUE"""),"https://ik.imagekit.io/alaaalaa6171/142%20The%20Parmount%20War%20-%20Gecko%20Moria%20-%20Medal%20_Spiky%20Shadow%20Iizard_.png?updatedAt=1770076426757")</f>
        <v>https://ik.imagekit.io/alaaalaa6171/142%20The%20Parmount%20War%20-%20Gecko%20Moria%20-%20Medal%20_Spiky%20Shadow%20Iizard_.png?updatedAt=1770076426757</v>
      </c>
      <c r="AD202" s="123" t="str">
        <f>IFERROR(__xludf.DUMMYFUNCTION("""COMPUTED_VALUE"""),"https://ik.imagekit.io/alaaalaa6171/142%20The%20Parmount%20War%20-%20Gecko%20Moria%20-%20Medal%20_Spiky%20Shadow%20Iizard_%20_Colored_.png?updatedAt=1770076426742")</f>
        <v>https://ik.imagekit.io/alaaalaa6171/142%20The%20Parmount%20War%20-%20Gecko%20Moria%20-%20Medal%20_Spiky%20Shadow%20Iizard_%20_Colored_.png?updatedAt=1770076426742</v>
      </c>
      <c r="AE202" s="123" t="str">
        <f>IFERROR(__xludf.DUMMYFUNCTION("""COMPUTED_VALUE"""),"https://ik.imagekit.io/alaaalaa6171/142%20The%20Parmount%20War%20-%20Gecko%20Moria%20-%20Medal%20_Spiky%20Shadow%20Iizard_%20-%20Piece.png?updatedAt=1770076426813")</f>
        <v>https://ik.imagekit.io/alaaalaa6171/142%20The%20Parmount%20War%20-%20Gecko%20Moria%20-%20Medal%20_Spiky%20Shadow%20Iizard_%20-%20Piece.png?updatedAt=1770076426813</v>
      </c>
      <c r="AF202" s="123" t="str">
        <f>IFERROR(__xludf.DUMMYFUNCTION("""COMPUTED_VALUE"""),"https://ik.imagekit.io/alaaalaa6171/142%20The%20Parmount%20War%20-%20Gecko%20Moria%20-%20Medal%20_Spiky%20Shadow%20Iizard_%20-%20Piece%20_Colored_.png?updatedAt=1770076426767")</f>
        <v>https://ik.imagekit.io/alaaalaa6171/142%20The%20Parmount%20War%20-%20Gecko%20Moria%20-%20Medal%20_Spiky%20Shadow%20Iizard_%20-%20Piece%20_Colored_.png?updatedAt=1770076426767</v>
      </c>
      <c r="AG202" s="114"/>
      <c r="AH202" s="114"/>
      <c r="AI202" s="121" t="s">
        <v>4544</v>
      </c>
      <c r="AJ202" s="121" t="str">
        <f>IFERROR(__xludf.DUMMYFUNCTION("regexreplace(regexreplace(AI202, ""  \["", "" ""), ""\]$"", """")"),"201 - Blackbeard Pirates_Helsman 'Champ' ~ Jesus Burgess - Medal - Crafted [Colored] - Burgess")</f>
        <v>201 - Blackbeard Pirates_Helsman 'Champ' ~ Jesus Burgess - Medal - Crafted [Colored] - Burgess</v>
      </c>
      <c r="AK202" s="114"/>
      <c r="AL202" s="117" t="s">
        <v>4545</v>
      </c>
      <c r="AM202" s="117" t="s">
        <v>4546</v>
      </c>
      <c r="AN202" s="114"/>
      <c r="AO202" s="122">
        <f>IFERROR(__xludf.DUMMYFUNCTION("""COMPUTED_VALUE"""),107.0)</f>
        <v>107</v>
      </c>
      <c r="AP202" s="114" t="str">
        <f>IFERROR(__xludf.DUMMYFUNCTION("""COMPUTED_VALUE"""),"Chaka")</f>
        <v>Chaka</v>
      </c>
      <c r="AQ202" s="114" t="str">
        <f>IFERROR(__xludf.DUMMYFUNCTION("""COMPUTED_VALUE"""),"Chaka")</f>
        <v>Chaka</v>
      </c>
      <c r="AR202" s="114"/>
      <c r="AS202" s="114"/>
      <c r="AT202" s="123" t="str">
        <f>IFERROR(__xludf.DUMMYFUNCTION("""COMPUTED_VALUE"""),"https://i.postimg.cc/4N1gdLnR/107.png")</f>
        <v>https://i.postimg.cc/4N1gdLnR/107.png</v>
      </c>
      <c r="AU202" s="114"/>
      <c r="AV202" s="114"/>
      <c r="AW202" s="114"/>
      <c r="AX202" s="114" t="str">
        <f t="shared" si="3"/>
        <v>107 - Medal [Event] - Crafted - Chaka</v>
      </c>
      <c r="AY202" s="114" t="s">
        <v>4547</v>
      </c>
      <c r="AZ202" s="114"/>
      <c r="BA202" s="114"/>
      <c r="BB202" s="114"/>
      <c r="BC202" s="114"/>
      <c r="BD202" s="114"/>
      <c r="BE202" s="114"/>
    </row>
    <row r="203" ht="37.5" customHeight="1">
      <c r="A203" s="118" t="s">
        <v>4548</v>
      </c>
      <c r="B203" s="117" t="s">
        <v>3807</v>
      </c>
      <c r="C203" s="119">
        <f>IFERROR(__xludf.DUMMYFUNCTION("""COMPUTED_VALUE"""),140.0)</f>
        <v>140</v>
      </c>
      <c r="D203" s="114" t="str">
        <f>IFERROR(__xludf.DUMMYFUNCTION("""COMPUTED_VALUE"""),"Negative Ghost")</f>
        <v>Negative Ghost</v>
      </c>
      <c r="E203" s="114" t="str">
        <f>IFERROR(__xludf.DUMMYFUNCTION("""COMPUTED_VALUE"""),"")</f>
        <v/>
      </c>
      <c r="F203" s="114"/>
      <c r="G203" s="114"/>
      <c r="H203" s="114"/>
      <c r="I203" s="114"/>
      <c r="J203" s="114"/>
      <c r="K203" s="114" t="s">
        <v>4549</v>
      </c>
      <c r="L203" s="114" t="s">
        <v>4550</v>
      </c>
      <c r="M203" s="114" t="s">
        <v>4551</v>
      </c>
      <c r="N203" s="114" t="s">
        <v>4552</v>
      </c>
      <c r="O203" s="114"/>
      <c r="P203" s="120">
        <v>140.0</v>
      </c>
      <c r="Q203" s="117" t="s">
        <v>4553</v>
      </c>
      <c r="R203" s="114"/>
      <c r="S203" s="117" t="s">
        <v>3801</v>
      </c>
      <c r="T203" s="114">
        <f t="shared" si="1"/>
        <v>202</v>
      </c>
      <c r="U203" s="114" t="s">
        <v>899</v>
      </c>
      <c r="V203" s="114" t="str">
        <f>IFERROR(__xludf.DUMMYFUNCTION("REGEXREPLACE(U203, ""\n"", "" "")"),"Vista")</f>
        <v>Vista</v>
      </c>
      <c r="W203" s="114"/>
      <c r="X203" s="115" t="str">
        <f t="shared" si="2"/>
        <v>202 Whitebeard Pirates / 5th Division Commander - Vista - Medal [Vista]</v>
      </c>
      <c r="Y203" s="119"/>
      <c r="Z203" s="117" t="s">
        <v>4554</v>
      </c>
      <c r="AA203" s="117" t="s">
        <v>2642</v>
      </c>
      <c r="AB203" s="114"/>
      <c r="AC203" s="123" t="str">
        <f>IFERROR(__xludf.DUMMYFUNCTION("""COMPUTED_VALUE"""),"https://ik.imagekit.io/alaaalaa6171/141%20The%20Parmount%20War%20-%20Crocodile%20-%20Medal%20_Crescent%20Cutlass_.png?updatedAt=1770076426749")</f>
        <v>https://ik.imagekit.io/alaaalaa6171/141%20The%20Parmount%20War%20-%20Crocodile%20-%20Medal%20_Crescent%20Cutlass_.png?updatedAt=1770076426749</v>
      </c>
      <c r="AD203" s="123" t="str">
        <f>IFERROR(__xludf.DUMMYFUNCTION("""COMPUTED_VALUE"""),"https://ik.imagekit.io/alaaalaa6171/141%20The%20Parmount%20War%20-%20Crocodile%20-%20Medal%20_Crescent%20Cutlass_%20_Colored_.png?updatedAt=1770076426335")</f>
        <v>https://ik.imagekit.io/alaaalaa6171/141%20The%20Parmount%20War%20-%20Crocodile%20-%20Medal%20_Crescent%20Cutlass_%20_Colored_.png?updatedAt=1770076426335</v>
      </c>
      <c r="AE203" s="123" t="str">
        <f>IFERROR(__xludf.DUMMYFUNCTION("""COMPUTED_VALUE"""),"https://ik.imagekit.io/alaaalaa6171/141%20The%20Parmount%20War%20-%20Crocodile%20-%20Medal%20_Crescent%20Cutlass_%20-%20Piece.png?updatedAt=1770076426315")</f>
        <v>https://ik.imagekit.io/alaaalaa6171/141%20The%20Parmount%20War%20-%20Crocodile%20-%20Medal%20_Crescent%20Cutlass_%20-%20Piece.png?updatedAt=1770076426315</v>
      </c>
      <c r="AF203" s="123" t="str">
        <f>IFERROR(__xludf.DUMMYFUNCTION("""COMPUTED_VALUE"""),"https://ik.imagekit.io/alaaalaa6171/141%20The%20Parmount%20War%20-%20Crocodile%20-%20Medal%20_Crescent%20Cutlass_%20-%20Piece%20_Colored_.png?updatedAt=1770076426331")</f>
        <v>https://ik.imagekit.io/alaaalaa6171/141%20The%20Parmount%20War%20-%20Crocodile%20-%20Medal%20_Crescent%20Cutlass_%20-%20Piece%20_Colored_.png?updatedAt=1770076426331</v>
      </c>
      <c r="AG203" s="114"/>
      <c r="AH203" s="114"/>
      <c r="AI203" s="121" t="s">
        <v>4555</v>
      </c>
      <c r="AJ203" s="121" t="str">
        <f>IFERROR(__xludf.DUMMYFUNCTION("regexreplace(regexreplace(AI203, ""  \["", "" ""), ""\]$"", """")"),"202 - Whitebeard Pirates_5th Division Commander ~ Vista - Medal - Crafted [Colored] - Vista")</f>
        <v>202 - Whitebeard Pirates_5th Division Commander ~ Vista - Medal - Crafted [Colored] - Vista</v>
      </c>
      <c r="AK203" s="114"/>
      <c r="AL203" s="117" t="s">
        <v>4556</v>
      </c>
      <c r="AM203" s="117" t="s">
        <v>4557</v>
      </c>
      <c r="AN203" s="114"/>
      <c r="AO203" s="122">
        <f>IFERROR(__xludf.DUMMYFUNCTION("""COMPUTED_VALUE"""),106.0)</f>
        <v>106</v>
      </c>
      <c r="AP203" s="114" t="str">
        <f>IFERROR(__xludf.DUMMYFUNCTION("""COMPUTED_VALUE"""),"Cobra")</f>
        <v>Cobra</v>
      </c>
      <c r="AQ203" s="114" t="str">
        <f>IFERROR(__xludf.DUMMYFUNCTION("""COMPUTED_VALUE"""),"Cobra")</f>
        <v>Cobra</v>
      </c>
      <c r="AR203" s="114"/>
      <c r="AS203" s="114"/>
      <c r="AT203" s="123" t="str">
        <f>IFERROR(__xludf.DUMMYFUNCTION("""COMPUTED_VALUE"""),"https://i.postimg.cc/65KKBJWh/106.png")</f>
        <v>https://i.postimg.cc/65KKBJWh/106.png</v>
      </c>
      <c r="AU203" s="114"/>
      <c r="AV203" s="114"/>
      <c r="AW203" s="114"/>
      <c r="AX203" s="114" t="str">
        <f t="shared" si="3"/>
        <v>106 - Medal [Event] - Crafted - Cobra</v>
      </c>
      <c r="AY203" s="114" t="s">
        <v>4558</v>
      </c>
      <c r="AZ203" s="114"/>
      <c r="BA203" s="114"/>
      <c r="BB203" s="114"/>
      <c r="BC203" s="114"/>
      <c r="BD203" s="114"/>
      <c r="BE203" s="114"/>
    </row>
    <row r="204" ht="37.5" customHeight="1">
      <c r="A204" s="118" t="s">
        <v>4559</v>
      </c>
      <c r="B204" s="117" t="s">
        <v>3794</v>
      </c>
      <c r="C204" s="119">
        <f>IFERROR(__xludf.DUMMYFUNCTION("""COMPUTED_VALUE"""),139.0)</f>
        <v>139</v>
      </c>
      <c r="D204" s="114" t="str">
        <f>IFERROR(__xludf.DUMMYFUNCTION("""COMPUTED_VALUE"""),"Perfume Femur")</f>
        <v>Perfume Femur</v>
      </c>
      <c r="E204" s="114" t="str">
        <f>IFERROR(__xludf.DUMMYFUNCTION("""COMPUTED_VALUE"""),"")</f>
        <v/>
      </c>
      <c r="F204" s="114"/>
      <c r="G204" s="114"/>
      <c r="H204" s="114"/>
      <c r="I204" s="114"/>
      <c r="J204" s="114"/>
      <c r="K204" s="114" t="s">
        <v>4560</v>
      </c>
      <c r="L204" s="114" t="s">
        <v>4561</v>
      </c>
      <c r="M204" s="114" t="s">
        <v>4562</v>
      </c>
      <c r="N204" s="114" t="s">
        <v>4563</v>
      </c>
      <c r="O204" s="114"/>
      <c r="P204" s="120">
        <v>139.0</v>
      </c>
      <c r="Q204" s="117" t="s">
        <v>4564</v>
      </c>
      <c r="R204" s="114"/>
      <c r="S204" s="117" t="s">
        <v>3788</v>
      </c>
      <c r="T204" s="114">
        <f t="shared" si="1"/>
        <v>203</v>
      </c>
      <c r="U204" s="114" t="s">
        <v>892</v>
      </c>
      <c r="V204" s="114" t="str">
        <f>IFERROR(__xludf.DUMMYFUNCTION("REGEXREPLACE(U204, ""\n"", "" "")"),"Jozu")</f>
        <v>Jozu</v>
      </c>
      <c r="W204" s="114"/>
      <c r="X204" s="115" t="str">
        <f t="shared" si="2"/>
        <v>203 Whitebeard Pirates / 3rd Division Commander - Jozu - Medal [Jozu]</v>
      </c>
      <c r="Y204" s="119"/>
      <c r="Z204" s="117" t="s">
        <v>4565</v>
      </c>
      <c r="AA204" s="117" t="s">
        <v>2644</v>
      </c>
      <c r="AB204" s="114"/>
      <c r="AC204" s="123" t="str">
        <f>IFERROR(__xludf.DUMMYFUNCTION("""COMPUTED_VALUE"""),"https://ik.imagekit.io/alaaalaa6171/140%20Ghost%20Princess%20-%20Perona%20-%20Medal%20_Negative%20Ghost_.png?updatedAt=1770076426324")</f>
        <v>https://ik.imagekit.io/alaaalaa6171/140%20Ghost%20Princess%20-%20Perona%20-%20Medal%20_Negative%20Ghost_.png?updatedAt=1770076426324</v>
      </c>
      <c r="AD204" s="123" t="str">
        <f>IFERROR(__xludf.DUMMYFUNCTION("""COMPUTED_VALUE"""),"https://ik.imagekit.io/alaaalaa6171/140%20Ghost%20Princess%20-%20Perona%20-%20Medal%20_Negative%20Ghost_%20_Colored_.png?updatedAt=1770076426309")</f>
        <v>https://ik.imagekit.io/alaaalaa6171/140%20Ghost%20Princess%20-%20Perona%20-%20Medal%20_Negative%20Ghost_%20_Colored_.png?updatedAt=1770076426309</v>
      </c>
      <c r="AE204" s="123" t="str">
        <f>IFERROR(__xludf.DUMMYFUNCTION("""COMPUTED_VALUE"""),"https://ik.imagekit.io/alaaalaa6171/140%20Ghost%20Princess%20-%20Perona%20-%20Medal%20_Negative%20Ghost_%20-%20Piece.png?updatedAt=1770076426343")</f>
        <v>https://ik.imagekit.io/alaaalaa6171/140%20Ghost%20Princess%20-%20Perona%20-%20Medal%20_Negative%20Ghost_%20-%20Piece.png?updatedAt=1770076426343</v>
      </c>
      <c r="AF204" s="123" t="str">
        <f>IFERROR(__xludf.DUMMYFUNCTION("""COMPUTED_VALUE"""),"https://ik.imagekit.io/alaaalaa6171/140%20Ghost%20Princess%20-%20Perona%20-%20Medal%20_Negative%20Ghost_%20-%20Piece%20_Colored_.png?updatedAt=1770076426318")</f>
        <v>https://ik.imagekit.io/alaaalaa6171/140%20Ghost%20Princess%20-%20Perona%20-%20Medal%20_Negative%20Ghost_%20-%20Piece%20_Colored_.png?updatedAt=1770076426318</v>
      </c>
      <c r="AG204" s="114"/>
      <c r="AH204" s="114"/>
      <c r="AI204" s="121" t="s">
        <v>4566</v>
      </c>
      <c r="AJ204" s="121" t="str">
        <f>IFERROR(__xludf.DUMMYFUNCTION("regexreplace(regexreplace(AI204, ""  \["", "" ""), ""\]$"", """")"),"203 - Whitebeard Pirates_3rd Division Commander ~ Jozu - Medal - Crafted [Colored] - Jozu")</f>
        <v>203 - Whitebeard Pirates_3rd Division Commander ~ Jozu - Medal - Crafted [Colored] - Jozu</v>
      </c>
      <c r="AK204" s="114"/>
      <c r="AL204" s="117" t="s">
        <v>4567</v>
      </c>
      <c r="AM204" s="117" t="s">
        <v>4568</v>
      </c>
      <c r="AN204" s="114"/>
      <c r="AO204" s="122">
        <f>IFERROR(__xludf.DUMMYFUNCTION("""COMPUTED_VALUE"""),105.0)</f>
        <v>105</v>
      </c>
      <c r="AP204" s="114" t="str">
        <f>IFERROR(__xludf.DUMMYFUNCTION("""COMPUTED_VALUE"""),"Ms. Doublefinger")</f>
        <v>Ms. Doublefinger</v>
      </c>
      <c r="AQ204" s="114" t="str">
        <f>IFERROR(__xludf.DUMMYFUNCTION("""COMPUTED_VALUE"""),"Ms. Doublefinger")</f>
        <v>Ms. Doublefinger</v>
      </c>
      <c r="AR204" s="114"/>
      <c r="AS204" s="114"/>
      <c r="AT204" s="123" t="str">
        <f>IFERROR(__xludf.DUMMYFUNCTION("""COMPUTED_VALUE"""),"https://i.postimg.cc/XY70yfyG/105.png")</f>
        <v>https://i.postimg.cc/XY70yfyG/105.png</v>
      </c>
      <c r="AU204" s="114"/>
      <c r="AV204" s="114"/>
      <c r="AW204" s="114"/>
      <c r="AX204" s="114" t="str">
        <f t="shared" si="3"/>
        <v>105 - Medal [Event] - Crafted - Ms. Doublefinger</v>
      </c>
      <c r="AY204" s="114" t="s">
        <v>4569</v>
      </c>
      <c r="AZ204" s="114"/>
      <c r="BA204" s="114"/>
      <c r="BB204" s="114"/>
      <c r="BC204" s="114"/>
      <c r="BD204" s="114"/>
      <c r="BE204" s="114"/>
    </row>
    <row r="205" ht="37.5" customHeight="1">
      <c r="A205" s="118" t="s">
        <v>4570</v>
      </c>
      <c r="B205" s="117" t="s">
        <v>3781</v>
      </c>
      <c r="C205" s="119">
        <f>IFERROR(__xludf.DUMMYFUNCTION("""COMPUTED_VALUE"""),138.0)</f>
        <v>138</v>
      </c>
      <c r="D205" s="114" t="str">
        <f>IFERROR(__xludf.DUMMYFUNCTION("""COMPUTED_VALUE"""),"The Master Swordman")</f>
        <v>The Master Swordman</v>
      </c>
      <c r="E205" s="114" t="str">
        <f>IFERROR(__xludf.DUMMYFUNCTION("""COMPUTED_VALUE"""),"")</f>
        <v/>
      </c>
      <c r="F205" s="114"/>
      <c r="G205" s="114"/>
      <c r="H205" s="114"/>
      <c r="I205" s="114"/>
      <c r="J205" s="114"/>
      <c r="K205" s="114" t="s">
        <v>4571</v>
      </c>
      <c r="L205" s="114" t="s">
        <v>4572</v>
      </c>
      <c r="M205" s="114" t="s">
        <v>4573</v>
      </c>
      <c r="N205" s="114" t="s">
        <v>4574</v>
      </c>
      <c r="O205" s="114"/>
      <c r="P205" s="120">
        <v>138.0</v>
      </c>
      <c r="Q205" s="117" t="s">
        <v>4575</v>
      </c>
      <c r="R205" s="114"/>
      <c r="S205" s="117" t="s">
        <v>3775</v>
      </c>
      <c r="T205" s="114">
        <f t="shared" si="1"/>
        <v>204</v>
      </c>
      <c r="U205" s="114" t="s">
        <v>887</v>
      </c>
      <c r="V205" s="114" t="str">
        <f>IFERROR(__xludf.DUMMYFUNCTION("REGEXREPLACE(U205, ""\n"", "" "")"),"Shiryu")</f>
        <v>Shiryu</v>
      </c>
      <c r="W205" s="114"/>
      <c r="X205" s="115" t="str">
        <f t="shared" si="2"/>
        <v>204 Blackbeard Pirates / Former Head Jailer of Impel Down - Shiryu - Medal [Shiryu]</v>
      </c>
      <c r="Y205" s="119"/>
      <c r="Z205" s="117" t="s">
        <v>4576</v>
      </c>
      <c r="AA205" s="117" t="s">
        <v>2645</v>
      </c>
      <c r="AB205" s="114"/>
      <c r="AC205" s="123" t="str">
        <f>IFERROR(__xludf.DUMMYFUNCTION("""COMPUTED_VALUE"""),"https://ik.imagekit.io/alaaalaa6171/139%20Kuja%20Pirates_Captain%20-%20Boa%20Hancock%20-%20Medal%20_Perfume%20Femur_.png?updatedAt=1770076426328")</f>
        <v>https://ik.imagekit.io/alaaalaa6171/139%20Kuja%20Pirates_Captain%20-%20Boa%20Hancock%20-%20Medal%20_Perfume%20Femur_.png?updatedAt=1770076426328</v>
      </c>
      <c r="AD205" s="123" t="str">
        <f>IFERROR(__xludf.DUMMYFUNCTION("""COMPUTED_VALUE"""),"https://ik.imagekit.io/alaaalaa6171/139%20Kuja%20Pirates_Captain%20-%20Boa%20Hancock%20-%20Medal%20_Perfume%20Femur_%20_Colored_.png?updatedAt=1770076426309")</f>
        <v>https://ik.imagekit.io/alaaalaa6171/139%20Kuja%20Pirates_Captain%20-%20Boa%20Hancock%20-%20Medal%20_Perfume%20Femur_%20_Colored_.png?updatedAt=1770076426309</v>
      </c>
      <c r="AE205" s="123" t="str">
        <f>IFERROR(__xludf.DUMMYFUNCTION("""COMPUTED_VALUE"""),"https://ik.imagekit.io/alaaalaa6171/139%20Kuja%20Pirates_Captain%20-%20Boa%20Hancock%20-%20Medal%20_Perfume%20Femur_%20-%20Piece.png?updatedAt=1770076426326")</f>
        <v>https://ik.imagekit.io/alaaalaa6171/139%20Kuja%20Pirates_Captain%20-%20Boa%20Hancock%20-%20Medal%20_Perfume%20Femur_%20-%20Piece.png?updatedAt=1770076426326</v>
      </c>
      <c r="AF205" s="123" t="str">
        <f>IFERROR(__xludf.DUMMYFUNCTION("""COMPUTED_VALUE"""),"https://ik.imagekit.io/alaaalaa6171/139%20Kuja%20Pirates_Captain%20-%20Boa%20Hancock%20-%20Medal%20_Perfume%20Femur_%20-%20Piece%20_Colored_.png?updatedAt=1770076426336")</f>
        <v>https://ik.imagekit.io/alaaalaa6171/139%20Kuja%20Pirates_Captain%20-%20Boa%20Hancock%20-%20Medal%20_Perfume%20Femur_%20-%20Piece%20_Colored_.png?updatedAt=1770076426336</v>
      </c>
      <c r="AG205" s="114"/>
      <c r="AH205" s="114"/>
      <c r="AI205" s="121" t="s">
        <v>4577</v>
      </c>
      <c r="AJ205" s="121" t="str">
        <f>IFERROR(__xludf.DUMMYFUNCTION("regexreplace(regexreplace(AI205, ""  \["", "" ""), ""\]$"", """")"),"204 - Blackbeard Pirates_Former Head Jailer of Impel Down ~ Shiryu - Medal - Crafted [Colored] - Shiryu")</f>
        <v>204 - Blackbeard Pirates_Former Head Jailer of Impel Down ~ Shiryu - Medal - Crafted [Colored] - Shiryu</v>
      </c>
      <c r="AK205" s="114"/>
      <c r="AL205" s="117" t="s">
        <v>4578</v>
      </c>
      <c r="AM205" s="117" t="s">
        <v>4579</v>
      </c>
      <c r="AN205" s="114"/>
      <c r="AO205" s="122">
        <f>IFERROR(__xludf.DUMMYFUNCTION("""COMPUTED_VALUE"""),104.0)</f>
        <v>104</v>
      </c>
      <c r="AP205" s="114" t="str">
        <f>IFERROR(__xludf.DUMMYFUNCTION("""COMPUTED_VALUE"""),"Daz Bonez")</f>
        <v>Daz Bonez</v>
      </c>
      <c r="AQ205" s="114" t="str">
        <f>IFERROR(__xludf.DUMMYFUNCTION("""COMPUTED_VALUE"""),"Daz Bonez")</f>
        <v>Daz Bonez</v>
      </c>
      <c r="AR205" s="114"/>
      <c r="AS205" s="114"/>
      <c r="AT205" s="123" t="str">
        <f>IFERROR(__xludf.DUMMYFUNCTION("""COMPUTED_VALUE"""),"https://i.postimg.cc/x1xVGXKs/104.png")</f>
        <v>https://i.postimg.cc/x1xVGXKs/104.png</v>
      </c>
      <c r="AU205" s="114"/>
      <c r="AV205" s="114"/>
      <c r="AW205" s="114"/>
      <c r="AX205" s="114" t="str">
        <f t="shared" si="3"/>
        <v>104 - Medal [Event] - Crafted - Daz Bonez</v>
      </c>
      <c r="AY205" s="114" t="s">
        <v>4580</v>
      </c>
      <c r="AZ205" s="114"/>
      <c r="BA205" s="114"/>
      <c r="BB205" s="114"/>
      <c r="BC205" s="114"/>
      <c r="BD205" s="114"/>
      <c r="BE205" s="114"/>
    </row>
    <row r="206" ht="37.5" customHeight="1">
      <c r="A206" s="118" t="s">
        <v>4581</v>
      </c>
      <c r="B206" s="117" t="s">
        <v>3768</v>
      </c>
      <c r="C206" s="119">
        <f>IFERROR(__xludf.DUMMYFUNCTION("""COMPUTED_VALUE"""),137.0)</f>
        <v>137</v>
      </c>
      <c r="D206" s="114" t="str">
        <f>IFERROR(__xludf.DUMMYFUNCTION("""COMPUTED_VALUE"""),"Caesar")</f>
        <v>Caesar</v>
      </c>
      <c r="E206" s="114" t="str">
        <f>IFERROR(__xludf.DUMMYFUNCTION("""COMPUTED_VALUE"""),"")</f>
        <v/>
      </c>
      <c r="F206" s="114"/>
      <c r="G206" s="114"/>
      <c r="H206" s="114"/>
      <c r="I206" s="114"/>
      <c r="J206" s="114"/>
      <c r="K206" s="114" t="s">
        <v>4582</v>
      </c>
      <c r="L206" s="114" t="s">
        <v>4583</v>
      </c>
      <c r="M206" s="114" t="s">
        <v>4584</v>
      </c>
      <c r="N206" s="114" t="s">
        <v>4585</v>
      </c>
      <c r="O206" s="114"/>
      <c r="P206" s="120">
        <v>137.0</v>
      </c>
      <c r="Q206" s="117" t="s">
        <v>4586</v>
      </c>
      <c r="R206" s="114"/>
      <c r="S206" s="117" t="s">
        <v>3762</v>
      </c>
      <c r="T206" s="114">
        <f t="shared" si="1"/>
        <v>205</v>
      </c>
      <c r="U206" s="114" t="s">
        <v>882</v>
      </c>
      <c r="V206" s="114" t="str">
        <f>IFERROR(__xludf.DUMMYFUNCTION("REGEXREPLACE(U206, ""\n"", "" "")"),"Usohachi")</f>
        <v>Usohachi</v>
      </c>
      <c r="W206" s="114"/>
      <c r="X206" s="115" t="str">
        <f t="shared" si="2"/>
        <v>205 Land of Wano - Usohachi - Medal [Usohachi]</v>
      </c>
      <c r="Y206" s="119"/>
      <c r="Z206" s="117" t="s">
        <v>4587</v>
      </c>
      <c r="AA206" s="117" t="s">
        <v>2643</v>
      </c>
      <c r="AB206" s="114"/>
      <c r="AC206" s="123" t="str">
        <f>IFERROR(__xludf.DUMMYFUNCTION("""COMPUTED_VALUE"""),"https://ik.imagekit.io/alaaalaa6171/138%20The%20Greatest%20Swordman%20in%20the%20World%20-%20Dracule%20Mihawk%20-%20Medal%20_The%20Master%20Swordman_.png?updatedAt=1770076426316")</f>
        <v>https://ik.imagekit.io/alaaalaa6171/138%20The%20Greatest%20Swordman%20in%20the%20World%20-%20Dracule%20Mihawk%20-%20Medal%20_The%20Master%20Swordman_.png?updatedAt=1770076426316</v>
      </c>
      <c r="AD206" s="123" t="str">
        <f>IFERROR(__xludf.DUMMYFUNCTION("""COMPUTED_VALUE"""),"https://ik.imagekit.io/alaaalaa6171/138%20The%20Greatest%20Swordman%20in%20the%20World%20-%20Dracule%20Mihawk%20-%20Medal%20_The%20Master%20Swordman_%20_Colored_.png?updatedAt=1770076426284")</f>
        <v>https://ik.imagekit.io/alaaalaa6171/138%20The%20Greatest%20Swordman%20in%20the%20World%20-%20Dracule%20Mihawk%20-%20Medal%20_The%20Master%20Swordman_%20_Colored_.png?updatedAt=1770076426284</v>
      </c>
      <c r="AE206" s="123" t="str">
        <f>IFERROR(__xludf.DUMMYFUNCTION("""COMPUTED_VALUE"""),"https://ik.imagekit.io/alaaalaa6171/138%20The%20Greatest%20Swordman%20in%20the%20World%20-%20Dracule%20Mihawk%20-%20Medal%20_The%20Master%20Swordman_%20-%20Piece.png?updatedAt=1770076426282")</f>
        <v>https://ik.imagekit.io/alaaalaa6171/138%20The%20Greatest%20Swordman%20in%20the%20World%20-%20Dracule%20Mihawk%20-%20Medal%20_The%20Master%20Swordman_%20-%20Piece.png?updatedAt=1770076426282</v>
      </c>
      <c r="AF206" s="123" t="str">
        <f>IFERROR(__xludf.DUMMYFUNCTION("""COMPUTED_VALUE"""),"https://ik.imagekit.io/alaaalaa6171/138%20The%20Greatest%20Swordman%20in%20the%20World%20-%20Dracule%20Mihawk%20-%20Medal%20_The%20Master%20Swordman_%20-%20Piece%20_Colored_.png?updatedAt=1770076426311")</f>
        <v>https://ik.imagekit.io/alaaalaa6171/138%20The%20Greatest%20Swordman%20in%20the%20World%20-%20Dracule%20Mihawk%20-%20Medal%20_The%20Master%20Swordman_%20-%20Piece%20_Colored_.png?updatedAt=1770076426311</v>
      </c>
      <c r="AG206" s="114"/>
      <c r="AH206" s="114"/>
      <c r="AI206" s="121" t="s">
        <v>4588</v>
      </c>
      <c r="AJ206" s="121" t="str">
        <f>IFERROR(__xludf.DUMMYFUNCTION("regexreplace(regexreplace(AI206, ""  \["", "" ""), ""\]$"", """")"),"205 - Land of Wano ~ Usohachi - Medal - Crafted [Colored] - Usohachi")</f>
        <v>205 - Land of Wano ~ Usohachi - Medal - Crafted [Colored] - Usohachi</v>
      </c>
      <c r="AK206" s="114"/>
      <c r="AL206" s="117" t="s">
        <v>4589</v>
      </c>
      <c r="AM206" s="117" t="s">
        <v>4590</v>
      </c>
      <c r="AN206" s="114"/>
      <c r="AO206" s="122">
        <f>IFERROR(__xludf.DUMMYFUNCTION("""COMPUTED_VALUE"""),103.0)</f>
        <v>103</v>
      </c>
      <c r="AP206" s="114" t="str">
        <f>IFERROR(__xludf.DUMMYFUNCTION("""COMPUTED_VALUE"""),"Ms. Valentine")</f>
        <v>Ms. Valentine</v>
      </c>
      <c r="AQ206" s="114" t="str">
        <f>IFERROR(__xludf.DUMMYFUNCTION("""COMPUTED_VALUE"""),"Ms. Valentine")</f>
        <v>Ms. Valentine</v>
      </c>
      <c r="AR206" s="114"/>
      <c r="AS206" s="114"/>
      <c r="AT206" s="123" t="str">
        <f>IFERROR(__xludf.DUMMYFUNCTION("""COMPUTED_VALUE"""),"https://i.postimg.cc/MGn29z5z/103.png")</f>
        <v>https://i.postimg.cc/MGn29z5z/103.png</v>
      </c>
      <c r="AU206" s="114"/>
      <c r="AV206" s="114"/>
      <c r="AW206" s="114"/>
      <c r="AX206" s="114" t="str">
        <f t="shared" si="3"/>
        <v>103 - Medal [Event] - Crafted - Ms. Valentine</v>
      </c>
      <c r="AY206" s="114" t="s">
        <v>4591</v>
      </c>
      <c r="AZ206" s="114"/>
      <c r="BA206" s="114"/>
      <c r="BB206" s="114"/>
      <c r="BC206" s="114"/>
      <c r="BD206" s="114"/>
      <c r="BE206" s="114"/>
    </row>
    <row r="207" ht="37.5" customHeight="1">
      <c r="A207" s="118" t="s">
        <v>4592</v>
      </c>
      <c r="B207" s="117" t="s">
        <v>3755</v>
      </c>
      <c r="C207" s="119">
        <f>IFERROR(__xludf.DUMMYFUNCTION("""COMPUTED_VALUE"""),136.0)</f>
        <v>136</v>
      </c>
      <c r="D207" s="114" t="str">
        <f>IFERROR(__xludf.DUMMYFUNCTION("""COMPUTED_VALUE"""),"Chop_Chop")</f>
        <v>Chop_Chop</v>
      </c>
      <c r="E207" s="114" t="str">
        <f>IFERROR(__xludf.DUMMYFUNCTION("""COMPUTED_VALUE"""),"")</f>
        <v/>
      </c>
      <c r="F207" s="114"/>
      <c r="G207" s="114"/>
      <c r="H207" s="114"/>
      <c r="I207" s="114"/>
      <c r="J207" s="114"/>
      <c r="K207" s="114" t="s">
        <v>4593</v>
      </c>
      <c r="L207" s="114" t="s">
        <v>4594</v>
      </c>
      <c r="M207" s="114" t="s">
        <v>4595</v>
      </c>
      <c r="N207" s="114" t="s">
        <v>4596</v>
      </c>
      <c r="O207" s="114"/>
      <c r="P207" s="120">
        <v>136.0</v>
      </c>
      <c r="Q207" s="117" t="s">
        <v>4597</v>
      </c>
      <c r="R207" s="114"/>
      <c r="S207" s="117" t="s">
        <v>3749</v>
      </c>
      <c r="T207" s="114">
        <f t="shared" si="1"/>
        <v>206</v>
      </c>
      <c r="U207" s="114" t="s">
        <v>877</v>
      </c>
      <c r="V207" s="114" t="str">
        <f>IFERROR(__xludf.DUMMYFUNCTION("REGEXREPLACE(U207, ""\n"", "" "")"),"Franosuke")</f>
        <v>Franosuke</v>
      </c>
      <c r="W207" s="114"/>
      <c r="X207" s="115" t="str">
        <f t="shared" si="2"/>
        <v>206 Land of Wano - Franosuke - Medal [Franosuke]</v>
      </c>
      <c r="Y207" s="119"/>
      <c r="Z207" s="117" t="s">
        <v>4598</v>
      </c>
      <c r="AA207" s="117" t="s">
        <v>2655</v>
      </c>
      <c r="AB207" s="114"/>
      <c r="AC207" s="123" t="str">
        <f>IFERROR(__xludf.DUMMYFUNCTION("""COMPUTED_VALUE"""),"https://ik.imagekit.io/alaaalaa6171/137%20Former%20World%20Government_Science%20Division%20Member%20-%20Caesar%20Clown%20-%20Medal%20_Caesar_.png?updatedAt=1770076426270")</f>
        <v>https://ik.imagekit.io/alaaalaa6171/137%20Former%20World%20Government_Science%20Division%20Member%20-%20Caesar%20Clown%20-%20Medal%20_Caesar_.png?updatedAt=1770076426270</v>
      </c>
      <c r="AD207" s="123" t="str">
        <f>IFERROR(__xludf.DUMMYFUNCTION("""COMPUTED_VALUE"""),"https://ik.imagekit.io/alaaalaa6171/137%20Former%20World%20Government_Science%20Division%20Member%20-%20Caesar%20Clown%20-%20Medal%20_Caesar_%20_Colored_.png?updatedAt=1770076426278")</f>
        <v>https://ik.imagekit.io/alaaalaa6171/137%20Former%20World%20Government_Science%20Division%20Member%20-%20Caesar%20Clown%20-%20Medal%20_Caesar_%20_Colored_.png?updatedAt=1770076426278</v>
      </c>
      <c r="AE207" s="123" t="str">
        <f>IFERROR(__xludf.DUMMYFUNCTION("""COMPUTED_VALUE"""),"https://ik.imagekit.io/alaaalaa6171/137%20Former%20World%20Government_Science%20Division%20Member%20-%20Caesar%20Clown%20-%20Medal%20_Caesar_%20-%20Piece.png?updatedAt=1770076426303")</f>
        <v>https://ik.imagekit.io/alaaalaa6171/137%20Former%20World%20Government_Science%20Division%20Member%20-%20Caesar%20Clown%20-%20Medal%20_Caesar_%20-%20Piece.png?updatedAt=1770076426303</v>
      </c>
      <c r="AF207" s="123" t="str">
        <f>IFERROR(__xludf.DUMMYFUNCTION("""COMPUTED_VALUE"""),"https://ik.imagekit.io/alaaalaa6171/137%20Former%20World%20Government_Science%20Division%20Member%20-%20Caesar%20Clown%20-%20Medal%20_Caesar_%20-%20Piece%20_Colored_.png?updatedAt=1770076426295")</f>
        <v>https://ik.imagekit.io/alaaalaa6171/137%20Former%20World%20Government_Science%20Division%20Member%20-%20Caesar%20Clown%20-%20Medal%20_Caesar_%20-%20Piece%20_Colored_.png?updatedAt=1770076426295</v>
      </c>
      <c r="AG207" s="114"/>
      <c r="AH207" s="114"/>
      <c r="AI207" s="121" t="s">
        <v>4599</v>
      </c>
      <c r="AJ207" s="121" t="str">
        <f>IFERROR(__xludf.DUMMYFUNCTION("regexreplace(regexreplace(AI207, ""  \["", "" ""), ""\]$"", """")"),"206 - Land of Wano ~ Franosuke - Medal - Crafted [Colored] - Franosuke")</f>
        <v>206 - Land of Wano ~ Franosuke - Medal - Crafted [Colored] - Franosuke</v>
      </c>
      <c r="AK207" s="114"/>
      <c r="AL207" s="117" t="s">
        <v>4600</v>
      </c>
      <c r="AM207" s="117" t="s">
        <v>4601</v>
      </c>
      <c r="AN207" s="114"/>
      <c r="AO207" s="122">
        <f>IFERROR(__xludf.DUMMYFUNCTION("""COMPUTED_VALUE"""),102.0)</f>
        <v>102</v>
      </c>
      <c r="AP207" s="114" t="str">
        <f>IFERROR(__xludf.DUMMYFUNCTION("""COMPUTED_VALUE"""),"Mr. 5")</f>
        <v>Mr. 5</v>
      </c>
      <c r="AQ207" s="114" t="str">
        <f>IFERROR(__xludf.DUMMYFUNCTION("""COMPUTED_VALUE"""),"Mr. 5")</f>
        <v>Mr. 5</v>
      </c>
      <c r="AR207" s="114"/>
      <c r="AS207" s="114"/>
      <c r="AT207" s="123" t="str">
        <f>IFERROR(__xludf.DUMMYFUNCTION("""COMPUTED_VALUE"""),"https://i.postimg.cc/43jCMj2V/102.png")</f>
        <v>https://i.postimg.cc/43jCMj2V/102.png</v>
      </c>
      <c r="AU207" s="114"/>
      <c r="AV207" s="114"/>
      <c r="AW207" s="114"/>
      <c r="AX207" s="114" t="str">
        <f t="shared" si="3"/>
        <v>102 - Medal [Event] - Crafted - Mr. 5</v>
      </c>
      <c r="AY207" s="114" t="s">
        <v>4602</v>
      </c>
      <c r="AZ207" s="114"/>
      <c r="BA207" s="114"/>
      <c r="BB207" s="114"/>
      <c r="BC207" s="114"/>
      <c r="BD207" s="114"/>
      <c r="BE207" s="114"/>
    </row>
    <row r="208" ht="37.5" customHeight="1">
      <c r="A208" s="118" t="s">
        <v>4603</v>
      </c>
      <c r="B208" s="117" t="s">
        <v>3742</v>
      </c>
      <c r="C208" s="119">
        <f>IFERROR(__xludf.DUMMYFUNCTION("""COMPUTED_VALUE"""),135.0)</f>
        <v>135</v>
      </c>
      <c r="D208" s="114" t="str">
        <f>IFERROR(__xludf.DUMMYFUNCTION("""COMPUTED_VALUE"""),"Buzz Cut Mochi")</f>
        <v>Buzz Cut Mochi</v>
      </c>
      <c r="E208" s="114" t="str">
        <f>IFERROR(__xludf.DUMMYFUNCTION("""COMPUTED_VALUE"""),"")</f>
        <v/>
      </c>
      <c r="F208" s="114"/>
      <c r="G208" s="114"/>
      <c r="H208" s="114"/>
      <c r="I208" s="114"/>
      <c r="J208" s="114"/>
      <c r="K208" s="114" t="s">
        <v>4604</v>
      </c>
      <c r="L208" s="114" t="s">
        <v>4605</v>
      </c>
      <c r="M208" s="114" t="s">
        <v>4606</v>
      </c>
      <c r="N208" s="114" t="s">
        <v>4607</v>
      </c>
      <c r="O208" s="114"/>
      <c r="P208" s="120">
        <v>135.0</v>
      </c>
      <c r="Q208" s="117" t="s">
        <v>4608</v>
      </c>
      <c r="R208" s="114"/>
      <c r="S208" s="117" t="s">
        <v>3736</v>
      </c>
      <c r="T208" s="114">
        <f t="shared" si="1"/>
        <v>207</v>
      </c>
      <c r="U208" s="114" t="s">
        <v>871</v>
      </c>
      <c r="V208" s="114" t="str">
        <f>IFERROR(__xludf.DUMMYFUNCTION("REGEXREPLACE(U208, ""\n"", "" "")"),"Wyper")</f>
        <v>Wyper</v>
      </c>
      <c r="W208" s="114"/>
      <c r="X208" s="115" t="str">
        <f t="shared" si="2"/>
        <v>207 Shandian Warrior - Wyper - Medal [Wyper]</v>
      </c>
      <c r="Y208" s="119"/>
      <c r="Z208" s="117" t="s">
        <v>4609</v>
      </c>
      <c r="AA208" s="117" t="s">
        <v>2657</v>
      </c>
      <c r="AB208" s="114"/>
      <c r="AC208" s="123" t="str">
        <f>IFERROR(__xludf.DUMMYFUNCTION("""COMPUTED_VALUE"""),"https://ik.imagekit.io/alaaalaa6171/136%20The%20Seven%20Warlords%20of%20the%20Sea%20-%20Buggy%20-%20Medal%20_Chop_Chop_.png?updatedAt=1770076426251")</f>
        <v>https://ik.imagekit.io/alaaalaa6171/136%20The%20Seven%20Warlords%20of%20the%20Sea%20-%20Buggy%20-%20Medal%20_Chop_Chop_.png?updatedAt=1770076426251</v>
      </c>
      <c r="AD208" s="123" t="str">
        <f>IFERROR(__xludf.DUMMYFUNCTION("""COMPUTED_VALUE"""),"https://ik.imagekit.io/alaaalaa6171/136%20The%20Seven%20Warlords%20of%20the%20Sea%20-%20Buggy%20-%20Medal%20_Chop_Chop_%20_Colored_.png?updatedAt=1770076426304")</f>
        <v>https://ik.imagekit.io/alaaalaa6171/136%20The%20Seven%20Warlords%20of%20the%20Sea%20-%20Buggy%20-%20Medal%20_Chop_Chop_%20_Colored_.png?updatedAt=1770076426304</v>
      </c>
      <c r="AE208" s="123" t="str">
        <f>IFERROR(__xludf.DUMMYFUNCTION("""COMPUTED_VALUE"""),"https://ik.imagekit.io/alaaalaa6171/136%20The%20Seven%20Warlords%20of%20the%20Sea%20-%20Buggy%20-%20Medal%20_Chop_Chop_%20-%20Piece.png?updatedAt=1770076426293")</f>
        <v>https://ik.imagekit.io/alaaalaa6171/136%20The%20Seven%20Warlords%20of%20the%20Sea%20-%20Buggy%20-%20Medal%20_Chop_Chop_%20-%20Piece.png?updatedAt=1770076426293</v>
      </c>
      <c r="AF208" s="123" t="str">
        <f>IFERROR(__xludf.DUMMYFUNCTION("""COMPUTED_VALUE"""),"https://ik.imagekit.io/alaaalaa6171/136%20The%20Seven%20Warlords%20of%20the%20Sea%20-%20Buggy%20-%20Medal%20_Chop_Chop_%20-%20Piece%20_Colored_.png?updatedAt=1770076426242")</f>
        <v>https://ik.imagekit.io/alaaalaa6171/136%20The%20Seven%20Warlords%20of%20the%20Sea%20-%20Buggy%20-%20Medal%20_Chop_Chop_%20-%20Piece%20_Colored_.png?updatedAt=1770076426242</v>
      </c>
      <c r="AG208" s="114"/>
      <c r="AH208" s="114"/>
      <c r="AI208" s="121" t="s">
        <v>4610</v>
      </c>
      <c r="AJ208" s="121" t="str">
        <f>IFERROR(__xludf.DUMMYFUNCTION("regexreplace(regexreplace(AI208, ""  \["", "" ""), ""\]$"", """")"),"207 - Shandian Warrior ~ Wyper - Medal - Crafted [Colored] - Wyper")</f>
        <v>207 - Shandian Warrior ~ Wyper - Medal - Crafted [Colored] - Wyper</v>
      </c>
      <c r="AK208" s="114"/>
      <c r="AL208" s="117" t="s">
        <v>4611</v>
      </c>
      <c r="AM208" s="117" t="s">
        <v>4612</v>
      </c>
      <c r="AN208" s="114"/>
      <c r="AO208" s="122">
        <f>IFERROR(__xludf.DUMMYFUNCTION("""COMPUTED_VALUE"""),101.0)</f>
        <v>101</v>
      </c>
      <c r="AP208" s="114" t="str">
        <f>IFERROR(__xludf.DUMMYFUNCTION("""COMPUTED_VALUE"""),"Bepo")</f>
        <v>Bepo</v>
      </c>
      <c r="AQ208" s="114" t="str">
        <f>IFERROR(__xludf.DUMMYFUNCTION("""COMPUTED_VALUE"""),"Bepo")</f>
        <v>Bepo</v>
      </c>
      <c r="AR208" s="114"/>
      <c r="AS208" s="114"/>
      <c r="AT208" s="123" t="str">
        <f>IFERROR(__xludf.DUMMYFUNCTION("""COMPUTED_VALUE"""),"https://i.postimg.cc/MZ7kPP7f/101.png")</f>
        <v>https://i.postimg.cc/MZ7kPP7f/101.png</v>
      </c>
      <c r="AU208" s="114"/>
      <c r="AV208" s="114"/>
      <c r="AW208" s="114"/>
      <c r="AX208" s="114" t="str">
        <f t="shared" si="3"/>
        <v>101 - Medal [Event] - Crafted - Bepo</v>
      </c>
      <c r="AY208" s="114" t="s">
        <v>4613</v>
      </c>
      <c r="AZ208" s="114"/>
      <c r="BA208" s="114"/>
      <c r="BB208" s="114"/>
      <c r="BC208" s="114"/>
      <c r="BD208" s="114"/>
      <c r="BE208" s="114"/>
    </row>
    <row r="209" ht="37.5" customHeight="1">
      <c r="A209" s="118" t="s">
        <v>4614</v>
      </c>
      <c r="B209" s="117" t="s">
        <v>3729</v>
      </c>
      <c r="C209" s="119">
        <f>IFERROR(__xludf.DUMMYFUNCTION("""COMPUTED_VALUE"""),134.0)</f>
        <v>134</v>
      </c>
      <c r="D209" s="114" t="str">
        <f>IFERROR(__xludf.DUMMYFUNCTION("""COMPUTED_VALUE"""),"Ikoku Sovereignty")</f>
        <v>Ikoku Sovereignty</v>
      </c>
      <c r="E209" s="114" t="str">
        <f>IFERROR(__xludf.DUMMYFUNCTION("""COMPUTED_VALUE"""),"")</f>
        <v/>
      </c>
      <c r="F209" s="114"/>
      <c r="G209" s="114"/>
      <c r="H209" s="114"/>
      <c r="I209" s="114"/>
      <c r="J209" s="114"/>
      <c r="K209" s="114" t="s">
        <v>4615</v>
      </c>
      <c r="L209" s="114" t="s">
        <v>4616</v>
      </c>
      <c r="M209" s="114" t="s">
        <v>4617</v>
      </c>
      <c r="N209" s="114" t="s">
        <v>4618</v>
      </c>
      <c r="O209" s="114"/>
      <c r="P209" s="120">
        <v>134.0</v>
      </c>
      <c r="Q209" s="117" t="s">
        <v>4619</v>
      </c>
      <c r="R209" s="114"/>
      <c r="S209" s="117" t="s">
        <v>3710</v>
      </c>
      <c r="T209" s="114">
        <f t="shared" si="1"/>
        <v>209</v>
      </c>
      <c r="U209" s="114" t="s">
        <v>859</v>
      </c>
      <c r="V209" s="114" t="str">
        <f>IFERROR(__xludf.DUMMYFUNCTION("REGEXREPLACE(U209, ""\n"", "" "")"),"Spinosaurus")</f>
        <v>Spinosaurus</v>
      </c>
      <c r="W209" s="114"/>
      <c r="X209" s="115" t="str">
        <f t="shared" si="2"/>
        <v>209 Animal Kingdom Pirates / Tobi Roppo - Ulti - Medal [Spinosaurus]</v>
      </c>
      <c r="Y209" s="119"/>
      <c r="Z209" s="117" t="s">
        <v>4620</v>
      </c>
      <c r="AA209" s="117" t="s">
        <v>2658</v>
      </c>
      <c r="AB209" s="114"/>
      <c r="AC209" s="123" t="str">
        <f>IFERROR(__xludf.DUMMYFUNCTION("""COMPUTED_VALUE"""),"https://ik.imagekit.io/alaaalaa6171/135%20Superhuman%20-%20Charlotte%20Katakuri%20-%20Medal%20_Buzz%20Cut%20Mochi_.png?updatedAt=1770076426283")</f>
        <v>https://ik.imagekit.io/alaaalaa6171/135%20Superhuman%20-%20Charlotte%20Katakuri%20-%20Medal%20_Buzz%20Cut%20Mochi_.png?updatedAt=1770076426283</v>
      </c>
      <c r="AD209" s="123" t="str">
        <f>IFERROR(__xludf.DUMMYFUNCTION("""COMPUTED_VALUE"""),"https://ik.imagekit.io/alaaalaa6171/135%20Superhuman%20-%20Charlotte%20Katakuri%20-%20Medal%20_Buzz%20Cut%20Mochi_%20_Colored_.png?updatedAt=1770076426237")</f>
        <v>https://ik.imagekit.io/alaaalaa6171/135%20Superhuman%20-%20Charlotte%20Katakuri%20-%20Medal%20_Buzz%20Cut%20Mochi_%20_Colored_.png?updatedAt=1770076426237</v>
      </c>
      <c r="AE209" s="123" t="str">
        <f>IFERROR(__xludf.DUMMYFUNCTION("""COMPUTED_VALUE"""),"https://ik.imagekit.io/alaaalaa6171/135%20Superhuman%20-%20Charlotte%20Katakuri%20-%20Medal%20_Buzz%20Cut%20Mochi_%20-%20Piece.png?updatedAt=1770076426328")</f>
        <v>https://ik.imagekit.io/alaaalaa6171/135%20Superhuman%20-%20Charlotte%20Katakuri%20-%20Medal%20_Buzz%20Cut%20Mochi_%20-%20Piece.png?updatedAt=1770076426328</v>
      </c>
      <c r="AF209" s="123" t="str">
        <f>IFERROR(__xludf.DUMMYFUNCTION("""COMPUTED_VALUE"""),"https://ik.imagekit.io/alaaalaa6171/135%20Superhuman%20-%20Charlotte%20Katakuri%20-%20Medal%20_Buzz%20Cut%20Mochi_%20-%20Piece%20_Colored_.png?updatedAt=1770076426227")</f>
        <v>https://ik.imagekit.io/alaaalaa6171/135%20Superhuman%20-%20Charlotte%20Katakuri%20-%20Medal%20_Buzz%20Cut%20Mochi_%20-%20Piece%20_Colored_.png?updatedAt=1770076426227</v>
      </c>
      <c r="AG209" s="114"/>
      <c r="AH209" s="114"/>
      <c r="AI209" s="121" t="s">
        <v>4621</v>
      </c>
      <c r="AJ209" s="121" t="str">
        <f>IFERROR(__xludf.DUMMYFUNCTION("regexreplace(regexreplace(AI209, ""  \["", "" ""), ""\]$"", """")"),"208 - Animal Kingdom Pirates_Tobi Roppo ~ Page One - Medal - Crafted [Colored] - Pachycephalosaurus")</f>
        <v>208 - Animal Kingdom Pirates_Tobi Roppo ~ Page One - Medal - Crafted [Colored] - Pachycephalosaurus</v>
      </c>
      <c r="AK209" s="114"/>
      <c r="AL209" s="117" t="s">
        <v>4622</v>
      </c>
      <c r="AM209" s="117" t="s">
        <v>4623</v>
      </c>
      <c r="AN209" s="114"/>
      <c r="AO209" s="122">
        <f>IFERROR(__xludf.DUMMYFUNCTION("""COMPUTED_VALUE"""),100.0)</f>
        <v>100</v>
      </c>
      <c r="AP209" s="114" t="str">
        <f>IFERROR(__xludf.DUMMYFUNCTION("""COMPUTED_VALUE"""),"Kid`s Partner")</f>
        <v>Kid`s Partner</v>
      </c>
      <c r="AQ209" s="114" t="str">
        <f>IFERROR(__xludf.DUMMYFUNCTION("""COMPUTED_VALUE"""),"Kid`s Partner")</f>
        <v>Kid`s Partner</v>
      </c>
      <c r="AR209" s="114"/>
      <c r="AS209" s="114"/>
      <c r="AT209" s="123" t="str">
        <f>IFERROR(__xludf.DUMMYFUNCTION("""COMPUTED_VALUE"""),"https://i.postimg.cc/NMThwbZV/100.png")</f>
        <v>https://i.postimg.cc/NMThwbZV/100.png</v>
      </c>
      <c r="AU209" s="114"/>
      <c r="AV209" s="114"/>
      <c r="AW209" s="114"/>
      <c r="AX209" s="114" t="str">
        <f t="shared" si="3"/>
        <v>100 - Medal [Event] - Crafted - Kid`s Partner</v>
      </c>
      <c r="AY209" s="114" t="s">
        <v>4624</v>
      </c>
      <c r="AZ209" s="114"/>
      <c r="BA209" s="114"/>
      <c r="BB209" s="114"/>
      <c r="BC209" s="114"/>
      <c r="BD209" s="114"/>
      <c r="BE209" s="114"/>
    </row>
    <row r="210" ht="37.5" customHeight="1">
      <c r="A210" s="118" t="s">
        <v>4625</v>
      </c>
      <c r="B210" s="117" t="s">
        <v>3716</v>
      </c>
      <c r="C210" s="119">
        <f>IFERROR(__xludf.DUMMYFUNCTION("""COMPUTED_VALUE"""),133.0)</f>
        <v>133</v>
      </c>
      <c r="D210" s="114" t="str">
        <f>IFERROR(__xludf.DUMMYFUNCTION("""COMPUTED_VALUE"""),"Corazon")</f>
        <v>Corazon</v>
      </c>
      <c r="E210" s="114" t="str">
        <f>IFERROR(__xludf.DUMMYFUNCTION("""COMPUTED_VALUE"""),"")</f>
        <v/>
      </c>
      <c r="F210" s="114"/>
      <c r="G210" s="114"/>
      <c r="H210" s="114"/>
      <c r="I210" s="114"/>
      <c r="J210" s="114"/>
      <c r="K210" s="114" t="s">
        <v>4626</v>
      </c>
      <c r="L210" s="114" t="s">
        <v>4627</v>
      </c>
      <c r="M210" s="114" t="s">
        <v>4628</v>
      </c>
      <c r="N210" s="114" t="s">
        <v>4629</v>
      </c>
      <c r="O210" s="114"/>
      <c r="P210" s="120">
        <v>133.0</v>
      </c>
      <c r="Q210" s="117" t="s">
        <v>4630</v>
      </c>
      <c r="R210" s="114"/>
      <c r="S210" s="117" t="s">
        <v>3723</v>
      </c>
      <c r="T210" s="114">
        <f t="shared" si="1"/>
        <v>208</v>
      </c>
      <c r="U210" s="114" t="s">
        <v>865</v>
      </c>
      <c r="V210" s="114" t="str">
        <f>IFERROR(__xludf.DUMMYFUNCTION("REGEXREPLACE(U210, ""\n"", "" "")"),"Pachycephalosaurus")</f>
        <v>Pachycephalosaurus</v>
      </c>
      <c r="W210" s="114"/>
      <c r="X210" s="115" t="str">
        <f t="shared" si="2"/>
        <v>208 Animal Kingdom Pirates / Tobi Roppo - Page One - Medal [Pachycephalosaurus]</v>
      </c>
      <c r="Y210" s="119"/>
      <c r="Z210" s="117" t="s">
        <v>4631</v>
      </c>
      <c r="AA210" s="117" t="s">
        <v>2656</v>
      </c>
      <c r="AB210" s="114"/>
      <c r="AC210" s="123" t="str">
        <f>IFERROR(__xludf.DUMMYFUNCTION("""COMPUTED_VALUE"""),"https://ik.imagekit.io/alaaalaa6171/134%20Hunger%20Pangs%20-%20Charlotte%20Linlin%20-%20Medal%20_Ikoku%20Sovereignty_.png?updatedAt=1770076426238")</f>
        <v>https://ik.imagekit.io/alaaalaa6171/134%20Hunger%20Pangs%20-%20Charlotte%20Linlin%20-%20Medal%20_Ikoku%20Sovereignty_.png?updatedAt=1770076426238</v>
      </c>
      <c r="AD210" s="123" t="str">
        <f>IFERROR(__xludf.DUMMYFUNCTION("""COMPUTED_VALUE"""),"https://ik.imagekit.io/alaaalaa6171/134%20Hunger%20Pangs%20-%20Charlotte%20Linlin%20-%20Medal%20_Ikoku%20Sovereignty_%20_Colored_.png?updatedAt=1770076426240")</f>
        <v>https://ik.imagekit.io/alaaalaa6171/134%20Hunger%20Pangs%20-%20Charlotte%20Linlin%20-%20Medal%20_Ikoku%20Sovereignty_%20_Colored_.png?updatedAt=1770076426240</v>
      </c>
      <c r="AE210" s="123" t="str">
        <f>IFERROR(__xludf.DUMMYFUNCTION("""COMPUTED_VALUE"""),"https://ik.imagekit.io/alaaalaa6171/134%20Hunger%20Pangs%20-%20Charlotte%20Linlin%20-%20Medal%20_Ikoku%20Sovereignty_%20-%20Piece.png?updatedAt=1770076426228")</f>
        <v>https://ik.imagekit.io/alaaalaa6171/134%20Hunger%20Pangs%20-%20Charlotte%20Linlin%20-%20Medal%20_Ikoku%20Sovereignty_%20-%20Piece.png?updatedAt=1770076426228</v>
      </c>
      <c r="AF210" s="123" t="str">
        <f>IFERROR(__xludf.DUMMYFUNCTION("""COMPUTED_VALUE"""),"https://ik.imagekit.io/alaaalaa6171/134%20Hunger%20Pangs%20-%20Charlotte%20Linlin%20-%20Medal%20_Ikoku%20Sovereignty_%20-%20Piece%20_Colored_.png?updatedAt=1770076426220")</f>
        <v>https://ik.imagekit.io/alaaalaa6171/134%20Hunger%20Pangs%20-%20Charlotte%20Linlin%20-%20Medal%20_Ikoku%20Sovereignty_%20-%20Piece%20_Colored_.png?updatedAt=1770076426220</v>
      </c>
      <c r="AG210" s="114"/>
      <c r="AH210" s="114"/>
      <c r="AI210" s="121" t="s">
        <v>4632</v>
      </c>
      <c r="AJ210" s="121" t="str">
        <f>IFERROR(__xludf.DUMMYFUNCTION("regexreplace(regexreplace(AI210, ""  \["", "" ""), ""\]$"", """")"),"209 - Animal Kingdom Pirates_Tobi Roppo ~ Ulti - Medal - Crafted [Colored] - Spinosaurus")</f>
        <v>209 - Animal Kingdom Pirates_Tobi Roppo ~ Ulti - Medal - Crafted [Colored] - Spinosaurus</v>
      </c>
      <c r="AK210" s="114"/>
      <c r="AL210" s="117" t="s">
        <v>4633</v>
      </c>
      <c r="AM210" s="117" t="s">
        <v>4634</v>
      </c>
      <c r="AN210" s="114"/>
      <c r="AO210" s="122">
        <f>IFERROR(__xludf.DUMMYFUNCTION("""COMPUTED_VALUE"""),99.0)</f>
        <v>99</v>
      </c>
      <c r="AP210" s="114" t="str">
        <f>IFERROR(__xludf.DUMMYFUNCTION("""COMPUTED_VALUE"""),"Heat_Heat")</f>
        <v>Heat_Heat</v>
      </c>
      <c r="AQ210" s="114" t="str">
        <f>IFERROR(__xludf.DUMMYFUNCTION("""COMPUTED_VALUE"""),"Heat_Heat")</f>
        <v>Heat_Heat</v>
      </c>
      <c r="AR210" s="114"/>
      <c r="AS210" s="114"/>
      <c r="AT210" s="123" t="str">
        <f>IFERROR(__xludf.DUMMYFUNCTION("""COMPUTED_VALUE"""),"https://i.postimg.cc/WzPBpgv4/099.png")</f>
        <v>https://i.postimg.cc/WzPBpgv4/099.png</v>
      </c>
      <c r="AU210" s="114"/>
      <c r="AV210" s="114"/>
      <c r="AW210" s="114"/>
      <c r="AX210" s="114" t="str">
        <f t="shared" si="3"/>
        <v>99 - Medal [Event] - Crafted - Heat_Heat</v>
      </c>
      <c r="AY210" s="114" t="s">
        <v>4635</v>
      </c>
      <c r="AZ210" s="114"/>
      <c r="BA210" s="114"/>
      <c r="BB210" s="114"/>
      <c r="BC210" s="114"/>
      <c r="BD210" s="114"/>
      <c r="BE210" s="114"/>
    </row>
    <row r="211" ht="37.5" customHeight="1">
      <c r="A211" s="118" t="s">
        <v>4636</v>
      </c>
      <c r="B211" s="117" t="s">
        <v>3703</v>
      </c>
      <c r="C211" s="119">
        <f>IFERROR(__xludf.DUMMYFUNCTION("""COMPUTED_VALUE"""),132.0)</f>
        <v>132</v>
      </c>
      <c r="D211" s="114" t="str">
        <f>IFERROR(__xludf.DUMMYFUNCTION("""COMPUTED_VALUE"""),"Rebecca")</f>
        <v>Rebecca</v>
      </c>
      <c r="E211" s="114" t="str">
        <f>IFERROR(__xludf.DUMMYFUNCTION("""COMPUTED_VALUE"""),"")</f>
        <v/>
      </c>
      <c r="F211" s="114"/>
      <c r="G211" s="114"/>
      <c r="H211" s="114"/>
      <c r="I211" s="114"/>
      <c r="J211" s="114"/>
      <c r="K211" s="114" t="s">
        <v>4637</v>
      </c>
      <c r="L211" s="114" t="s">
        <v>4638</v>
      </c>
      <c r="M211" s="114" t="s">
        <v>4639</v>
      </c>
      <c r="N211" s="114" t="s">
        <v>4640</v>
      </c>
      <c r="O211" s="114"/>
      <c r="P211" s="120">
        <v>132.0</v>
      </c>
      <c r="Q211" s="117" t="s">
        <v>4641</v>
      </c>
      <c r="R211" s="114"/>
      <c r="S211" s="117" t="s">
        <v>3684</v>
      </c>
      <c r="T211" s="114">
        <f t="shared" si="1"/>
        <v>211</v>
      </c>
      <c r="U211" s="114" t="s">
        <v>847</v>
      </c>
      <c r="V211" s="114" t="str">
        <f>IFERROR(__xludf.DUMMYFUNCTION("REGEXREPLACE(U211, ""\n"", "" "")"),"Phoenix Brand")</f>
        <v>Phoenix Brand</v>
      </c>
      <c r="W211" s="114"/>
      <c r="X211" s="115" t="str">
        <f t="shared" si="2"/>
        <v>211 Land of Wano - Marco - Medal [Phoenix Brand]</v>
      </c>
      <c r="Y211" s="119"/>
      <c r="Z211" s="117" t="s">
        <v>4642</v>
      </c>
      <c r="AA211" s="117" t="s">
        <v>2668</v>
      </c>
      <c r="AB211" s="114"/>
      <c r="AC211" s="123" t="str">
        <f>IFERROR(__xludf.DUMMYFUNCTION("""COMPUTED_VALUE"""),"https://ik.imagekit.io/alaaalaa6171/133%20Don%20Quixote%20Family_Officer%20-%20Corazon%20-%20Medal%20_Corazon_.png?updatedAt=1770076426213")</f>
        <v>https://ik.imagekit.io/alaaalaa6171/133%20Don%20Quixote%20Family_Officer%20-%20Corazon%20-%20Medal%20_Corazon_.png?updatedAt=1770076426213</v>
      </c>
      <c r="AD211" s="123" t="str">
        <f>IFERROR(__xludf.DUMMYFUNCTION("""COMPUTED_VALUE"""),"https://ik.imagekit.io/alaaalaa6171/133%20Don%20Quixote%20Family_Officer%20-%20Corazon%20-%20Medal%20_Corazon_%20_Colored_.png?updatedAt=1770076426324")</f>
        <v>https://ik.imagekit.io/alaaalaa6171/133%20Don%20Quixote%20Family_Officer%20-%20Corazon%20-%20Medal%20_Corazon_%20_Colored_.png?updatedAt=1770076426324</v>
      </c>
      <c r="AE211" s="123" t="str">
        <f>IFERROR(__xludf.DUMMYFUNCTION("""COMPUTED_VALUE"""),"https://ik.imagekit.io/alaaalaa6171/133%20Don%20Quixote%20Family_Officer%20-%20Corazon%20-%20Medal%20_Corazon_%20-%20Piece.png?updatedAt=1770076426201")</f>
        <v>https://ik.imagekit.io/alaaalaa6171/133%20Don%20Quixote%20Family_Officer%20-%20Corazon%20-%20Medal%20_Corazon_%20-%20Piece.png?updatedAt=1770076426201</v>
      </c>
      <c r="AF211" s="123" t="str">
        <f>IFERROR(__xludf.DUMMYFUNCTION("""COMPUTED_VALUE"""),"https://ik.imagekit.io/alaaalaa6171/133%20Don%20Quixote%20Family_Officer%20-%20Corazon%20-%20Medal%20_Corazon_%20-%20Piece%20_Colored_.png?updatedAt=1770076426231")</f>
        <v>https://ik.imagekit.io/alaaalaa6171/133%20Don%20Quixote%20Family_Officer%20-%20Corazon%20-%20Medal%20_Corazon_%20-%20Piece%20_Colored_.png?updatedAt=1770076426231</v>
      </c>
      <c r="AG211" s="114"/>
      <c r="AH211" s="114"/>
      <c r="AI211" s="121" t="s">
        <v>4643</v>
      </c>
      <c r="AJ211" s="121" t="str">
        <f>IFERROR(__xludf.DUMMYFUNCTION("regexreplace(regexreplace(AI211, ""  \["", "" ""), ""\]$"", """")"),"210 - Big Mom Pirates_Crewmate ~ Charlotte Perospero - Medal - Crafted [Colored] - Perospero")</f>
        <v>210 - Big Mom Pirates_Crewmate ~ Charlotte Perospero - Medal - Crafted [Colored] - Perospero</v>
      </c>
      <c r="AK211" s="114"/>
      <c r="AL211" s="117" t="s">
        <v>4644</v>
      </c>
      <c r="AM211" s="117" t="s">
        <v>4645</v>
      </c>
      <c r="AN211" s="114"/>
      <c r="AO211" s="122">
        <f>IFERROR(__xludf.DUMMYFUNCTION("""COMPUTED_VALUE"""),98.0)</f>
        <v>98</v>
      </c>
      <c r="AP211" s="114" t="str">
        <f>IFERROR(__xludf.DUMMYFUNCTION("""COMPUTED_VALUE"""),"Puff_Puff")</f>
        <v>Puff_Puff</v>
      </c>
      <c r="AQ211" s="114" t="str">
        <f>IFERROR(__xludf.DUMMYFUNCTION("""COMPUTED_VALUE"""),"Puff_Puff")</f>
        <v>Puff_Puff</v>
      </c>
      <c r="AR211" s="114"/>
      <c r="AS211" s="114"/>
      <c r="AT211" s="123" t="str">
        <f>IFERROR(__xludf.DUMMYFUNCTION("""COMPUTED_VALUE"""),"https://i.postimg.cc/Y0fJv0rz/098.png")</f>
        <v>https://i.postimg.cc/Y0fJv0rz/098.png</v>
      </c>
      <c r="AU211" s="114"/>
      <c r="AV211" s="114"/>
      <c r="AW211" s="114"/>
      <c r="AX211" s="114" t="str">
        <f t="shared" si="3"/>
        <v>98 - Medal [Event] - Crafted - Puff_Puff</v>
      </c>
      <c r="AY211" s="114" t="s">
        <v>4646</v>
      </c>
      <c r="AZ211" s="114"/>
      <c r="BA211" s="114"/>
      <c r="BB211" s="114"/>
      <c r="BC211" s="114"/>
      <c r="BD211" s="114"/>
      <c r="BE211" s="114"/>
    </row>
    <row r="212" ht="37.5" customHeight="1">
      <c r="A212" s="118" t="s">
        <v>4647</v>
      </c>
      <c r="B212" s="117" t="s">
        <v>3690</v>
      </c>
      <c r="C212" s="119">
        <f>IFERROR(__xludf.DUMMYFUNCTION("""COMPUTED_VALUE"""),131.0)</f>
        <v>131</v>
      </c>
      <c r="D212" s="114" t="str">
        <f>IFERROR(__xludf.DUMMYFUNCTION("""COMPUTED_VALUE"""),"Scalpel")</f>
        <v>Scalpel</v>
      </c>
      <c r="E212" s="114" t="str">
        <f>IFERROR(__xludf.DUMMYFUNCTION("""COMPUTED_VALUE"""),"")</f>
        <v/>
      </c>
      <c r="F212" s="114"/>
      <c r="G212" s="114"/>
      <c r="H212" s="114"/>
      <c r="I212" s="114"/>
      <c r="J212" s="114"/>
      <c r="K212" s="114" t="s">
        <v>4648</v>
      </c>
      <c r="L212" s="114" t="s">
        <v>4649</v>
      </c>
      <c r="M212" s="114" t="s">
        <v>4650</v>
      </c>
      <c r="N212" s="114" t="s">
        <v>4651</v>
      </c>
      <c r="O212" s="114"/>
      <c r="P212" s="120">
        <v>131.0</v>
      </c>
      <c r="Q212" s="117" t="s">
        <v>4652</v>
      </c>
      <c r="R212" s="114"/>
      <c r="S212" s="117" t="s">
        <v>3697</v>
      </c>
      <c r="T212" s="114">
        <f t="shared" si="1"/>
        <v>210</v>
      </c>
      <c r="U212" s="114" t="s">
        <v>854</v>
      </c>
      <c r="V212" s="114" t="str">
        <f>IFERROR(__xludf.DUMMYFUNCTION("REGEXREPLACE(U212, ""\n"", "" "")"),"Perospero")</f>
        <v>Perospero</v>
      </c>
      <c r="W212" s="114"/>
      <c r="X212" s="115" t="str">
        <f t="shared" si="2"/>
        <v>210 Big Mom Pirates / Crewmate - Charlotte Perospero - Medal [Perospero]</v>
      </c>
      <c r="Y212" s="119"/>
      <c r="Z212" s="117" t="s">
        <v>4653</v>
      </c>
      <c r="AA212" s="117" t="s">
        <v>2670</v>
      </c>
      <c r="AB212" s="114"/>
      <c r="AC212" s="123" t="str">
        <f>IFERROR(__xludf.DUMMYFUNCTION("""COMPUTED_VALUE"""),"https://ik.imagekit.io/alaaalaa6171/132%20The%20Undefeated%20Woman%20-%20Rebecca%20-%20Medal%20_Rebecca_.png?updatedAt=1770076426224")</f>
        <v>https://ik.imagekit.io/alaaalaa6171/132%20The%20Undefeated%20Woman%20-%20Rebecca%20-%20Medal%20_Rebecca_.png?updatedAt=1770076426224</v>
      </c>
      <c r="AD212" s="123" t="str">
        <f>IFERROR(__xludf.DUMMYFUNCTION("""COMPUTED_VALUE"""),"https://ik.imagekit.io/alaaalaa6171/132%20The%20Undefeated%20Woman%20-%20Rebecca%20-%20Medal%20_Rebecca_%20_Colored_.png?updatedAt=1770076426188")</f>
        <v>https://ik.imagekit.io/alaaalaa6171/132%20The%20Undefeated%20Woman%20-%20Rebecca%20-%20Medal%20_Rebecca_%20_Colored_.png?updatedAt=1770076426188</v>
      </c>
      <c r="AE212" s="123" t="str">
        <f>IFERROR(__xludf.DUMMYFUNCTION("""COMPUTED_VALUE"""),"https://ik.imagekit.io/alaaalaa6171/132%20The%20Undefeated%20Woman%20-%20Rebecca%20-%20Medal%20_Rebecca_%20-%20Piece.png?updatedAt=1770076426178")</f>
        <v>https://ik.imagekit.io/alaaalaa6171/132%20The%20Undefeated%20Woman%20-%20Rebecca%20-%20Medal%20_Rebecca_%20-%20Piece.png?updatedAt=1770076426178</v>
      </c>
      <c r="AF212" s="123" t="str">
        <f>IFERROR(__xludf.DUMMYFUNCTION("""COMPUTED_VALUE"""),"https://ik.imagekit.io/alaaalaa6171/132%20The%20Undefeated%20Woman%20-%20Rebecca%20-%20Medal%20_Rebecca_%20-%20Piece%20_Colored_.png?updatedAt=1770076426180")</f>
        <v>https://ik.imagekit.io/alaaalaa6171/132%20The%20Undefeated%20Woman%20-%20Rebecca%20-%20Medal%20_Rebecca_%20-%20Piece%20_Colored_.png?updatedAt=1770076426180</v>
      </c>
      <c r="AG212" s="114"/>
      <c r="AH212" s="114"/>
      <c r="AI212" s="121" t="s">
        <v>4654</v>
      </c>
      <c r="AJ212" s="121" t="str">
        <f>IFERROR(__xludf.DUMMYFUNCTION("regexreplace(regexreplace(AI212, ""  \["", "" ""), ""\]$"", """")"),"211 - Land of Wano ~ Marco - Medal - Crafted [Colored] - Phoenix Brand")</f>
        <v>211 - Land of Wano ~ Marco - Medal - Crafted [Colored] - Phoenix Brand</v>
      </c>
      <c r="AK212" s="114"/>
      <c r="AL212" s="117" t="s">
        <v>4655</v>
      </c>
      <c r="AM212" s="117" t="s">
        <v>4656</v>
      </c>
      <c r="AN212" s="114"/>
      <c r="AO212" s="122">
        <f>IFERROR(__xludf.DUMMYFUNCTION("""COMPUTED_VALUE"""),97.0)</f>
        <v>97</v>
      </c>
      <c r="AP212" s="114" t="str">
        <f>IFERROR(__xludf.DUMMYFUNCTION("""COMPUTED_VALUE"""),"Wanda")</f>
        <v>Wanda</v>
      </c>
      <c r="AQ212" s="114" t="str">
        <f>IFERROR(__xludf.DUMMYFUNCTION("""COMPUTED_VALUE"""),"Wanda")</f>
        <v>Wanda</v>
      </c>
      <c r="AR212" s="114"/>
      <c r="AS212" s="114"/>
      <c r="AT212" s="123" t="str">
        <f>IFERROR(__xludf.DUMMYFUNCTION("""COMPUTED_VALUE"""),"https://i.postimg.cc/GhdWZFK7/097.png")</f>
        <v>https://i.postimg.cc/GhdWZFK7/097.png</v>
      </c>
      <c r="AU212" s="114"/>
      <c r="AV212" s="114"/>
      <c r="AW212" s="114"/>
      <c r="AX212" s="114" t="str">
        <f t="shared" si="3"/>
        <v>97 - Medal [Event] - Crafted - Wanda</v>
      </c>
      <c r="AY212" s="114" t="s">
        <v>4657</v>
      </c>
      <c r="AZ212" s="114"/>
      <c r="BA212" s="114"/>
      <c r="BB212" s="114"/>
      <c r="BC212" s="114"/>
      <c r="BD212" s="114"/>
      <c r="BE212" s="114"/>
    </row>
    <row r="213" ht="37.5" customHeight="1">
      <c r="A213" s="118" t="s">
        <v>4658</v>
      </c>
      <c r="B213" s="117" t="s">
        <v>3677</v>
      </c>
      <c r="C213" s="119">
        <f>IFERROR(__xludf.DUMMYFUNCTION("""COMPUTED_VALUE"""),130.0)</f>
        <v>130</v>
      </c>
      <c r="D213" s="114" t="str">
        <f>IFERROR(__xludf.DUMMYFUNCTION("""COMPUTED_VALUE"""),"Mamaragan")</f>
        <v>Mamaragan</v>
      </c>
      <c r="E213" s="114" t="str">
        <f>IFERROR(__xludf.DUMMYFUNCTION("""COMPUTED_VALUE"""),"")</f>
        <v/>
      </c>
      <c r="F213" s="114"/>
      <c r="G213" s="114"/>
      <c r="H213" s="114"/>
      <c r="I213" s="114"/>
      <c r="J213" s="114"/>
      <c r="K213" s="114" t="s">
        <v>4659</v>
      </c>
      <c r="L213" s="114" t="s">
        <v>4660</v>
      </c>
      <c r="M213" s="114" t="s">
        <v>4661</v>
      </c>
      <c r="N213" s="114" t="s">
        <v>4662</v>
      </c>
      <c r="O213" s="114"/>
      <c r="P213" s="120">
        <v>130.0</v>
      </c>
      <c r="Q213" s="117" t="s">
        <v>4663</v>
      </c>
      <c r="R213" s="114"/>
      <c r="S213" s="117" t="s">
        <v>3671</v>
      </c>
      <c r="T213" s="114">
        <f t="shared" si="1"/>
        <v>212</v>
      </c>
      <c r="U213" s="114" t="s">
        <v>4664</v>
      </c>
      <c r="V213" s="114" t="str">
        <f>IFERROR(__xludf.DUMMYFUNCTION("REGEXREPLACE(U213, ""\n"", "" "")"),"Hancock (STAMPEDE)")</f>
        <v>Hancock (STAMPEDE)</v>
      </c>
      <c r="W213" s="114"/>
      <c r="X213" s="115" t="str">
        <f t="shared" si="2"/>
        <v>212 STAMPEDE - Boa Hancock - Medal [Hancock (STAMPEDE)]</v>
      </c>
      <c r="Y213" s="119"/>
      <c r="Z213" s="117" t="s">
        <v>4665</v>
      </c>
      <c r="AA213" s="117" t="s">
        <v>2671</v>
      </c>
      <c r="AB213" s="114"/>
      <c r="AC213" s="123" t="str">
        <f>IFERROR(__xludf.DUMMYFUNCTION("""COMPUTED_VALUE"""),"https://ik.imagekit.io/alaaalaa6171/131%20Surgeon%20of%20Death%20-%20Trafalger%20Law%20-%20Medal%20_Scalpel_.png?updatedAt=1770076426172")</f>
        <v>https://ik.imagekit.io/alaaalaa6171/131%20Surgeon%20of%20Death%20-%20Trafalger%20Law%20-%20Medal%20_Scalpel_.png?updatedAt=1770076426172</v>
      </c>
      <c r="AD213" s="123" t="str">
        <f>IFERROR(__xludf.DUMMYFUNCTION("""COMPUTED_VALUE"""),"https://ik.imagekit.io/alaaalaa6171/131%20Surgeon%20of%20Death%20-%20Trafalger%20Law%20-%20Medal%20_Scalpel_%20_Colored_.png?updatedAt=1770076426141")</f>
        <v>https://ik.imagekit.io/alaaalaa6171/131%20Surgeon%20of%20Death%20-%20Trafalger%20Law%20-%20Medal%20_Scalpel_%20_Colored_.png?updatedAt=1770076426141</v>
      </c>
      <c r="AE213" s="123" t="str">
        <f>IFERROR(__xludf.DUMMYFUNCTION("""COMPUTED_VALUE"""),"https://ik.imagekit.io/alaaalaa6171/131%20Surgeon%20of%20Death%20-%20Trafalger%20Law%20-%20Medal%20_Scalpel_%20-%20Piece.png?updatedAt=1770076426184")</f>
        <v>https://ik.imagekit.io/alaaalaa6171/131%20Surgeon%20of%20Death%20-%20Trafalger%20Law%20-%20Medal%20_Scalpel_%20-%20Piece.png?updatedAt=1770076426184</v>
      </c>
      <c r="AF213" s="123" t="str">
        <f>IFERROR(__xludf.DUMMYFUNCTION("""COMPUTED_VALUE"""),"https://ik.imagekit.io/alaaalaa6171/131%20Surgeon%20of%20Death%20-%20Trafalger%20Law%20-%20Medal%20_Scalpel_%20-%20Piece%20_Colored_.png?updatedAt=1770076426155")</f>
        <v>https://ik.imagekit.io/alaaalaa6171/131%20Surgeon%20of%20Death%20-%20Trafalger%20Law%20-%20Medal%20_Scalpel_%20-%20Piece%20_Colored_.png?updatedAt=1770076426155</v>
      </c>
      <c r="AG213" s="114"/>
      <c r="AH213" s="114"/>
      <c r="AI213" s="121" t="s">
        <v>4666</v>
      </c>
      <c r="AJ213" s="121" t="str">
        <f>IFERROR(__xludf.DUMMYFUNCTION("regexreplace(regexreplace(AI213, ""  \["", "" ""), ""\]$"", """")"),"212 - STAMPEDE ~ Boa Hancock - Medal - Crafted [Colored] - Hancock (STAMPEDE)")</f>
        <v>212 - STAMPEDE ~ Boa Hancock - Medal - Crafted [Colored] - Hancock (STAMPEDE)</v>
      </c>
      <c r="AK213" s="114"/>
      <c r="AL213" s="117" t="s">
        <v>4667</v>
      </c>
      <c r="AM213" s="117" t="s">
        <v>4668</v>
      </c>
      <c r="AN213" s="114"/>
      <c r="AO213" s="122">
        <f>IFERROR(__xludf.DUMMYFUNCTION("""COMPUTED_VALUE"""),96.0)</f>
        <v>96</v>
      </c>
      <c r="AP213" s="114" t="str">
        <f>IFERROR(__xludf.DUMMYFUNCTION("""COMPUTED_VALUE"""),"Shishilian")</f>
        <v>Shishilian</v>
      </c>
      <c r="AQ213" s="114" t="str">
        <f>IFERROR(__xludf.DUMMYFUNCTION("""COMPUTED_VALUE"""),"Shishilian")</f>
        <v>Shishilian</v>
      </c>
      <c r="AR213" s="114"/>
      <c r="AS213" s="114"/>
      <c r="AT213" s="123" t="str">
        <f>IFERROR(__xludf.DUMMYFUNCTION("""COMPUTED_VALUE"""),"https://i.postimg.cc/9Fb6VDNW/096.png")</f>
        <v>https://i.postimg.cc/9Fb6VDNW/096.png</v>
      </c>
      <c r="AU213" s="114"/>
      <c r="AV213" s="114"/>
      <c r="AW213" s="114"/>
      <c r="AX213" s="114" t="str">
        <f t="shared" si="3"/>
        <v>96 - Medal [Event] - Crafted - Shishilian</v>
      </c>
      <c r="AY213" s="114" t="s">
        <v>4669</v>
      </c>
      <c r="AZ213" s="114"/>
      <c r="BA213" s="114"/>
      <c r="BB213" s="114"/>
      <c r="BC213" s="114"/>
      <c r="BD213" s="114"/>
      <c r="BE213" s="114"/>
    </row>
    <row r="214" ht="37.5" customHeight="1">
      <c r="A214" s="118" t="s">
        <v>4670</v>
      </c>
      <c r="B214" s="117" t="s">
        <v>3664</v>
      </c>
      <c r="C214" s="119">
        <f>IFERROR(__xludf.DUMMYFUNCTION("""COMPUTED_VALUE"""),129.0)</f>
        <v>129</v>
      </c>
      <c r="D214" s="114" t="str">
        <f>IFERROR(__xludf.DUMMYFUNCTION("""COMPUTED_VALUE"""),"Six King Pistol")</f>
        <v>Six King Pistol</v>
      </c>
      <c r="E214" s="114" t="str">
        <f>IFERROR(__xludf.DUMMYFUNCTION("""COMPUTED_VALUE"""),"")</f>
        <v/>
      </c>
      <c r="F214" s="114"/>
      <c r="G214" s="114"/>
      <c r="H214" s="114"/>
      <c r="I214" s="114"/>
      <c r="J214" s="114"/>
      <c r="K214" s="114" t="s">
        <v>4671</v>
      </c>
      <c r="L214" s="114" t="s">
        <v>4672</v>
      </c>
      <c r="M214" s="114" t="s">
        <v>4673</v>
      </c>
      <c r="N214" s="114" t="s">
        <v>4674</v>
      </c>
      <c r="O214" s="114"/>
      <c r="P214" s="120">
        <v>129.0</v>
      </c>
      <c r="Q214" s="117" t="s">
        <v>4675</v>
      </c>
      <c r="R214" s="114"/>
      <c r="S214" s="117" t="s">
        <v>3658</v>
      </c>
      <c r="T214" s="114">
        <f t="shared" si="1"/>
        <v>213</v>
      </c>
      <c r="U214" s="114" t="s">
        <v>833</v>
      </c>
      <c r="V214" s="114" t="str">
        <f>IFERROR(__xludf.DUMMYFUNCTION("REGEXREPLACE(U214, ""\n"", "" "")"),"Shiki")</f>
        <v>Shiki</v>
      </c>
      <c r="W214" s="114"/>
      <c r="X214" s="115" t="str">
        <f t="shared" si="2"/>
        <v>213 FILM STRONG WORLD - Shiki - Medal [Shiki]</v>
      </c>
      <c r="Y214" s="119"/>
      <c r="Z214" s="117" t="s">
        <v>4676</v>
      </c>
      <c r="AA214" s="117" t="s">
        <v>2669</v>
      </c>
      <c r="AB214" s="114"/>
      <c r="AC214" s="123" t="str">
        <f>IFERROR(__xludf.DUMMYFUNCTION("""COMPUTED_VALUE"""),"https://ik.imagekit.io/alaaalaa6171/130%20Amaru%20-%20Eneru%20-%20Medal%20_Mamaragan_.png?updatedAt=1770076426147")</f>
        <v>https://ik.imagekit.io/alaaalaa6171/130%20Amaru%20-%20Eneru%20-%20Medal%20_Mamaragan_.png?updatedAt=1770076426147</v>
      </c>
      <c r="AD214" s="123" t="str">
        <f>IFERROR(__xludf.DUMMYFUNCTION("""COMPUTED_VALUE"""),"https://ik.imagekit.io/alaaalaa6171/130%20Amaru%20-%20Eneru%20-%20Medal%20_Mamaragan_%20_Colored_.png?updatedAt=1770076426171")</f>
        <v>https://ik.imagekit.io/alaaalaa6171/130%20Amaru%20-%20Eneru%20-%20Medal%20_Mamaragan_%20_Colored_.png?updatedAt=1770076426171</v>
      </c>
      <c r="AE214" s="123" t="str">
        <f>IFERROR(__xludf.DUMMYFUNCTION("""COMPUTED_VALUE"""),"https://ik.imagekit.io/alaaalaa6171/130%20Amaru%20-%20Eneru%20-%20Medal%20_Mamaragan_%20-%20Piece.png?updatedAt=1770076426130")</f>
        <v>https://ik.imagekit.io/alaaalaa6171/130%20Amaru%20-%20Eneru%20-%20Medal%20_Mamaragan_%20-%20Piece.png?updatedAt=1770076426130</v>
      </c>
      <c r="AF214" s="123" t="str">
        <f>IFERROR(__xludf.DUMMYFUNCTION("""COMPUTED_VALUE"""),"https://ik.imagekit.io/alaaalaa6171/130%20Amaru%20-%20Eneru%20-%20Medal%20_Mamaragan_%20-%20Piece%20_Colored_.png?updatedAt=1770076426140")</f>
        <v>https://ik.imagekit.io/alaaalaa6171/130%20Amaru%20-%20Eneru%20-%20Medal%20_Mamaragan_%20-%20Piece%20_Colored_.png?updatedAt=1770076426140</v>
      </c>
      <c r="AG214" s="114"/>
      <c r="AH214" s="114"/>
      <c r="AI214" s="121" t="s">
        <v>4677</v>
      </c>
      <c r="AJ214" s="121" t="str">
        <f>IFERROR(__xludf.DUMMYFUNCTION("regexreplace(regexreplace(AI214, ""  \["", "" ""), ""\]$"", """")"),"213 - FILM STRONG WORLD ~ Shiki - Medal - Crafted [Colored] - Shiki")</f>
        <v>213 - FILM STRONG WORLD ~ Shiki - Medal - Crafted [Colored] - Shiki</v>
      </c>
      <c r="AK214" s="114"/>
      <c r="AL214" s="117" t="s">
        <v>4678</v>
      </c>
      <c r="AM214" s="117" t="s">
        <v>4679</v>
      </c>
      <c r="AN214" s="114"/>
      <c r="AO214" s="122">
        <f>IFERROR(__xludf.DUMMYFUNCTION("""COMPUTED_VALUE"""),95.0)</f>
        <v>95</v>
      </c>
      <c r="AP214" s="114" t="str">
        <f>IFERROR(__xludf.DUMMYFUNCTION("""COMPUTED_VALUE"""),"Robiland")</f>
        <v>Robiland</v>
      </c>
      <c r="AQ214" s="114" t="str">
        <f>IFERROR(__xludf.DUMMYFUNCTION("""COMPUTED_VALUE"""),"Robiland")</f>
        <v>Robiland</v>
      </c>
      <c r="AR214" s="114"/>
      <c r="AS214" s="114"/>
      <c r="AT214" s="123" t="str">
        <f>IFERROR(__xludf.DUMMYFUNCTION("""COMPUTED_VALUE"""),"https://i.postimg.cc/HkLfLTfb/095.png")</f>
        <v>https://i.postimg.cc/HkLfLTfb/095.png</v>
      </c>
      <c r="AU214" s="114"/>
      <c r="AV214" s="114"/>
      <c r="AW214" s="114"/>
      <c r="AX214" s="114" t="str">
        <f t="shared" si="3"/>
        <v>95 - Medal [Event] - Crafted - Robiland</v>
      </c>
      <c r="AY214" s="114" t="s">
        <v>4680</v>
      </c>
      <c r="AZ214" s="114"/>
      <c r="BA214" s="114"/>
      <c r="BB214" s="114"/>
      <c r="BC214" s="114"/>
      <c r="BD214" s="114"/>
      <c r="BE214" s="114"/>
    </row>
    <row r="215" ht="37.5" customHeight="1">
      <c r="A215" s="118" t="s">
        <v>4681</v>
      </c>
      <c r="B215" s="117" t="s">
        <v>3651</v>
      </c>
      <c r="C215" s="119">
        <f>IFERROR(__xludf.DUMMYFUNCTION("""COMPUTED_VALUE"""),128.0)</f>
        <v>128</v>
      </c>
      <c r="D215" s="114" t="str">
        <f>IFERROR(__xludf.DUMMYFUNCTION("""COMPUTED_VALUE"""),"Sumo Slap")</f>
        <v>Sumo Slap</v>
      </c>
      <c r="E215" s="114" t="str">
        <f>IFERROR(__xludf.DUMMYFUNCTION("""COMPUTED_VALUE"""),"")</f>
        <v/>
      </c>
      <c r="F215" s="114"/>
      <c r="G215" s="114"/>
      <c r="H215" s="114"/>
      <c r="I215" s="114"/>
      <c r="J215" s="114"/>
      <c r="K215" s="114" t="s">
        <v>4682</v>
      </c>
      <c r="L215" s="114" t="s">
        <v>4683</v>
      </c>
      <c r="M215" s="114" t="s">
        <v>4684</v>
      </c>
      <c r="N215" s="114" t="s">
        <v>4685</v>
      </c>
      <c r="O215" s="114"/>
      <c r="P215" s="120">
        <v>128.0</v>
      </c>
      <c r="Q215" s="117" t="s">
        <v>4686</v>
      </c>
      <c r="R215" s="114"/>
      <c r="S215" s="117" t="s">
        <v>3645</v>
      </c>
      <c r="T215" s="114">
        <f t="shared" si="1"/>
        <v>214</v>
      </c>
      <c r="U215" s="114" t="s">
        <v>827</v>
      </c>
      <c r="V215" s="114" t="str">
        <f>IFERROR(__xludf.DUMMYFUNCTION("REGEXREPLACE(U215, ""\n"", "" "")"),"Tesoro")</f>
        <v>Tesoro</v>
      </c>
      <c r="W215" s="114"/>
      <c r="X215" s="115" t="str">
        <f t="shared" si="2"/>
        <v>214 FILM GOLD - Gild Tesoro - Medal [Tesoro]</v>
      </c>
      <c r="Y215" s="119"/>
      <c r="Z215" s="117" t="s">
        <v>4687</v>
      </c>
      <c r="AA215" s="117" t="s">
        <v>2681</v>
      </c>
      <c r="AB215" s="114"/>
      <c r="AC215" s="123" t="str">
        <f>IFERROR(__xludf.DUMMYFUNCTION("""COMPUTED_VALUE"""),"https://ik.imagekit.io/alaaalaa6171/129%20CP0%20-%20Rob%20Lucci%20-%20Medal%20_Six%20King%20Pistol_.png?updatedAt=1770076426129")</f>
        <v>https://ik.imagekit.io/alaaalaa6171/129%20CP0%20-%20Rob%20Lucci%20-%20Medal%20_Six%20King%20Pistol_.png?updatedAt=1770076426129</v>
      </c>
      <c r="AD215" s="123" t="str">
        <f>IFERROR(__xludf.DUMMYFUNCTION("""COMPUTED_VALUE"""),"https://ik.imagekit.io/alaaalaa6171/129%20CP0%20-%20Rob%20Lucci%20-%20Medal%20_Six%20King%20Pistol_%20_Colored_.png?updatedAt=1770076426175")</f>
        <v>https://ik.imagekit.io/alaaalaa6171/129%20CP0%20-%20Rob%20Lucci%20-%20Medal%20_Six%20King%20Pistol_%20_Colored_.png?updatedAt=1770076426175</v>
      </c>
      <c r="AE215" s="123" t="str">
        <f>IFERROR(__xludf.DUMMYFUNCTION("""COMPUTED_VALUE"""),"https://ik.imagekit.io/alaaalaa6171/129%20CP0%20-%20Rob%20Lucci%20-%20Medal%20_Six%20King%20Pistol_%20-%20Piece.png?updatedAt=1770076426106")</f>
        <v>https://ik.imagekit.io/alaaalaa6171/129%20CP0%20-%20Rob%20Lucci%20-%20Medal%20_Six%20King%20Pistol_%20-%20Piece.png?updatedAt=1770076426106</v>
      </c>
      <c r="AF215" s="123" t="str">
        <f>IFERROR(__xludf.DUMMYFUNCTION("""COMPUTED_VALUE"""),"https://ik.imagekit.io/alaaalaa6171/129%20CP0%20-%20Rob%20Lucci%20-%20Medal%20_Six%20King%20Pistol_%20-%20Piece%20_Colored_.png?updatedAt=1770076426112")</f>
        <v>https://ik.imagekit.io/alaaalaa6171/129%20CP0%20-%20Rob%20Lucci%20-%20Medal%20_Six%20King%20Pistol_%20-%20Piece%20_Colored_.png?updatedAt=1770076426112</v>
      </c>
      <c r="AG215" s="114"/>
      <c r="AH215" s="114"/>
      <c r="AI215" s="121" t="s">
        <v>4688</v>
      </c>
      <c r="AJ215" s="121" t="str">
        <f>IFERROR(__xludf.DUMMYFUNCTION("regexreplace(regexreplace(AI215, ""  \["", "" ""), ""\]$"", """")"),"214 - FILM GOLD ~ Gild Tesoro - Medal - Crafted [Colored] - Tesoro")</f>
        <v>214 - FILM GOLD ~ Gild Tesoro - Medal - Crafted [Colored] - Tesoro</v>
      </c>
      <c r="AK215" s="114"/>
      <c r="AL215" s="117" t="s">
        <v>4689</v>
      </c>
      <c r="AM215" s="117" t="s">
        <v>4690</v>
      </c>
      <c r="AN215" s="114"/>
      <c r="AO215" s="122">
        <f>IFERROR(__xludf.DUMMYFUNCTION("""COMPUTED_VALUE"""),94.0)</f>
        <v>94</v>
      </c>
      <c r="AP215" s="114" t="str">
        <f>IFERROR(__xludf.DUMMYFUNCTION("""COMPUTED_VALUE"""),"Lucy
(Luffy)")</f>
        <v>Lucy
(Luffy)</v>
      </c>
      <c r="AQ215" s="114" t="str">
        <f>IFERROR(__xludf.DUMMYFUNCTION("""COMPUTED_VALUE"""),"Lucy (Luffy)")</f>
        <v>Lucy (Luffy)</v>
      </c>
      <c r="AR215" s="114"/>
      <c r="AS215" s="114"/>
      <c r="AT215" s="123" t="str">
        <f>IFERROR(__xludf.DUMMYFUNCTION("""COMPUTED_VALUE"""),"https://i.postimg.cc/3xbz4PTV/094.png")</f>
        <v>https://i.postimg.cc/3xbz4PTV/094.png</v>
      </c>
      <c r="AU215" s="114"/>
      <c r="AV215" s="114"/>
      <c r="AW215" s="114"/>
      <c r="AX215" s="114" t="str">
        <f t="shared" si="3"/>
        <v>94 - Medal [Event] - Crafted - Lucy (Luffy)</v>
      </c>
      <c r="AY215" s="114" t="s">
        <v>4691</v>
      </c>
      <c r="AZ215" s="114"/>
      <c r="BA215" s="114"/>
      <c r="BB215" s="114"/>
      <c r="BC215" s="114"/>
      <c r="BD215" s="114"/>
      <c r="BE215" s="114"/>
    </row>
    <row r="216" ht="37.5" customHeight="1">
      <c r="A216" s="118" t="s">
        <v>4692</v>
      </c>
      <c r="B216" s="117" t="s">
        <v>3638</v>
      </c>
      <c r="C216" s="119">
        <f>IFERROR(__xludf.DUMMYFUNCTION("""COMPUTED_VALUE"""),127.0)</f>
        <v>127</v>
      </c>
      <c r="D216" s="114" t="str">
        <f>IFERROR(__xludf.DUMMYFUNCTION("""COMPUTED_VALUE"""),"Ninpo Iightning Blast")</f>
        <v>Ninpo Iightning Blast</v>
      </c>
      <c r="E216" s="114" t="str">
        <f>IFERROR(__xludf.DUMMYFUNCTION("""COMPUTED_VALUE"""),"")</f>
        <v/>
      </c>
      <c r="F216" s="114"/>
      <c r="G216" s="114"/>
      <c r="H216" s="114"/>
      <c r="I216" s="114"/>
      <c r="J216" s="114"/>
      <c r="K216" s="114" t="s">
        <v>4693</v>
      </c>
      <c r="L216" s="114" t="s">
        <v>4694</v>
      </c>
      <c r="M216" s="114" t="s">
        <v>4695</v>
      </c>
      <c r="N216" s="114" t="s">
        <v>4696</v>
      </c>
      <c r="O216" s="114"/>
      <c r="P216" s="120">
        <v>127.0</v>
      </c>
      <c r="Q216" s="117" t="s">
        <v>4697</v>
      </c>
      <c r="R216" s="114"/>
      <c r="S216" s="117" t="s">
        <v>3632</v>
      </c>
      <c r="T216" s="114">
        <f t="shared" si="1"/>
        <v>215</v>
      </c>
      <c r="U216" s="114" t="s">
        <v>820</v>
      </c>
      <c r="V216" s="114" t="str">
        <f>IFERROR(__xludf.DUMMYFUNCTION("REGEXREPLACE(U216, ""\n"", "" "")"),"Zephyr")</f>
        <v>Zephyr</v>
      </c>
      <c r="W216" s="114"/>
      <c r="X216" s="115" t="str">
        <f t="shared" si="2"/>
        <v>215 FILM Z - Zephyr - Medal [Zephyr]</v>
      </c>
      <c r="Y216" s="119"/>
      <c r="Z216" s="117" t="s">
        <v>4698</v>
      </c>
      <c r="AA216" s="117" t="s">
        <v>2683</v>
      </c>
      <c r="AB216" s="114"/>
      <c r="AC216" s="123" t="str">
        <f>IFERROR(__xludf.DUMMYFUNCTION("""COMPUTED_VALUE"""),"https://ik.imagekit.io/alaaalaa6171/128%20Land%20of%20Wano%20-%20Luffytaro%20-%20Medal%20_Sumo%20Slap_.png?updatedAt=1770076426131")</f>
        <v>https://ik.imagekit.io/alaaalaa6171/128%20Land%20of%20Wano%20-%20Luffytaro%20-%20Medal%20_Sumo%20Slap_.png?updatedAt=1770076426131</v>
      </c>
      <c r="AD216" s="123" t="str">
        <f>IFERROR(__xludf.DUMMYFUNCTION("""COMPUTED_VALUE"""),"https://ik.imagekit.io/alaaalaa6171/128%20Land%20of%20Wano%20-%20Luffytaro%20-%20Medal%20_Sumo%20Slap_%20_Colored_.png?updatedAt=1770076426091")</f>
        <v>https://ik.imagekit.io/alaaalaa6171/128%20Land%20of%20Wano%20-%20Luffytaro%20-%20Medal%20_Sumo%20Slap_%20_Colored_.png?updatedAt=1770076426091</v>
      </c>
      <c r="AE216" s="123" t="str">
        <f>IFERROR(__xludf.DUMMYFUNCTION("""COMPUTED_VALUE"""),"https://ik.imagekit.io/alaaalaa6171/128%20Land%20of%20Wano%20-%20Luffytaro%20-%20Medal%20_Sumo%20Slap_%20-%20Piece.png?updatedAt=1770076426129")</f>
        <v>https://ik.imagekit.io/alaaalaa6171/128%20Land%20of%20Wano%20-%20Luffytaro%20-%20Medal%20_Sumo%20Slap_%20-%20Piece.png?updatedAt=1770076426129</v>
      </c>
      <c r="AF216" s="123" t="str">
        <f>IFERROR(__xludf.DUMMYFUNCTION("""COMPUTED_VALUE"""),"https://ik.imagekit.io/alaaalaa6171/128%20Land%20of%20Wano%20-%20Luffytaro%20-%20Medal%20_Sumo%20Slap_%20-%20Piece%20_Colored_.png?updatedAt=1770076426114")</f>
        <v>https://ik.imagekit.io/alaaalaa6171/128%20Land%20of%20Wano%20-%20Luffytaro%20-%20Medal%20_Sumo%20Slap_%20-%20Piece%20_Colored_.png?updatedAt=1770076426114</v>
      </c>
      <c r="AG216" s="114"/>
      <c r="AH216" s="114"/>
      <c r="AI216" s="121" t="s">
        <v>4699</v>
      </c>
      <c r="AJ216" s="121" t="str">
        <f>IFERROR(__xludf.DUMMYFUNCTION("regexreplace(regexreplace(AI216, ""  \["", "" ""), ""\]$"", """")"),"215 - FILM Z ~ Zephyr - Medal - Crafted [Colored] - Zephyr")</f>
        <v>215 - FILM Z ~ Zephyr - Medal - Crafted [Colored] - Zephyr</v>
      </c>
      <c r="AK216" s="114"/>
      <c r="AL216" s="117" t="s">
        <v>4700</v>
      </c>
      <c r="AM216" s="117" t="s">
        <v>4701</v>
      </c>
      <c r="AN216" s="114"/>
      <c r="AO216" s="122">
        <f>IFERROR(__xludf.DUMMYFUNCTION("""COMPUTED_VALUE"""),93.0)</f>
        <v>93</v>
      </c>
      <c r="AP216" s="114" t="str">
        <f>IFERROR(__xludf.DUMMYFUNCTION("""COMPUTED_VALUE"""),"Pedro")</f>
        <v>Pedro</v>
      </c>
      <c r="AQ216" s="114" t="str">
        <f>IFERROR(__xludf.DUMMYFUNCTION("""COMPUTED_VALUE"""),"Pedro")</f>
        <v>Pedro</v>
      </c>
      <c r="AR216" s="114"/>
      <c r="AS216" s="114"/>
      <c r="AT216" s="123" t="str">
        <f>IFERROR(__xludf.DUMMYFUNCTION("""COMPUTED_VALUE"""),"https://i.postimg.cc/KztWWjMh/093.png")</f>
        <v>https://i.postimg.cc/KztWWjMh/093.png</v>
      </c>
      <c r="AU216" s="114"/>
      <c r="AV216" s="114"/>
      <c r="AW216" s="114"/>
      <c r="AX216" s="114" t="str">
        <f t="shared" si="3"/>
        <v>93 - Medal [Event] - Crafted - Pedro</v>
      </c>
      <c r="AY216" s="114" t="s">
        <v>4702</v>
      </c>
      <c r="AZ216" s="114"/>
      <c r="BA216" s="114"/>
      <c r="BB216" s="114"/>
      <c r="BC216" s="114"/>
      <c r="BD216" s="114"/>
      <c r="BE216" s="114"/>
    </row>
    <row r="217" ht="37.5" customHeight="1">
      <c r="A217" s="118" t="s">
        <v>4703</v>
      </c>
      <c r="B217" s="117" t="s">
        <v>3612</v>
      </c>
      <c r="C217" s="119">
        <f>IFERROR(__xludf.DUMMYFUNCTION("""COMPUTED_VALUE"""),126.0)</f>
        <v>126</v>
      </c>
      <c r="D217" s="114" t="str">
        <f>IFERROR(__xludf.DUMMYFUNCTION("""COMPUTED_VALUE"""),"Drake")</f>
        <v>Drake</v>
      </c>
      <c r="E217" s="114" t="str">
        <f>IFERROR(__xludf.DUMMYFUNCTION("""COMPUTED_VALUE"""),"")</f>
        <v/>
      </c>
      <c r="F217" s="114"/>
      <c r="G217" s="114"/>
      <c r="H217" s="114"/>
      <c r="I217" s="114"/>
      <c r="J217" s="114"/>
      <c r="K217" s="114" t="s">
        <v>4704</v>
      </c>
      <c r="L217" s="114" t="s">
        <v>4705</v>
      </c>
      <c r="M217" s="114" t="s">
        <v>4706</v>
      </c>
      <c r="N217" s="114" t="s">
        <v>4707</v>
      </c>
      <c r="O217" s="114"/>
      <c r="P217" s="120">
        <v>126.0</v>
      </c>
      <c r="Q217" s="117" t="s">
        <v>4708</v>
      </c>
      <c r="R217" s="114"/>
      <c r="S217" s="117" t="s">
        <v>3606</v>
      </c>
      <c r="T217" s="114">
        <f t="shared" si="1"/>
        <v>217</v>
      </c>
      <c r="U217" s="114" t="s">
        <v>4709</v>
      </c>
      <c r="V217" s="114" t="str">
        <f>IFERROR(__xludf.DUMMYFUNCTION("REGEXREPLACE(U217, ""\n"", "" "")"),"Luffy (FILM RED)")</f>
        <v>Luffy (FILM RED)</v>
      </c>
      <c r="W217" s="114"/>
      <c r="X217" s="115" t="str">
        <f t="shared" si="2"/>
        <v>217 FILM RED - Monkey D. Luffy - Medal [Luffy (FILM RED)]</v>
      </c>
      <c r="Y217" s="119"/>
      <c r="Z217" s="117" t="s">
        <v>4710</v>
      </c>
      <c r="AA217" s="117" t="s">
        <v>2684</v>
      </c>
      <c r="AB217" s="114"/>
      <c r="AC217" s="123" t="str">
        <f>IFERROR(__xludf.DUMMYFUNCTION("""COMPUTED_VALUE"""),"https://ik.imagekit.io/alaaalaa6171/127%20Land%20of%20Wano%20-%20Onami%20-%20Medal%20_Ninpo%20Iightning%20Blast_.png?updatedAt=1770076426088")</f>
        <v>https://ik.imagekit.io/alaaalaa6171/127%20Land%20of%20Wano%20-%20Onami%20-%20Medal%20_Ninpo%20Iightning%20Blast_.png?updatedAt=1770076426088</v>
      </c>
      <c r="AD217" s="123" t="str">
        <f>IFERROR(__xludf.DUMMYFUNCTION("""COMPUTED_VALUE"""),"https://ik.imagekit.io/alaaalaa6171/127%20Land%20of%20Wano%20-%20Onami%20-%20Medal%20_Ninpo%20Iightning%20Blast_%20_Colored_.png?updatedAt=1770076426094")</f>
        <v>https://ik.imagekit.io/alaaalaa6171/127%20Land%20of%20Wano%20-%20Onami%20-%20Medal%20_Ninpo%20Iightning%20Blast_%20_Colored_.png?updatedAt=1770076426094</v>
      </c>
      <c r="AE217" s="123" t="str">
        <f>IFERROR(__xludf.DUMMYFUNCTION("""COMPUTED_VALUE"""),"https://ik.imagekit.io/alaaalaa6171/127%20Land%20of%20Wano%20-%20Onami%20-%20Medal%20_Ninpo%20Iightning%20Blast_%20-%20Piece.png?updatedAt=1770076426105")</f>
        <v>https://ik.imagekit.io/alaaalaa6171/127%20Land%20of%20Wano%20-%20Onami%20-%20Medal%20_Ninpo%20Iightning%20Blast_%20-%20Piece.png?updatedAt=1770076426105</v>
      </c>
      <c r="AF217" s="123" t="str">
        <f>IFERROR(__xludf.DUMMYFUNCTION("""COMPUTED_VALUE"""),"https://ik.imagekit.io/alaaalaa6171/127%20Land%20of%20Wano%20-%20Onami%20-%20Medal%20_Ninpo%20Iightning%20Blast_%20-%20Piece%20_Colored_.png?updatedAt=1770076426084")</f>
        <v>https://ik.imagekit.io/alaaalaa6171/127%20Land%20of%20Wano%20-%20Onami%20-%20Medal%20_Ninpo%20Iightning%20Blast_%20-%20Piece%20_Colored_.png?updatedAt=1770076426084</v>
      </c>
      <c r="AG217" s="114"/>
      <c r="AH217" s="114"/>
      <c r="AI217" s="121" t="s">
        <v>4711</v>
      </c>
      <c r="AJ217" s="121" t="str">
        <f>IFERROR(__xludf.DUMMYFUNCTION("regexreplace(regexreplace(AI217, ""  \["", "" ""), ""\]$"", """")"),"216 - FILM RED ~ Uta - Medal - Crafted [Colored] - Uta")</f>
        <v>216 - FILM RED ~ Uta - Medal - Crafted [Colored] - Uta</v>
      </c>
      <c r="AK217" s="114"/>
      <c r="AL217" s="117" t="s">
        <v>4712</v>
      </c>
      <c r="AM217" s="117" t="s">
        <v>4713</v>
      </c>
      <c r="AN217" s="114"/>
      <c r="AO217" s="122">
        <f>IFERROR(__xludf.DUMMYFUNCTION("""COMPUTED_VALUE"""),92.0)</f>
        <v>92</v>
      </c>
      <c r="AP217" s="114" t="str">
        <f>IFERROR(__xludf.DUMMYFUNCTION("""COMPUTED_VALUE"""),"Pekoms")</f>
        <v>Pekoms</v>
      </c>
      <c r="AQ217" s="114" t="str">
        <f>IFERROR(__xludf.DUMMYFUNCTION("""COMPUTED_VALUE"""),"Pekoms")</f>
        <v>Pekoms</v>
      </c>
      <c r="AR217" s="114"/>
      <c r="AS217" s="114"/>
      <c r="AT217" s="123" t="str">
        <f>IFERROR(__xludf.DUMMYFUNCTION("""COMPUTED_VALUE"""),"https://i.postimg.cc/GpWNzG9j/092.png")</f>
        <v>https://i.postimg.cc/GpWNzG9j/092.png</v>
      </c>
      <c r="AU217" s="114"/>
      <c r="AV217" s="114"/>
      <c r="AW217" s="114"/>
      <c r="AX217" s="114" t="str">
        <f t="shared" si="3"/>
        <v>92 - Medal [Event] - Crafted - Pekoms</v>
      </c>
      <c r="AY217" s="114" t="s">
        <v>4714</v>
      </c>
      <c r="AZ217" s="114"/>
      <c r="BA217" s="114"/>
      <c r="BB217" s="114"/>
      <c r="BC217" s="114"/>
      <c r="BD217" s="114"/>
      <c r="BE217" s="114"/>
    </row>
    <row r="218" ht="37.5" customHeight="1">
      <c r="A218" s="118" t="s">
        <v>4715</v>
      </c>
      <c r="B218" s="117" t="s">
        <v>3599</v>
      </c>
      <c r="C218" s="119">
        <f>IFERROR(__xludf.DUMMYFUNCTION("""COMPUTED_VALUE"""),125.0)</f>
        <v>125</v>
      </c>
      <c r="D218" s="114" t="str">
        <f>IFERROR(__xludf.DUMMYFUNCTION("""COMPUTED_VALUE"""),"Repel")</f>
        <v>Repel</v>
      </c>
      <c r="E218" s="114" t="str">
        <f>IFERROR(__xludf.DUMMYFUNCTION("""COMPUTED_VALUE"""),"")</f>
        <v/>
      </c>
      <c r="F218" s="114"/>
      <c r="G218" s="114"/>
      <c r="H218" s="114"/>
      <c r="I218" s="114"/>
      <c r="J218" s="114"/>
      <c r="K218" s="114" t="s">
        <v>4716</v>
      </c>
      <c r="L218" s="114" t="s">
        <v>4717</v>
      </c>
      <c r="M218" s="114" t="s">
        <v>4718</v>
      </c>
      <c r="N218" s="114" t="s">
        <v>4719</v>
      </c>
      <c r="O218" s="114"/>
      <c r="P218" s="120">
        <v>125.0</v>
      </c>
      <c r="Q218" s="117" t="s">
        <v>4720</v>
      </c>
      <c r="R218" s="114"/>
      <c r="S218" s="117" t="s">
        <v>3619</v>
      </c>
      <c r="T218" s="114">
        <f t="shared" si="1"/>
        <v>216</v>
      </c>
      <c r="U218" s="114" t="s">
        <v>815</v>
      </c>
      <c r="V218" s="114" t="str">
        <f>IFERROR(__xludf.DUMMYFUNCTION("REGEXREPLACE(U218, ""\n"", "" "")"),"Uta")</f>
        <v>Uta</v>
      </c>
      <c r="W218" s="114"/>
      <c r="X218" s="115" t="str">
        <f t="shared" si="2"/>
        <v>216 FILM RED - Uta - Medal [Uta]</v>
      </c>
      <c r="Y218" s="119"/>
      <c r="Z218" s="117" t="s">
        <v>4721</v>
      </c>
      <c r="AA218" s="117" t="s">
        <v>2682</v>
      </c>
      <c r="AB218" s="114"/>
      <c r="AC218" s="123" t="str">
        <f>IFERROR(__xludf.DUMMYFUNCTION("""COMPUTED_VALUE"""),"https://ik.imagekit.io/alaaalaa6171/126%20Land%20of%20Wano%20-%20X.Drake%20-%20Medal%20_Drake_.png?updatedAt=1770076426144")</f>
        <v>https://ik.imagekit.io/alaaalaa6171/126%20Land%20of%20Wano%20-%20X.Drake%20-%20Medal%20_Drake_.png?updatedAt=1770076426144</v>
      </c>
      <c r="AD218" s="123" t="str">
        <f>IFERROR(__xludf.DUMMYFUNCTION("""COMPUTED_VALUE"""),"https://ik.imagekit.io/alaaalaa6171/126%20Land%20of%20Wano%20-%20X.Drake%20-%20Medal%20_Drake_%20_Colored_.png?updatedAt=1770076426091")</f>
        <v>https://ik.imagekit.io/alaaalaa6171/126%20Land%20of%20Wano%20-%20X.Drake%20-%20Medal%20_Drake_%20_Colored_.png?updatedAt=1770076426091</v>
      </c>
      <c r="AE218" s="123" t="str">
        <f>IFERROR(__xludf.DUMMYFUNCTION("""COMPUTED_VALUE"""),"https://ik.imagekit.io/alaaalaa6171/126%20Land%20of%20Wano%20-%20X.Drake%20-%20Medal%20_Drake_%20-%20Piece.png?updatedAt=1770076426135")</f>
        <v>https://ik.imagekit.io/alaaalaa6171/126%20Land%20of%20Wano%20-%20X.Drake%20-%20Medal%20_Drake_%20-%20Piece.png?updatedAt=1770076426135</v>
      </c>
      <c r="AF218" s="123" t="str">
        <f>IFERROR(__xludf.DUMMYFUNCTION("""COMPUTED_VALUE"""),"https://ik.imagekit.io/alaaalaa6171/126%20Land%20of%20Wano%20-%20X.Drake%20-%20Medal%20_Drake_%20-%20Piece%20_Colored_.png?updatedAt=1770076426064")</f>
        <v>https://ik.imagekit.io/alaaalaa6171/126%20Land%20of%20Wano%20-%20X.Drake%20-%20Medal%20_Drake_%20-%20Piece%20_Colored_.png?updatedAt=1770076426064</v>
      </c>
      <c r="AG218" s="114"/>
      <c r="AH218" s="114"/>
      <c r="AI218" s="121" t="s">
        <v>4722</v>
      </c>
      <c r="AJ218" s="121" t="str">
        <f>IFERROR(__xludf.DUMMYFUNCTION("regexreplace(regexreplace(AI218, ""  \["", "" ""), ""\]$"", """")"),"217 - FILM RED ~ Monkey D. Luffy - Medal - Crafted [Colored] - Luffy (FILM RED)")</f>
        <v>217 - FILM RED ~ Monkey D. Luffy - Medal - Crafted [Colored] - Luffy (FILM RED)</v>
      </c>
      <c r="AK218" s="114"/>
      <c r="AL218" s="117" t="s">
        <v>4723</v>
      </c>
      <c r="AM218" s="117" t="s">
        <v>4724</v>
      </c>
      <c r="AN218" s="114"/>
      <c r="AO218" s="122">
        <f>IFERROR(__xludf.DUMMYFUNCTION("""COMPUTED_VALUE"""),91.0)</f>
        <v>91</v>
      </c>
      <c r="AP218" s="114" t="str">
        <f>IFERROR(__xludf.DUMMYFUNCTION("""COMPUTED_VALUE"""),"Vice Admiral Tsuru")</f>
        <v>Vice Admiral Tsuru</v>
      </c>
      <c r="AQ218" s="114" t="str">
        <f>IFERROR(__xludf.DUMMYFUNCTION("""COMPUTED_VALUE"""),"Vice Admiral Tsuru")</f>
        <v>Vice Admiral Tsuru</v>
      </c>
      <c r="AR218" s="114"/>
      <c r="AS218" s="114"/>
      <c r="AT218" s="123" t="str">
        <f>IFERROR(__xludf.DUMMYFUNCTION("""COMPUTED_VALUE"""),"https://i.postimg.cc/2ymtNYQb/091.png")</f>
        <v>https://i.postimg.cc/2ymtNYQb/091.png</v>
      </c>
      <c r="AU218" s="114"/>
      <c r="AV218" s="114"/>
      <c r="AW218" s="114"/>
      <c r="AX218" s="114" t="str">
        <f t="shared" si="3"/>
        <v>91 - Medal [Event] - Crafted - Vice Admiral Tsuru</v>
      </c>
      <c r="AY218" s="114" t="s">
        <v>4725</v>
      </c>
      <c r="AZ218" s="114"/>
      <c r="BA218" s="114"/>
      <c r="BB218" s="114"/>
      <c r="BC218" s="114"/>
      <c r="BD218" s="114"/>
      <c r="BE218" s="114"/>
    </row>
    <row r="219" ht="37.5" customHeight="1">
      <c r="A219" s="118" t="s">
        <v>4726</v>
      </c>
      <c r="B219" s="117" t="s">
        <v>3625</v>
      </c>
      <c r="C219" s="119">
        <f>IFERROR(__xludf.DUMMYFUNCTION("""COMPUTED_VALUE"""),124.0)</f>
        <v>124</v>
      </c>
      <c r="D219" s="114" t="str">
        <f>IFERROR(__xludf.DUMMYFUNCTION("""COMPUTED_VALUE"""),"Killer")</f>
        <v>Killer</v>
      </c>
      <c r="E219" s="114" t="str">
        <f>IFERROR(__xludf.DUMMYFUNCTION("""COMPUTED_VALUE"""),"")</f>
        <v/>
      </c>
      <c r="F219" s="114"/>
      <c r="G219" s="114"/>
      <c r="H219" s="114"/>
      <c r="I219" s="114"/>
      <c r="J219" s="114"/>
      <c r="K219" s="114" t="s">
        <v>4727</v>
      </c>
      <c r="L219" s="114" t="s">
        <v>4728</v>
      </c>
      <c r="M219" s="114" t="s">
        <v>4729</v>
      </c>
      <c r="N219" s="114" t="s">
        <v>4730</v>
      </c>
      <c r="O219" s="114"/>
      <c r="P219" s="120">
        <v>124.0</v>
      </c>
      <c r="Q219" s="117" t="s">
        <v>4731</v>
      </c>
      <c r="R219" s="114"/>
      <c r="S219" s="117" t="s">
        <v>3580</v>
      </c>
      <c r="T219" s="114">
        <f t="shared" si="1"/>
        <v>219</v>
      </c>
      <c r="U219" s="114" t="s">
        <v>4732</v>
      </c>
      <c r="V219" s="114" t="str">
        <f>IFERROR(__xludf.DUMMYFUNCTION("REGEXREPLACE(U219, ""\n"", "" "")"),"Beckman (FILM RED)")</f>
        <v>Beckman (FILM RED)</v>
      </c>
      <c r="W219" s="114"/>
      <c r="X219" s="115" t="str">
        <f t="shared" si="2"/>
        <v>219 FILM RED - Ben Beckman - Medal [Beckman (FILM RED)]</v>
      </c>
      <c r="Y219" s="119"/>
      <c r="Z219" s="117" t="s">
        <v>4733</v>
      </c>
      <c r="AA219" s="117" t="s">
        <v>2694</v>
      </c>
      <c r="AB219" s="114"/>
      <c r="AC219" s="123" t="str">
        <f>IFERROR(__xludf.DUMMYFUNCTION("""COMPUTED_VALUE"""),"https://ik.imagekit.io/alaaalaa6171/125%20New%20World%20-%20Eustass%20Kid%20-%20Medal%20_Repel_.png?updatedAt=1770076425955")</f>
        <v>https://ik.imagekit.io/alaaalaa6171/125%20New%20World%20-%20Eustass%20Kid%20-%20Medal%20_Repel_.png?updatedAt=1770076425955</v>
      </c>
      <c r="AD219" s="123" t="str">
        <f>IFERROR(__xludf.DUMMYFUNCTION("""COMPUTED_VALUE"""),"https://ik.imagekit.io/alaaalaa6171/125%20New%20World%20-%20Eustass%20Kid%20-%20Medal%20_Repel_%20_Colored_.png?updatedAt=1770076425939")</f>
        <v>https://ik.imagekit.io/alaaalaa6171/125%20New%20World%20-%20Eustass%20Kid%20-%20Medal%20_Repel_%20_Colored_.png?updatedAt=1770076425939</v>
      </c>
      <c r="AE219" s="123" t="str">
        <f>IFERROR(__xludf.DUMMYFUNCTION("""COMPUTED_VALUE"""),"https://ik.imagekit.io/alaaalaa6171/125%20New%20World%20-%20Eustass%20Kid%20-%20Medal%20_Repel_%20-%20Piece.png?updatedAt=1770076426053")</f>
        <v>https://ik.imagekit.io/alaaalaa6171/125%20New%20World%20-%20Eustass%20Kid%20-%20Medal%20_Repel_%20-%20Piece.png?updatedAt=1770076426053</v>
      </c>
      <c r="AF219" s="123" t="str">
        <f>IFERROR(__xludf.DUMMYFUNCTION("""COMPUTED_VALUE"""),"https://ik.imagekit.io/alaaalaa6171/125%20New%20World%20-%20Eustass%20Kid%20-%20Medal%20_Repel_%20-%20Piece%20_Colored_.png?updatedAt=1770076426053")</f>
        <v>https://ik.imagekit.io/alaaalaa6171/125%20New%20World%20-%20Eustass%20Kid%20-%20Medal%20_Repel_%20-%20Piece%20_Colored_.png?updatedAt=1770076426053</v>
      </c>
      <c r="AG219" s="114"/>
      <c r="AH219" s="114"/>
      <c r="AI219" s="121" t="s">
        <v>4734</v>
      </c>
      <c r="AJ219" s="121" t="str">
        <f>IFERROR(__xludf.DUMMYFUNCTION("regexreplace(regexreplace(AI219, ""  \["", "" ""), ""\]$"", """")"),"218 - FILM RED ~ Shanks - Medal - Crafted [Colored] - Shanks (FILM RED)")</f>
        <v>218 - FILM RED ~ Shanks - Medal - Crafted [Colored] - Shanks (FILM RED)</v>
      </c>
      <c r="AK219" s="114"/>
      <c r="AL219" s="117" t="s">
        <v>4735</v>
      </c>
      <c r="AM219" s="117" t="s">
        <v>4736</v>
      </c>
      <c r="AN219" s="114"/>
      <c r="AO219" s="122">
        <f>IFERROR(__xludf.DUMMYFUNCTION("""COMPUTED_VALUE"""),90.0)</f>
        <v>90</v>
      </c>
      <c r="AP219" s="114" t="str">
        <f>IFERROR(__xludf.DUMMYFUNCTION("""COMPUTED_VALUE"""),"Admiral Sengoku")</f>
        <v>Admiral Sengoku</v>
      </c>
      <c r="AQ219" s="114" t="str">
        <f>IFERROR(__xludf.DUMMYFUNCTION("""COMPUTED_VALUE"""),"Admiral Sengoku")</f>
        <v>Admiral Sengoku</v>
      </c>
      <c r="AR219" s="114"/>
      <c r="AS219" s="114"/>
      <c r="AT219" s="123" t="str">
        <f>IFERROR(__xludf.DUMMYFUNCTION("""COMPUTED_VALUE"""),"https://i.postimg.cc/ZqB2rVYR/090.png")</f>
        <v>https://i.postimg.cc/ZqB2rVYR/090.png</v>
      </c>
      <c r="AU219" s="114"/>
      <c r="AV219" s="114"/>
      <c r="AW219" s="114"/>
      <c r="AX219" s="114" t="str">
        <f t="shared" si="3"/>
        <v>90 - Medal [Event] - Crafted - Admiral Sengoku</v>
      </c>
      <c r="AY219" s="114" t="s">
        <v>4737</v>
      </c>
      <c r="AZ219" s="114"/>
      <c r="BA219" s="114"/>
      <c r="BB219" s="114"/>
      <c r="BC219" s="114"/>
      <c r="BD219" s="114"/>
      <c r="BE219" s="114"/>
    </row>
    <row r="220" ht="37.5" customHeight="1">
      <c r="A220" s="118" t="s">
        <v>4738</v>
      </c>
      <c r="B220" s="117" t="s">
        <v>3586</v>
      </c>
      <c r="C220" s="119">
        <f>IFERROR(__xludf.DUMMYFUNCTION("""COMPUTED_VALUE"""),123.0)</f>
        <v>123</v>
      </c>
      <c r="D220" s="114" t="str">
        <f>IFERROR(__xludf.DUMMYFUNCTION("""COMPUTED_VALUE"""),"Apoo")</f>
        <v>Apoo</v>
      </c>
      <c r="E220" s="114" t="str">
        <f>IFERROR(__xludf.DUMMYFUNCTION("""COMPUTED_VALUE"""),"")</f>
        <v/>
      </c>
      <c r="F220" s="114"/>
      <c r="G220" s="114"/>
      <c r="H220" s="114"/>
      <c r="I220" s="114"/>
      <c r="J220" s="114"/>
      <c r="K220" s="114" t="s">
        <v>4739</v>
      </c>
      <c r="L220" s="114" t="s">
        <v>4740</v>
      </c>
      <c r="M220" s="114" t="s">
        <v>4741</v>
      </c>
      <c r="N220" s="114" t="s">
        <v>4742</v>
      </c>
      <c r="O220" s="114"/>
      <c r="P220" s="120">
        <v>123.0</v>
      </c>
      <c r="Q220" s="117" t="s">
        <v>4743</v>
      </c>
      <c r="R220" s="114"/>
      <c r="S220" s="117" t="s">
        <v>3593</v>
      </c>
      <c r="T220" s="114">
        <f t="shared" si="1"/>
        <v>218</v>
      </c>
      <c r="U220" s="114" t="s">
        <v>4744</v>
      </c>
      <c r="V220" s="114" t="str">
        <f>IFERROR(__xludf.DUMMYFUNCTION("REGEXREPLACE(U220, ""\n"", "" "")"),"Shanks (FILM RED)")</f>
        <v>Shanks (FILM RED)</v>
      </c>
      <c r="W220" s="114"/>
      <c r="X220" s="115" t="str">
        <f t="shared" si="2"/>
        <v>218 FILM RED - Shanks - Medal [Shanks (FILM RED)]</v>
      </c>
      <c r="Y220" s="119"/>
      <c r="Z220" s="117" t="s">
        <v>4745</v>
      </c>
      <c r="AA220" s="117" t="s">
        <v>2696</v>
      </c>
      <c r="AB220" s="114"/>
      <c r="AC220" s="123" t="str">
        <f>IFERROR(__xludf.DUMMYFUNCTION("""COMPUTED_VALUE"""),"https://ik.imagekit.io/alaaalaa6171/124%20Kid%20Pirates_Fighter%20-%20Killer%20-%20Medal%20_Killer_.png?updatedAt=1770076426084")</f>
        <v>https://ik.imagekit.io/alaaalaa6171/124%20Kid%20Pirates_Fighter%20-%20Killer%20-%20Medal%20_Killer_.png?updatedAt=1770076426084</v>
      </c>
      <c r="AD220" s="123" t="str">
        <f>IFERROR(__xludf.DUMMYFUNCTION("""COMPUTED_VALUE"""),"https://ik.imagekit.io/alaaalaa6171/124%20Kid%20Pirates_Fighter%20-%20Killer%20-%20Medal%20_Killer_%20_Colored_.png?updatedAt=1770076426084")</f>
        <v>https://ik.imagekit.io/alaaalaa6171/124%20Kid%20Pirates_Fighter%20-%20Killer%20-%20Medal%20_Killer_%20_Colored_.png?updatedAt=1770076426084</v>
      </c>
      <c r="AE220" s="123" t="str">
        <f>IFERROR(__xludf.DUMMYFUNCTION("""COMPUTED_VALUE"""),"https://ik.imagekit.io/alaaalaa6171/124%20Kid%20Pirates_Fighter%20-%20Killer%20-%20Medal%20_Killer_%20-%20Piece.png?updatedAt=1770076426032")</f>
        <v>https://ik.imagekit.io/alaaalaa6171/124%20Kid%20Pirates_Fighter%20-%20Killer%20-%20Medal%20_Killer_%20-%20Piece.png?updatedAt=1770076426032</v>
      </c>
      <c r="AF220" s="123" t="str">
        <f>IFERROR(__xludf.DUMMYFUNCTION("""COMPUTED_VALUE"""),"https://ik.imagekit.io/alaaalaa6171/124%20Kid%20Pirates_Fighter%20-%20Killer%20-%20Medal%20_Killer_%20-%20Piece%20_Colored_.png?updatedAt=1770076426082")</f>
        <v>https://ik.imagekit.io/alaaalaa6171/124%20Kid%20Pirates_Fighter%20-%20Killer%20-%20Medal%20_Killer_%20-%20Piece%20_Colored_.png?updatedAt=1770076426082</v>
      </c>
      <c r="AG220" s="114"/>
      <c r="AH220" s="114"/>
      <c r="AI220" s="121" t="s">
        <v>4746</v>
      </c>
      <c r="AJ220" s="121" t="str">
        <f>IFERROR(__xludf.DUMMYFUNCTION("regexreplace(regexreplace(AI220, ""  \["", "" ""), ""\]$"", """")"),"219 - FILM RED ~ Ben Beckman - Medal - Crafted [Colored] - Beckman (FILM RED)")</f>
        <v>219 - FILM RED ~ Ben Beckman - Medal - Crafted [Colored] - Beckman (FILM RED)</v>
      </c>
      <c r="AK220" s="114"/>
      <c r="AL220" s="117" t="s">
        <v>4747</v>
      </c>
      <c r="AM220" s="117" t="s">
        <v>4748</v>
      </c>
      <c r="AN220" s="114"/>
      <c r="AO220" s="122">
        <f>IFERROR(__xludf.DUMMYFUNCTION("""COMPUTED_VALUE"""),89.0)</f>
        <v>89</v>
      </c>
      <c r="AP220" s="114" t="str">
        <f>IFERROR(__xludf.DUMMYFUNCTION("""COMPUTED_VALUE"""),"Veteran Kunoichi")</f>
        <v>Veteran Kunoichi</v>
      </c>
      <c r="AQ220" s="114" t="str">
        <f>IFERROR(__xludf.DUMMYFUNCTION("""COMPUTED_VALUE"""),"Veteran Kunoichi")</f>
        <v>Veteran Kunoichi</v>
      </c>
      <c r="AR220" s="114"/>
      <c r="AS220" s="114"/>
      <c r="AT220" s="123" t="str">
        <f>IFERROR(__xludf.DUMMYFUNCTION("""COMPUTED_VALUE"""),"https://i.postimg.cc/j2XFs1c8/089.png")</f>
        <v>https://i.postimg.cc/j2XFs1c8/089.png</v>
      </c>
      <c r="AU220" s="114"/>
      <c r="AV220" s="114"/>
      <c r="AW220" s="114"/>
      <c r="AX220" s="114" t="str">
        <f t="shared" si="3"/>
        <v>89 - Medal [Event] - Crafted - Veteran Kunoichi</v>
      </c>
      <c r="AY220" s="114" t="s">
        <v>4749</v>
      </c>
      <c r="AZ220" s="114"/>
      <c r="BA220" s="114"/>
      <c r="BB220" s="114"/>
      <c r="BC220" s="114"/>
      <c r="BD220" s="114"/>
      <c r="BE220" s="114"/>
    </row>
    <row r="221" ht="37.5" customHeight="1">
      <c r="A221" s="118" t="s">
        <v>4750</v>
      </c>
      <c r="B221" s="117" t="s">
        <v>3573</v>
      </c>
      <c r="C221" s="119">
        <f>IFERROR(__xludf.DUMMYFUNCTION("""COMPUTED_VALUE"""),122.0)</f>
        <v>122</v>
      </c>
      <c r="D221" s="114" t="str">
        <f>IFERROR(__xludf.DUMMYFUNCTION("""COMPUTED_VALUE"""),"Urouge")</f>
        <v>Urouge</v>
      </c>
      <c r="E221" s="114" t="str">
        <f>IFERROR(__xludf.DUMMYFUNCTION("""COMPUTED_VALUE"""),"")</f>
        <v/>
      </c>
      <c r="F221" s="114"/>
      <c r="G221" s="114"/>
      <c r="H221" s="114"/>
      <c r="I221" s="114"/>
      <c r="J221" s="114"/>
      <c r="K221" s="114" t="s">
        <v>4751</v>
      </c>
      <c r="L221" s="114" t="s">
        <v>4752</v>
      </c>
      <c r="M221" s="114" t="s">
        <v>4753</v>
      </c>
      <c r="N221" s="114" t="s">
        <v>4754</v>
      </c>
      <c r="O221" s="114"/>
      <c r="P221" s="120">
        <v>122.0</v>
      </c>
      <c r="Q221" s="117" t="s">
        <v>4755</v>
      </c>
      <c r="R221" s="114"/>
      <c r="S221" s="117" t="s">
        <v>3567</v>
      </c>
      <c r="T221" s="114">
        <f t="shared" si="1"/>
        <v>220</v>
      </c>
      <c r="U221" s="114" t="s">
        <v>4756</v>
      </c>
      <c r="V221" s="114" t="str">
        <f>IFERROR(__xludf.DUMMYFUNCTION("REGEXREPLACE(U221, ""\n"", "" "")"),"Nami (FILM RED)")</f>
        <v>Nami (FILM RED)</v>
      </c>
      <c r="W221" s="114"/>
      <c r="X221" s="115" t="str">
        <f t="shared" si="2"/>
        <v>220 FILM RED - Nami - Medal [Nami (FILM RED)]</v>
      </c>
      <c r="Y221" s="119"/>
      <c r="Z221" s="117" t="s">
        <v>4757</v>
      </c>
      <c r="AA221" s="117" t="s">
        <v>2697</v>
      </c>
      <c r="AB221" s="114"/>
      <c r="AC221" s="123" t="str">
        <f>IFERROR(__xludf.DUMMYFUNCTION("""COMPUTED_VALUE"""),"https://ik.imagekit.io/alaaalaa6171/123%20On-Air%20Pirates_Captain%20-%20Scratchmen%20Apoo%20-%20Medal%20_Apoo_.png?updatedAt=1770076426156")</f>
        <v>https://ik.imagekit.io/alaaalaa6171/123%20On-Air%20Pirates_Captain%20-%20Scratchmen%20Apoo%20-%20Medal%20_Apoo_.png?updatedAt=1770076426156</v>
      </c>
      <c r="AD221" s="123" t="str">
        <f>IFERROR(__xludf.DUMMYFUNCTION("""COMPUTED_VALUE"""),"https://ik.imagekit.io/alaaalaa6171/123%20On-Air%20Pirates_Captain%20-%20Scratchmen%20Apoo%20-%20Medal%20_Apoo_%20_Colored_.png?updatedAt=1770076426102")</f>
        <v>https://ik.imagekit.io/alaaalaa6171/123%20On-Air%20Pirates_Captain%20-%20Scratchmen%20Apoo%20-%20Medal%20_Apoo_%20_Colored_.png?updatedAt=1770076426102</v>
      </c>
      <c r="AE221" s="123" t="str">
        <f>IFERROR(__xludf.DUMMYFUNCTION("""COMPUTED_VALUE"""),"https://ik.imagekit.io/alaaalaa6171/123%20On-Air%20Pirates_Captain%20-%20Scratchmen%20Apoo%20-%20Medal%20_Apoo_%20-%20Piece.png?updatedAt=1770076426025")</f>
        <v>https://ik.imagekit.io/alaaalaa6171/123%20On-Air%20Pirates_Captain%20-%20Scratchmen%20Apoo%20-%20Medal%20_Apoo_%20-%20Piece.png?updatedAt=1770076426025</v>
      </c>
      <c r="AF221" s="123" t="str">
        <f>IFERROR(__xludf.DUMMYFUNCTION("""COMPUTED_VALUE"""),"https://ik.imagekit.io/alaaalaa6171/123%20On-Air%20Pirates_Captain%20-%20Scratchmen%20Apoo%20-%20Medal%20_Apoo_%20-%20Piece%20_Colored_.png?updatedAt=1770076426049")</f>
        <v>https://ik.imagekit.io/alaaalaa6171/123%20On-Air%20Pirates_Captain%20-%20Scratchmen%20Apoo%20-%20Medal%20_Apoo_%20-%20Piece%20_Colored_.png?updatedAt=1770076426049</v>
      </c>
      <c r="AG221" s="114"/>
      <c r="AH221" s="114"/>
      <c r="AI221" s="121" t="s">
        <v>4758</v>
      </c>
      <c r="AJ221" s="121" t="str">
        <f>IFERROR(__xludf.DUMMYFUNCTION("regexreplace(regexreplace(AI221, ""  \["", "" ""), ""\]$"", """")"),"220 - FILM RED ~ Nami - Medal - Crafted [Colored] - Nami (FILM RED)")</f>
        <v>220 - FILM RED ~ Nami - Medal - Crafted [Colored] - Nami (FILM RED)</v>
      </c>
      <c r="AK221" s="114"/>
      <c r="AL221" s="117" t="s">
        <v>4759</v>
      </c>
      <c r="AM221" s="117" t="s">
        <v>4760</v>
      </c>
      <c r="AN221" s="114"/>
      <c r="AO221" s="122">
        <f>IFERROR(__xludf.DUMMYFUNCTION("""COMPUTED_VALUE"""),88.0)</f>
        <v>88</v>
      </c>
      <c r="AP221" s="114" t="str">
        <f>IFERROR(__xludf.DUMMYFUNCTION("""COMPUTED_VALUE"""),"Raizo of the Mist")</f>
        <v>Raizo of the Mist</v>
      </c>
      <c r="AQ221" s="114" t="str">
        <f>IFERROR(__xludf.DUMMYFUNCTION("""COMPUTED_VALUE"""),"Raizo of the Mist")</f>
        <v>Raizo of the Mist</v>
      </c>
      <c r="AR221" s="114"/>
      <c r="AS221" s="114"/>
      <c r="AT221" s="123" t="str">
        <f>IFERROR(__xludf.DUMMYFUNCTION("""COMPUTED_VALUE"""),"https://i.postimg.cc/nVY5Ysxv/088.png")</f>
        <v>https://i.postimg.cc/nVY5Ysxv/088.png</v>
      </c>
      <c r="AU221" s="114"/>
      <c r="AV221" s="114"/>
      <c r="AW221" s="114"/>
      <c r="AX221" s="114" t="str">
        <f t="shared" si="3"/>
        <v>88 - Medal [Event] - Crafted - Raizo of the Mist</v>
      </c>
      <c r="AY221" s="114" t="s">
        <v>4761</v>
      </c>
      <c r="AZ221" s="114"/>
      <c r="BA221" s="114"/>
      <c r="BB221" s="114"/>
      <c r="BC221" s="114"/>
      <c r="BD221" s="114"/>
      <c r="BE221" s="114"/>
    </row>
    <row r="222" ht="37.5" customHeight="1">
      <c r="A222" s="118" t="s">
        <v>4762</v>
      </c>
      <c r="B222" s="117" t="s">
        <v>3560</v>
      </c>
      <c r="C222" s="119">
        <f>IFERROR(__xludf.DUMMYFUNCTION("""COMPUTED_VALUE"""),121.0)</f>
        <v>121</v>
      </c>
      <c r="D222" s="114" t="str">
        <f>IFERROR(__xludf.DUMMYFUNCTION("""COMPUTED_VALUE"""),"Sengoku")</f>
        <v>Sengoku</v>
      </c>
      <c r="E222" s="114" t="str">
        <f>IFERROR(__xludf.DUMMYFUNCTION("""COMPUTED_VALUE"""),"")</f>
        <v/>
      </c>
      <c r="F222" s="114"/>
      <c r="G222" s="114"/>
      <c r="H222" s="114"/>
      <c r="I222" s="114"/>
      <c r="J222" s="114"/>
      <c r="K222" s="114" t="s">
        <v>4763</v>
      </c>
      <c r="L222" s="114" t="s">
        <v>4764</v>
      </c>
      <c r="M222" s="114" t="s">
        <v>4765</v>
      </c>
      <c r="N222" s="114" t="s">
        <v>4766</v>
      </c>
      <c r="O222" s="114"/>
      <c r="P222" s="120">
        <v>121.0</v>
      </c>
      <c r="Q222" s="117" t="s">
        <v>4767</v>
      </c>
      <c r="R222" s="114"/>
      <c r="S222" s="117" t="s">
        <v>3554</v>
      </c>
      <c r="T222" s="114">
        <f t="shared" si="1"/>
        <v>221</v>
      </c>
      <c r="U222" s="114" t="s">
        <v>4768</v>
      </c>
      <c r="V222" s="114" t="str">
        <f>IFERROR(__xludf.DUMMYFUNCTION("REGEXREPLACE(U222, ""\n"", "" "")"),"Chopper (FILM RED)")</f>
        <v>Chopper (FILM RED)</v>
      </c>
      <c r="W222" s="114"/>
      <c r="X222" s="115" t="str">
        <f t="shared" si="2"/>
        <v>221 FILM RED - Tony Tony Chopper - Medal [Chopper (FILM RED)]</v>
      </c>
      <c r="Y222" s="119"/>
      <c r="Z222" s="117" t="s">
        <v>4769</v>
      </c>
      <c r="AA222" s="117" t="s">
        <v>2695</v>
      </c>
      <c r="AB222" s="114"/>
      <c r="AC222" s="123" t="str">
        <f>IFERROR(__xludf.DUMMYFUNCTION("""COMPUTED_VALUE"""),"https://ik.imagekit.io/alaaalaa6171/122%20Fallen%20Monk%20Pirates_Captain%20'Mad%20Monk'%20-%20Urouge%20-%20Medal%20_Urouge_.png?updatedAt=1770076425996")</f>
        <v>https://ik.imagekit.io/alaaalaa6171/122%20Fallen%20Monk%20Pirates_Captain%20'Mad%20Monk'%20-%20Urouge%20-%20Medal%20_Urouge_.png?updatedAt=1770076425996</v>
      </c>
      <c r="AD222" s="123" t="str">
        <f>IFERROR(__xludf.DUMMYFUNCTION("""COMPUTED_VALUE"""),"https://ik.imagekit.io/alaaalaa6171/122%20Fallen%20Monk%20Pirates_Captain%20'Mad%20Monk'%20-%20Urouge%20-%20Medal%20_Urouge_%20_Colored_.png?updatedAt=1770076426080")</f>
        <v>https://ik.imagekit.io/alaaalaa6171/122%20Fallen%20Monk%20Pirates_Captain%20'Mad%20Monk'%20-%20Urouge%20-%20Medal%20_Urouge_%20_Colored_.png?updatedAt=1770076426080</v>
      </c>
      <c r="AE222" s="123" t="str">
        <f>IFERROR(__xludf.DUMMYFUNCTION("""COMPUTED_VALUE"""),"https://ik.imagekit.io/alaaalaa6171/122%20Fallen%20Monk%20Pirates_Captain%20'Mad%20Monk'%20-%20Urouge%20-%20Medal%20_Urouge_%20-%20Piece.png?updatedAt=1770076426119")</f>
        <v>https://ik.imagekit.io/alaaalaa6171/122%20Fallen%20Monk%20Pirates_Captain%20'Mad%20Monk'%20-%20Urouge%20-%20Medal%20_Urouge_%20-%20Piece.png?updatedAt=1770076426119</v>
      </c>
      <c r="AF222" s="123" t="str">
        <f>IFERROR(__xludf.DUMMYFUNCTION("""COMPUTED_VALUE"""),"https://ik.imagekit.io/alaaalaa6171/122%20Fallen%20Monk%20Pirates_Captain%20'Mad%20Monk'%20-%20Urouge%20-%20Medal%20_Urouge_%20-%20Piece%20_Colored_.png?updatedAt=1770076426033")</f>
        <v>https://ik.imagekit.io/alaaalaa6171/122%20Fallen%20Monk%20Pirates_Captain%20'Mad%20Monk'%20-%20Urouge%20-%20Medal%20_Urouge_%20-%20Piece%20_Colored_.png?updatedAt=1770076426033</v>
      </c>
      <c r="AG222" s="114"/>
      <c r="AH222" s="114"/>
      <c r="AI222" s="121" t="s">
        <v>4770</v>
      </c>
      <c r="AJ222" s="121" t="str">
        <f>IFERROR(__xludf.DUMMYFUNCTION("regexreplace(regexreplace(AI222, ""  \["", "" ""), ""\]$"", """")"),"221 - FILM RED ~ Tony Tony Chopper - Medal - Crafted [Colored] - Chopper (FILM RED)")</f>
        <v>221 - FILM RED ~ Tony Tony Chopper - Medal - Crafted [Colored] - Chopper (FILM RED)</v>
      </c>
      <c r="AK222" s="114"/>
      <c r="AL222" s="117" t="s">
        <v>4771</v>
      </c>
      <c r="AM222" s="117" t="s">
        <v>4772</v>
      </c>
      <c r="AN222" s="114"/>
      <c r="AO222" s="122">
        <f>IFERROR(__xludf.DUMMYFUNCTION("""COMPUTED_VALUE"""),87.0)</f>
        <v>87</v>
      </c>
      <c r="AP222" s="114" t="str">
        <f>IFERROR(__xludf.DUMMYFUNCTION("""COMPUTED_VALUE"""),"The Strongest Creature")</f>
        <v>The Strongest Creature</v>
      </c>
      <c r="AQ222" s="114" t="str">
        <f>IFERROR(__xludf.DUMMYFUNCTION("""COMPUTED_VALUE"""),"The Strongest Creature")</f>
        <v>The Strongest Creature</v>
      </c>
      <c r="AR222" s="114"/>
      <c r="AS222" s="114"/>
      <c r="AT222" s="123" t="str">
        <f>IFERROR(__xludf.DUMMYFUNCTION("""COMPUTED_VALUE"""),"https://i.postimg.cc/Fsr6P9Fw/087.png")</f>
        <v>https://i.postimg.cc/Fsr6P9Fw/087.png</v>
      </c>
      <c r="AU222" s="114"/>
      <c r="AV222" s="114"/>
      <c r="AW222" s="114"/>
      <c r="AX222" s="114" t="str">
        <f t="shared" si="3"/>
        <v>87 - Medal [Event] - Crafted - The Strongest Creature</v>
      </c>
      <c r="AY222" s="114" t="s">
        <v>4773</v>
      </c>
      <c r="AZ222" s="114"/>
      <c r="BA222" s="114"/>
      <c r="BB222" s="114"/>
      <c r="BC222" s="114"/>
      <c r="BD222" s="114"/>
      <c r="BE222" s="114"/>
    </row>
    <row r="223" ht="37.5" customHeight="1">
      <c r="A223" s="118" t="s">
        <v>4774</v>
      </c>
      <c r="B223" s="117" t="s">
        <v>3547</v>
      </c>
      <c r="C223" s="119">
        <f>IFERROR(__xludf.DUMMYFUNCTION("""COMPUTED_VALUE"""),120.0)</f>
        <v>120</v>
      </c>
      <c r="D223" s="114" t="str">
        <f>IFERROR(__xludf.DUMMYFUNCTION("""COMPUTED_VALUE"""),"Rayleigh")</f>
        <v>Rayleigh</v>
      </c>
      <c r="E223" s="114" t="str">
        <f>IFERROR(__xludf.DUMMYFUNCTION("""COMPUTED_VALUE"""),"")</f>
        <v/>
      </c>
      <c r="F223" s="114"/>
      <c r="G223" s="114"/>
      <c r="H223" s="114"/>
      <c r="I223" s="114"/>
      <c r="J223" s="114"/>
      <c r="K223" s="114" t="s">
        <v>4775</v>
      </c>
      <c r="L223" s="114" t="s">
        <v>4776</v>
      </c>
      <c r="M223" s="114" t="s">
        <v>4777</v>
      </c>
      <c r="N223" s="114" t="s">
        <v>4778</v>
      </c>
      <c r="O223" s="114"/>
      <c r="P223" s="120">
        <v>120.0</v>
      </c>
      <c r="Q223" s="117" t="s">
        <v>4779</v>
      </c>
      <c r="R223" s="114"/>
      <c r="S223" s="117" t="s">
        <v>3528</v>
      </c>
      <c r="T223" s="114">
        <f t="shared" si="1"/>
        <v>223</v>
      </c>
      <c r="U223" s="114" t="s">
        <v>4780</v>
      </c>
      <c r="V223" s="114" t="str">
        <f>IFERROR(__xludf.DUMMYFUNCTION("REGEXREPLACE(U223, ""\n"", "" "")"),"Usopp (FILM RED)")</f>
        <v>Usopp (FILM RED)</v>
      </c>
      <c r="W223" s="114"/>
      <c r="X223" s="115" t="str">
        <f t="shared" si="2"/>
        <v>223 FILM RED - Usopp - Medal [Usopp (FILM RED)]</v>
      </c>
      <c r="Y223" s="119"/>
      <c r="Z223" s="117" t="s">
        <v>4781</v>
      </c>
      <c r="AA223" s="117" t="s">
        <v>2707</v>
      </c>
      <c r="AB223" s="114"/>
      <c r="AC223" s="123" t="str">
        <f>IFERROR(__xludf.DUMMYFUNCTION("""COMPUTED_VALUE"""),"https://ik.imagekit.io/alaaalaa6171/121%20Navy%20HQ_Fleet%20Admiral%20-%20Sengoku%20-%20Medal%20_Sengoku_.png?updatedAt=1770076425996")</f>
        <v>https://ik.imagekit.io/alaaalaa6171/121%20Navy%20HQ_Fleet%20Admiral%20-%20Sengoku%20-%20Medal%20_Sengoku_.png?updatedAt=1770076425996</v>
      </c>
      <c r="AD223" s="123" t="str">
        <f>IFERROR(__xludf.DUMMYFUNCTION("""COMPUTED_VALUE"""),"https://ik.imagekit.io/alaaalaa6171/121%20Navy%20HQ_Fleet%20Admiral%20-%20Sengoku%20-%20Medal%20_Sengoku_%20_Colored_.png?updatedAt=1770076426053")</f>
        <v>https://ik.imagekit.io/alaaalaa6171/121%20Navy%20HQ_Fleet%20Admiral%20-%20Sengoku%20-%20Medal%20_Sengoku_%20_Colored_.png?updatedAt=1770076426053</v>
      </c>
      <c r="AE223" s="123" t="str">
        <f>IFERROR(__xludf.DUMMYFUNCTION("""COMPUTED_VALUE"""),"https://ik.imagekit.io/alaaalaa6171/121%20Navy%20HQ_Fleet%20Admiral%20-%20Sengoku%20-%20Medal%20_Sengoku_%20-%20Piece.png?updatedAt=1770076426127")</f>
        <v>https://ik.imagekit.io/alaaalaa6171/121%20Navy%20HQ_Fleet%20Admiral%20-%20Sengoku%20-%20Medal%20_Sengoku_%20-%20Piece.png?updatedAt=1770076426127</v>
      </c>
      <c r="AF223" s="123" t="str">
        <f>IFERROR(__xludf.DUMMYFUNCTION("""COMPUTED_VALUE"""),"https://ik.imagekit.io/alaaalaa6171/121%20Navy%20HQ_Fleet%20Admiral%20-%20Sengoku%20-%20Medal%20_Sengoku_%20-%20Piece%20_Colored_.png?updatedAt=1770076425963")</f>
        <v>https://ik.imagekit.io/alaaalaa6171/121%20Navy%20HQ_Fleet%20Admiral%20-%20Sengoku%20-%20Medal%20_Sengoku_%20-%20Piece%20_Colored_.png?updatedAt=1770076425963</v>
      </c>
      <c r="AG223" s="114"/>
      <c r="AH223" s="114"/>
      <c r="AI223" s="121" t="s">
        <v>4782</v>
      </c>
      <c r="AJ223" s="121" t="str">
        <f>IFERROR(__xludf.DUMMYFUNCTION("regexreplace(regexreplace(AI223, ""  \["", "" ""), ""\]$"", """")"),"222 - FILM RED ~ Yasopp - Medal - Crafted [Colored] - Yasopp (FILM RED)")</f>
        <v>222 - FILM RED ~ Yasopp - Medal - Crafted [Colored] - Yasopp (FILM RED)</v>
      </c>
      <c r="AK223" s="114"/>
      <c r="AL223" s="117" t="s">
        <v>4783</v>
      </c>
      <c r="AM223" s="117" t="s">
        <v>4784</v>
      </c>
      <c r="AN223" s="114"/>
      <c r="AO223" s="122">
        <f>IFERROR(__xludf.DUMMYFUNCTION("""COMPUTED_VALUE"""),86.0)</f>
        <v>86</v>
      </c>
      <c r="AP223" s="114" t="str">
        <f>IFERROR(__xludf.DUMMYFUNCTION("""COMPUTED_VALUE"""),"Hiyori")</f>
        <v>Hiyori</v>
      </c>
      <c r="AQ223" s="114" t="str">
        <f>IFERROR(__xludf.DUMMYFUNCTION("""COMPUTED_VALUE"""),"Hiyori")</f>
        <v>Hiyori</v>
      </c>
      <c r="AR223" s="114"/>
      <c r="AS223" s="114"/>
      <c r="AT223" s="123" t="str">
        <f>IFERROR(__xludf.DUMMYFUNCTION("""COMPUTED_VALUE"""),"https://i.postimg.cc/9FLnKvr0/086.png")</f>
        <v>https://i.postimg.cc/9FLnKvr0/086.png</v>
      </c>
      <c r="AU223" s="114"/>
      <c r="AV223" s="114"/>
      <c r="AW223" s="114"/>
      <c r="AX223" s="114" t="str">
        <f t="shared" si="3"/>
        <v>86 - Medal [Event] - Crafted - Hiyori</v>
      </c>
      <c r="AY223" s="114" t="s">
        <v>4785</v>
      </c>
      <c r="AZ223" s="114"/>
      <c r="BA223" s="114"/>
      <c r="BB223" s="114"/>
      <c r="BC223" s="114"/>
      <c r="BD223" s="114"/>
      <c r="BE223" s="114"/>
    </row>
    <row r="224" ht="37.5" customHeight="1">
      <c r="A224" s="118" t="s">
        <v>4786</v>
      </c>
      <c r="B224" s="117" t="s">
        <v>3534</v>
      </c>
      <c r="C224" s="119">
        <f>IFERROR(__xludf.DUMMYFUNCTION("""COMPUTED_VALUE"""),119.0)</f>
        <v>119</v>
      </c>
      <c r="D224" s="114" t="str">
        <f>IFERROR(__xludf.DUMMYFUNCTION("""COMPUTED_VALUE"""),"King Cobra")</f>
        <v>King Cobra</v>
      </c>
      <c r="E224" s="114" t="str">
        <f>IFERROR(__xludf.DUMMYFUNCTION("""COMPUTED_VALUE"""),"")</f>
        <v/>
      </c>
      <c r="F224" s="114"/>
      <c r="G224" s="114"/>
      <c r="H224" s="114"/>
      <c r="I224" s="114"/>
      <c r="J224" s="114"/>
      <c r="K224" s="114" t="s">
        <v>4787</v>
      </c>
      <c r="L224" s="114" t="s">
        <v>4788</v>
      </c>
      <c r="M224" s="114" t="s">
        <v>4789</v>
      </c>
      <c r="N224" s="114" t="s">
        <v>4790</v>
      </c>
      <c r="O224" s="114"/>
      <c r="P224" s="120">
        <v>119.0</v>
      </c>
      <c r="Q224" s="117" t="s">
        <v>4791</v>
      </c>
      <c r="R224" s="114"/>
      <c r="S224" s="117" t="s">
        <v>3541</v>
      </c>
      <c r="T224" s="114">
        <f t="shared" si="1"/>
        <v>222</v>
      </c>
      <c r="U224" s="114" t="s">
        <v>4792</v>
      </c>
      <c r="V224" s="114" t="str">
        <f>IFERROR(__xludf.DUMMYFUNCTION("REGEXREPLACE(U224, ""\n"", "" "")"),"Yasopp (FILM RED)")</f>
        <v>Yasopp (FILM RED)</v>
      </c>
      <c r="W224" s="114"/>
      <c r="X224" s="115" t="str">
        <f t="shared" si="2"/>
        <v>222 FILM RED - Yasopp - Medal [Yasopp (FILM RED)]</v>
      </c>
      <c r="Y224" s="119"/>
      <c r="Z224" s="117" t="s">
        <v>4793</v>
      </c>
      <c r="AA224" s="117" t="s">
        <v>2709</v>
      </c>
      <c r="AB224" s="114"/>
      <c r="AC224" s="123" t="str">
        <f>IFERROR(__xludf.DUMMYFUNCTION("""COMPUTED_VALUE"""),"https://ik.imagekit.io/alaaalaa6171/120%20The%20Pirate%20King%60s%20Right%20Arm%20The%20Dark%20King%20-%20Silvers%20Rayleigh%20-%20Medal%20_Rayleigh_.png?updatedAt=1770076426037")</f>
        <v>https://ik.imagekit.io/alaaalaa6171/120%20The%20Pirate%20King%60s%20Right%20Arm%20The%20Dark%20King%20-%20Silvers%20Rayleigh%20-%20Medal%20_Rayleigh_.png?updatedAt=1770076426037</v>
      </c>
      <c r="AD224" s="123" t="str">
        <f>IFERROR(__xludf.DUMMYFUNCTION("""COMPUTED_VALUE"""),"https://ik.imagekit.io/alaaalaa6171/120%20The%20Pirate%20King%60s%20Right%20Arm%20The%20Dark%20King%20-%20Silvers%20Rayleigh%20-%20Medal%20_Rayleigh_%20_Colored_.png?updatedAt=1770076426055")</f>
        <v>https://ik.imagekit.io/alaaalaa6171/120%20The%20Pirate%20King%60s%20Right%20Arm%20The%20Dark%20King%20-%20Silvers%20Rayleigh%20-%20Medal%20_Rayleigh_%20_Colored_.png?updatedAt=1770076426055</v>
      </c>
      <c r="AE224" s="123" t="str">
        <f>IFERROR(__xludf.DUMMYFUNCTION("""COMPUTED_VALUE"""),"https://ik.imagekit.io/alaaalaa6171/120%20The%20Pirate%20King%60s%20Right%20Arm%20The%20Dark%20King%20-%20Silvers%20Rayleigh%20-%20Medal%20_Rayleigh_%20-%20Piece.png?updatedAt=1770076425925")</f>
        <v>https://ik.imagekit.io/alaaalaa6171/120%20The%20Pirate%20King%60s%20Right%20Arm%20The%20Dark%20King%20-%20Silvers%20Rayleigh%20-%20Medal%20_Rayleigh_%20-%20Piece.png?updatedAt=1770076425925</v>
      </c>
      <c r="AF224" s="123" t="str">
        <f>IFERROR(__xludf.DUMMYFUNCTION("""COMPUTED_VALUE"""),"https://ik.imagekit.io/alaaalaa6171/120%20The%20Pirate%20King%60s%20Right%20Arm%20The%20Dark%20King%20-%20Silvers%20Rayleigh%20-%20Medal%20_Rayleigh_%20-%20Piece%20_Colored_.png?updatedAt=1770076424619")</f>
        <v>https://ik.imagekit.io/alaaalaa6171/120%20The%20Pirate%20King%60s%20Right%20Arm%20The%20Dark%20King%20-%20Silvers%20Rayleigh%20-%20Medal%20_Rayleigh_%20-%20Piece%20_Colored_.png?updatedAt=1770076424619</v>
      </c>
      <c r="AG224" s="114"/>
      <c r="AH224" s="114"/>
      <c r="AI224" s="121" t="s">
        <v>4794</v>
      </c>
      <c r="AJ224" s="121" t="str">
        <f>IFERROR(__xludf.DUMMYFUNCTION("regexreplace(regexreplace(AI224, ""  \["", "" ""), ""\]$"", """")"),"223 - FILM RED ~ Usopp - Medal - Crafted [Colored] - Usopp (FILM RED)")</f>
        <v>223 - FILM RED ~ Usopp - Medal - Crafted [Colored] - Usopp (FILM RED)</v>
      </c>
      <c r="AK224" s="114"/>
      <c r="AL224" s="117" t="s">
        <v>4795</v>
      </c>
      <c r="AM224" s="117" t="s">
        <v>4796</v>
      </c>
      <c r="AN224" s="114"/>
      <c r="AO224" s="122">
        <f>IFERROR(__xludf.DUMMYFUNCTION("""COMPUTED_VALUE"""),85.0)</f>
        <v>85</v>
      </c>
      <c r="AP224" s="114" t="str">
        <f>IFERROR(__xludf.DUMMYFUNCTION("""COMPUTED_VALUE"""),"Momonosuke")</f>
        <v>Momonosuke</v>
      </c>
      <c r="AQ224" s="114" t="str">
        <f>IFERROR(__xludf.DUMMYFUNCTION("""COMPUTED_VALUE"""),"Momonosuke")</f>
        <v>Momonosuke</v>
      </c>
      <c r="AR224" s="114"/>
      <c r="AS224" s="114"/>
      <c r="AT224" s="123" t="str">
        <f>IFERROR(__xludf.DUMMYFUNCTION("""COMPUTED_VALUE"""),"https://i.postimg.cc/HkjhgBy2/085.png")</f>
        <v>https://i.postimg.cc/HkjhgBy2/085.png</v>
      </c>
      <c r="AU224" s="114"/>
      <c r="AV224" s="114"/>
      <c r="AW224" s="114"/>
      <c r="AX224" s="114" t="str">
        <f t="shared" si="3"/>
        <v>85 - Medal [Event] - Crafted - Momonosuke</v>
      </c>
      <c r="AY224" s="114" t="s">
        <v>4797</v>
      </c>
      <c r="AZ224" s="114"/>
      <c r="BA224" s="114"/>
      <c r="BB224" s="114"/>
      <c r="BC224" s="114"/>
      <c r="BD224" s="114"/>
      <c r="BE224" s="114"/>
    </row>
    <row r="225" ht="37.5" customHeight="1">
      <c r="A225" s="118" t="s">
        <v>4798</v>
      </c>
      <c r="B225" s="117" t="s">
        <v>3521</v>
      </c>
      <c r="C225" s="119">
        <f>IFERROR(__xludf.DUMMYFUNCTION("""COMPUTED_VALUE"""),118.0)</f>
        <v>118</v>
      </c>
      <c r="D225" s="114" t="str">
        <f>IFERROR(__xludf.DUMMYFUNCTION("""COMPUTED_VALUE"""),"Ivankov")</f>
        <v>Ivankov</v>
      </c>
      <c r="E225" s="114" t="str">
        <f>IFERROR(__xludf.DUMMYFUNCTION("""COMPUTED_VALUE"""),"")</f>
        <v/>
      </c>
      <c r="F225" s="114"/>
      <c r="G225" s="114"/>
      <c r="H225" s="114"/>
      <c r="I225" s="114"/>
      <c r="J225" s="114"/>
      <c r="K225" s="114" t="s">
        <v>4799</v>
      </c>
      <c r="L225" s="114" t="s">
        <v>4800</v>
      </c>
      <c r="M225" s="114" t="s">
        <v>4801</v>
      </c>
      <c r="N225" s="114" t="s">
        <v>4802</v>
      </c>
      <c r="O225" s="114"/>
      <c r="P225" s="120">
        <v>118.0</v>
      </c>
      <c r="Q225" s="117" t="s">
        <v>4803</v>
      </c>
      <c r="R225" s="114"/>
      <c r="S225" s="117" t="s">
        <v>3515</v>
      </c>
      <c r="T225" s="114">
        <f t="shared" si="1"/>
        <v>224</v>
      </c>
      <c r="U225" s="114" t="s">
        <v>763</v>
      </c>
      <c r="V225" s="114" t="str">
        <f>IFERROR(__xludf.DUMMYFUNCTION("REGEXREPLACE(U225, ""\n"", "" "")"),"Boing_Boing")</f>
        <v>Boing_Boing</v>
      </c>
      <c r="W225" s="114"/>
      <c r="X225" s="115" t="str">
        <f t="shared" si="2"/>
        <v>224 The Bullet of Dressrosa - Bellamy - Medal [Boing_Boing]</v>
      </c>
      <c r="Y225" s="119"/>
      <c r="Z225" s="117" t="s">
        <v>4804</v>
      </c>
      <c r="AA225" s="117" t="s">
        <v>2710</v>
      </c>
      <c r="AB225" s="114"/>
      <c r="AC225" s="123" t="str">
        <f>IFERROR(__xludf.DUMMYFUNCTION("""COMPUTED_VALUE"""),"https://ik.imagekit.io/alaaalaa6171/119%20Gear%20Four_Snakeman%20-%20Monkey%20D.%20Luffy%20-%20Medal%20_King%20Cobra_.png?updatedAt=1770076424151")</f>
        <v>https://ik.imagekit.io/alaaalaa6171/119%20Gear%20Four_Snakeman%20-%20Monkey%20D.%20Luffy%20-%20Medal%20_King%20Cobra_.png?updatedAt=1770076424151</v>
      </c>
      <c r="AD225" s="123" t="str">
        <f>IFERROR(__xludf.DUMMYFUNCTION("""COMPUTED_VALUE"""),"https://ik.imagekit.io/alaaalaa6171/119%20Gear%20Four_Snakeman%20-%20Monkey%20D.%20Luffy%20-%20Medal%20_King%20Cobra_%20_Colored_.png?updatedAt=1770076424007")</f>
        <v>https://ik.imagekit.io/alaaalaa6171/119%20Gear%20Four_Snakeman%20-%20Monkey%20D.%20Luffy%20-%20Medal%20_King%20Cobra_%20_Colored_.png?updatedAt=1770076424007</v>
      </c>
      <c r="AE225" s="123" t="str">
        <f>IFERROR(__xludf.DUMMYFUNCTION("""COMPUTED_VALUE"""),"https://ik.imagekit.io/alaaalaa6171/119%20Gear%20Four_Snakeman%20-%20Monkey%20D.%20Luffy%20-%20Medal%20_King%20Cobra_%20-%20Piece.png?updatedAt=1770076423803")</f>
        <v>https://ik.imagekit.io/alaaalaa6171/119%20Gear%20Four_Snakeman%20-%20Monkey%20D.%20Luffy%20-%20Medal%20_King%20Cobra_%20-%20Piece.png?updatedAt=1770076423803</v>
      </c>
      <c r="AF225" s="123" t="str">
        <f>IFERROR(__xludf.DUMMYFUNCTION("""COMPUTED_VALUE"""),"https://ik.imagekit.io/alaaalaa6171/119%20Gear%20Four_Snakeman%20-%20Monkey%20D.%20Luffy%20-%20Medal%20_King%20Cobra_%20-%20Piece%20_Colored_.png?updatedAt=1770076423462")</f>
        <v>https://ik.imagekit.io/alaaalaa6171/119%20Gear%20Four_Snakeman%20-%20Monkey%20D.%20Luffy%20-%20Medal%20_King%20Cobra_%20-%20Piece%20_Colored_.png?updatedAt=1770076423462</v>
      </c>
      <c r="AG225" s="114"/>
      <c r="AH225" s="114"/>
      <c r="AI225" s="121" t="s">
        <v>4805</v>
      </c>
      <c r="AJ225" s="121" t="str">
        <f>IFERROR(__xludf.DUMMYFUNCTION("regexreplace(regexreplace(AI225, ""  \["", "" ""), ""\]$"", """")"),"224 - The Bullet of Dressrosa ~ Bellamy - Medal - Crafted [Colored] - Boing_Boing")</f>
        <v>224 - The Bullet of Dressrosa ~ Bellamy - Medal - Crafted [Colored] - Boing_Boing</v>
      </c>
      <c r="AK225" s="114"/>
      <c r="AL225" s="117" t="s">
        <v>4806</v>
      </c>
      <c r="AM225" s="117" t="s">
        <v>4807</v>
      </c>
      <c r="AN225" s="114"/>
      <c r="AO225" s="122">
        <f>IFERROR(__xludf.DUMMYFUNCTION("""COMPUTED_VALUE"""),84.0)</f>
        <v>84</v>
      </c>
      <c r="AP225" s="114" t="str">
        <f>IFERROR(__xludf.DUMMYFUNCTION("""COMPUTED_VALUE"""),"Toad_Oil Salesman")</f>
        <v>Toad_Oil Salesman</v>
      </c>
      <c r="AQ225" s="114" t="str">
        <f>IFERROR(__xludf.DUMMYFUNCTION("""COMPUTED_VALUE"""),"Toad_Oil Salesman")</f>
        <v>Toad_Oil Salesman</v>
      </c>
      <c r="AR225" s="114"/>
      <c r="AS225" s="114"/>
      <c r="AT225" s="123" t="str">
        <f>IFERROR(__xludf.DUMMYFUNCTION("""COMPUTED_VALUE"""),"https://i.postimg.cc/K8VsvB7y/084.png")</f>
        <v>https://i.postimg.cc/K8VsvB7y/084.png</v>
      </c>
      <c r="AU225" s="114"/>
      <c r="AV225" s="114"/>
      <c r="AW225" s="114"/>
      <c r="AX225" s="114" t="str">
        <f t="shared" si="3"/>
        <v>84 - Medal [Event] - Crafted - Toad_Oil Salesman</v>
      </c>
      <c r="AY225" s="114" t="s">
        <v>4808</v>
      </c>
      <c r="AZ225" s="114"/>
      <c r="BA225" s="114"/>
      <c r="BB225" s="114"/>
      <c r="BC225" s="114"/>
      <c r="BD225" s="114"/>
      <c r="BE225" s="114"/>
    </row>
    <row r="226" ht="37.5" customHeight="1">
      <c r="A226" s="118" t="s">
        <v>4809</v>
      </c>
      <c r="B226" s="117" t="s">
        <v>3508</v>
      </c>
      <c r="C226" s="119">
        <f>IFERROR(__xludf.DUMMYFUNCTION("""COMPUTED_VALUE"""),117.0)</f>
        <v>117</v>
      </c>
      <c r="D226" s="114" t="str">
        <f>IFERROR(__xludf.DUMMYFUNCTION("""COMPUTED_VALUE"""),"Magellan")</f>
        <v>Magellan</v>
      </c>
      <c r="E226" s="114" t="str">
        <f>IFERROR(__xludf.DUMMYFUNCTION("""COMPUTED_VALUE"""),"")</f>
        <v/>
      </c>
      <c r="F226" s="114"/>
      <c r="G226" s="114"/>
      <c r="H226" s="114"/>
      <c r="I226" s="114"/>
      <c r="J226" s="114"/>
      <c r="K226" s="114" t="s">
        <v>4810</v>
      </c>
      <c r="L226" s="114" t="s">
        <v>4811</v>
      </c>
      <c r="M226" s="114" t="s">
        <v>4812</v>
      </c>
      <c r="N226" s="114" t="s">
        <v>4813</v>
      </c>
      <c r="O226" s="114"/>
      <c r="P226" s="120">
        <v>117.0</v>
      </c>
      <c r="Q226" s="117" t="s">
        <v>4814</v>
      </c>
      <c r="R226" s="114"/>
      <c r="S226" s="117" t="s">
        <v>3502</v>
      </c>
      <c r="T226" s="114">
        <f t="shared" si="1"/>
        <v>225</v>
      </c>
      <c r="U226" s="114" t="s">
        <v>757</v>
      </c>
      <c r="V226" s="114" t="str">
        <f>IFERROR(__xludf.DUMMYFUNCTION("REGEXREPLACE(U226, ""\n"", "" "")"),"Ripple_Ripple")</f>
        <v>Ripple_Ripple</v>
      </c>
      <c r="W226" s="114"/>
      <c r="X226" s="115" t="str">
        <f t="shared" si="2"/>
        <v>225 Don Quixote Pirates / Supreme Officer - Diamante - Medal [Ripple_Ripple]</v>
      </c>
      <c r="Y226" s="119"/>
      <c r="Z226" s="117" t="s">
        <v>4815</v>
      </c>
      <c r="AA226" s="117" t="s">
        <v>2708</v>
      </c>
      <c r="AB226" s="114"/>
      <c r="AC226" s="123" t="str">
        <f>IFERROR(__xludf.DUMMYFUNCTION("""COMPUTED_VALUE"""),"https://ik.imagekit.io/alaaalaa6171/118%20Revolutoonary%20Army%20-%20Emporio%20Ivankov%20-%20Medal%20_Ivankov_.png?updatedAt=1770076422315")</f>
        <v>https://ik.imagekit.io/alaaalaa6171/118%20Revolutoonary%20Army%20-%20Emporio%20Ivankov%20-%20Medal%20_Ivankov_.png?updatedAt=1770076422315</v>
      </c>
      <c r="AD226" s="123" t="str">
        <f>IFERROR(__xludf.DUMMYFUNCTION("""COMPUTED_VALUE"""),"https://ik.imagekit.io/alaaalaa6171/118%20Revolutoonary%20Army%20-%20Emporio%20Ivankov%20-%20Medal%20_Ivankov_%20_Colored_.png?updatedAt=1770076422113")</f>
        <v>https://ik.imagekit.io/alaaalaa6171/118%20Revolutoonary%20Army%20-%20Emporio%20Ivankov%20-%20Medal%20_Ivankov_%20_Colored_.png?updatedAt=1770076422113</v>
      </c>
      <c r="AE226" s="123" t="str">
        <f>IFERROR(__xludf.DUMMYFUNCTION("""COMPUTED_VALUE"""),"https://ik.imagekit.io/alaaalaa6171/118%20Revolutoonary%20Army%20-%20Emporio%20Ivankov%20-%20Medal%20_Ivankov_%20-%20Piece.png?updatedAt=1770076422041")</f>
        <v>https://ik.imagekit.io/alaaalaa6171/118%20Revolutoonary%20Army%20-%20Emporio%20Ivankov%20-%20Medal%20_Ivankov_%20-%20Piece.png?updatedAt=1770076422041</v>
      </c>
      <c r="AF226" s="123" t="str">
        <f>IFERROR(__xludf.DUMMYFUNCTION("""COMPUTED_VALUE"""),"https://ik.imagekit.io/alaaalaa6171/118%20Revolutoonary%20Army%20-%20Emporio%20Ivankov%20-%20Medal%20_Ivankov_%20-%20Piece%20_Colored_.png?updatedAt=1770076421853")</f>
        <v>https://ik.imagekit.io/alaaalaa6171/118%20Revolutoonary%20Army%20-%20Emporio%20Ivankov%20-%20Medal%20_Ivankov_%20-%20Piece%20_Colored_.png?updatedAt=1770076421853</v>
      </c>
      <c r="AG226" s="114"/>
      <c r="AH226" s="114"/>
      <c r="AI226" s="121" t="s">
        <v>4816</v>
      </c>
      <c r="AJ226" s="121" t="str">
        <f>IFERROR(__xludf.DUMMYFUNCTION("regexreplace(regexreplace(AI226, ""  \["", "" ""), ""\]$"", """")"),"225 - Don Quixote Pirates_Supreme Officer ~ Diamante - Medal - Crafted [Colored] - Ripple_Ripple")</f>
        <v>225 - Don Quixote Pirates_Supreme Officer ~ Diamante - Medal - Crafted [Colored] - Ripple_Ripple</v>
      </c>
      <c r="AK226" s="114"/>
      <c r="AL226" s="117" t="s">
        <v>4817</v>
      </c>
      <c r="AM226" s="117" t="s">
        <v>4818</v>
      </c>
      <c r="AN226" s="114"/>
      <c r="AO226" s="122">
        <f>IFERROR(__xludf.DUMMYFUNCTION("""COMPUTED_VALUE"""),83.0)</f>
        <v>83</v>
      </c>
      <c r="AP226" s="114" t="str">
        <f>IFERROR(__xludf.DUMMYFUNCTION("""COMPUTED_VALUE"""),"Carpenter")</f>
        <v>Carpenter</v>
      </c>
      <c r="AQ226" s="114" t="str">
        <f>IFERROR(__xludf.DUMMYFUNCTION("""COMPUTED_VALUE"""),"Carpenter")</f>
        <v>Carpenter</v>
      </c>
      <c r="AR226" s="114"/>
      <c r="AS226" s="114"/>
      <c r="AT226" s="123" t="str">
        <f>IFERROR(__xludf.DUMMYFUNCTION("""COMPUTED_VALUE"""),"https://i.postimg.cc/R0Hp3hGJ/083.png")</f>
        <v>https://i.postimg.cc/R0Hp3hGJ/083.png</v>
      </c>
      <c r="AU226" s="114"/>
      <c r="AV226" s="114"/>
      <c r="AW226" s="114"/>
      <c r="AX226" s="114" t="str">
        <f t="shared" si="3"/>
        <v>83 - Medal [Event] - Crafted - Carpenter</v>
      </c>
      <c r="AY226" s="114" t="s">
        <v>4819</v>
      </c>
      <c r="AZ226" s="114"/>
      <c r="BA226" s="114"/>
      <c r="BB226" s="114"/>
      <c r="BC226" s="114"/>
      <c r="BD226" s="114"/>
      <c r="BE226" s="114"/>
    </row>
    <row r="227" ht="37.5" customHeight="1">
      <c r="A227" s="118" t="s">
        <v>4820</v>
      </c>
      <c r="B227" s="117" t="s">
        <v>3469</v>
      </c>
      <c r="C227" s="119">
        <f>IFERROR(__xludf.DUMMYFUNCTION("""COMPUTED_VALUE"""),116.0)</f>
        <v>116</v>
      </c>
      <c r="D227" s="114" t="str">
        <f>IFERROR(__xludf.DUMMYFUNCTION("""COMPUTED_VALUE"""),"Mad Dog of the Navy")</f>
        <v>Mad Dog of the Navy</v>
      </c>
      <c r="E227" s="114" t="str">
        <f>IFERROR(__xludf.DUMMYFUNCTION("""COMPUTED_VALUE"""),"")</f>
        <v/>
      </c>
      <c r="F227" s="114"/>
      <c r="G227" s="114"/>
      <c r="H227" s="114"/>
      <c r="I227" s="114"/>
      <c r="J227" s="114"/>
      <c r="K227" s="114" t="s">
        <v>4821</v>
      </c>
      <c r="L227" s="114" t="s">
        <v>4822</v>
      </c>
      <c r="M227" s="114" t="s">
        <v>4823</v>
      </c>
      <c r="N227" s="114" t="s">
        <v>4824</v>
      </c>
      <c r="O227" s="114"/>
      <c r="P227" s="120">
        <v>116.0</v>
      </c>
      <c r="Q227" s="117" t="s">
        <v>4825</v>
      </c>
      <c r="R227" s="114"/>
      <c r="S227" s="117" t="s">
        <v>3489</v>
      </c>
      <c r="T227" s="114">
        <f t="shared" si="1"/>
        <v>226</v>
      </c>
      <c r="U227" s="114" t="s">
        <v>751</v>
      </c>
      <c r="V227" s="114" t="str">
        <f>IFERROR(__xludf.DUMMYFUNCTION("REGEXREPLACE(U227, ""\n"", "" "")"),"Trebol")</f>
        <v>Trebol</v>
      </c>
      <c r="W227" s="114"/>
      <c r="X227" s="115" t="str">
        <f t="shared" si="2"/>
        <v>226 Don Quixote Pirates / Supreme Officer - Trebol - Medal [Trebol]</v>
      </c>
      <c r="Y227" s="119"/>
      <c r="Z227" s="117" t="s">
        <v>4826</v>
      </c>
      <c r="AA227" s="117" t="s">
        <v>2720</v>
      </c>
      <c r="AB227" s="114"/>
      <c r="AC227" s="123" t="str">
        <f>IFERROR(__xludf.DUMMYFUNCTION("""COMPUTED_VALUE"""),"https://ik.imagekit.io/alaaalaa6171/117%20Impel%20Down_Warden%20-%20Magellan%20-%20Medal%20_Magellan_.png?updatedAt=1770076421679")</f>
        <v>https://ik.imagekit.io/alaaalaa6171/117%20Impel%20Down_Warden%20-%20Magellan%20-%20Medal%20_Magellan_.png?updatedAt=1770076421679</v>
      </c>
      <c r="AD227" s="123" t="str">
        <f>IFERROR(__xludf.DUMMYFUNCTION("""COMPUTED_VALUE"""),"https://ik.imagekit.io/alaaalaa6171/117%20Impel%20Down_Warden%20-%20Magellan%20-%20Medal%20_Magellan_%20_Colored_.png?updatedAt=1770076421687")</f>
        <v>https://ik.imagekit.io/alaaalaa6171/117%20Impel%20Down_Warden%20-%20Magellan%20-%20Medal%20_Magellan_%20_Colored_.png?updatedAt=1770076421687</v>
      </c>
      <c r="AE227" s="123" t="str">
        <f>IFERROR(__xludf.DUMMYFUNCTION("""COMPUTED_VALUE"""),"https://ik.imagekit.io/alaaalaa6171/117%20Impel%20Down_Warden%20-%20Magellan%20-%20Medal%20_Magellan_%20-%20Piece.png?updatedAt=1770076421299")</f>
        <v>https://ik.imagekit.io/alaaalaa6171/117%20Impel%20Down_Warden%20-%20Magellan%20-%20Medal%20_Magellan_%20-%20Piece.png?updatedAt=1770076421299</v>
      </c>
      <c r="AF227" s="123" t="str">
        <f>IFERROR(__xludf.DUMMYFUNCTION("""COMPUTED_VALUE"""),"https://ik.imagekit.io/alaaalaa6171/117%20Impel%20Down_Warden%20-%20Magellan%20-%20Medal%20_Magellan_%20-%20Piece%20_Colored_.png?updatedAt=1770076421267")</f>
        <v>https://ik.imagekit.io/alaaalaa6171/117%20Impel%20Down_Warden%20-%20Magellan%20-%20Medal%20_Magellan_%20-%20Piece%20_Colored_.png?updatedAt=1770076421267</v>
      </c>
      <c r="AG227" s="114"/>
      <c r="AH227" s="114"/>
      <c r="AI227" s="121" t="s">
        <v>4827</v>
      </c>
      <c r="AJ227" s="121" t="str">
        <f>IFERROR(__xludf.DUMMYFUNCTION("regexreplace(regexreplace(AI227, ""  \["", "" ""), ""\]$"", """")"),"226 - Don Quixote Pirates_Supreme Officer ~ Trebol - Medal - Crafted [Colored] - Trebol")</f>
        <v>226 - Don Quixote Pirates_Supreme Officer ~ Trebol - Medal - Crafted [Colored] - Trebol</v>
      </c>
      <c r="AK227" s="114"/>
      <c r="AL227" s="117" t="s">
        <v>4828</v>
      </c>
      <c r="AM227" s="117" t="s">
        <v>4829</v>
      </c>
      <c r="AN227" s="114"/>
      <c r="AO227" s="122">
        <f>IFERROR(__xludf.DUMMYFUNCTION("""COMPUTED_VALUE"""),82.0)</f>
        <v>82</v>
      </c>
      <c r="AP227" s="114" t="str">
        <f>IFERROR(__xludf.DUMMYFUNCTION("""COMPUTED_VALUE"""),"Sanji
(Chambres)")</f>
        <v>Sanji
(Chambres)</v>
      </c>
      <c r="AQ227" s="114" t="str">
        <f>IFERROR(__xludf.DUMMYFUNCTION("""COMPUTED_VALUE"""),"Sanji (Chambres)")</f>
        <v>Sanji (Chambres)</v>
      </c>
      <c r="AR227" s="114"/>
      <c r="AS227" s="114"/>
      <c r="AT227" s="123" t="str">
        <f>IFERROR(__xludf.DUMMYFUNCTION("""COMPUTED_VALUE"""),"https://i.postimg.cc/k4P1WCh1/082.png")</f>
        <v>https://i.postimg.cc/k4P1WCh1/082.png</v>
      </c>
      <c r="AU227" s="114"/>
      <c r="AV227" s="114"/>
      <c r="AW227" s="114"/>
      <c r="AX227" s="114" t="str">
        <f t="shared" si="3"/>
        <v>82 - Medal [Event] - Crafted - Sanji (Chambres)</v>
      </c>
      <c r="AY227" s="114" t="s">
        <v>4830</v>
      </c>
      <c r="AZ227" s="114"/>
      <c r="BA227" s="114"/>
      <c r="BB227" s="114"/>
      <c r="BC227" s="114"/>
      <c r="BD227" s="114"/>
      <c r="BE227" s="114"/>
    </row>
    <row r="228" ht="37.5" customHeight="1">
      <c r="A228" s="118" t="s">
        <v>4831</v>
      </c>
      <c r="B228" s="117" t="s">
        <v>3495</v>
      </c>
      <c r="C228" s="119">
        <f>IFERROR(__xludf.DUMMYFUNCTION("""COMPUTED_VALUE"""),115.0)</f>
        <v>115</v>
      </c>
      <c r="D228" s="114" t="str">
        <f>IFERROR(__xludf.DUMMYFUNCTION("""COMPUTED_VALUE"""),"Cutting Mist")</f>
        <v>Cutting Mist</v>
      </c>
      <c r="E228" s="114" t="str">
        <f>IFERROR(__xludf.DUMMYFUNCTION("""COMPUTED_VALUE"""),"")</f>
        <v/>
      </c>
      <c r="F228" s="114"/>
      <c r="G228" s="114"/>
      <c r="H228" s="114"/>
      <c r="I228" s="114"/>
      <c r="J228" s="114"/>
      <c r="K228" s="114" t="s">
        <v>4832</v>
      </c>
      <c r="L228" s="114" t="s">
        <v>4833</v>
      </c>
      <c r="M228" s="114" t="s">
        <v>4834</v>
      </c>
      <c r="N228" s="114" t="s">
        <v>4835</v>
      </c>
      <c r="O228" s="114"/>
      <c r="P228" s="120">
        <v>115.0</v>
      </c>
      <c r="Q228" s="117" t="s">
        <v>4836</v>
      </c>
      <c r="R228" s="114"/>
      <c r="S228" s="117" t="s">
        <v>3476</v>
      </c>
      <c r="T228" s="114">
        <f t="shared" si="1"/>
        <v>227</v>
      </c>
      <c r="U228" s="114" t="s">
        <v>744</v>
      </c>
      <c r="V228" s="114" t="str">
        <f>IFERROR(__xludf.DUMMYFUNCTION("REGEXREPLACE(U228, ""\n"", "" "")"),"Shinobu")</f>
        <v>Shinobu</v>
      </c>
      <c r="W228" s="114"/>
      <c r="X228" s="115" t="str">
        <f t="shared" si="2"/>
        <v>227 Veteran Kunoichi - Shinobu - Medal [Shinobu]</v>
      </c>
      <c r="Y228" s="119"/>
      <c r="Z228" s="117" t="s">
        <v>4837</v>
      </c>
      <c r="AA228" s="117" t="s">
        <v>2722</v>
      </c>
      <c r="AB228" s="114"/>
      <c r="AC228" s="123" t="str">
        <f>IFERROR(__xludf.DUMMYFUNCTION("""COMPUTED_VALUE"""),"https://ik.imagekit.io/alaaalaa6171/116%20Gerand%20Line%20Navel%20Base%205_Vice%20Admiral%20-%20Smoker%201%20-%20Medal%20_Mad%20Dog%20of%20the%20Navy_.png?updatedAt=1770076421674")</f>
        <v>https://ik.imagekit.io/alaaalaa6171/116%20Gerand%20Line%20Navel%20Base%205_Vice%20Admiral%20-%20Smoker%201%20-%20Medal%20_Mad%20Dog%20of%20the%20Navy_.png?updatedAt=1770076421674</v>
      </c>
      <c r="AD228" s="123" t="str">
        <f>IFERROR(__xludf.DUMMYFUNCTION("""COMPUTED_VALUE"""),"https://ik.imagekit.io/alaaalaa6171/116%20Gerand%20Line%20Navel%20Base%205_Vice%20Admiral%20-%20Smoker%201%20-%20Medal%20_Mad%20Dog%20of%20the%20Navy_%20_Colored_.png?updatedAt=1770076421253")</f>
        <v>https://ik.imagekit.io/alaaalaa6171/116%20Gerand%20Line%20Navel%20Base%205_Vice%20Admiral%20-%20Smoker%201%20-%20Medal%20_Mad%20Dog%20of%20the%20Navy_%20_Colored_.png?updatedAt=1770076421253</v>
      </c>
      <c r="AE228" s="123" t="str">
        <f>IFERROR(__xludf.DUMMYFUNCTION("""COMPUTED_VALUE"""),"https://ik.imagekit.io/alaaalaa6171/116%20Gerand%20Line%20Navel%20Base%205_Vice%20Admiral%20-%20Smoker%201%20-%20Medal%20_Mad%20Dog%20of%20the%20Navy_%20-%20Piece.png?updatedAt=1770076421261")</f>
        <v>https://ik.imagekit.io/alaaalaa6171/116%20Gerand%20Line%20Navel%20Base%205_Vice%20Admiral%20-%20Smoker%201%20-%20Medal%20_Mad%20Dog%20of%20the%20Navy_%20-%20Piece.png?updatedAt=1770076421261</v>
      </c>
      <c r="AF228" s="123" t="str">
        <f>IFERROR(__xludf.DUMMYFUNCTION("""COMPUTED_VALUE"""),"https://ik.imagekit.io/alaaalaa6171/116%20Gerand%20Line%20Navel%20Base%205_Vice%20Admiral%20-%20Smoker%201%20-%20Medal%20_Mad%20Dog%20of%20the%20Navy_%20-%20Piece%20_Colored_.png?updatedAt=1770076421284")</f>
        <v>https://ik.imagekit.io/alaaalaa6171/116%20Gerand%20Line%20Navel%20Base%205_Vice%20Admiral%20-%20Smoker%201%20-%20Medal%20_Mad%20Dog%20of%20the%20Navy_%20-%20Piece%20_Colored_.png?updatedAt=1770076421284</v>
      </c>
      <c r="AG228" s="114"/>
      <c r="AH228" s="114"/>
      <c r="AI228" s="121" t="s">
        <v>4838</v>
      </c>
      <c r="AJ228" s="121" t="str">
        <f>IFERROR(__xludf.DUMMYFUNCTION("regexreplace(regexreplace(AI228, ""  \["", "" ""), ""\]$"", """")"),"227 - Veteran Kunoichi ~ Shinobu - Medal - Crafted [Colored] - Shinobu")</f>
        <v>227 - Veteran Kunoichi ~ Shinobu - Medal - Crafted [Colored] - Shinobu</v>
      </c>
      <c r="AK228" s="114"/>
      <c r="AL228" s="117" t="s">
        <v>4839</v>
      </c>
      <c r="AM228" s="117" t="s">
        <v>4840</v>
      </c>
      <c r="AN228" s="114"/>
      <c r="AO228" s="122">
        <f>IFERROR(__xludf.DUMMYFUNCTION("""COMPUTED_VALUE"""),81.0)</f>
        <v>81</v>
      </c>
      <c r="AP228" s="114" t="str">
        <f>IFERROR(__xludf.DUMMYFUNCTION("""COMPUTED_VALUE"""),"Tashigi
(Chambres)")</f>
        <v>Tashigi
(Chambres)</v>
      </c>
      <c r="AQ228" s="114" t="str">
        <f>IFERROR(__xludf.DUMMYFUNCTION("""COMPUTED_VALUE"""),"Tashigi (Chambres)")</f>
        <v>Tashigi (Chambres)</v>
      </c>
      <c r="AR228" s="114"/>
      <c r="AS228" s="114"/>
      <c r="AT228" s="123" t="str">
        <f>IFERROR(__xludf.DUMMYFUNCTION("""COMPUTED_VALUE"""),"https://i.postimg.cc/fL7HKPGw/081.png")</f>
        <v>https://i.postimg.cc/fL7HKPGw/081.png</v>
      </c>
      <c r="AU228" s="114"/>
      <c r="AV228" s="114"/>
      <c r="AW228" s="114"/>
      <c r="AX228" s="114" t="str">
        <f t="shared" si="3"/>
        <v>81 - Medal [Event] - Crafted - Tashigi (Chambres)</v>
      </c>
      <c r="AY228" s="114" t="s">
        <v>4841</v>
      </c>
      <c r="AZ228" s="114"/>
      <c r="BA228" s="114"/>
      <c r="BB228" s="114"/>
      <c r="BC228" s="114"/>
      <c r="BD228" s="114"/>
      <c r="BE228" s="114"/>
    </row>
    <row r="229" ht="37.5" customHeight="1">
      <c r="A229" s="118" t="s">
        <v>4842</v>
      </c>
      <c r="B229" s="117" t="s">
        <v>3482</v>
      </c>
      <c r="C229" s="119">
        <f>IFERROR(__xludf.DUMMYFUNCTION("""COMPUTED_VALUE"""),114.0)</f>
        <v>114</v>
      </c>
      <c r="D229" s="114" t="str">
        <f>IFERROR(__xludf.DUMMYFUNCTION("""COMPUTED_VALUE"""),"Hina")</f>
        <v>Hina</v>
      </c>
      <c r="E229" s="114" t="str">
        <f>IFERROR(__xludf.DUMMYFUNCTION("""COMPUTED_VALUE"""),"")</f>
        <v/>
      </c>
      <c r="F229" s="114"/>
      <c r="G229" s="114"/>
      <c r="H229" s="114"/>
      <c r="I229" s="114"/>
      <c r="J229" s="114"/>
      <c r="K229" s="114" t="s">
        <v>4843</v>
      </c>
      <c r="L229" s="114" t="s">
        <v>4844</v>
      </c>
      <c r="M229" s="114" t="s">
        <v>4845</v>
      </c>
      <c r="N229" s="114" t="s">
        <v>4846</v>
      </c>
      <c r="O229" s="114"/>
      <c r="P229" s="120">
        <v>114.0</v>
      </c>
      <c r="Q229" s="117" t="s">
        <v>4847</v>
      </c>
      <c r="R229" s="114"/>
      <c r="S229" s="117" t="s">
        <v>3463</v>
      </c>
      <c r="T229" s="114">
        <f t="shared" si="1"/>
        <v>228</v>
      </c>
      <c r="U229" s="114" t="s">
        <v>737</v>
      </c>
      <c r="V229" s="114" t="str">
        <f>IFERROR(__xludf.DUMMYFUNCTION("REGEXREPLACE(U229, ""\n"", "" "")"),"Raizo")</f>
        <v>Raizo</v>
      </c>
      <c r="W229" s="114"/>
      <c r="X229" s="115" t="str">
        <f t="shared" si="2"/>
        <v>228 Kozuki Clan / Servant - Raizo - Medal [Raizo]</v>
      </c>
      <c r="Y229" s="119"/>
      <c r="Z229" s="117" t="s">
        <v>4848</v>
      </c>
      <c r="AA229" s="117" t="s">
        <v>2723</v>
      </c>
      <c r="AB229" s="114"/>
      <c r="AC229" s="123" t="str">
        <f>IFERROR(__xludf.DUMMYFUNCTION("""COMPUTED_VALUE"""),"https://ik.imagekit.io/alaaalaa6171/115%20Grand%20Line%20Naval%20Base%205_Captain%20-%20Tashigi%20-%20Medal%20_Cutting%20Mist_.png?updatedAt=1770076421267")</f>
        <v>https://ik.imagekit.io/alaaalaa6171/115%20Grand%20Line%20Naval%20Base%205_Captain%20-%20Tashigi%20-%20Medal%20_Cutting%20Mist_.png?updatedAt=1770076421267</v>
      </c>
      <c r="AD229" s="123" t="str">
        <f>IFERROR(__xludf.DUMMYFUNCTION("""COMPUTED_VALUE"""),"https://ik.imagekit.io/alaaalaa6171/115%20Grand%20Line%20Naval%20Base%205_Captain%20-%20Tashigi%20-%20Medal%20_Cutting%20Mist_%20_Colored_.png?updatedAt=1770076421305")</f>
        <v>https://ik.imagekit.io/alaaalaa6171/115%20Grand%20Line%20Naval%20Base%205_Captain%20-%20Tashigi%20-%20Medal%20_Cutting%20Mist_%20_Colored_.png?updatedAt=1770076421305</v>
      </c>
      <c r="AE229" s="123" t="str">
        <f>IFERROR(__xludf.DUMMYFUNCTION("""COMPUTED_VALUE"""),"https://ik.imagekit.io/alaaalaa6171/115%20Grand%20Line%20Naval%20Base%205_Captain%20-%20Tashigi%20-%20Medal%20_Cutting%20Mist_%20-%20Piece.png?updatedAt=1770076421261")</f>
        <v>https://ik.imagekit.io/alaaalaa6171/115%20Grand%20Line%20Naval%20Base%205_Captain%20-%20Tashigi%20-%20Medal%20_Cutting%20Mist_%20-%20Piece.png?updatedAt=1770076421261</v>
      </c>
      <c r="AF229" s="123" t="str">
        <f>IFERROR(__xludf.DUMMYFUNCTION("""COMPUTED_VALUE"""),"https://ik.imagekit.io/alaaalaa6171/115%20Grand%20Line%20Naval%20Base%205_Captain%20-%20Tashigi%20-%20Medal%20_Cutting%20Mist_%20-%20Piece%20_Colored_.png?updatedAt=1770076421705")</f>
        <v>https://ik.imagekit.io/alaaalaa6171/115%20Grand%20Line%20Naval%20Base%205_Captain%20-%20Tashigi%20-%20Medal%20_Cutting%20Mist_%20-%20Piece%20_Colored_.png?updatedAt=1770076421705</v>
      </c>
      <c r="AG229" s="114"/>
      <c r="AH229" s="114"/>
      <c r="AI229" s="121" t="s">
        <v>4849</v>
      </c>
      <c r="AJ229" s="121" t="str">
        <f>IFERROR(__xludf.DUMMYFUNCTION("regexreplace(regexreplace(AI229, ""  \["", "" ""), ""\]$"", """")"),"228 - Kozuki Clan_Servant ~ Raizo - Medal - Crafted [Colored] - Raizo")</f>
        <v>228 - Kozuki Clan_Servant ~ Raizo - Medal - Crafted [Colored] - Raizo</v>
      </c>
      <c r="AK229" s="114"/>
      <c r="AL229" s="117" t="s">
        <v>4850</v>
      </c>
      <c r="AM229" s="117" t="s">
        <v>4851</v>
      </c>
      <c r="AN229" s="114"/>
      <c r="AO229" s="122">
        <f>IFERROR(__xludf.DUMMYFUNCTION("""COMPUTED_VALUE"""),80.0)</f>
        <v>80</v>
      </c>
      <c r="AP229" s="114" t="str">
        <f>IFERROR(__xludf.DUMMYFUNCTION("""COMPUTED_VALUE"""),"Marigold")</f>
        <v>Marigold</v>
      </c>
      <c r="AQ229" s="114" t="str">
        <f>IFERROR(__xludf.DUMMYFUNCTION("""COMPUTED_VALUE"""),"Marigold")</f>
        <v>Marigold</v>
      </c>
      <c r="AR229" s="114"/>
      <c r="AS229" s="114"/>
      <c r="AT229" s="123" t="str">
        <f>IFERROR(__xludf.DUMMYFUNCTION("""COMPUTED_VALUE"""),"https://i.postimg.cc/5yxsk3J8/080.png")</f>
        <v>https://i.postimg.cc/5yxsk3J8/080.png</v>
      </c>
      <c r="AU229" s="114"/>
      <c r="AV229" s="114"/>
      <c r="AW229" s="114"/>
      <c r="AX229" s="114" t="str">
        <f t="shared" si="3"/>
        <v>80 - Medal [Event] - Crafted - Marigold</v>
      </c>
      <c r="AY229" s="114" t="s">
        <v>4852</v>
      </c>
      <c r="AZ229" s="114"/>
      <c r="BA229" s="114"/>
      <c r="BB229" s="114"/>
      <c r="BC229" s="114"/>
      <c r="BD229" s="114"/>
      <c r="BE229" s="114"/>
    </row>
    <row r="230" ht="37.5" customHeight="1">
      <c r="A230" s="118" t="s">
        <v>4853</v>
      </c>
      <c r="B230" s="117" t="s">
        <v>3456</v>
      </c>
      <c r="C230" s="119">
        <f>IFERROR(__xludf.DUMMYFUNCTION("""COMPUTED_VALUE"""),113.0)</f>
        <v>113</v>
      </c>
      <c r="D230" s="114" t="str">
        <f>IFERROR(__xludf.DUMMYFUNCTION("""COMPUTED_VALUE"""),"The Demon Heir")</f>
        <v>The Demon Heir</v>
      </c>
      <c r="E230" s="114" t="str">
        <f>IFERROR(__xludf.DUMMYFUNCTION("""COMPUTED_VALUE"""),"")</f>
        <v/>
      </c>
      <c r="F230" s="114"/>
      <c r="G230" s="114"/>
      <c r="H230" s="114"/>
      <c r="I230" s="114"/>
      <c r="J230" s="114"/>
      <c r="K230" s="114" t="s">
        <v>4854</v>
      </c>
      <c r="L230" s="114" t="s">
        <v>4855</v>
      </c>
      <c r="M230" s="114" t="s">
        <v>4856</v>
      </c>
      <c r="N230" s="114" t="s">
        <v>4857</v>
      </c>
      <c r="O230" s="114"/>
      <c r="P230" s="120">
        <v>113.0</v>
      </c>
      <c r="Q230" s="117" t="s">
        <v>4858</v>
      </c>
      <c r="R230" s="114"/>
      <c r="S230" s="117" t="s">
        <v>3450</v>
      </c>
      <c r="T230" s="114">
        <f t="shared" si="1"/>
        <v>229</v>
      </c>
      <c r="U230" s="114" t="s">
        <v>729</v>
      </c>
      <c r="V230" s="114" t="str">
        <f>IFERROR(__xludf.DUMMYFUNCTION("REGEXREPLACE(U230, ""\n"", "" "")"),"Hyogoro")</f>
        <v>Hyogoro</v>
      </c>
      <c r="W230" s="114"/>
      <c r="X230" s="115" t="str">
        <f t="shared" si="2"/>
        <v>229 Hyogoro Family / Big Boss - Hyogoro - Medal [Hyogoro]</v>
      </c>
      <c r="Y230" s="119"/>
      <c r="Z230" s="117" t="s">
        <v>4859</v>
      </c>
      <c r="AA230" s="117" t="s">
        <v>2721</v>
      </c>
      <c r="AB230" s="114"/>
      <c r="AC230" s="123" t="str">
        <f>IFERROR(__xludf.DUMMYFUNCTION("""COMPUTED_VALUE"""),"https://ik.imagekit.io/alaaalaa6171/114%20Navy%20HQ_Rear%20Admiral%20-%20Hina%20-%20Medal%20_Hina_.png?updatedAt=1770076421329")</f>
        <v>https://ik.imagekit.io/alaaalaa6171/114%20Navy%20HQ_Rear%20Admiral%20-%20Hina%20-%20Medal%20_Hina_.png?updatedAt=1770076421329</v>
      </c>
      <c r="AD230" s="123" t="str">
        <f>IFERROR(__xludf.DUMMYFUNCTION("""COMPUTED_VALUE"""),"https://ik.imagekit.io/alaaalaa6171/114%20Navy%20HQ_Rear%20Admiral%20-%20Hina%20-%20Medal%20_Hina_%20_Colored_.png?updatedAt=1770076421251")</f>
        <v>https://ik.imagekit.io/alaaalaa6171/114%20Navy%20HQ_Rear%20Admiral%20-%20Hina%20-%20Medal%20_Hina_%20_Colored_.png?updatedAt=1770076421251</v>
      </c>
      <c r="AE230" s="123" t="str">
        <f>IFERROR(__xludf.DUMMYFUNCTION("""COMPUTED_VALUE"""),"https://ik.imagekit.io/alaaalaa6171/114%20Navy%20HQ_Rear%20Admiral%20-%20Hina%20-%20Medal%20_Hina_%20-%20Piece.png?updatedAt=1770076421688")</f>
        <v>https://ik.imagekit.io/alaaalaa6171/114%20Navy%20HQ_Rear%20Admiral%20-%20Hina%20-%20Medal%20_Hina_%20-%20Piece.png?updatedAt=1770076421688</v>
      </c>
      <c r="AF230" s="123" t="str">
        <f>IFERROR(__xludf.DUMMYFUNCTION("""COMPUTED_VALUE"""),"https://ik.imagekit.io/alaaalaa6171/114%20Navy%20HQ_Rear%20Admiral%20-%20Hina%20-%20Medal%20_Hina_%20-%20Piece%20_Colored_.png?updatedAt=1770076421267")</f>
        <v>https://ik.imagekit.io/alaaalaa6171/114%20Navy%20HQ_Rear%20Admiral%20-%20Hina%20-%20Medal%20_Hina_%20-%20Piece%20_Colored_.png?updatedAt=1770076421267</v>
      </c>
      <c r="AG230" s="114"/>
      <c r="AH230" s="114"/>
      <c r="AI230" s="121" t="s">
        <v>4860</v>
      </c>
      <c r="AJ230" s="121" t="str">
        <f>IFERROR(__xludf.DUMMYFUNCTION("regexreplace(regexreplace(AI230, ""  \["", "" ""), ""\]$"", """")"),"229 - Hyogoro Family_Big Boss ~ Hyogoro - Medal - Crafted [Colored] - Hyogoro")</f>
        <v>229 - Hyogoro Family_Big Boss ~ Hyogoro - Medal - Crafted [Colored] - Hyogoro</v>
      </c>
      <c r="AK230" s="114"/>
      <c r="AL230" s="117" t="s">
        <v>4861</v>
      </c>
      <c r="AM230" s="117" t="s">
        <v>4862</v>
      </c>
      <c r="AN230" s="114"/>
      <c r="AO230" s="122">
        <f>IFERROR(__xludf.DUMMYFUNCTION("""COMPUTED_VALUE"""),79.0)</f>
        <v>79</v>
      </c>
      <c r="AP230" s="114" t="str">
        <f>IFERROR(__xludf.DUMMYFUNCTION("""COMPUTED_VALUE"""),"Sandersonia")</f>
        <v>Sandersonia</v>
      </c>
      <c r="AQ230" s="114" t="str">
        <f>IFERROR(__xludf.DUMMYFUNCTION("""COMPUTED_VALUE"""),"Sandersonia")</f>
        <v>Sandersonia</v>
      </c>
      <c r="AR230" s="114"/>
      <c r="AS230" s="114"/>
      <c r="AT230" s="123" t="str">
        <f>IFERROR(__xludf.DUMMYFUNCTION("""COMPUTED_VALUE"""),"https://i.postimg.cc/hvp2Fd46/079.png")</f>
        <v>https://i.postimg.cc/hvp2Fd46/079.png</v>
      </c>
      <c r="AU230" s="114"/>
      <c r="AV230" s="114"/>
      <c r="AW230" s="114"/>
      <c r="AX230" s="114" t="str">
        <f t="shared" si="3"/>
        <v>79 - Medal [Event] - Crafted - Sandersonia</v>
      </c>
      <c r="AY230" s="114" t="s">
        <v>4863</v>
      </c>
      <c r="AZ230" s="114"/>
      <c r="BA230" s="114"/>
      <c r="BB230" s="114"/>
      <c r="BC230" s="114"/>
      <c r="BD230" s="114"/>
      <c r="BE230" s="114"/>
    </row>
    <row r="231" ht="37.5" customHeight="1">
      <c r="A231" s="118" t="s">
        <v>4864</v>
      </c>
      <c r="B231" s="117" t="s">
        <v>3443</v>
      </c>
      <c r="C231" s="119">
        <f>IFERROR(__xludf.DUMMYFUNCTION("""COMPUTED_VALUE"""),112.0)</f>
        <v>112</v>
      </c>
      <c r="D231" s="114" t="str">
        <f>IFERROR(__xludf.DUMMYFUNCTION("""COMPUTED_VALUE"""),"Fire Bird")</f>
        <v>Fire Bird</v>
      </c>
      <c r="E231" s="114" t="str">
        <f>IFERROR(__xludf.DUMMYFUNCTION("""COMPUTED_VALUE"""),"")</f>
        <v/>
      </c>
      <c r="F231" s="114"/>
      <c r="G231" s="114"/>
      <c r="H231" s="114"/>
      <c r="I231" s="114"/>
      <c r="J231" s="114"/>
      <c r="K231" s="114" t="s">
        <v>4865</v>
      </c>
      <c r="L231" s="114" t="s">
        <v>4866</v>
      </c>
      <c r="M231" s="114" t="s">
        <v>4867</v>
      </c>
      <c r="N231" s="114" t="s">
        <v>4868</v>
      </c>
      <c r="O231" s="114"/>
      <c r="P231" s="120">
        <v>112.0</v>
      </c>
      <c r="Q231" s="117" t="s">
        <v>4869</v>
      </c>
      <c r="R231" s="114"/>
      <c r="S231" s="117" t="s">
        <v>3437</v>
      </c>
      <c r="T231" s="114">
        <f t="shared" si="1"/>
        <v>230</v>
      </c>
      <c r="U231" s="114" t="s">
        <v>723</v>
      </c>
      <c r="V231" s="114" t="str">
        <f>IFERROR(__xludf.DUMMYFUNCTION("REGEXREPLACE(U231, ""\n"", "" "")"),"X Calibur")</f>
        <v>X Calibur</v>
      </c>
      <c r="W231" s="114"/>
      <c r="X231" s="115" t="str">
        <f t="shared" si="2"/>
        <v>230 Top Secret Special Force Captain of "Sword" - X. Drake - Medal [X Calibur]</v>
      </c>
      <c r="Y231" s="119"/>
      <c r="Z231" s="117" t="s">
        <v>4870</v>
      </c>
      <c r="AA231" s="117" t="s">
        <v>2733</v>
      </c>
      <c r="AB231" s="114"/>
      <c r="AC231" s="123" t="str">
        <f>IFERROR(__xludf.DUMMYFUNCTION("""COMPUTED_VALUE"""),"https://ik.imagekit.io/alaaalaa6171/113%20STAMPEDE%20-%20Douglas%20Bullet%20-%20Medal%20_The%20Demon%20Heir_.png?updatedAt=1770076421259")</f>
        <v>https://ik.imagekit.io/alaaalaa6171/113%20STAMPEDE%20-%20Douglas%20Bullet%20-%20Medal%20_The%20Demon%20Heir_.png?updatedAt=1770076421259</v>
      </c>
      <c r="AD231" s="123" t="str">
        <f>IFERROR(__xludf.DUMMYFUNCTION("""COMPUTED_VALUE"""),"https://ik.imagekit.io/alaaalaa6171/113%20STAMPEDE%20-%20Douglas%20Bullet%20-%20Medal%20_The%20Demon%20Heir_%20_Colored_.png?updatedAt=1770076421253")</f>
        <v>https://ik.imagekit.io/alaaalaa6171/113%20STAMPEDE%20-%20Douglas%20Bullet%20-%20Medal%20_The%20Demon%20Heir_%20_Colored_.png?updatedAt=1770076421253</v>
      </c>
      <c r="AE231" s="123" t="str">
        <f>IFERROR(__xludf.DUMMYFUNCTION("""COMPUTED_VALUE"""),"https://ik.imagekit.io/alaaalaa6171/113%20STAMPEDE%20-%20Douglas%20Bullet%20-%20Medal%20_The%20Demon%20Heir_%20-%20Piece.png?updatedAt=1770076421223")</f>
        <v>https://ik.imagekit.io/alaaalaa6171/113%20STAMPEDE%20-%20Douglas%20Bullet%20-%20Medal%20_The%20Demon%20Heir_%20-%20Piece.png?updatedAt=1770076421223</v>
      </c>
      <c r="AF231" s="123" t="str">
        <f>IFERROR(__xludf.DUMMYFUNCTION("""COMPUTED_VALUE"""),"https://ik.imagekit.io/alaaalaa6171/113%20STAMPEDE%20-%20Douglas%20Bullet%20-%20Medal%20_The%20Demon%20Heir_%20-%20Piece%20_Colored_.png?updatedAt=1770076421696")</f>
        <v>https://ik.imagekit.io/alaaalaa6171/113%20STAMPEDE%20-%20Douglas%20Bullet%20-%20Medal%20_The%20Demon%20Heir_%20-%20Piece%20_Colored_.png?updatedAt=1770076421696</v>
      </c>
      <c r="AG231" s="114"/>
      <c r="AH231" s="114"/>
      <c r="AI231" s="121" t="s">
        <v>4871</v>
      </c>
      <c r="AJ231" s="121" t="str">
        <f>IFERROR(__xludf.DUMMYFUNCTION("regexreplace(regexreplace(AI231, ""  \["", "" ""), ""\]$"", """")"),"230 - Top Secret Special Force Captain of 'Sword' ~ X. Drake - Medal - Crafted [Colored] - X Calibur")</f>
        <v>230 - Top Secret Special Force Captain of 'Sword' ~ X. Drake - Medal - Crafted [Colored] - X Calibur</v>
      </c>
      <c r="AK231" s="114"/>
      <c r="AL231" s="117" t="s">
        <v>4872</v>
      </c>
      <c r="AM231" s="117" t="s">
        <v>4873</v>
      </c>
      <c r="AN231" s="114"/>
      <c r="AO231" s="122">
        <f>IFERROR(__xludf.DUMMYFUNCTION("""COMPUTED_VALUE"""),78.0)</f>
        <v>78</v>
      </c>
      <c r="AP231" s="114" t="str">
        <f>IFERROR(__xludf.DUMMYFUNCTION("""COMPUTED_VALUE"""),"Iron Mace")</f>
        <v>Iron Mace</v>
      </c>
      <c r="AQ231" s="114" t="str">
        <f>IFERROR(__xludf.DUMMYFUNCTION("""COMPUTED_VALUE"""),"Iron Mace")</f>
        <v>Iron Mace</v>
      </c>
      <c r="AR231" s="114"/>
      <c r="AS231" s="114"/>
      <c r="AT231" s="123" t="str">
        <f>IFERROR(__xludf.DUMMYFUNCTION("""COMPUTED_VALUE"""),"https://i.postimg.cc/5937QZ5g/078.png")</f>
        <v>https://i.postimg.cc/5937QZ5g/078.png</v>
      </c>
      <c r="AU231" s="114"/>
      <c r="AV231" s="114"/>
      <c r="AW231" s="114"/>
      <c r="AX231" s="114" t="str">
        <f t="shared" si="3"/>
        <v>78 - Medal [Event] - Crafted - Iron Mace</v>
      </c>
      <c r="AY231" s="114" t="s">
        <v>4874</v>
      </c>
      <c r="AZ231" s="114"/>
      <c r="BA231" s="114"/>
      <c r="BB231" s="114"/>
      <c r="BC231" s="114"/>
      <c r="BD231" s="114"/>
      <c r="BE231" s="114"/>
    </row>
    <row r="232" ht="37.5" customHeight="1">
      <c r="A232" s="118" t="s">
        <v>4875</v>
      </c>
      <c r="B232" s="117" t="s">
        <v>3430</v>
      </c>
      <c r="C232" s="119">
        <f>IFERROR(__xludf.DUMMYFUNCTION("""COMPUTED_VALUE"""),111.0)</f>
        <v>111</v>
      </c>
      <c r="D232" s="114" t="str">
        <f>IFERROR(__xludf.DUMMYFUNCTION("""COMPUTED_VALUE"""),"Kaku")</f>
        <v>Kaku</v>
      </c>
      <c r="E232" s="114" t="str">
        <f>IFERROR(__xludf.DUMMYFUNCTION("""COMPUTED_VALUE"""),"")</f>
        <v/>
      </c>
      <c r="F232" s="114"/>
      <c r="G232" s="114"/>
      <c r="H232" s="114"/>
      <c r="I232" s="114"/>
      <c r="J232" s="114"/>
      <c r="K232" s="114" t="s">
        <v>4876</v>
      </c>
      <c r="L232" s="114" t="s">
        <v>4877</v>
      </c>
      <c r="M232" s="114" t="s">
        <v>4878</v>
      </c>
      <c r="N232" s="114" t="s">
        <v>4879</v>
      </c>
      <c r="O232" s="114"/>
      <c r="P232" s="120">
        <v>111.0</v>
      </c>
      <c r="Q232" s="117" t="s">
        <v>4880</v>
      </c>
      <c r="R232" s="114"/>
      <c r="S232" s="117" t="s">
        <v>3411</v>
      </c>
      <c r="T232" s="114">
        <f t="shared" si="1"/>
        <v>232</v>
      </c>
      <c r="U232" s="114" t="s">
        <v>710</v>
      </c>
      <c r="V232" s="114" t="str">
        <f>IFERROR(__xludf.DUMMYFUNCTION("REGEXREPLACE(U232, ""\n"", "" "")"),"Adio")</f>
        <v>Adio</v>
      </c>
      <c r="W232" s="114"/>
      <c r="X232" s="115" t="str">
        <f t="shared" si="2"/>
        <v>232 ODYSSEY - Adio Suerte - Medal [Adio]</v>
      </c>
      <c r="Y232" s="119"/>
      <c r="Z232" s="117" t="s">
        <v>4881</v>
      </c>
      <c r="AA232" s="117" t="s">
        <v>2735</v>
      </c>
      <c r="AB232" s="114"/>
      <c r="AC232" s="123" t="str">
        <f>IFERROR(__xludf.DUMMYFUNCTION("""COMPUTED_VALUE"""),"https://ik.imagekit.io/alaaalaa6171/112%20The%20King%20of%20the%20Snipers%20-%20Sniper%20King%20-%20Medal%20_Fire%20Bird_.png?updatedAt=1770076421205")</f>
        <v>https://ik.imagekit.io/alaaalaa6171/112%20The%20King%20of%20the%20Snipers%20-%20Sniper%20King%20-%20Medal%20_Fire%20Bird_.png?updatedAt=1770076421205</v>
      </c>
      <c r="AD232" s="123" t="str">
        <f>IFERROR(__xludf.DUMMYFUNCTION("""COMPUTED_VALUE"""),"https://ik.imagekit.io/alaaalaa6171/112%20The%20King%20of%20the%20Snipers%20-%20Sniper%20King%20-%20Medal%20_Fire%20Bird_%20_Colored_.png?updatedAt=1770076421249")</f>
        <v>https://ik.imagekit.io/alaaalaa6171/112%20The%20King%20of%20the%20Snipers%20-%20Sniper%20King%20-%20Medal%20_Fire%20Bird_%20_Colored_.png?updatedAt=1770076421249</v>
      </c>
      <c r="AE232" s="123" t="str">
        <f>IFERROR(__xludf.DUMMYFUNCTION("""COMPUTED_VALUE"""),"https://ik.imagekit.io/alaaalaa6171/112%20The%20King%20of%20the%20Snipers%20-%20Sniper%20King%20-%20Medal%20_Fire%20Bird_%20-%20Piece.png?updatedAt=1770076421187")</f>
        <v>https://ik.imagekit.io/alaaalaa6171/112%20The%20King%20of%20the%20Snipers%20-%20Sniper%20King%20-%20Medal%20_Fire%20Bird_%20-%20Piece.png?updatedAt=1770076421187</v>
      </c>
      <c r="AF232" s="123" t="str">
        <f>IFERROR(__xludf.DUMMYFUNCTION("""COMPUTED_VALUE"""),"https://ik.imagekit.io/alaaalaa6171/112%20The%20King%20of%20the%20Snipers%20-%20Sniper%20King%20-%20Medal%20_Fire%20Bird_%20-%20Piece%20_Colored_.png?updatedAt=1770076421405")</f>
        <v>https://ik.imagekit.io/alaaalaa6171/112%20The%20King%20of%20the%20Snipers%20-%20Sniper%20King%20-%20Medal%20_Fire%20Bird_%20-%20Piece%20_Colored_.png?updatedAt=1770076421405</v>
      </c>
      <c r="AG232" s="114"/>
      <c r="AH232" s="114"/>
      <c r="AI232" s="121" t="s">
        <v>4882</v>
      </c>
      <c r="AJ232" s="121" t="str">
        <f>IFERROR(__xludf.DUMMYFUNCTION("regexreplace(regexreplace(AI232, ""  \["", "" ""), ""\]$"", """")"),"231 - Animal Kingdom Pirates_Lead Performer ~ King - Medal - Crafted [Colored] - King")</f>
        <v>231 - Animal Kingdom Pirates_Lead Performer ~ King - Medal - Crafted [Colored] - King</v>
      </c>
      <c r="AK232" s="114"/>
      <c r="AL232" s="117" t="s">
        <v>4883</v>
      </c>
      <c r="AM232" s="117" t="s">
        <v>4884</v>
      </c>
      <c r="AN232" s="114"/>
      <c r="AO232" s="122">
        <f>IFERROR(__xludf.DUMMYFUNCTION("""COMPUTED_VALUE"""),77.0)</f>
        <v>77</v>
      </c>
      <c r="AP232" s="114" t="str">
        <f>IFERROR(__xludf.DUMMYFUNCTION("""COMPUTED_VALUE"""),"Loan Shark")</f>
        <v>Loan Shark</v>
      </c>
      <c r="AQ232" s="114" t="str">
        <f>IFERROR(__xludf.DUMMYFUNCTION("""COMPUTED_VALUE"""),"Loan Shark")</f>
        <v>Loan Shark</v>
      </c>
      <c r="AR232" s="114"/>
      <c r="AS232" s="114"/>
      <c r="AT232" s="123" t="str">
        <f>IFERROR(__xludf.DUMMYFUNCTION("""COMPUTED_VALUE"""),"https://i.postimg.cc/pXL0fqqH/077.png")</f>
        <v>https://i.postimg.cc/pXL0fqqH/077.png</v>
      </c>
      <c r="AU232" s="114"/>
      <c r="AV232" s="114"/>
      <c r="AW232" s="114"/>
      <c r="AX232" s="114" t="str">
        <f t="shared" si="3"/>
        <v>77 - Medal [Event] - Crafted - Loan Shark</v>
      </c>
      <c r="AY232" s="114" t="s">
        <v>4885</v>
      </c>
      <c r="AZ232" s="114"/>
      <c r="BA232" s="114"/>
      <c r="BB232" s="114"/>
      <c r="BC232" s="114"/>
      <c r="BD232" s="114"/>
      <c r="BE232" s="114"/>
    </row>
    <row r="233" ht="37.5" customHeight="1">
      <c r="A233" s="118" t="s">
        <v>4886</v>
      </c>
      <c r="B233" s="117" t="s">
        <v>3417</v>
      </c>
      <c r="C233" s="119">
        <f>IFERROR(__xludf.DUMMYFUNCTION("""COMPUTED_VALUE"""),110.0)</f>
        <v>110</v>
      </c>
      <c r="D233" s="114" t="str">
        <f>IFERROR(__xludf.DUMMYFUNCTION("""COMPUTED_VALUE"""),"Lucci")</f>
        <v>Lucci</v>
      </c>
      <c r="E233" s="114" t="str">
        <f>IFERROR(__xludf.DUMMYFUNCTION("""COMPUTED_VALUE"""),"")</f>
        <v/>
      </c>
      <c r="F233" s="114"/>
      <c r="G233" s="114"/>
      <c r="H233" s="114"/>
      <c r="I233" s="114"/>
      <c r="J233" s="114"/>
      <c r="K233" s="114" t="s">
        <v>4887</v>
      </c>
      <c r="L233" s="114" t="s">
        <v>4888</v>
      </c>
      <c r="M233" s="114" t="s">
        <v>4889</v>
      </c>
      <c r="N233" s="114" t="s">
        <v>4890</v>
      </c>
      <c r="O233" s="114"/>
      <c r="P233" s="120">
        <v>110.0</v>
      </c>
      <c r="Q233" s="117" t="s">
        <v>4891</v>
      </c>
      <c r="R233" s="114"/>
      <c r="S233" s="117" t="s">
        <v>3424</v>
      </c>
      <c r="T233" s="114">
        <f t="shared" si="1"/>
        <v>231</v>
      </c>
      <c r="U233" s="114" t="s">
        <v>718</v>
      </c>
      <c r="V233" s="114" t="str">
        <f>IFERROR(__xludf.DUMMYFUNCTION("REGEXREPLACE(U233, ""\n"", "" "")"),"King")</f>
        <v>King</v>
      </c>
      <c r="W233" s="114"/>
      <c r="X233" s="115" t="str">
        <f t="shared" si="2"/>
        <v>231 Animal Kingdom Pirates / Lead Performer - King - Medal [King]</v>
      </c>
      <c r="Y233" s="119"/>
      <c r="Z233" s="117" t="s">
        <v>4892</v>
      </c>
      <c r="AA233" s="117" t="s">
        <v>2736</v>
      </c>
      <c r="AB233" s="114"/>
      <c r="AC233" s="123" t="str">
        <f>IFERROR(__xludf.DUMMYFUNCTION("""COMPUTED_VALUE"""),"https://ik.imagekit.io/alaaalaa6171/111%20CP9%20-%20Kaku%20-%20Medal%20_Kaku_.png?updatedAt=1770076421175")</f>
        <v>https://ik.imagekit.io/alaaalaa6171/111%20CP9%20-%20Kaku%20-%20Medal%20_Kaku_.png?updatedAt=1770076421175</v>
      </c>
      <c r="AD233" s="123" t="str">
        <f>IFERROR(__xludf.DUMMYFUNCTION("""COMPUTED_VALUE"""),"https://ik.imagekit.io/alaaalaa6171/111%20CP9%20-%20Kaku%20-%20Medal%20_Kaku_%20_Colored_.png?updatedAt=1770076421409")</f>
        <v>https://ik.imagekit.io/alaaalaa6171/111%20CP9%20-%20Kaku%20-%20Medal%20_Kaku_%20_Colored_.png?updatedAt=1770076421409</v>
      </c>
      <c r="AE233" s="123" t="str">
        <f>IFERROR(__xludf.DUMMYFUNCTION("""COMPUTED_VALUE"""),"https://ik.imagekit.io/alaaalaa6171/111%20CP9%20-%20Kaku%20-%20Medal%20_Kaku_%20-%20Piece.png?updatedAt=1770076421220")</f>
        <v>https://ik.imagekit.io/alaaalaa6171/111%20CP9%20-%20Kaku%20-%20Medal%20_Kaku_%20-%20Piece.png?updatedAt=1770076421220</v>
      </c>
      <c r="AF233" s="123" t="str">
        <f>IFERROR(__xludf.DUMMYFUNCTION("""COMPUTED_VALUE"""),"https://ik.imagekit.io/alaaalaa6171/111%20CP9%20-%20Kaku%20-%20Medal%20_Kaku_%20-%20Piece%20_Colored_.png?updatedAt=1770076421434")</f>
        <v>https://ik.imagekit.io/alaaalaa6171/111%20CP9%20-%20Kaku%20-%20Medal%20_Kaku_%20-%20Piece%20_Colored_.png?updatedAt=1770076421434</v>
      </c>
      <c r="AG233" s="114"/>
      <c r="AH233" s="114"/>
      <c r="AI233" s="121" t="s">
        <v>4893</v>
      </c>
      <c r="AJ233" s="121" t="str">
        <f>IFERROR(__xludf.DUMMYFUNCTION("regexreplace(regexreplace(AI233, ""  \["", "" ""), ""\]$"", """")"),"232 - ODYSSEY ~ Adio Suerte - Medal - Crafted [Colored] - Adio")</f>
        <v>232 - ODYSSEY ~ Adio Suerte - Medal - Crafted [Colored] - Adio</v>
      </c>
      <c r="AK233" s="114"/>
      <c r="AL233" s="117" t="s">
        <v>4894</v>
      </c>
      <c r="AM233" s="117" t="s">
        <v>4895</v>
      </c>
      <c r="AN233" s="114"/>
      <c r="AO233" s="122">
        <f>IFERROR(__xludf.DUMMYFUNCTION("""COMPUTED_VALUE"""),76.0)</f>
        <v>76</v>
      </c>
      <c r="AP233" s="114" t="str">
        <f>IFERROR(__xludf.DUMMYFUNCTION("""COMPUTED_VALUE"""),"Truly Favored Sister")</f>
        <v>Truly Favored Sister</v>
      </c>
      <c r="AQ233" s="114" t="str">
        <f>IFERROR(__xludf.DUMMYFUNCTION("""COMPUTED_VALUE"""),"Truly Favored Sister")</f>
        <v>Truly Favored Sister</v>
      </c>
      <c r="AR233" s="114"/>
      <c r="AS233" s="114"/>
      <c r="AT233" s="123" t="str">
        <f>IFERROR(__xludf.DUMMYFUNCTION("""COMPUTED_VALUE"""),"https://i.postimg.cc/02XVcDBJ/076.png")</f>
        <v>https://i.postimg.cc/02XVcDBJ/076.png</v>
      </c>
      <c r="AU233" s="114"/>
      <c r="AV233" s="114"/>
      <c r="AW233" s="114"/>
      <c r="AX233" s="114" t="str">
        <f t="shared" si="3"/>
        <v>76 - Medal [Event] - Crafted - Truly Favored Sister</v>
      </c>
      <c r="AY233" s="114" t="s">
        <v>4896</v>
      </c>
      <c r="AZ233" s="114"/>
      <c r="BA233" s="114"/>
      <c r="BB233" s="114"/>
      <c r="BC233" s="114"/>
      <c r="BD233" s="114"/>
      <c r="BE233" s="114"/>
    </row>
    <row r="234" ht="37.5" customHeight="1">
      <c r="A234" s="118" t="s">
        <v>4897</v>
      </c>
      <c r="B234" s="117" t="s">
        <v>3404</v>
      </c>
      <c r="C234" s="119">
        <f>IFERROR(__xludf.DUMMYFUNCTION("""COMPUTED_VALUE"""),109.0)</f>
        <v>109</v>
      </c>
      <c r="D234" s="114" t="str">
        <f>IFERROR(__xludf.DUMMYFUNCTION("""COMPUTED_VALUE"""),"Flame Dragon King")</f>
        <v>Flame Dragon King</v>
      </c>
      <c r="E234" s="114" t="str">
        <f>IFERROR(__xludf.DUMMYFUNCTION("""COMPUTED_VALUE"""),"")</f>
        <v/>
      </c>
      <c r="F234" s="114"/>
      <c r="G234" s="114"/>
      <c r="H234" s="114"/>
      <c r="I234" s="114"/>
      <c r="J234" s="114"/>
      <c r="K234" s="114" t="s">
        <v>4898</v>
      </c>
      <c r="L234" s="114" t="s">
        <v>4899</v>
      </c>
      <c r="M234" s="114" t="s">
        <v>4900</v>
      </c>
      <c r="N234" s="114" t="s">
        <v>4901</v>
      </c>
      <c r="O234" s="114"/>
      <c r="P234" s="120">
        <v>109.0</v>
      </c>
      <c r="Q234" s="117" t="s">
        <v>4902</v>
      </c>
      <c r="R234" s="114"/>
      <c r="S234" s="117" t="s">
        <v>3398</v>
      </c>
      <c r="T234" s="114">
        <f t="shared" si="1"/>
        <v>233</v>
      </c>
      <c r="U234" s="114" t="s">
        <v>705</v>
      </c>
      <c r="V234" s="114" t="str">
        <f>IFERROR(__xludf.DUMMYFUNCTION("REGEXREPLACE(U234, ""\n"", "" "")"),"Olin")</f>
        <v>Olin</v>
      </c>
      <c r="W234" s="114"/>
      <c r="X234" s="115" t="str">
        <f t="shared" si="2"/>
        <v>233 Battle of Monsters on Onigashima - Olin the Oiran - Medal [Olin]</v>
      </c>
      <c r="Y234" s="119"/>
      <c r="Z234" s="117" t="s">
        <v>4903</v>
      </c>
      <c r="AA234" s="117" t="s">
        <v>2734</v>
      </c>
      <c r="AB234" s="114"/>
      <c r="AC234" s="123" t="str">
        <f>IFERROR(__xludf.DUMMYFUNCTION("""COMPUTED_VALUE"""),"https://ik.imagekit.io/alaaalaa6171/110%20CP9%20-%20Rob%20Lucci%20-%20Medal%20_Lucci_.png?updatedAt=1770076421191")</f>
        <v>https://ik.imagekit.io/alaaalaa6171/110%20CP9%20-%20Rob%20Lucci%20-%20Medal%20_Lucci_.png?updatedAt=1770076421191</v>
      </c>
      <c r="AD234" s="123" t="str">
        <f>IFERROR(__xludf.DUMMYFUNCTION("""COMPUTED_VALUE"""),"https://ik.imagekit.io/alaaalaa6171/110%20CP9%20-%20Rob%20Lucci%20-%20Medal%20_Lucci_%20_Colored_.png?updatedAt=1770076421184")</f>
        <v>https://ik.imagekit.io/alaaalaa6171/110%20CP9%20-%20Rob%20Lucci%20-%20Medal%20_Lucci_%20_Colored_.png?updatedAt=1770076421184</v>
      </c>
      <c r="AE234" s="123" t="str">
        <f>IFERROR(__xludf.DUMMYFUNCTION("""COMPUTED_VALUE"""),"https://ik.imagekit.io/alaaalaa6171/110%20CP9%20-%20Rob%20Lucci%20-%20Medal%20_Lucci_%20-%20Piece.png?updatedAt=1770076421431")</f>
        <v>https://ik.imagekit.io/alaaalaa6171/110%20CP9%20-%20Rob%20Lucci%20-%20Medal%20_Lucci_%20-%20Piece.png?updatedAt=1770076421431</v>
      </c>
      <c r="AF234" s="123" t="str">
        <f>IFERROR(__xludf.DUMMYFUNCTION("""COMPUTED_VALUE"""),"https://ik.imagekit.io/alaaalaa6171/110%20CP9%20-%20Rob%20Lucci%20-%20Medal%20_Lucci_%20-%20Piece%20_Colored_.png?updatedAt=1770076421166")</f>
        <v>https://ik.imagekit.io/alaaalaa6171/110%20CP9%20-%20Rob%20Lucci%20-%20Medal%20_Lucci_%20-%20Piece%20_Colored_.png?updatedAt=1770076421166</v>
      </c>
      <c r="AG234" s="114"/>
      <c r="AH234" s="114"/>
      <c r="AI234" s="121" t="s">
        <v>4904</v>
      </c>
      <c r="AJ234" s="121" t="str">
        <f>IFERROR(__xludf.DUMMYFUNCTION("regexreplace(regexreplace(AI234, ""  \["", "" ""), ""\]$"", """")"),"233 - Battle of Monsters on Onigashima ~ Olin the Oiran - Medal - Crafted [Colored] - Olin")</f>
        <v>233 - Battle of Monsters on Onigashima ~ Olin the Oiran - Medal - Crafted [Colored] - Olin</v>
      </c>
      <c r="AK234" s="114"/>
      <c r="AL234" s="117" t="s">
        <v>4905</v>
      </c>
      <c r="AM234" s="117" t="s">
        <v>4906</v>
      </c>
      <c r="AN234" s="114"/>
      <c r="AO234" s="122">
        <f>IFERROR(__xludf.DUMMYFUNCTION("""COMPUTED_VALUE"""),75.0)</f>
        <v>75</v>
      </c>
      <c r="AP234" s="114" t="str">
        <f>IFERROR(__xludf.DUMMYFUNCTION("""COMPUTED_VALUE"""),"Mirror_Mirror")</f>
        <v>Mirror_Mirror</v>
      </c>
      <c r="AQ234" s="114" t="str">
        <f>IFERROR(__xludf.DUMMYFUNCTION("""COMPUTED_VALUE"""),"Mirror_Mirror")</f>
        <v>Mirror_Mirror</v>
      </c>
      <c r="AR234" s="114"/>
      <c r="AS234" s="114"/>
      <c r="AT234" s="123" t="str">
        <f>IFERROR(__xludf.DUMMYFUNCTION("""COMPUTED_VALUE"""),"https://i.postimg.cc/zGL0Mvs2/075.png")</f>
        <v>https://i.postimg.cc/zGL0Mvs2/075.png</v>
      </c>
      <c r="AU234" s="114"/>
      <c r="AV234" s="114"/>
      <c r="AW234" s="114"/>
      <c r="AX234" s="114" t="str">
        <f t="shared" si="3"/>
        <v>75 - Medal [Event] - Crafted - Mirror_Mirror</v>
      </c>
      <c r="AY234" s="114" t="s">
        <v>4907</v>
      </c>
      <c r="AZ234" s="114"/>
      <c r="BA234" s="114"/>
      <c r="BB234" s="114"/>
      <c r="BC234" s="114"/>
      <c r="BD234" s="114"/>
      <c r="BE234" s="114"/>
    </row>
    <row r="235" ht="37.5" customHeight="1">
      <c r="A235" s="118" t="s">
        <v>4908</v>
      </c>
      <c r="B235" s="117" t="s">
        <v>3391</v>
      </c>
      <c r="C235" s="119">
        <f>IFERROR(__xludf.DUMMYFUNCTION("""COMPUTED_VALUE"""),108.0)</f>
        <v>108</v>
      </c>
      <c r="D235" s="114" t="str">
        <f>IFERROR(__xludf.DUMMYFUNCTION("""COMPUTED_VALUE"""),"Fujitora")</f>
        <v>Fujitora</v>
      </c>
      <c r="E235" s="114" t="str">
        <f>IFERROR(__xludf.DUMMYFUNCTION("""COMPUTED_VALUE"""),"")</f>
        <v/>
      </c>
      <c r="F235" s="114"/>
      <c r="G235" s="114"/>
      <c r="H235" s="114"/>
      <c r="I235" s="114"/>
      <c r="J235" s="114"/>
      <c r="K235" s="114" t="s">
        <v>4909</v>
      </c>
      <c r="L235" s="114" t="s">
        <v>4910</v>
      </c>
      <c r="M235" s="114" t="s">
        <v>4911</v>
      </c>
      <c r="N235" s="114" t="s">
        <v>4912</v>
      </c>
      <c r="O235" s="114"/>
      <c r="P235" s="120">
        <v>108.0</v>
      </c>
      <c r="Q235" s="117" t="s">
        <v>4913</v>
      </c>
      <c r="R235" s="114"/>
      <c r="S235" s="117" t="s">
        <v>3385</v>
      </c>
      <c r="T235" s="114">
        <f t="shared" si="1"/>
        <v>234</v>
      </c>
      <c r="U235" s="114" t="s">
        <v>4914</v>
      </c>
      <c r="V235" s="114" t="str">
        <f>IFERROR(__xludf.DUMMYFUNCTION("REGEXREPLACE(U235, ""\n"", "" "")"),"Conqueror of Three Worlds Raganaraku")</f>
        <v>Conqueror of Three Worlds Raganaraku</v>
      </c>
      <c r="W235" s="114"/>
      <c r="X235" s="115" t="str">
        <f t="shared" si="2"/>
        <v>234 Battle of Monsters on Onigashima - Kaido - Medal [Conqueror of Three Worlds Raganaraku]</v>
      </c>
      <c r="Y235" s="119"/>
      <c r="Z235" s="117" t="s">
        <v>4915</v>
      </c>
      <c r="AA235" s="117" t="s">
        <v>2746</v>
      </c>
      <c r="AB235" s="114"/>
      <c r="AC235" s="123" t="str">
        <f>IFERROR(__xludf.DUMMYFUNCTION("""COMPUTED_VALUE"""),"https://ik.imagekit.io/alaaalaa6171/109%20Luffy%60s%20Brother%20-%20Sabo%20-%20Medal%20_Flame%20Dragon%20King_.png?updatedAt=1770076421230")</f>
        <v>https://ik.imagekit.io/alaaalaa6171/109%20Luffy%60s%20Brother%20-%20Sabo%20-%20Medal%20_Flame%20Dragon%20King_.png?updatedAt=1770076421230</v>
      </c>
      <c r="AD235" s="123" t="str">
        <f>IFERROR(__xludf.DUMMYFUNCTION("""COMPUTED_VALUE"""),"https://ik.imagekit.io/alaaalaa6171/109%20Luffy%60s%20Brother%20-%20Sabo%20-%20Medal%20_Flame%20Dragon%20King_%20_Colored_.png?updatedAt=1770076421607")</f>
        <v>https://ik.imagekit.io/alaaalaa6171/109%20Luffy%60s%20Brother%20-%20Sabo%20-%20Medal%20_Flame%20Dragon%20King_%20_Colored_.png?updatedAt=1770076421607</v>
      </c>
      <c r="AE235" s="123" t="str">
        <f>IFERROR(__xludf.DUMMYFUNCTION("""COMPUTED_VALUE"""),"https://ik.imagekit.io/alaaalaa6171/109%20Luffy%60s%20Brother%20-%20Sabo%20-%20Medal%20_Flame%20Dragon%20King_%20-%20Piece.png?updatedAt=1770076421184")</f>
        <v>https://ik.imagekit.io/alaaalaa6171/109%20Luffy%60s%20Brother%20-%20Sabo%20-%20Medal%20_Flame%20Dragon%20King_%20-%20Piece.png?updatedAt=1770076421184</v>
      </c>
      <c r="AF235" s="123" t="str">
        <f>IFERROR(__xludf.DUMMYFUNCTION("""COMPUTED_VALUE"""),"https://ik.imagekit.io/alaaalaa6171/109%20Luffy%60s%20Brother%20-%20Sabo%20-%20Medal%20_Flame%20Dragon%20King_%20-%20Piece%20_Colored_.png?updatedAt=1770076421135")</f>
        <v>https://ik.imagekit.io/alaaalaa6171/109%20Luffy%60s%20Brother%20-%20Sabo%20-%20Medal%20_Flame%20Dragon%20King_%20-%20Piece%20_Colored_.png?updatedAt=1770076421135</v>
      </c>
      <c r="AG235" s="114"/>
      <c r="AH235" s="114"/>
      <c r="AI235" s="121" t="s">
        <v>4916</v>
      </c>
      <c r="AJ235" s="121" t="str">
        <f>IFERROR(__xludf.DUMMYFUNCTION("regexreplace(regexreplace(AI235, ""  \["", "" ""), ""\]$"", """")"),"234 - Battle of Monsters on Onigashima ~ Kaido - Medal - Crafted [Colored] - Conqueror of Three Worlds Raganaraku")</f>
        <v>234 - Battle of Monsters on Onigashima ~ Kaido - Medal - Crafted [Colored] - Conqueror of Three Worlds Raganaraku</v>
      </c>
      <c r="AK235" s="114"/>
      <c r="AL235" s="117" t="s">
        <v>4917</v>
      </c>
      <c r="AM235" s="117" t="s">
        <v>4918</v>
      </c>
      <c r="AN235" s="114"/>
      <c r="AO235" s="122">
        <f>IFERROR(__xludf.DUMMYFUNCTION("""COMPUTED_VALUE"""),74.0)</f>
        <v>74</v>
      </c>
      <c r="AP235" s="114" t="str">
        <f>IFERROR(__xludf.DUMMYFUNCTION("""COMPUTED_VALUE"""),"Hobby_Hobby")</f>
        <v>Hobby_Hobby</v>
      </c>
      <c r="AQ235" s="114" t="str">
        <f>IFERROR(__xludf.DUMMYFUNCTION("""COMPUTED_VALUE"""),"Hobby_Hobby")</f>
        <v>Hobby_Hobby</v>
      </c>
      <c r="AR235" s="114"/>
      <c r="AS235" s="114"/>
      <c r="AT235" s="123" t="str">
        <f>IFERROR(__xludf.DUMMYFUNCTION("""COMPUTED_VALUE"""),"https://i.postimg.cc/DwtBKFFv/074.png")</f>
        <v>https://i.postimg.cc/DwtBKFFv/074.png</v>
      </c>
      <c r="AU235" s="114"/>
      <c r="AV235" s="114"/>
      <c r="AW235" s="114"/>
      <c r="AX235" s="114" t="str">
        <f t="shared" si="3"/>
        <v>74 - Medal [Event] - Crafted - Hobby_Hobby</v>
      </c>
      <c r="AY235" s="114" t="s">
        <v>4919</v>
      </c>
      <c r="AZ235" s="114"/>
      <c r="BA235" s="114"/>
      <c r="BB235" s="114"/>
      <c r="BC235" s="114"/>
      <c r="BD235" s="114"/>
      <c r="BE235" s="114"/>
    </row>
    <row r="236" ht="37.5" customHeight="1">
      <c r="A236" s="118" t="s">
        <v>4920</v>
      </c>
      <c r="B236" s="117" t="s">
        <v>3378</v>
      </c>
      <c r="C236" s="119">
        <f>IFERROR(__xludf.DUMMYFUNCTION("""COMPUTED_VALUE"""),107.0)</f>
        <v>107</v>
      </c>
      <c r="D236" s="114" t="str">
        <f>IFERROR(__xludf.DUMMYFUNCTION("""COMPUTED_VALUE"""),"Cavendish")</f>
        <v>Cavendish</v>
      </c>
      <c r="E236" s="114" t="str">
        <f>IFERROR(__xludf.DUMMYFUNCTION("""COMPUTED_VALUE"""),"")</f>
        <v/>
      </c>
      <c r="F236" s="114"/>
      <c r="G236" s="114"/>
      <c r="H236" s="114"/>
      <c r="I236" s="114"/>
      <c r="J236" s="114"/>
      <c r="K236" s="114" t="s">
        <v>4921</v>
      </c>
      <c r="L236" s="114" t="s">
        <v>4922</v>
      </c>
      <c r="M236" s="114" t="s">
        <v>4923</v>
      </c>
      <c r="N236" s="114" t="s">
        <v>4924</v>
      </c>
      <c r="O236" s="114"/>
      <c r="P236" s="120">
        <v>107.0</v>
      </c>
      <c r="Q236" s="117" t="s">
        <v>4925</v>
      </c>
      <c r="R236" s="114"/>
      <c r="S236" s="117" t="s">
        <v>3372</v>
      </c>
      <c r="T236" s="114">
        <f t="shared" si="1"/>
        <v>235</v>
      </c>
      <c r="U236" s="114" t="s">
        <v>696</v>
      </c>
      <c r="V236" s="114" t="str">
        <f>IFERROR(__xludf.DUMMYFUNCTION("REGEXREPLACE(U236, ""\n"", "" "")"),"Enma")</f>
        <v>Enma</v>
      </c>
      <c r="W236" s="114"/>
      <c r="X236" s="115" t="str">
        <f t="shared" si="2"/>
        <v>235 Raid on Onigashima - Roronoa Zoro - Medal [Enma]</v>
      </c>
      <c r="Y236" s="119"/>
      <c r="Z236" s="117" t="s">
        <v>4926</v>
      </c>
      <c r="AA236" s="117" t="s">
        <v>2748</v>
      </c>
      <c r="AB236" s="114"/>
      <c r="AC236" s="123" t="str">
        <f>IFERROR(__xludf.DUMMYFUNCTION("""COMPUTED_VALUE"""),"https://ik.imagekit.io/alaaalaa6171/108%20Navy%20HQ_Admiral%20Fujitora%20-%20_Issho_%20-%20Medal%20_Fujitora_.png?updatedAt=1770076421203")</f>
        <v>https://ik.imagekit.io/alaaalaa6171/108%20Navy%20HQ_Admiral%20Fujitora%20-%20_Issho_%20-%20Medal%20_Fujitora_.png?updatedAt=1770076421203</v>
      </c>
      <c r="AD236" s="123" t="str">
        <f>IFERROR(__xludf.DUMMYFUNCTION("""COMPUTED_VALUE"""),"https://ik.imagekit.io/alaaalaa6171/108%20Navy%20HQ_Admiral%20Fujitora%20-%20_Issho_%20-%20Medal%20_Fujitora_%20_Colored_.png?updatedAt=1770076421166")</f>
        <v>https://ik.imagekit.io/alaaalaa6171/108%20Navy%20HQ_Admiral%20Fujitora%20-%20_Issho_%20-%20Medal%20_Fujitora_%20_Colored_.png?updatedAt=1770076421166</v>
      </c>
      <c r="AE236" s="123" t="str">
        <f>IFERROR(__xludf.DUMMYFUNCTION("""COMPUTED_VALUE"""),"https://ik.imagekit.io/alaaalaa6171/108%20Navy%20HQ_Admiral%20Fujitora%20-%20_Issho_%20-%20Medal%20_Fujitora_%20-%20Piece.png?updatedAt=1770076421156")</f>
        <v>https://ik.imagekit.io/alaaalaa6171/108%20Navy%20HQ_Admiral%20Fujitora%20-%20_Issho_%20-%20Medal%20_Fujitora_%20-%20Piece.png?updatedAt=1770076421156</v>
      </c>
      <c r="AF236" s="123" t="str">
        <f>IFERROR(__xludf.DUMMYFUNCTION("""COMPUTED_VALUE"""),"https://ik.imagekit.io/alaaalaa6171/108%20Navy%20HQ_Admiral%20Fujitora%20-%20_Issho_%20-%20Medal%20_Fujitora_%20-%20Piece%20_Colored_.png?updatedAt=1770076421149")</f>
        <v>https://ik.imagekit.io/alaaalaa6171/108%20Navy%20HQ_Admiral%20Fujitora%20-%20_Issho_%20-%20Medal%20_Fujitora_%20-%20Piece%20_Colored_.png?updatedAt=1770076421149</v>
      </c>
      <c r="AG236" s="114"/>
      <c r="AH236" s="114"/>
      <c r="AI236" s="121" t="s">
        <v>4927</v>
      </c>
      <c r="AJ236" s="121" t="str">
        <f>IFERROR(__xludf.DUMMYFUNCTION("regexreplace(regexreplace(AI236, ""  \["", "" ""), ""\]$"", """")"),"235 - Raid on Onigashima ~ Roronoa Zoro - Medal - Crafted [Colored] - Enma")</f>
        <v>235 - Raid on Onigashima ~ Roronoa Zoro - Medal - Crafted [Colored] - Enma</v>
      </c>
      <c r="AK236" s="114"/>
      <c r="AL236" s="117" t="s">
        <v>4928</v>
      </c>
      <c r="AM236" s="117" t="s">
        <v>4929</v>
      </c>
      <c r="AN236" s="114"/>
      <c r="AO236" s="122">
        <f>IFERROR(__xludf.DUMMYFUNCTION("""COMPUTED_VALUE"""),73.0)</f>
        <v>73</v>
      </c>
      <c r="AP236" s="114" t="str">
        <f>IFERROR(__xludf.DUMMYFUNCTION("""COMPUTED_VALUE"""),"Stick_Stick")</f>
        <v>Stick_Stick</v>
      </c>
      <c r="AQ236" s="114" t="str">
        <f>IFERROR(__xludf.DUMMYFUNCTION("""COMPUTED_VALUE"""),"Stick_Stick")</f>
        <v>Stick_Stick</v>
      </c>
      <c r="AR236" s="114"/>
      <c r="AS236" s="114"/>
      <c r="AT236" s="123" t="str">
        <f>IFERROR(__xludf.DUMMYFUNCTION("""COMPUTED_VALUE"""),"https://i.postimg.cc/9fZ1mSFG/073.png")</f>
        <v>https://i.postimg.cc/9fZ1mSFG/073.png</v>
      </c>
      <c r="AU236" s="114"/>
      <c r="AV236" s="114"/>
      <c r="AW236" s="114"/>
      <c r="AX236" s="114" t="str">
        <f t="shared" si="3"/>
        <v>73 - Medal [Event] - Crafted - Stick_Stick</v>
      </c>
      <c r="AY236" s="114" t="s">
        <v>4930</v>
      </c>
      <c r="AZ236" s="114"/>
      <c r="BA236" s="114"/>
      <c r="BB236" s="114"/>
      <c r="BC236" s="114"/>
      <c r="BD236" s="114"/>
      <c r="BE236" s="114"/>
    </row>
    <row r="237" ht="37.5" customHeight="1">
      <c r="A237" s="118" t="s">
        <v>4931</v>
      </c>
      <c r="B237" s="117" t="s">
        <v>3365</v>
      </c>
      <c r="C237" s="119">
        <f>IFERROR(__xludf.DUMMYFUNCTION("""COMPUTED_VALUE"""),106.0)</f>
        <v>106</v>
      </c>
      <c r="D237" s="114" t="str">
        <f>IFERROR(__xludf.DUMMYFUNCTION("""COMPUTED_VALUE"""),"Bartolomeo")</f>
        <v>Bartolomeo</v>
      </c>
      <c r="E237" s="114" t="str">
        <f>IFERROR(__xludf.DUMMYFUNCTION("""COMPUTED_VALUE"""),"")</f>
        <v/>
      </c>
      <c r="F237" s="114"/>
      <c r="G237" s="114"/>
      <c r="H237" s="114"/>
      <c r="I237" s="114"/>
      <c r="J237" s="114"/>
      <c r="K237" s="114" t="s">
        <v>4932</v>
      </c>
      <c r="L237" s="114" t="s">
        <v>4933</v>
      </c>
      <c r="M237" s="114" t="s">
        <v>4934</v>
      </c>
      <c r="N237" s="114" t="s">
        <v>4935</v>
      </c>
      <c r="O237" s="114"/>
      <c r="P237" s="120">
        <v>106.0</v>
      </c>
      <c r="Q237" s="117" t="s">
        <v>4936</v>
      </c>
      <c r="R237" s="114"/>
      <c r="S237" s="117" t="s">
        <v>3346</v>
      </c>
      <c r="T237" s="114">
        <f t="shared" si="1"/>
        <v>237</v>
      </c>
      <c r="U237" s="114" t="s">
        <v>684</v>
      </c>
      <c r="V237" s="114" t="str">
        <f>IFERROR(__xludf.DUMMYFUNCTION("REGEXREPLACE(U237, ""\n"", "" "")"),"Who`s_Who")</f>
        <v>Who`s_Who</v>
      </c>
      <c r="W237" s="114"/>
      <c r="X237" s="115" t="str">
        <f t="shared" si="2"/>
        <v>237 Animal Kingdom Pirates / Tobi Roppo - Who`s-Who - Medal [Who`s_Who]</v>
      </c>
      <c r="Y237" s="119"/>
      <c r="Z237" s="117" t="s">
        <v>4937</v>
      </c>
      <c r="AA237" s="117" t="s">
        <v>2749</v>
      </c>
      <c r="AB237" s="114"/>
      <c r="AC237" s="123" t="str">
        <f>IFERROR(__xludf.DUMMYFUNCTION("""COMPUTED_VALUE"""),"https://ik.imagekit.io/alaaalaa6171/107%20Beautiful%20Pirates_Captain%20-%20Cavendish%20-%20Medal%20_Cavendish_.png?updatedAt=1770076421159")</f>
        <v>https://ik.imagekit.io/alaaalaa6171/107%20Beautiful%20Pirates_Captain%20-%20Cavendish%20-%20Medal%20_Cavendish_.png?updatedAt=1770076421159</v>
      </c>
      <c r="AD237" s="123" t="str">
        <f>IFERROR(__xludf.DUMMYFUNCTION("""COMPUTED_VALUE"""),"https://ik.imagekit.io/alaaalaa6171/107%20Beautiful%20Pirates_Captain%20-%20Cavendish%20-%20Medal%20_Cavendish_%20_Colored_.png?updatedAt=1770076421134")</f>
        <v>https://ik.imagekit.io/alaaalaa6171/107%20Beautiful%20Pirates_Captain%20-%20Cavendish%20-%20Medal%20_Cavendish_%20_Colored_.png?updatedAt=1770076421134</v>
      </c>
      <c r="AE237" s="123" t="str">
        <f>IFERROR(__xludf.DUMMYFUNCTION("""COMPUTED_VALUE"""),"https://ik.imagekit.io/alaaalaa6171/107%20Beautiful%20Pirates_Captain%20-%20Cavendish%20-%20Medal%20_Cavendish_%20-%20Piece.png?updatedAt=1770076421129")</f>
        <v>https://ik.imagekit.io/alaaalaa6171/107%20Beautiful%20Pirates_Captain%20-%20Cavendish%20-%20Medal%20_Cavendish_%20-%20Piece.png?updatedAt=1770076421129</v>
      </c>
      <c r="AF237" s="123" t="str">
        <f>IFERROR(__xludf.DUMMYFUNCTION("""COMPUTED_VALUE"""),"https://ik.imagekit.io/alaaalaa6171/107%20Beautiful%20Pirates_Captain%20-%20Cavendish%20-%20Medal%20_Cavendish_%20-%20Piece%20_Colored_.png?updatedAt=1770076421164")</f>
        <v>https://ik.imagekit.io/alaaalaa6171/107%20Beautiful%20Pirates_Captain%20-%20Cavendish%20-%20Medal%20_Cavendish_%20-%20Piece%20_Colored_.png?updatedAt=1770076421164</v>
      </c>
      <c r="AG237" s="114"/>
      <c r="AH237" s="114"/>
      <c r="AI237" s="121" t="s">
        <v>4938</v>
      </c>
      <c r="AJ237" s="121" t="str">
        <f>IFERROR(__xludf.DUMMYFUNCTION("regexreplace(regexreplace(AI237, ""  \["", "" ""), ""\]$"", """")"),"236 - Raid on Onigashima ~ Jinbe - Medal - Crafted [Colored] - Raid Jinbe")</f>
        <v>236 - Raid on Onigashima ~ Jinbe - Medal - Crafted [Colored] - Raid Jinbe</v>
      </c>
      <c r="AK237" s="114"/>
      <c r="AL237" s="117" t="s">
        <v>4939</v>
      </c>
      <c r="AM237" s="117" t="s">
        <v>4940</v>
      </c>
      <c r="AN237" s="114"/>
      <c r="AO237" s="122">
        <f>IFERROR(__xludf.DUMMYFUNCTION("""COMPUTED_VALUE"""),72.0)</f>
        <v>72</v>
      </c>
      <c r="AP237" s="114" t="str">
        <f>IFERROR(__xludf.DUMMYFUNCTION("""COMPUTED_VALUE"""),"Former CP9 Director")</f>
        <v>Former CP9 Director</v>
      </c>
      <c r="AQ237" s="114" t="str">
        <f>IFERROR(__xludf.DUMMYFUNCTION("""COMPUTED_VALUE"""),"Former CP9 Director")</f>
        <v>Former CP9 Director</v>
      </c>
      <c r="AR237" s="114"/>
      <c r="AS237" s="114"/>
      <c r="AT237" s="123" t="str">
        <f>IFERROR(__xludf.DUMMYFUNCTION("""COMPUTED_VALUE"""),"https://i.postimg.cc/63Kcy0yF/072.png")</f>
        <v>https://i.postimg.cc/63Kcy0yF/072.png</v>
      </c>
      <c r="AU237" s="114"/>
      <c r="AV237" s="114"/>
      <c r="AW237" s="114"/>
      <c r="AX237" s="114" t="str">
        <f t="shared" si="3"/>
        <v>72 - Medal [Event] - Crafted - Former CP9 Director</v>
      </c>
      <c r="AY237" s="114" t="s">
        <v>4941</v>
      </c>
      <c r="AZ237" s="114"/>
      <c r="BA237" s="114"/>
      <c r="BB237" s="114"/>
      <c r="BC237" s="114"/>
      <c r="BD237" s="114"/>
      <c r="BE237" s="114"/>
    </row>
    <row r="238" ht="37.5" customHeight="1">
      <c r="A238" s="118" t="s">
        <v>4942</v>
      </c>
      <c r="B238" s="117" t="s">
        <v>3352</v>
      </c>
      <c r="C238" s="119">
        <f>IFERROR(__xludf.DUMMYFUNCTION("""COMPUTED_VALUE"""),105.0)</f>
        <v>105</v>
      </c>
      <c r="D238" s="114" t="str">
        <f>IFERROR(__xludf.DUMMYFUNCTION("""COMPUTED_VALUE"""),"Jet Rocket")</f>
        <v>Jet Rocket</v>
      </c>
      <c r="E238" s="114" t="str">
        <f>IFERROR(__xludf.DUMMYFUNCTION("""COMPUTED_VALUE"""),"")</f>
        <v/>
      </c>
      <c r="F238" s="114"/>
      <c r="G238" s="114"/>
      <c r="H238" s="114"/>
      <c r="I238" s="114"/>
      <c r="J238" s="114"/>
      <c r="K238" s="114" t="s">
        <v>4943</v>
      </c>
      <c r="L238" s="114" t="s">
        <v>4944</v>
      </c>
      <c r="M238" s="114" t="s">
        <v>4945</v>
      </c>
      <c r="N238" s="114" t="s">
        <v>4946</v>
      </c>
      <c r="O238" s="114"/>
      <c r="P238" s="120">
        <v>105.0</v>
      </c>
      <c r="Q238" s="117" t="s">
        <v>4947</v>
      </c>
      <c r="R238" s="114"/>
      <c r="S238" s="117" t="s">
        <v>3359</v>
      </c>
      <c r="T238" s="114">
        <f t="shared" si="1"/>
        <v>236</v>
      </c>
      <c r="U238" s="114" t="s">
        <v>690</v>
      </c>
      <c r="V238" s="114" t="str">
        <f>IFERROR(__xludf.DUMMYFUNCTION("REGEXREPLACE(U238, ""\n"", "" "")"),"Raid Jinbe")</f>
        <v>Raid Jinbe</v>
      </c>
      <c r="W238" s="114"/>
      <c r="X238" s="115" t="str">
        <f t="shared" si="2"/>
        <v>236 Raid on Onigashima - Jinbe - Medal [Raid Jinbe]</v>
      </c>
      <c r="Y238" s="119"/>
      <c r="Z238" s="117" t="s">
        <v>4948</v>
      </c>
      <c r="AA238" s="117" t="s">
        <v>2747</v>
      </c>
      <c r="AB238" s="114"/>
      <c r="AC238" s="123" t="str">
        <f>IFERROR(__xludf.DUMMYFUNCTION("""COMPUTED_VALUE"""),"https://ik.imagekit.io/alaaalaa6171/106%20Barto%20Club_Captain%20-%20Bartolomeo%20-%20Medal%20_Bartolomeo_.png?updatedAt=1770076421160")</f>
        <v>https://ik.imagekit.io/alaaalaa6171/106%20Barto%20Club_Captain%20-%20Bartolomeo%20-%20Medal%20_Bartolomeo_.png?updatedAt=1770076421160</v>
      </c>
      <c r="AD238" s="123" t="str">
        <f>IFERROR(__xludf.DUMMYFUNCTION("""COMPUTED_VALUE"""),"https://ik.imagekit.io/alaaalaa6171/106%20Barto%20Club_Captain%20-%20Bartolomeo%20-%20Medal%20_Bartolomeo_%20_Colored_.png?updatedAt=1770076421162")</f>
        <v>https://ik.imagekit.io/alaaalaa6171/106%20Barto%20Club_Captain%20-%20Bartolomeo%20-%20Medal%20_Bartolomeo_%20_Colored_.png?updatedAt=1770076421162</v>
      </c>
      <c r="AE238" s="123" t="str">
        <f>IFERROR(__xludf.DUMMYFUNCTION("""COMPUTED_VALUE"""),"https://ik.imagekit.io/alaaalaa6171/106%20Barto%20Club_Captain%20-%20Bartolomeo%20-%20Medal%20_Bartolomeo_%20-%20Piece.png?updatedAt=1770076421123")</f>
        <v>https://ik.imagekit.io/alaaalaa6171/106%20Barto%20Club_Captain%20-%20Bartolomeo%20-%20Medal%20_Bartolomeo_%20-%20Piece.png?updatedAt=1770076421123</v>
      </c>
      <c r="AF238" s="123" t="str">
        <f>IFERROR(__xludf.DUMMYFUNCTION("""COMPUTED_VALUE"""),"https://ik.imagekit.io/alaaalaa6171/106%20Barto%20Club_Captain%20-%20Bartolomeo%20-%20Medal%20_Bartolomeo_%20-%20Piece%20_Colored_.png?updatedAt=1770076421115")</f>
        <v>https://ik.imagekit.io/alaaalaa6171/106%20Barto%20Club_Captain%20-%20Bartolomeo%20-%20Medal%20_Bartolomeo_%20-%20Piece%20_Colored_.png?updatedAt=1770076421115</v>
      </c>
      <c r="AG238" s="114"/>
      <c r="AH238" s="114"/>
      <c r="AI238" s="121" t="s">
        <v>4949</v>
      </c>
      <c r="AJ238" s="121" t="str">
        <f>IFERROR(__xludf.DUMMYFUNCTION("regexreplace(regexreplace(AI238, ""  \["", "" ""), ""\]$"", """")"),"237 - Animal Kingdom Pirates_Tobi Roppo ~ Who`s-Who - Medal - Crafted [Colored] - Who`s_Who")</f>
        <v>237 - Animal Kingdom Pirates_Tobi Roppo ~ Who`s-Who - Medal - Crafted [Colored] - Who`s_Who</v>
      </c>
      <c r="AK238" s="114"/>
      <c r="AL238" s="117" t="s">
        <v>4950</v>
      </c>
      <c r="AM238" s="117" t="s">
        <v>4951</v>
      </c>
      <c r="AN238" s="114"/>
      <c r="AO238" s="122">
        <f>IFERROR(__xludf.DUMMYFUNCTION("""COMPUTED_VALUE"""),71.0)</f>
        <v>71</v>
      </c>
      <c r="AP238" s="114" t="str">
        <f>IFERROR(__xludf.DUMMYFUNCTION("""COMPUTED_VALUE"""),"Queen of the Pleasure District")</f>
        <v>Queen of the Pleasure District</v>
      </c>
      <c r="AQ238" s="114" t="str">
        <f>IFERROR(__xludf.DUMMYFUNCTION("""COMPUTED_VALUE"""),"Queen of the Pleasure District")</f>
        <v>Queen of the Pleasure District</v>
      </c>
      <c r="AR238" s="114"/>
      <c r="AS238" s="114"/>
      <c r="AT238" s="123" t="str">
        <f>IFERROR(__xludf.DUMMYFUNCTION("""COMPUTED_VALUE"""),"https://i.postimg.cc/ydTP9ZRx/071.png")</f>
        <v>https://i.postimg.cc/ydTP9ZRx/071.png</v>
      </c>
      <c r="AU238" s="114"/>
      <c r="AV238" s="114"/>
      <c r="AW238" s="114"/>
      <c r="AX238" s="114" t="str">
        <f t="shared" si="3"/>
        <v>71 - Medal [Event] - Crafted - Queen of the Pleasure District</v>
      </c>
      <c r="AY238" s="114" t="s">
        <v>4952</v>
      </c>
      <c r="AZ238" s="114"/>
      <c r="BA238" s="114"/>
      <c r="BB238" s="114"/>
      <c r="BC238" s="114"/>
      <c r="BD238" s="114"/>
      <c r="BE238" s="114"/>
    </row>
    <row r="239" ht="37.5" customHeight="1">
      <c r="A239" s="118" t="s">
        <v>4953</v>
      </c>
      <c r="B239" s="117" t="s">
        <v>3326</v>
      </c>
      <c r="C239" s="119">
        <f>IFERROR(__xludf.DUMMYFUNCTION("""COMPUTED_VALUE"""),104.0)</f>
        <v>104</v>
      </c>
      <c r="D239" s="114" t="str">
        <f>IFERROR(__xludf.DUMMYFUNCTION("""COMPUTED_VALUE"""),"Griffon")</f>
        <v>Griffon</v>
      </c>
      <c r="E239" s="114" t="str">
        <f>IFERROR(__xludf.DUMMYFUNCTION("""COMPUTED_VALUE"""),"")</f>
        <v/>
      </c>
      <c r="F239" s="114"/>
      <c r="G239" s="114"/>
      <c r="H239" s="114"/>
      <c r="I239" s="114"/>
      <c r="J239" s="114"/>
      <c r="K239" s="114" t="s">
        <v>4954</v>
      </c>
      <c r="L239" s="114" t="s">
        <v>4955</v>
      </c>
      <c r="M239" s="114" t="s">
        <v>4956</v>
      </c>
      <c r="N239" s="114" t="s">
        <v>4957</v>
      </c>
      <c r="O239" s="114"/>
      <c r="P239" s="120">
        <v>104.0</v>
      </c>
      <c r="Q239" s="117" t="s">
        <v>4958</v>
      </c>
      <c r="R239" s="114"/>
      <c r="S239" s="117" t="s">
        <v>3333</v>
      </c>
      <c r="T239" s="114">
        <f t="shared" si="1"/>
        <v>238</v>
      </c>
      <c r="U239" s="114" t="s">
        <v>677</v>
      </c>
      <c r="V239" s="114" t="str">
        <f>IFERROR(__xludf.DUMMYFUNCTION("REGEXREPLACE(U239, ""\n"", "" "")"),"Mrs. Pudding?")</f>
        <v>Mrs. Pudding?</v>
      </c>
      <c r="W239" s="114"/>
      <c r="X239" s="115" t="str">
        <f t="shared" si="2"/>
        <v>238 First Act as a Married Couple - Charlotte Pudding - Medal [Mrs. Pudding?]</v>
      </c>
      <c r="Y239" s="119"/>
      <c r="Z239" s="117" t="s">
        <v>4959</v>
      </c>
      <c r="AA239" s="117" t="s">
        <v>2759</v>
      </c>
      <c r="AB239" s="114"/>
      <c r="AC239" s="123" t="str">
        <f>IFERROR(__xludf.DUMMYFUNCTION("""COMPUTED_VALUE"""),"https://ik.imagekit.io/alaaalaa6171/105%20The%20Parmount%20War%20-%20Monkey%20D.%20Luffy%201%20-%20Medal%20_Jet%20Rocket_.png?updatedAt=1770076421080")</f>
        <v>https://ik.imagekit.io/alaaalaa6171/105%20The%20Parmount%20War%20-%20Monkey%20D.%20Luffy%201%20-%20Medal%20_Jet%20Rocket_.png?updatedAt=1770076421080</v>
      </c>
      <c r="AD239" s="123" t="str">
        <f>IFERROR(__xludf.DUMMYFUNCTION("""COMPUTED_VALUE"""),"https://ik.imagekit.io/alaaalaa6171/105%20The%20Parmount%20War%20-%20Monkey%20D.%20Luffy%201%20-%20Medal%20_Jet%20Rocket_%20_Colored_.png?updatedAt=1770076421085")</f>
        <v>https://ik.imagekit.io/alaaalaa6171/105%20The%20Parmount%20War%20-%20Monkey%20D.%20Luffy%201%20-%20Medal%20_Jet%20Rocket_%20_Colored_.png?updatedAt=1770076421085</v>
      </c>
      <c r="AE239" s="123" t="str">
        <f>IFERROR(__xludf.DUMMYFUNCTION("""COMPUTED_VALUE"""),"https://ik.imagekit.io/alaaalaa6171/105%20The%20Parmount%20War%20-%20Monkey%20D.%20Luffy%201%20-%20Medal%20_Jet%20Rocket_%20-%20Piece.png?updatedAt=1770076421094")</f>
        <v>https://ik.imagekit.io/alaaalaa6171/105%20The%20Parmount%20War%20-%20Monkey%20D.%20Luffy%201%20-%20Medal%20_Jet%20Rocket_%20-%20Piece.png?updatedAt=1770076421094</v>
      </c>
      <c r="AF239" s="123" t="str">
        <f>IFERROR(__xludf.DUMMYFUNCTION("""COMPUTED_VALUE"""),"https://ik.imagekit.io/alaaalaa6171/105%20The%20Parmount%20War%20-%20Monkey%20D.%20Luffy%201%20-%20Medal%20_Jet%20Rocket_%20-%20Piece%20_Colored_.png?updatedAt=1770076421075")</f>
        <v>https://ik.imagekit.io/alaaalaa6171/105%20The%20Parmount%20War%20-%20Monkey%20D.%20Luffy%201%20-%20Medal%20_Jet%20Rocket_%20-%20Piece%20_Colored_.png?updatedAt=1770076421075</v>
      </c>
      <c r="AG239" s="114"/>
      <c r="AH239" s="114"/>
      <c r="AI239" s="121" t="s">
        <v>4960</v>
      </c>
      <c r="AJ239" s="121" t="str">
        <f>IFERROR(__xludf.DUMMYFUNCTION("regexreplace(regexreplace(AI239, ""  \["", "" ""), ""\]$"", """")"),"238 - First Act as a Married Couple ~ Charlotte Pudding - Medal - Crafted [Colored] - Mrs. Pudding")</f>
        <v>238 - First Act as a Married Couple ~ Charlotte Pudding - Medal - Crafted [Colored] - Mrs. Pudding</v>
      </c>
      <c r="AK239" s="114"/>
      <c r="AL239" s="117" t="s">
        <v>4961</v>
      </c>
      <c r="AM239" s="117" t="s">
        <v>4962</v>
      </c>
      <c r="AN239" s="114"/>
      <c r="AO239" s="122">
        <f>IFERROR(__xludf.DUMMYFUNCTION("""COMPUTED_VALUE"""),70.0)</f>
        <v>70</v>
      </c>
      <c r="AP239" s="114" t="str">
        <f>IFERROR(__xludf.DUMMYFUNCTION("""COMPUTED_VALUE"""),"Geisha")</f>
        <v>Geisha</v>
      </c>
      <c r="AQ239" s="114" t="str">
        <f>IFERROR(__xludf.DUMMYFUNCTION("""COMPUTED_VALUE"""),"Geisha")</f>
        <v>Geisha</v>
      </c>
      <c r="AR239" s="114"/>
      <c r="AS239" s="114"/>
      <c r="AT239" s="123" t="str">
        <f>IFERROR(__xludf.DUMMYFUNCTION("""COMPUTED_VALUE"""),"https://i.postimg.cc/j2g43YZr/070.png")</f>
        <v>https://i.postimg.cc/j2g43YZr/070.png</v>
      </c>
      <c r="AU239" s="114"/>
      <c r="AV239" s="114"/>
      <c r="AW239" s="114"/>
      <c r="AX239" s="114" t="str">
        <f t="shared" si="3"/>
        <v>70 - Medal [Event] - Crafted - Geisha</v>
      </c>
      <c r="AY239" s="114" t="s">
        <v>4963</v>
      </c>
      <c r="AZ239" s="114"/>
      <c r="BA239" s="114"/>
      <c r="BB239" s="114"/>
      <c r="BC239" s="114"/>
      <c r="BD239" s="114"/>
      <c r="BE239" s="114"/>
    </row>
    <row r="240" ht="37.5" customHeight="1">
      <c r="A240" s="118" t="s">
        <v>4964</v>
      </c>
      <c r="B240" s="117" t="s">
        <v>3339</v>
      </c>
      <c r="C240" s="119">
        <f>IFERROR(__xludf.DUMMYFUNCTION("""COMPUTED_VALUE"""),103.0)</f>
        <v>103</v>
      </c>
      <c r="D240" s="114" t="str">
        <f>IFERROR(__xludf.DUMMYFUNCTION("""COMPUTED_VALUE"""),"Teech")</f>
        <v>Teech</v>
      </c>
      <c r="E240" s="114" t="str">
        <f>IFERROR(__xludf.DUMMYFUNCTION("""COMPUTED_VALUE"""),"")</f>
        <v/>
      </c>
      <c r="F240" s="114"/>
      <c r="G240" s="114"/>
      <c r="H240" s="114"/>
      <c r="I240" s="114"/>
      <c r="J240" s="114"/>
      <c r="K240" s="114" t="s">
        <v>4965</v>
      </c>
      <c r="L240" s="114" t="s">
        <v>4966</v>
      </c>
      <c r="M240" s="114" t="s">
        <v>4967</v>
      </c>
      <c r="N240" s="114" t="s">
        <v>4968</v>
      </c>
      <c r="O240" s="114"/>
      <c r="P240" s="120">
        <v>103.0</v>
      </c>
      <c r="Q240" s="117" t="s">
        <v>4969</v>
      </c>
      <c r="R240" s="114"/>
      <c r="S240" s="117" t="s">
        <v>3307</v>
      </c>
      <c r="T240" s="114">
        <f t="shared" si="1"/>
        <v>240</v>
      </c>
      <c r="U240" s="114" t="s">
        <v>667</v>
      </c>
      <c r="V240" s="114" t="str">
        <f>IFERROR(__xludf.DUMMYFUNCTION("REGEXREPLACE(U240, ""\n"", "" "")"),"Brulee")</f>
        <v>Brulee</v>
      </c>
      <c r="W240" s="114"/>
      <c r="X240" s="115" t="str">
        <f t="shared" si="2"/>
        <v>240 Big Mom Pirates / Crewmate - Charlotte Brulee - Medal [Brulee]</v>
      </c>
      <c r="Y240" s="119"/>
      <c r="Z240" s="117" t="s">
        <v>4970</v>
      </c>
      <c r="AA240" s="117" t="s">
        <v>2761</v>
      </c>
      <c r="AB240" s="114"/>
      <c r="AC240" s="123" t="str">
        <f>IFERROR(__xludf.DUMMYFUNCTION("""COMPUTED_VALUE"""),"https://ik.imagekit.io/alaaalaa6171/104%20The%20Four%20Emperors%20-%20Shanks%20-%20Medal%20_Griffon_.png?updatedAt=1770076421082")</f>
        <v>https://ik.imagekit.io/alaaalaa6171/104%20The%20Four%20Emperors%20-%20Shanks%20-%20Medal%20_Griffon_.png?updatedAt=1770076421082</v>
      </c>
      <c r="AD240" s="123" t="str">
        <f>IFERROR(__xludf.DUMMYFUNCTION("""COMPUTED_VALUE"""),"https://ik.imagekit.io/alaaalaa6171/104%20The%20Four%20Emperors%20-%20Shanks%20-%20Medal%20_Griffon_%20_Colored_.png?updatedAt=1770076421050")</f>
        <v>https://ik.imagekit.io/alaaalaa6171/104%20The%20Four%20Emperors%20-%20Shanks%20-%20Medal%20_Griffon_%20_Colored_.png?updatedAt=1770076421050</v>
      </c>
      <c r="AE240" s="123" t="str">
        <f>IFERROR(__xludf.DUMMYFUNCTION("""COMPUTED_VALUE"""),"https://ik.imagekit.io/alaaalaa6171/104%20The%20Four%20Emperors%20-%20Shanks%20-%20Medal%20_Griffon_%20-%20Piece.png?updatedAt=1770076421042")</f>
        <v>https://ik.imagekit.io/alaaalaa6171/104%20The%20Four%20Emperors%20-%20Shanks%20-%20Medal%20_Griffon_%20-%20Piece.png?updatedAt=1770076421042</v>
      </c>
      <c r="AF240" s="123" t="str">
        <f>IFERROR(__xludf.DUMMYFUNCTION("""COMPUTED_VALUE"""),"https://ik.imagekit.io/alaaalaa6171/104%20The%20Four%20Emperors%20-%20Shanks%20-%20Medal%20_Griffon_%20-%20Piece%20_Colored_.png?updatedAt=1770076421047")</f>
        <v>https://ik.imagekit.io/alaaalaa6171/104%20The%20Four%20Emperors%20-%20Shanks%20-%20Medal%20_Griffon_%20-%20Piece%20_Colored_.png?updatedAt=1770076421047</v>
      </c>
      <c r="AG240" s="114"/>
      <c r="AH240" s="114"/>
      <c r="AI240" s="121" t="s">
        <v>4971</v>
      </c>
      <c r="AJ240" s="121" t="str">
        <f>IFERROR(__xludf.DUMMYFUNCTION("regexreplace(regexreplace(AI240, ""  \["", "" ""), ""\]$"", """")"),"239 - Big Mom Pirates_'Sweet 3' General ~ Charlotte Cracker - Medal - Crafted [Colored] - Cracker")</f>
        <v>239 - Big Mom Pirates_'Sweet 3' General ~ Charlotte Cracker - Medal - Crafted [Colored] - Cracker</v>
      </c>
      <c r="AK240" s="114"/>
      <c r="AL240" s="117" t="s">
        <v>4972</v>
      </c>
      <c r="AM240" s="117" t="s">
        <v>4973</v>
      </c>
      <c r="AN240" s="114"/>
      <c r="AO240" s="122">
        <f>IFERROR(__xludf.DUMMYFUNCTION("""COMPUTED_VALUE"""),69.0)</f>
        <v>69</v>
      </c>
      <c r="AP240" s="114" t="str">
        <f>IFERROR(__xludf.DUMMYFUNCTION("""COMPUTED_VALUE"""),"Starving Skeleton")</f>
        <v>Starving Skeleton</v>
      </c>
      <c r="AQ240" s="114" t="str">
        <f>IFERROR(__xludf.DUMMYFUNCTION("""COMPUTED_VALUE"""),"Starving Skeleton")</f>
        <v>Starving Skeleton</v>
      </c>
      <c r="AR240" s="114"/>
      <c r="AS240" s="114"/>
      <c r="AT240" s="123" t="str">
        <f>IFERROR(__xludf.DUMMYFUNCTION("""COMPUTED_VALUE"""),"https://i.postimg.cc/prXBBLQZ/069.png")</f>
        <v>https://i.postimg.cc/prXBBLQZ/069.png</v>
      </c>
      <c r="AU240" s="114"/>
      <c r="AV240" s="114"/>
      <c r="AW240" s="114"/>
      <c r="AX240" s="114" t="str">
        <f t="shared" si="3"/>
        <v>69 - Medal [Event] - Crafted - Starving Skeleton</v>
      </c>
      <c r="AY240" s="114" t="s">
        <v>4974</v>
      </c>
      <c r="AZ240" s="114"/>
      <c r="BA240" s="114"/>
      <c r="BB240" s="114"/>
      <c r="BC240" s="114"/>
      <c r="BD240" s="114"/>
      <c r="BE240" s="114"/>
    </row>
    <row r="241" ht="37.5" customHeight="1">
      <c r="A241" s="118" t="s">
        <v>4975</v>
      </c>
      <c r="B241" s="117" t="s">
        <v>3313</v>
      </c>
      <c r="C241" s="119">
        <f>IFERROR(__xludf.DUMMYFUNCTION("""COMPUTED_VALUE"""),102.0)</f>
        <v>102</v>
      </c>
      <c r="D241" s="114" t="str">
        <f>IFERROR(__xludf.DUMMYFUNCTION("""COMPUTED_VALUE"""),"Garp")</f>
        <v>Garp</v>
      </c>
      <c r="E241" s="114" t="str">
        <f>IFERROR(__xludf.DUMMYFUNCTION("""COMPUTED_VALUE"""),"")</f>
        <v/>
      </c>
      <c r="F241" s="114"/>
      <c r="G241" s="114"/>
      <c r="H241" s="114"/>
      <c r="I241" s="114"/>
      <c r="J241" s="114"/>
      <c r="K241" s="114" t="s">
        <v>4976</v>
      </c>
      <c r="L241" s="114" t="s">
        <v>4977</v>
      </c>
      <c r="M241" s="114" t="s">
        <v>4978</v>
      </c>
      <c r="N241" s="114" t="s">
        <v>4979</v>
      </c>
      <c r="O241" s="114"/>
      <c r="P241" s="120">
        <v>102.0</v>
      </c>
      <c r="Q241" s="117" t="s">
        <v>4980</v>
      </c>
      <c r="R241" s="114"/>
      <c r="S241" s="117" t="s">
        <v>3320</v>
      </c>
      <c r="T241" s="114">
        <f t="shared" si="1"/>
        <v>239</v>
      </c>
      <c r="U241" s="114" t="s">
        <v>671</v>
      </c>
      <c r="V241" s="114" t="str">
        <f>IFERROR(__xludf.DUMMYFUNCTION("REGEXREPLACE(U241, ""\n"", "" "")"),"Cracker")</f>
        <v>Cracker</v>
      </c>
      <c r="W241" s="114"/>
      <c r="X241" s="115" t="str">
        <f t="shared" si="2"/>
        <v>239 Big Mom Pirates / "Sweet 3" General - Charlotte Cracker - Medal [Cracker]</v>
      </c>
      <c r="Y241" s="119"/>
      <c r="Z241" s="117" t="s">
        <v>4981</v>
      </c>
      <c r="AA241" s="117" t="s">
        <v>2762</v>
      </c>
      <c r="AB241" s="114"/>
      <c r="AC241" s="123" t="str">
        <f>IFERROR(__xludf.DUMMYFUNCTION("""COMPUTED_VALUE"""),"https://ik.imagekit.io/alaaalaa6171/103%20The%20Seven%20Warlords%20of%20the%20Sea%20-%20Marshall%20D.%20Teach%20-%20Medal%20_Teech_.png?updatedAt=1770076421070")</f>
        <v>https://ik.imagekit.io/alaaalaa6171/103%20The%20Seven%20Warlords%20of%20the%20Sea%20-%20Marshall%20D.%20Teach%20-%20Medal%20_Teech_.png?updatedAt=1770076421070</v>
      </c>
      <c r="AD241" s="123" t="str">
        <f>IFERROR(__xludf.DUMMYFUNCTION("""COMPUTED_VALUE"""),"https://ik.imagekit.io/alaaalaa6171/103%20The%20Seven%20Warlords%20of%20the%20Sea%20-%20Marshall%20D.%20Teach%20-%20Medal%20_Teech_%20_Colored_.png?updatedAt=1770076421036")</f>
        <v>https://ik.imagekit.io/alaaalaa6171/103%20The%20Seven%20Warlords%20of%20the%20Sea%20-%20Marshall%20D.%20Teach%20-%20Medal%20_Teech_%20_Colored_.png?updatedAt=1770076421036</v>
      </c>
      <c r="AE241" s="123" t="str">
        <f>IFERROR(__xludf.DUMMYFUNCTION("""COMPUTED_VALUE"""),"https://ik.imagekit.io/alaaalaa6171/103%20The%20Seven%20Warlords%20of%20the%20Sea%20-%20Marshall%20D.%20Teach%20-%20Medal%20_Teech_%20-%20Piece.png?updatedAt=1770076421055")</f>
        <v>https://ik.imagekit.io/alaaalaa6171/103%20The%20Seven%20Warlords%20of%20the%20Sea%20-%20Marshall%20D.%20Teach%20-%20Medal%20_Teech_%20-%20Piece.png?updatedAt=1770076421055</v>
      </c>
      <c r="AF241" s="123" t="str">
        <f>IFERROR(__xludf.DUMMYFUNCTION("""COMPUTED_VALUE"""),"https://ik.imagekit.io/alaaalaa6171/103%20The%20Seven%20Warlords%20of%20the%20Sea%20-%20Marshall%20D.%20Teach%20-%20Medal%20_Teech_%20-%20Piece%20_Colored_.png?updatedAt=1770076420994")</f>
        <v>https://ik.imagekit.io/alaaalaa6171/103%20The%20Seven%20Warlords%20of%20the%20Sea%20-%20Marshall%20D.%20Teach%20-%20Medal%20_Teech_%20-%20Piece%20_Colored_.png?updatedAt=1770076420994</v>
      </c>
      <c r="AG241" s="114"/>
      <c r="AH241" s="114"/>
      <c r="AI241" s="121" t="s">
        <v>4982</v>
      </c>
      <c r="AJ241" s="121" t="str">
        <f>IFERROR(__xludf.DUMMYFUNCTION("regexreplace(regexreplace(AI241, ""  \["", "" ""), ""\]$"", """")"),"240 - Big Mom Pirates_Crewmate ~ Charlotte Brulee - Medal - Crafted [Colored] - Brulee")</f>
        <v>240 - Big Mom Pirates_Crewmate ~ Charlotte Brulee - Medal - Crafted [Colored] - Brulee</v>
      </c>
      <c r="AK241" s="114"/>
      <c r="AL241" s="117" t="s">
        <v>4983</v>
      </c>
      <c r="AM241" s="117" t="s">
        <v>4984</v>
      </c>
      <c r="AN241" s="114"/>
      <c r="AO241" s="122">
        <f>IFERROR(__xludf.DUMMYFUNCTION("""COMPUTED_VALUE"""),68.0)</f>
        <v>68</v>
      </c>
      <c r="AP241" s="114" t="str">
        <f>IFERROR(__xludf.DUMMYFUNCTION("""COMPUTED_VALUE"""),"Conney")</f>
        <v>Conney</v>
      </c>
      <c r="AQ241" s="114" t="str">
        <f>IFERROR(__xludf.DUMMYFUNCTION("""COMPUTED_VALUE"""),"Conney")</f>
        <v>Conney</v>
      </c>
      <c r="AR241" s="114"/>
      <c r="AS241" s="114"/>
      <c r="AT241" s="123" t="str">
        <f>IFERROR(__xludf.DUMMYFUNCTION("""COMPUTED_VALUE"""),"https://i.postimg.cc/1RJB3DPY/068.png")</f>
        <v>https://i.postimg.cc/1RJB3DPY/068.png</v>
      </c>
      <c r="AU241" s="114"/>
      <c r="AV241" s="114"/>
      <c r="AW241" s="114"/>
      <c r="AX241" s="114" t="str">
        <f t="shared" si="3"/>
        <v>68 - Medal [Event] - Crafted - Conney</v>
      </c>
      <c r="AY241" s="114" t="s">
        <v>4985</v>
      </c>
      <c r="AZ241" s="114"/>
      <c r="BA241" s="114"/>
      <c r="BB241" s="114"/>
      <c r="BC241" s="114"/>
      <c r="BD241" s="114"/>
      <c r="BE241" s="114"/>
    </row>
    <row r="242" ht="37.5" customHeight="1">
      <c r="A242" s="118" t="s">
        <v>4986</v>
      </c>
      <c r="B242" s="117" t="s">
        <v>3300</v>
      </c>
      <c r="C242" s="119">
        <f>IFERROR(__xludf.DUMMYFUNCTION("""COMPUTED_VALUE"""),101.0)</f>
        <v>101</v>
      </c>
      <c r="D242" s="114" t="str">
        <f>IFERROR(__xludf.DUMMYFUNCTION("""COMPUTED_VALUE"""),"Marco")</f>
        <v>Marco</v>
      </c>
      <c r="E242" s="114" t="str">
        <f>IFERROR(__xludf.DUMMYFUNCTION("""COMPUTED_VALUE"""),"")</f>
        <v/>
      </c>
      <c r="F242" s="114"/>
      <c r="G242" s="114"/>
      <c r="H242" s="114"/>
      <c r="I242" s="114"/>
      <c r="J242" s="114"/>
      <c r="K242" s="114" t="s">
        <v>4987</v>
      </c>
      <c r="L242" s="114" t="s">
        <v>4988</v>
      </c>
      <c r="M242" s="114" t="s">
        <v>4989</v>
      </c>
      <c r="N242" s="114" t="s">
        <v>4990</v>
      </c>
      <c r="O242" s="114"/>
      <c r="P242" s="120">
        <v>101.0</v>
      </c>
      <c r="Q242" s="117" t="s">
        <v>4991</v>
      </c>
      <c r="R242" s="114"/>
      <c r="S242" s="117" t="s">
        <v>3294</v>
      </c>
      <c r="T242" s="114">
        <f t="shared" si="1"/>
        <v>241</v>
      </c>
      <c r="U242" s="114" t="s">
        <v>661</v>
      </c>
      <c r="V242" s="114" t="str">
        <f>IFERROR(__xludf.DUMMYFUNCTION("REGEXREPLACE(U242, ""\n"", "" "")"),"Leader")</f>
        <v>Leader</v>
      </c>
      <c r="W242" s="114"/>
      <c r="X242" s="115" t="str">
        <f t="shared" si="2"/>
        <v>241 Leader of the Whale Forest Guardians - Pedro - Medal [Leader]</v>
      </c>
      <c r="Y242" s="119"/>
      <c r="Z242" s="117" t="s">
        <v>4992</v>
      </c>
      <c r="AA242" s="117" t="s">
        <v>2760</v>
      </c>
      <c r="AB242" s="114"/>
      <c r="AC242" s="123" t="str">
        <f>IFERROR(__xludf.DUMMYFUNCTION("""COMPUTED_VALUE"""),"https://ik.imagekit.io/alaaalaa6171/102%20Navy%20HQ_Vice%20Admiral%20-%20Monkey%20D.%20Garb%20-%20Medal%20_Garp_.png?updatedAt=1770076420990")</f>
        <v>https://ik.imagekit.io/alaaalaa6171/102%20Navy%20HQ_Vice%20Admiral%20-%20Monkey%20D.%20Garb%20-%20Medal%20_Garp_.png?updatedAt=1770076420990</v>
      </c>
      <c r="AD242" s="123" t="str">
        <f>IFERROR(__xludf.DUMMYFUNCTION("""COMPUTED_VALUE"""),"https://ik.imagekit.io/alaaalaa6171/102%20Navy%20HQ_Vice%20Admiral%20-%20Monkey%20D.%20Garb%20-%20Medal%20_Garp_%20_Colored_.png?updatedAt=1770076420990")</f>
        <v>https://ik.imagekit.io/alaaalaa6171/102%20Navy%20HQ_Vice%20Admiral%20-%20Monkey%20D.%20Garb%20-%20Medal%20_Garp_%20_Colored_.png?updatedAt=1770076420990</v>
      </c>
      <c r="AE242" s="123" t="str">
        <f>IFERROR(__xludf.DUMMYFUNCTION("""COMPUTED_VALUE"""),"https://ik.imagekit.io/alaaalaa6171/102%20Navy%20HQ_Vice%20Admiral%20-%20Monkey%20D.%20Garb%20-%20Medal%20_Garp_%20-%20Piece.png?updatedAt=1770076420981")</f>
        <v>https://ik.imagekit.io/alaaalaa6171/102%20Navy%20HQ_Vice%20Admiral%20-%20Monkey%20D.%20Garb%20-%20Medal%20_Garp_%20-%20Piece.png?updatedAt=1770076420981</v>
      </c>
      <c r="AF242" s="123" t="str">
        <f>IFERROR(__xludf.DUMMYFUNCTION("""COMPUTED_VALUE"""),"https://ik.imagekit.io/alaaalaa6171/102%20Navy%20HQ_Vice%20Admiral%20-%20Monkey%20D.%20Garb%20-%20Medal%20_Garp_%20-%20Piece%20_Colored_.png?updatedAt=1770076420981")</f>
        <v>https://ik.imagekit.io/alaaalaa6171/102%20Navy%20HQ_Vice%20Admiral%20-%20Monkey%20D.%20Garb%20-%20Medal%20_Garp_%20-%20Piece%20_Colored_.png?updatedAt=1770076420981</v>
      </c>
      <c r="AG242" s="114"/>
      <c r="AH242" s="114"/>
      <c r="AI242" s="121" t="s">
        <v>4993</v>
      </c>
      <c r="AJ242" s="121" t="str">
        <f>IFERROR(__xludf.DUMMYFUNCTION("regexreplace(regexreplace(AI242, ""  \["", "" ""), ""\]$"", """")"),"241 - Leader of the Whale Forest Guardians ~ Pedro - Medal - Crafted [Colored] - Leader")</f>
        <v>241 - Leader of the Whale Forest Guardians ~ Pedro - Medal - Crafted [Colored] - Leader</v>
      </c>
      <c r="AK242" s="114"/>
      <c r="AL242" s="117" t="s">
        <v>4994</v>
      </c>
      <c r="AM242" s="117" t="s">
        <v>4995</v>
      </c>
      <c r="AN242" s="114"/>
      <c r="AO242" s="122">
        <f>IFERROR(__xludf.DUMMYFUNCTION("""COMPUTED_VALUE"""),67.0)</f>
        <v>67</v>
      </c>
      <c r="AP242" s="114" t="str">
        <f>IFERROR(__xludf.DUMMYFUNCTION("""COMPUTED_VALUE"""),"Straw_Straw")</f>
        <v>Straw_Straw</v>
      </c>
      <c r="AQ242" s="114" t="str">
        <f>IFERROR(__xludf.DUMMYFUNCTION("""COMPUTED_VALUE"""),"Straw_Straw")</f>
        <v>Straw_Straw</v>
      </c>
      <c r="AR242" s="114"/>
      <c r="AS242" s="114"/>
      <c r="AT242" s="123" t="str">
        <f>IFERROR(__xludf.DUMMYFUNCTION("""COMPUTED_VALUE"""),"https://i.postimg.cc/m2kwzhgZ/067.png")</f>
        <v>https://i.postimg.cc/m2kwzhgZ/067.png</v>
      </c>
      <c r="AU242" s="114"/>
      <c r="AV242" s="114"/>
      <c r="AW242" s="114"/>
      <c r="AX242" s="114" t="str">
        <f t="shared" si="3"/>
        <v>67 - Medal [Event] - Crafted - Straw_Straw</v>
      </c>
      <c r="AY242" s="114" t="s">
        <v>4996</v>
      </c>
      <c r="AZ242" s="114"/>
      <c r="BA242" s="114"/>
      <c r="BB242" s="114"/>
      <c r="BC242" s="114"/>
      <c r="BD242" s="114"/>
      <c r="BE242" s="114"/>
    </row>
    <row r="243" ht="37.5" customHeight="1">
      <c r="A243" s="118" t="s">
        <v>4997</v>
      </c>
      <c r="B243" s="117" t="s">
        <v>3287</v>
      </c>
      <c r="C243" s="119">
        <f>IFERROR(__xludf.DUMMYFUNCTION("""COMPUTED_VALUE"""),100.0)</f>
        <v>100</v>
      </c>
      <c r="D243" s="114" t="str">
        <f>IFERROR(__xludf.DUMMYFUNCTION("""COMPUTED_VALUE"""),"Flame Emperor")</f>
        <v>Flame Emperor</v>
      </c>
      <c r="E243" s="114" t="str">
        <f>IFERROR(__xludf.DUMMYFUNCTION("""COMPUTED_VALUE"""),"")</f>
        <v/>
      </c>
      <c r="F243" s="114"/>
      <c r="G243" s="114"/>
      <c r="H243" s="114"/>
      <c r="I243" s="114"/>
      <c r="J243" s="114"/>
      <c r="K243" s="114" t="s">
        <v>4998</v>
      </c>
      <c r="L243" s="114" t="s">
        <v>4999</v>
      </c>
      <c r="M243" s="114" t="s">
        <v>5000</v>
      </c>
      <c r="N243" s="114" t="s">
        <v>5001</v>
      </c>
      <c r="O243" s="114"/>
      <c r="P243" s="120">
        <v>100.0</v>
      </c>
      <c r="Q243" s="117" t="s">
        <v>5002</v>
      </c>
      <c r="R243" s="114"/>
      <c r="S243" s="117" t="s">
        <v>3281</v>
      </c>
      <c r="T243" s="114">
        <f t="shared" si="1"/>
        <v>242</v>
      </c>
      <c r="U243" s="114" t="s">
        <v>654</v>
      </c>
      <c r="V243" s="114" t="str">
        <f>IFERROR(__xludf.DUMMYFUNCTION("REGEXREPLACE(U243, ""\n"", "" "")"),"Oven")</f>
        <v>Oven</v>
      </c>
      <c r="W243" s="114"/>
      <c r="X243" s="115" t="str">
        <f t="shared" si="2"/>
        <v>242 Big Mom Pirates / Crewmate - Charoltte Oven - Medal [Oven]</v>
      </c>
      <c r="Y243" s="119"/>
      <c r="Z243" s="117" t="s">
        <v>5003</v>
      </c>
      <c r="AA243" s="117" t="s">
        <v>2772</v>
      </c>
      <c r="AB243" s="114"/>
      <c r="AC243" s="123" t="str">
        <f>IFERROR(__xludf.DUMMYFUNCTION("""COMPUTED_VALUE"""),"https://ik.imagekit.io/alaaalaa6171/101%20Whitebeard%20Pirates_1st%20Division%20Commander%20-%20Marco%20-%20Medal%20_Marco_.png?updatedAt=1770076420992")</f>
        <v>https://ik.imagekit.io/alaaalaa6171/101%20Whitebeard%20Pirates_1st%20Division%20Commander%20-%20Marco%20-%20Medal%20_Marco_.png?updatedAt=1770076420992</v>
      </c>
      <c r="AD243" s="123" t="str">
        <f>IFERROR(__xludf.DUMMYFUNCTION("""COMPUTED_VALUE"""),"https://ik.imagekit.io/alaaalaa6171/101%20Whitebeard%20Pirates_1st%20Division%20Commander%20-%20Marco%20-%20Medal%20_Marco_%20_Colored_.png?updatedAt=1770076420989")</f>
        <v>https://ik.imagekit.io/alaaalaa6171/101%20Whitebeard%20Pirates_1st%20Division%20Commander%20-%20Marco%20-%20Medal%20_Marco_%20_Colored_.png?updatedAt=1770076420989</v>
      </c>
      <c r="AE243" s="123" t="str">
        <f>IFERROR(__xludf.DUMMYFUNCTION("""COMPUTED_VALUE"""),"https://ik.imagekit.io/alaaalaa6171/101%20Whitebeard%20Pirates_1st%20Division%20Commander%20-%20Marco%20-%20Medal%20_Marco_%20-%20Piece.png?updatedAt=1770076420948")</f>
        <v>https://ik.imagekit.io/alaaalaa6171/101%20Whitebeard%20Pirates_1st%20Division%20Commander%20-%20Marco%20-%20Medal%20_Marco_%20-%20Piece.png?updatedAt=1770076420948</v>
      </c>
      <c r="AF243" s="123" t="str">
        <f>IFERROR(__xludf.DUMMYFUNCTION("""COMPUTED_VALUE"""),"https://ik.imagekit.io/alaaalaa6171/101%20Whitebeard%20Pirates_1st%20Division%20Commander%20-%20Marco%20-%20Medal%20_Marco_%20-%20Piece%20_Colored_.png?updatedAt=1770076420950")</f>
        <v>https://ik.imagekit.io/alaaalaa6171/101%20Whitebeard%20Pirates_1st%20Division%20Commander%20-%20Marco%20-%20Medal%20_Marco_%20-%20Piece%20_Colored_.png?updatedAt=1770076420950</v>
      </c>
      <c r="AG243" s="114"/>
      <c r="AH243" s="114"/>
      <c r="AI243" s="121" t="s">
        <v>5004</v>
      </c>
      <c r="AJ243" s="121" t="str">
        <f>IFERROR(__xludf.DUMMYFUNCTION("regexreplace(regexreplace(AI243, ""  \["", "" ""), ""\]$"", """")"),"242 - Big Mom Pirates_Crewmate ~ Charoltte Oven - Medal - Crafted [Colored] - Oven")</f>
        <v>242 - Big Mom Pirates_Crewmate ~ Charoltte Oven - Medal - Crafted [Colored] - Oven</v>
      </c>
      <c r="AK243" s="114"/>
      <c r="AL243" s="117" t="s">
        <v>5005</v>
      </c>
      <c r="AM243" s="117" t="s">
        <v>5006</v>
      </c>
      <c r="AN243" s="114"/>
      <c r="AO243" s="122">
        <f>IFERROR(__xludf.DUMMYFUNCTION("""COMPUTED_VALUE"""),66.0)</f>
        <v>66</v>
      </c>
      <c r="AP243" s="114" t="str">
        <f>IFERROR(__xludf.DUMMYFUNCTION("""COMPUTED_VALUE"""),"Napoleon")</f>
        <v>Napoleon</v>
      </c>
      <c r="AQ243" s="114" t="str">
        <f>IFERROR(__xludf.DUMMYFUNCTION("""COMPUTED_VALUE"""),"Napoleon")</f>
        <v>Napoleon</v>
      </c>
      <c r="AR243" s="114"/>
      <c r="AS243" s="114"/>
      <c r="AT243" s="123" t="str">
        <f>IFERROR(__xludf.DUMMYFUNCTION("""COMPUTED_VALUE"""),"https://i.postimg.cc/fTPvxZVc/066.png")</f>
        <v>https://i.postimg.cc/fTPvxZVc/066.png</v>
      </c>
      <c r="AU243" s="114"/>
      <c r="AV243" s="114"/>
      <c r="AW243" s="114"/>
      <c r="AX243" s="114" t="str">
        <f t="shared" si="3"/>
        <v>66 - Medal [Event] - Crafted - Napoleon</v>
      </c>
      <c r="AY243" s="114" t="s">
        <v>5007</v>
      </c>
      <c r="AZ243" s="114"/>
      <c r="BA243" s="114"/>
      <c r="BB243" s="114"/>
      <c r="BC243" s="114"/>
      <c r="BD243" s="114"/>
      <c r="BE243" s="114"/>
    </row>
    <row r="244" ht="37.5" customHeight="1">
      <c r="A244" s="118" t="s">
        <v>5008</v>
      </c>
      <c r="B244" s="117" t="s">
        <v>3274</v>
      </c>
      <c r="C244" s="119">
        <f>IFERROR(__xludf.DUMMYFUNCTION("""COMPUTED_VALUE"""),99.0)</f>
        <v>99</v>
      </c>
      <c r="D244" s="114" t="str">
        <f>IFERROR(__xludf.DUMMYFUNCTION("""COMPUTED_VALUE"""),"Kaido")</f>
        <v>Kaido</v>
      </c>
      <c r="E244" s="114" t="str">
        <f>IFERROR(__xludf.DUMMYFUNCTION("""COMPUTED_VALUE"""),"")</f>
        <v/>
      </c>
      <c r="F244" s="114"/>
      <c r="G244" s="114"/>
      <c r="H244" s="114"/>
      <c r="I244" s="114"/>
      <c r="J244" s="114"/>
      <c r="K244" s="114" t="s">
        <v>5009</v>
      </c>
      <c r="L244" s="114" t="s">
        <v>5010</v>
      </c>
      <c r="M244" s="114" t="s">
        <v>5011</v>
      </c>
      <c r="N244" s="114" t="s">
        <v>5012</v>
      </c>
      <c r="O244" s="114"/>
      <c r="P244" s="120">
        <v>99.0</v>
      </c>
      <c r="Q244" s="117" t="s">
        <v>5013</v>
      </c>
      <c r="R244" s="114"/>
      <c r="S244" s="117" t="s">
        <v>3255</v>
      </c>
      <c r="T244" s="114">
        <f t="shared" si="1"/>
        <v>244</v>
      </c>
      <c r="U244" s="114" t="s">
        <v>642</v>
      </c>
      <c r="V244" s="114" t="str">
        <f>IFERROR(__xludf.DUMMYFUNCTION("REGEXREPLACE(U244, ""\n"", "" "")"),"Hakuba")</f>
        <v>Hakuba</v>
      </c>
      <c r="W244" s="114"/>
      <c r="X244" s="115" t="str">
        <f t="shared" si="2"/>
        <v>244 Slicing Winds of Rommel - Hakuba - Medal [Hakuba]</v>
      </c>
      <c r="Y244" s="119"/>
      <c r="Z244" s="117" t="s">
        <v>5014</v>
      </c>
      <c r="AA244" s="117" t="s">
        <v>2774</v>
      </c>
      <c r="AB244" s="114"/>
      <c r="AC244" s="123" t="str">
        <f>IFERROR(__xludf.DUMMYFUNCTION("""COMPUTED_VALUE"""),"https://ik.imagekit.io/alaaalaa6171/100%20Son%20of%20the%20King%20of%20the%20Pirates%20-%20Portgaz%20D.%20Ace%20-%20Medal%20_Flame%20Emperor_.png?updatedAt=1770076421045")</f>
        <v>https://ik.imagekit.io/alaaalaa6171/100%20Son%20of%20the%20King%20of%20the%20Pirates%20-%20Portgaz%20D.%20Ace%20-%20Medal%20_Flame%20Emperor_.png?updatedAt=1770076421045</v>
      </c>
      <c r="AD244" s="123" t="str">
        <f>IFERROR(__xludf.DUMMYFUNCTION("""COMPUTED_VALUE"""),"https://ik.imagekit.io/alaaalaa6171/100%20Son%20of%20the%20King%20of%20the%20Pirates%20-%20Portgaz%20D.%20Ace%20-%20Medal%20_Flame%20Emperor_%20_Colored_.png?updatedAt=1770076420944")</f>
        <v>https://ik.imagekit.io/alaaalaa6171/100%20Son%20of%20the%20King%20of%20the%20Pirates%20-%20Portgaz%20D.%20Ace%20-%20Medal%20_Flame%20Emperor_%20_Colored_.png?updatedAt=1770076420944</v>
      </c>
      <c r="AE244" s="123" t="str">
        <f>IFERROR(__xludf.DUMMYFUNCTION("""COMPUTED_VALUE"""),"https://ik.imagekit.io/alaaalaa6171/100%20Son%20of%20the%20King%20of%20the%20Pirates%20-%20Portgaz%20D.%20Ace%20-%20Medal%20_Flame%20Emperor_%20-%20Piece.png?updatedAt=1770076420909")</f>
        <v>https://ik.imagekit.io/alaaalaa6171/100%20Son%20of%20the%20King%20of%20the%20Pirates%20-%20Portgaz%20D.%20Ace%20-%20Medal%20_Flame%20Emperor_%20-%20Piece.png?updatedAt=1770076420909</v>
      </c>
      <c r="AF244" s="123" t="str">
        <f>IFERROR(__xludf.DUMMYFUNCTION("""COMPUTED_VALUE"""),"https://ik.imagekit.io/alaaalaa6171/100%20Son%20of%20the%20King%20of%20the%20Pirates%20-%20Portgaz%20D.%20Ace%20-%20Medal%20_Flame%20Emperor_%20-%20Piece%20_Colored_.png?updatedAt=1770076420888")</f>
        <v>https://ik.imagekit.io/alaaalaa6171/100%20Son%20of%20the%20King%20of%20the%20Pirates%20-%20Portgaz%20D.%20Ace%20-%20Medal%20_Flame%20Emperor_%20-%20Piece%20_Colored_.png?updatedAt=1770076420888</v>
      </c>
      <c r="AG244" s="114"/>
      <c r="AH244" s="114"/>
      <c r="AI244" s="121" t="s">
        <v>5015</v>
      </c>
      <c r="AJ244" s="121" t="str">
        <f>IFERROR(__xludf.DUMMYFUNCTION("regexreplace(regexreplace(AI244, ""  \["", "" ""), ""\]$"", """")"),"243 - Former Happosui Army_12th Chief ~ Chin Jao - Medal - Crafted [Colored] - Chin Jao")</f>
        <v>243 - Former Happosui Army_12th Chief ~ Chin Jao - Medal - Crafted [Colored] - Chin Jao</v>
      </c>
      <c r="AK244" s="114"/>
      <c r="AL244" s="117" t="s">
        <v>5016</v>
      </c>
      <c r="AM244" s="117" t="s">
        <v>5017</v>
      </c>
      <c r="AN244" s="114"/>
      <c r="AO244" s="122">
        <f>IFERROR(__xludf.DUMMYFUNCTION("""COMPUTED_VALUE"""),65.0)</f>
        <v>65</v>
      </c>
      <c r="AP244" s="114" t="str">
        <f>IFERROR(__xludf.DUMMYFUNCTION("""COMPUTED_VALUE"""),"Prometheus")</f>
        <v>Prometheus</v>
      </c>
      <c r="AQ244" s="114" t="str">
        <f>IFERROR(__xludf.DUMMYFUNCTION("""COMPUTED_VALUE"""),"Prometheus")</f>
        <v>Prometheus</v>
      </c>
      <c r="AR244" s="114"/>
      <c r="AS244" s="114"/>
      <c r="AT244" s="123" t="str">
        <f>IFERROR(__xludf.DUMMYFUNCTION("""COMPUTED_VALUE"""),"https://i.postimg.cc/VkbWgTt3/065.png")</f>
        <v>https://i.postimg.cc/VkbWgTt3/065.png</v>
      </c>
      <c r="AU244" s="114"/>
      <c r="AV244" s="114"/>
      <c r="AW244" s="114"/>
      <c r="AX244" s="114" t="str">
        <f t="shared" si="3"/>
        <v>65 - Medal [Event] - Crafted - Prometheus</v>
      </c>
      <c r="AY244" s="114" t="s">
        <v>5018</v>
      </c>
      <c r="AZ244" s="114"/>
      <c r="BA244" s="114"/>
      <c r="BB244" s="114"/>
      <c r="BC244" s="114"/>
      <c r="BD244" s="114"/>
      <c r="BE244" s="114"/>
    </row>
    <row r="245" ht="37.5" customHeight="1">
      <c r="A245" s="118" t="s">
        <v>5019</v>
      </c>
      <c r="B245" s="117" t="s">
        <v>3261</v>
      </c>
      <c r="C245" s="119">
        <f>IFERROR(__xludf.DUMMYFUNCTION("""COMPUTED_VALUE"""),98.0)</f>
        <v>98</v>
      </c>
      <c r="D245" s="114" t="str">
        <f>IFERROR(__xludf.DUMMYFUNCTION("""COMPUTED_VALUE"""),"Cuerpo Fleurs")</f>
        <v>Cuerpo Fleurs</v>
      </c>
      <c r="E245" s="114" t="str">
        <f>IFERROR(__xludf.DUMMYFUNCTION("""COMPUTED_VALUE"""),"")</f>
        <v/>
      </c>
      <c r="F245" s="114"/>
      <c r="G245" s="114"/>
      <c r="H245" s="114"/>
      <c r="I245" s="114"/>
      <c r="J245" s="114"/>
      <c r="K245" s="114" t="s">
        <v>5020</v>
      </c>
      <c r="L245" s="114" t="s">
        <v>5021</v>
      </c>
      <c r="M245" s="114" t="s">
        <v>5022</v>
      </c>
      <c r="N245" s="114" t="s">
        <v>5023</v>
      </c>
      <c r="O245" s="114"/>
      <c r="P245" s="120">
        <v>98.0</v>
      </c>
      <c r="Q245" s="117" t="s">
        <v>5024</v>
      </c>
      <c r="R245" s="114"/>
      <c r="S245" s="117" t="s">
        <v>3268</v>
      </c>
      <c r="T245" s="114">
        <f t="shared" si="1"/>
        <v>243</v>
      </c>
      <c r="U245" s="114" t="s">
        <v>648</v>
      </c>
      <c r="V245" s="114" t="str">
        <f>IFERROR(__xludf.DUMMYFUNCTION("REGEXREPLACE(U245, ""\n"", "" "")"),"Chin Jao")</f>
        <v>Chin Jao</v>
      </c>
      <c r="W245" s="114"/>
      <c r="X245" s="115" t="str">
        <f t="shared" si="2"/>
        <v>243 Former Happosui Army / 12th Chief - Chin Jao - Medal [Chin Jao]</v>
      </c>
      <c r="Y245" s="119"/>
      <c r="Z245" s="117" t="s">
        <v>5025</v>
      </c>
      <c r="AA245" s="117" t="s">
        <v>2775</v>
      </c>
      <c r="AB245" s="114"/>
      <c r="AC245" s="123" t="str">
        <f>IFERROR(__xludf.DUMMYFUNCTION("""COMPUTED_VALUE"""),"https://ik.imagekit.io/alaaalaa6171/099%20Animal%20Kingdom%20Pirates_Supreme%20Commander%20-%20Kaido%20-%20Medal%20_Kaido_.png?updatedAt=1770076420915")</f>
        <v>https://ik.imagekit.io/alaaalaa6171/099%20Animal%20Kingdom%20Pirates_Supreme%20Commander%20-%20Kaido%20-%20Medal%20_Kaido_.png?updatedAt=1770076420915</v>
      </c>
      <c r="AD245" s="123" t="str">
        <f>IFERROR(__xludf.DUMMYFUNCTION("""COMPUTED_VALUE"""),"https://ik.imagekit.io/alaaalaa6171/099%20Animal%20Kingdom%20Pirates_Supreme%20Commander%20-%20Kaido%20-%20Medal%20_Kaido_%20_Colored_.png?updatedAt=1770076420927")</f>
        <v>https://ik.imagekit.io/alaaalaa6171/099%20Animal%20Kingdom%20Pirates_Supreme%20Commander%20-%20Kaido%20-%20Medal%20_Kaido_%20_Colored_.png?updatedAt=1770076420927</v>
      </c>
      <c r="AE245" s="123" t="str">
        <f>IFERROR(__xludf.DUMMYFUNCTION("""COMPUTED_VALUE"""),"https://ik.imagekit.io/alaaalaa6171/099%20Animal%20Kingdom%20Pirates_Supreme%20Commander%20-%20Kaido%20-%20Medal%20_Kaido_%20-%20Piece.png?updatedAt=1770076420923")</f>
        <v>https://ik.imagekit.io/alaaalaa6171/099%20Animal%20Kingdom%20Pirates_Supreme%20Commander%20-%20Kaido%20-%20Medal%20_Kaido_%20-%20Piece.png?updatedAt=1770076420923</v>
      </c>
      <c r="AF245" s="123" t="str">
        <f>IFERROR(__xludf.DUMMYFUNCTION("""COMPUTED_VALUE"""),"https://ik.imagekit.io/alaaalaa6171/099%20Animal%20Kingdom%20Pirates_Supreme%20Commander%20-%20Kaido%20-%20Medal%20_Kaido_%20-%20Piece%20_Colored_.png?updatedAt=1770076420921")</f>
        <v>https://ik.imagekit.io/alaaalaa6171/099%20Animal%20Kingdom%20Pirates_Supreme%20Commander%20-%20Kaido%20-%20Medal%20_Kaido_%20-%20Piece%20_Colored_.png?updatedAt=1770076420921</v>
      </c>
      <c r="AG245" s="114"/>
      <c r="AH245" s="114"/>
      <c r="AI245" s="121" t="s">
        <v>5026</v>
      </c>
      <c r="AJ245" s="121" t="str">
        <f>IFERROR(__xludf.DUMMYFUNCTION("regexreplace(regexreplace(AI245, ""  \["", "" ""), ""\]$"", """")"),"244 - Slicing Winds of Rommel ~ Hakuba - Medal - Crafted [Colored] - Hakuba")</f>
        <v>244 - Slicing Winds of Rommel ~ Hakuba - Medal - Crafted [Colored] - Hakuba</v>
      </c>
      <c r="AK245" s="114"/>
      <c r="AL245" s="117" t="s">
        <v>5027</v>
      </c>
      <c r="AM245" s="117" t="s">
        <v>5028</v>
      </c>
      <c r="AN245" s="114"/>
      <c r="AO245" s="122">
        <f>IFERROR(__xludf.DUMMYFUNCTION("""COMPUTED_VALUE"""),64.0)</f>
        <v>64</v>
      </c>
      <c r="AP245" s="114" t="str">
        <f>IFERROR(__xludf.DUMMYFUNCTION("""COMPUTED_VALUE"""),"Zeus")</f>
        <v>Zeus</v>
      </c>
      <c r="AQ245" s="114" t="str">
        <f>IFERROR(__xludf.DUMMYFUNCTION("""COMPUTED_VALUE"""),"Zeus")</f>
        <v>Zeus</v>
      </c>
      <c r="AR245" s="114"/>
      <c r="AS245" s="114"/>
      <c r="AT245" s="123" t="str">
        <f>IFERROR(__xludf.DUMMYFUNCTION("""COMPUTED_VALUE"""),"https://i.postimg.cc/DzkdMgdm/064.png")</f>
        <v>https://i.postimg.cc/DzkdMgdm/064.png</v>
      </c>
      <c r="AU245" s="114"/>
      <c r="AV245" s="114"/>
      <c r="AW245" s="114"/>
      <c r="AX245" s="114" t="str">
        <f t="shared" si="3"/>
        <v>64 - Medal [Event] - Crafted - Zeus</v>
      </c>
      <c r="AY245" s="114" t="s">
        <v>5029</v>
      </c>
      <c r="AZ245" s="114"/>
      <c r="BA245" s="114"/>
      <c r="BB245" s="114"/>
      <c r="BC245" s="114"/>
      <c r="BD245" s="114"/>
      <c r="BE245" s="114"/>
    </row>
    <row r="246" ht="37.5" customHeight="1">
      <c r="A246" s="118" t="s">
        <v>5030</v>
      </c>
      <c r="B246" s="117" t="s">
        <v>3248</v>
      </c>
      <c r="C246" s="119">
        <f>IFERROR(__xludf.DUMMYFUNCTION("""COMPUTED_VALUE"""),97.0)</f>
        <v>97</v>
      </c>
      <c r="D246" s="114" t="str">
        <f>IFERROR(__xludf.DUMMYFUNCTION("""COMPUTED_VALUE"""),"Nipple Iight")</f>
        <v>Nipple Iight</v>
      </c>
      <c r="E246" s="114" t="str">
        <f>IFERROR(__xludf.DUMMYFUNCTION("""COMPUTED_VALUE"""),"")</f>
        <v/>
      </c>
      <c r="F246" s="114"/>
      <c r="G246" s="114"/>
      <c r="H246" s="114"/>
      <c r="I246" s="114"/>
      <c r="J246" s="114"/>
      <c r="K246" s="114" t="s">
        <v>5031</v>
      </c>
      <c r="L246" s="114" t="s">
        <v>5032</v>
      </c>
      <c r="M246" s="114" t="s">
        <v>5033</v>
      </c>
      <c r="N246" s="114" t="s">
        <v>5034</v>
      </c>
      <c r="O246" s="114"/>
      <c r="P246" s="120">
        <v>97.0</v>
      </c>
      <c r="Q246" s="117" t="s">
        <v>5035</v>
      </c>
      <c r="R246" s="114"/>
      <c r="S246" s="117" t="s">
        <v>3242</v>
      </c>
      <c r="T246" s="114">
        <f t="shared" si="1"/>
        <v>245</v>
      </c>
      <c r="U246" s="114" t="s">
        <v>635</v>
      </c>
      <c r="V246" s="114" t="str">
        <f>IFERROR(__xludf.DUMMYFUNCTION("REGEXREPLACE(U246, ""\n"", "" "")"),"Kung Fu Jugon")</f>
        <v>Kung Fu Jugon</v>
      </c>
      <c r="W246" s="114"/>
      <c r="X246" s="115" t="str">
        <f t="shared" si="2"/>
        <v>245 Disciple of the Martial Arts - Kung Fu Jugon - Medal [Kung Fu Jugon]</v>
      </c>
      <c r="Y246" s="119"/>
      <c r="Z246" s="117" t="s">
        <v>5036</v>
      </c>
      <c r="AA246" s="117" t="s">
        <v>2773</v>
      </c>
      <c r="AB246" s="114"/>
      <c r="AC246" s="123" t="str">
        <f>IFERROR(__xludf.DUMMYFUNCTION("""COMPUTED_VALUE"""),"https://ik.imagekit.io/alaaalaa6171/098%20Happy%20Holiday%20-%20Nico%20Robin%20-%20Medal%20_Cuerpo%20Fleurs_.png?updatedAt=1770076420870")</f>
        <v>https://ik.imagekit.io/alaaalaa6171/098%20Happy%20Holiday%20-%20Nico%20Robin%20-%20Medal%20_Cuerpo%20Fleurs_.png?updatedAt=1770076420870</v>
      </c>
      <c r="AD246" s="123" t="str">
        <f>IFERROR(__xludf.DUMMYFUNCTION("""COMPUTED_VALUE"""),"https://ik.imagekit.io/alaaalaa6171/098%20Happy%20Holiday%20-%20Nico%20Robin%20-%20Medal%20_Cuerpo%20Fleurs_%20_Colored_.png?updatedAt=1770076420865")</f>
        <v>https://ik.imagekit.io/alaaalaa6171/098%20Happy%20Holiday%20-%20Nico%20Robin%20-%20Medal%20_Cuerpo%20Fleurs_%20_Colored_.png?updatedAt=1770076420865</v>
      </c>
      <c r="AE246" s="123" t="str">
        <f>IFERROR(__xludf.DUMMYFUNCTION("""COMPUTED_VALUE"""),"https://ik.imagekit.io/alaaalaa6171/098%20Happy%20Holiday%20-%20Nico%20Robin%20-%20Medal%20_Cuerpo%20Fleurs_%20-%20Piece.png?updatedAt=1770076420874")</f>
        <v>https://ik.imagekit.io/alaaalaa6171/098%20Happy%20Holiday%20-%20Nico%20Robin%20-%20Medal%20_Cuerpo%20Fleurs_%20-%20Piece.png?updatedAt=1770076420874</v>
      </c>
      <c r="AF246" s="123" t="str">
        <f>IFERROR(__xludf.DUMMYFUNCTION("""COMPUTED_VALUE"""),"https://ik.imagekit.io/alaaalaa6171/098%20Happy%20Holiday%20-%20Nico%20Robin%20-%20Medal%20_Cuerpo%20Fleurs_%20-%20Piece%20_Colored_.png?updatedAt=1770076420869")</f>
        <v>https://ik.imagekit.io/alaaalaa6171/098%20Happy%20Holiday%20-%20Nico%20Robin%20-%20Medal%20_Cuerpo%20Fleurs_%20-%20Piece%20_Colored_.png?updatedAt=1770076420869</v>
      </c>
      <c r="AG246" s="114"/>
      <c r="AH246" s="114"/>
      <c r="AI246" s="121" t="s">
        <v>5037</v>
      </c>
      <c r="AJ246" s="121" t="str">
        <f>IFERROR(__xludf.DUMMYFUNCTION("regexreplace(regexreplace(AI246, ""  \["", "" ""), ""\]$"", """")"),"245 - Disciple of the Martial Arts ~ Kung Fu Jugon - Medal - Crafted [Colored] - Kung Fu Jugon")</f>
        <v>245 - Disciple of the Martial Arts ~ Kung Fu Jugon - Medal - Crafted [Colored] - Kung Fu Jugon</v>
      </c>
      <c r="AK246" s="114"/>
      <c r="AL246" s="117" t="s">
        <v>5038</v>
      </c>
      <c r="AM246" s="117" t="s">
        <v>5039</v>
      </c>
      <c r="AN246" s="114"/>
      <c r="AO246" s="122">
        <f>IFERROR(__xludf.DUMMYFUNCTION("""COMPUTED_VALUE"""),63.0)</f>
        <v>63</v>
      </c>
      <c r="AP246" s="114" t="str">
        <f>IFERROR(__xludf.DUMMYFUNCTION("""COMPUTED_VALUE"""),"Clank_Clank")</f>
        <v>Clank_Clank</v>
      </c>
      <c r="AQ246" s="114" t="str">
        <f>IFERROR(__xludf.DUMMYFUNCTION("""COMPUTED_VALUE"""),"Clank_Clank")</f>
        <v>Clank_Clank</v>
      </c>
      <c r="AR246" s="114"/>
      <c r="AS246" s="114"/>
      <c r="AT246" s="123" t="str">
        <f>IFERROR(__xludf.DUMMYFUNCTION("""COMPUTED_VALUE"""),"https://i.postimg.cc/XvfcSCQL/063.png")</f>
        <v>https://i.postimg.cc/XvfcSCQL/063.png</v>
      </c>
      <c r="AU246" s="114"/>
      <c r="AV246" s="114"/>
      <c r="AW246" s="114"/>
      <c r="AX246" s="114" t="str">
        <f t="shared" si="3"/>
        <v>63 - Medal [Event] - Crafted - Clank_Clank</v>
      </c>
      <c r="AY246" s="114" t="s">
        <v>5040</v>
      </c>
      <c r="AZ246" s="114"/>
      <c r="BA246" s="114"/>
      <c r="BB246" s="114"/>
      <c r="BC246" s="114"/>
      <c r="BD246" s="114"/>
      <c r="BE246" s="114"/>
    </row>
    <row r="247" ht="37.5" customHeight="1">
      <c r="A247" s="118" t="s">
        <v>5041</v>
      </c>
      <c r="B247" s="117" t="s">
        <v>3235</v>
      </c>
      <c r="C247" s="119">
        <f>IFERROR(__xludf.DUMMYFUNCTION("""COMPUTED_VALUE"""),96.0)</f>
        <v>96</v>
      </c>
      <c r="D247" s="114" t="str">
        <f>IFERROR(__xludf.DUMMYFUNCTION("""COMPUTED_VALUE"""),"Snow Creature")</f>
        <v>Snow Creature</v>
      </c>
      <c r="E247" s="114" t="str">
        <f>IFERROR(__xludf.DUMMYFUNCTION("""COMPUTED_VALUE"""),"")</f>
        <v/>
      </c>
      <c r="F247" s="114"/>
      <c r="G247" s="114"/>
      <c r="H247" s="114"/>
      <c r="I247" s="114"/>
      <c r="J247" s="114"/>
      <c r="K247" s="114" t="s">
        <v>5042</v>
      </c>
      <c r="L247" s="114" t="s">
        <v>5043</v>
      </c>
      <c r="M247" s="114" t="s">
        <v>5044</v>
      </c>
      <c r="N247" s="114" t="s">
        <v>5045</v>
      </c>
      <c r="O247" s="114"/>
      <c r="P247" s="120">
        <v>96.0</v>
      </c>
      <c r="Q247" s="117" t="s">
        <v>5046</v>
      </c>
      <c r="R247" s="114"/>
      <c r="S247" s="117" t="s">
        <v>3229</v>
      </c>
      <c r="T247" s="114">
        <f t="shared" si="1"/>
        <v>246</v>
      </c>
      <c r="U247" s="114" t="s">
        <v>629</v>
      </c>
      <c r="V247" s="114" t="str">
        <f>IFERROR(__xludf.DUMMYFUNCTION("REGEXREPLACE(U247, ""\n"", "" "")"),"Elizabello II")</f>
        <v>Elizabello II</v>
      </c>
      <c r="W247" s="114"/>
      <c r="X247" s="115" t="str">
        <f t="shared" si="2"/>
        <v>246 The Kingdom of Prodence / King - Elizabello II - Medal [Elizabello II]</v>
      </c>
      <c r="Y247" s="119"/>
      <c r="Z247" s="117" t="s">
        <v>5047</v>
      </c>
      <c r="AA247" s="117" t="s">
        <v>2785</v>
      </c>
      <c r="AB247" s="114"/>
      <c r="AC247" s="123" t="str">
        <f>IFERROR(__xludf.DUMMYFUNCTION("""COMPUTED_VALUE"""),"https://ik.imagekit.io/alaaalaa6171/097%20Happy%20Holiday%20-%20Franky%20-%20Medal%20_Nipple%20Iight_.png?updatedAt=1770076420875")</f>
        <v>https://ik.imagekit.io/alaaalaa6171/097%20Happy%20Holiday%20-%20Franky%20-%20Medal%20_Nipple%20Iight_.png?updatedAt=1770076420875</v>
      </c>
      <c r="AD247" s="123" t="str">
        <f>IFERROR(__xludf.DUMMYFUNCTION("""COMPUTED_VALUE"""),"https://ik.imagekit.io/alaaalaa6171/097%20Happy%20Holiday%20-%20Franky%20-%20Medal%20_Nipple%20Iight_%20_Colored_.png?updatedAt=1770076420875")</f>
        <v>https://ik.imagekit.io/alaaalaa6171/097%20Happy%20Holiday%20-%20Franky%20-%20Medal%20_Nipple%20Iight_%20_Colored_.png?updatedAt=1770076420875</v>
      </c>
      <c r="AE247" s="123" t="str">
        <f>IFERROR(__xludf.DUMMYFUNCTION("""COMPUTED_VALUE"""),"https://ik.imagekit.io/alaaalaa6171/097%20Happy%20Holiday%20-%20Franky%20-%20Medal%20_Nipple%20Iight_%20-%20Piece.png?updatedAt=1770076420848")</f>
        <v>https://ik.imagekit.io/alaaalaa6171/097%20Happy%20Holiday%20-%20Franky%20-%20Medal%20_Nipple%20Iight_%20-%20Piece.png?updatedAt=1770076420848</v>
      </c>
      <c r="AF247" s="123" t="str">
        <f>IFERROR(__xludf.DUMMYFUNCTION("""COMPUTED_VALUE"""),"https://ik.imagekit.io/alaaalaa6171/097%20Happy%20Holiday%20-%20Franky%20-%20Medal%20_Nipple%20Iight_%20-%20Piece%20_Colored_.png?updatedAt=1770076420809")</f>
        <v>https://ik.imagekit.io/alaaalaa6171/097%20Happy%20Holiday%20-%20Franky%20-%20Medal%20_Nipple%20Iight_%20-%20Piece%20_Colored_.png?updatedAt=1770076420809</v>
      </c>
      <c r="AG247" s="114"/>
      <c r="AH247" s="114"/>
      <c r="AI247" s="121" t="s">
        <v>5048</v>
      </c>
      <c r="AJ247" s="121" t="str">
        <f>IFERROR(__xludf.DUMMYFUNCTION("regexreplace(regexreplace(AI247, ""  \["", "" ""), ""\]$"", """")"),"246 - The Kingdom of Prodence_King ~ Elizabello II - Medal - Crafted [Colored] - Elizabello II")</f>
        <v>246 - The Kingdom of Prodence_King ~ Elizabello II - Medal - Crafted [Colored] - Elizabello II</v>
      </c>
      <c r="AK247" s="114"/>
      <c r="AL247" s="117" t="s">
        <v>5049</v>
      </c>
      <c r="AM247" s="117" t="s">
        <v>5050</v>
      </c>
      <c r="AN247" s="114"/>
      <c r="AO247" s="122">
        <f>IFERROR(__xludf.DUMMYFUNCTION("""COMPUTED_VALUE"""),62.0)</f>
        <v>62</v>
      </c>
      <c r="AP247" s="114" t="str">
        <f>IFERROR(__xludf.DUMMYFUNCTION("""COMPUTED_VALUE"""),"Law
(STAMPEDE)")</f>
        <v>Law
(STAMPEDE)</v>
      </c>
      <c r="AQ247" s="114" t="str">
        <f>IFERROR(__xludf.DUMMYFUNCTION("""COMPUTED_VALUE"""),"Law (STAMPEDE)")</f>
        <v>Law (STAMPEDE)</v>
      </c>
      <c r="AR247" s="114"/>
      <c r="AS247" s="114"/>
      <c r="AT247" s="123" t="str">
        <f>IFERROR(__xludf.DUMMYFUNCTION("""COMPUTED_VALUE"""),"https://i.postimg.cc/FRhb9H64/062.png")</f>
        <v>https://i.postimg.cc/FRhb9H64/062.png</v>
      </c>
      <c r="AU247" s="114"/>
      <c r="AV247" s="114"/>
      <c r="AW247" s="114"/>
      <c r="AX247" s="114" t="str">
        <f t="shared" si="3"/>
        <v>62 - Medal [Event] - Crafted - Law (STAMPEDE)</v>
      </c>
      <c r="AY247" s="114" t="s">
        <v>5051</v>
      </c>
      <c r="AZ247" s="114"/>
      <c r="BA247" s="114"/>
      <c r="BB247" s="114"/>
      <c r="BC247" s="114"/>
      <c r="BD247" s="114"/>
      <c r="BE247" s="114"/>
    </row>
    <row r="248" ht="37.5" customHeight="1">
      <c r="A248" s="118" t="s">
        <v>5052</v>
      </c>
      <c r="B248" s="117" t="s">
        <v>3222</v>
      </c>
      <c r="C248" s="119">
        <f>IFERROR(__xludf.DUMMYFUNCTION("""COMPUTED_VALUE"""),95.0)</f>
        <v>95</v>
      </c>
      <c r="D248" s="114" t="str">
        <f>IFERROR(__xludf.DUMMYFUNCTION("""COMPUTED_VALUE"""),"Kuma")</f>
        <v>Kuma</v>
      </c>
      <c r="E248" s="114" t="str">
        <f>IFERROR(__xludf.DUMMYFUNCTION("""COMPUTED_VALUE"""),"")</f>
        <v/>
      </c>
      <c r="F248" s="114"/>
      <c r="G248" s="114"/>
      <c r="H248" s="114"/>
      <c r="I248" s="114"/>
      <c r="J248" s="114"/>
      <c r="K248" s="114" t="s">
        <v>5053</v>
      </c>
      <c r="L248" s="114" t="s">
        <v>5054</v>
      </c>
      <c r="M248" s="114" t="s">
        <v>5055</v>
      </c>
      <c r="N248" s="114" t="s">
        <v>5056</v>
      </c>
      <c r="O248" s="114"/>
      <c r="P248" s="120">
        <v>95.0</v>
      </c>
      <c r="Q248" s="117" t="s">
        <v>5057</v>
      </c>
      <c r="R248" s="114"/>
      <c r="S248" s="117" t="s">
        <v>3216</v>
      </c>
      <c r="T248" s="114">
        <f t="shared" si="1"/>
        <v>247</v>
      </c>
      <c r="U248" s="114" t="s">
        <v>622</v>
      </c>
      <c r="V248" s="114" t="str">
        <f>IFERROR(__xludf.DUMMYFUNCTION("REGEXREPLACE(U248, ""\n"", "" "")"),"Ideo")</f>
        <v>Ideo</v>
      </c>
      <c r="W248" s="114"/>
      <c r="X248" s="115" t="str">
        <f t="shared" si="2"/>
        <v>247 Triple-X-Level Boxer - Ideo - Medal [Ideo]</v>
      </c>
      <c r="Y248" s="119"/>
      <c r="Z248" s="117" t="s">
        <v>5058</v>
      </c>
      <c r="AA248" s="117" t="s">
        <v>2787</v>
      </c>
      <c r="AB248" s="114"/>
      <c r="AC248" s="123" t="str">
        <f>IFERROR(__xludf.DUMMYFUNCTION("""COMPUTED_VALUE"""),"https://ik.imagekit.io/alaaalaa6171/096%20Happy%20Holiday%20-%20Tony%20Tony%20Chopper%20-%20Medal%20_Snow%20Creature_.png?updatedAt=1770076420833")</f>
        <v>https://ik.imagekit.io/alaaalaa6171/096%20Happy%20Holiday%20-%20Tony%20Tony%20Chopper%20-%20Medal%20_Snow%20Creature_.png?updatedAt=1770076420833</v>
      </c>
      <c r="AD248" s="123" t="str">
        <f>IFERROR(__xludf.DUMMYFUNCTION("""COMPUTED_VALUE"""),"https://ik.imagekit.io/alaaalaa6171/096%20Happy%20Holiday%20-%20Tony%20Tony%20Chopper%20-%20Medal%20_Snow%20Creature_%20_Colored_.png?updatedAt=1770076420860")</f>
        <v>https://ik.imagekit.io/alaaalaa6171/096%20Happy%20Holiday%20-%20Tony%20Tony%20Chopper%20-%20Medal%20_Snow%20Creature_%20_Colored_.png?updatedAt=1770076420860</v>
      </c>
      <c r="AE248" s="123" t="str">
        <f>IFERROR(__xludf.DUMMYFUNCTION("""COMPUTED_VALUE"""),"https://ik.imagekit.io/alaaalaa6171/096%20Happy%20Holiday%20-%20Tony%20Tony%20Chopper%20-%20Medal%20_Snow%20Creature_%20-%20Piece.png?updatedAt=1770076420863")</f>
        <v>https://ik.imagekit.io/alaaalaa6171/096%20Happy%20Holiday%20-%20Tony%20Tony%20Chopper%20-%20Medal%20_Snow%20Creature_%20-%20Piece.png?updatedAt=1770076420863</v>
      </c>
      <c r="AF248" s="123" t="str">
        <f>IFERROR(__xludf.DUMMYFUNCTION("""COMPUTED_VALUE"""),"https://ik.imagekit.io/alaaalaa6171/096%20Happy%20Holiday%20-%20Tony%20Tony%20Chopper%20-%20Medal%20_Snow%20Creature_%20-%20Piece%20_Colored_.png?updatedAt=1770076420868")</f>
        <v>https://ik.imagekit.io/alaaalaa6171/096%20Happy%20Holiday%20-%20Tony%20Tony%20Chopper%20-%20Medal%20_Snow%20Creature_%20-%20Piece%20_Colored_.png?updatedAt=1770076420868</v>
      </c>
      <c r="AG248" s="114"/>
      <c r="AH248" s="114"/>
      <c r="AI248" s="121" t="s">
        <v>5059</v>
      </c>
      <c r="AJ248" s="121" t="str">
        <f>IFERROR(__xludf.DUMMYFUNCTION("regexreplace(regexreplace(AI248, ""  \["", "" ""), ""\]$"", """")"),"247 - Triple-X-Level Boxer ~ Ideo - Medal - Crafted [Colored] - Ideo")</f>
        <v>247 - Triple-X-Level Boxer ~ Ideo - Medal - Crafted [Colored] - Ideo</v>
      </c>
      <c r="AK248" s="114"/>
      <c r="AL248" s="117" t="s">
        <v>5060</v>
      </c>
      <c r="AM248" s="117" t="s">
        <v>5061</v>
      </c>
      <c r="AN248" s="114"/>
      <c r="AO248" s="122">
        <f>IFERROR(__xludf.DUMMYFUNCTION("""COMPUTED_VALUE"""),61.0)</f>
        <v>61</v>
      </c>
      <c r="AP248" s="114" t="str">
        <f>IFERROR(__xludf.DUMMYFUNCTION("""COMPUTED_VALUE"""),"Usopp
(STAMPEDE)")</f>
        <v>Usopp
(STAMPEDE)</v>
      </c>
      <c r="AQ248" s="114" t="str">
        <f>IFERROR(__xludf.DUMMYFUNCTION("""COMPUTED_VALUE"""),"Usopp (STAMPEDE)")</f>
        <v>Usopp (STAMPEDE)</v>
      </c>
      <c r="AR248" s="114"/>
      <c r="AS248" s="114"/>
      <c r="AT248" s="123" t="str">
        <f>IFERROR(__xludf.DUMMYFUNCTION("""COMPUTED_VALUE"""),"https://i.postimg.cc/d1n2DKMT/061.png")</f>
        <v>https://i.postimg.cc/d1n2DKMT/061.png</v>
      </c>
      <c r="AU248" s="114"/>
      <c r="AV248" s="114"/>
      <c r="AW248" s="114"/>
      <c r="AX248" s="114" t="str">
        <f t="shared" si="3"/>
        <v>61 - Medal [Event] - Crafted - Usopp (STAMPEDE)</v>
      </c>
      <c r="AY248" s="114" t="s">
        <v>5062</v>
      </c>
      <c r="AZ248" s="114"/>
      <c r="BA248" s="114"/>
      <c r="BB248" s="114"/>
      <c r="BC248" s="114"/>
      <c r="BD248" s="114"/>
      <c r="BE248" s="114"/>
    </row>
    <row r="249" ht="37.5" customHeight="1">
      <c r="A249" s="118" t="s">
        <v>5063</v>
      </c>
      <c r="B249" s="117" t="s">
        <v>3209</v>
      </c>
      <c r="C249" s="119">
        <f>IFERROR(__xludf.DUMMYFUNCTION("""COMPUTED_VALUE"""),94.0)</f>
        <v>94</v>
      </c>
      <c r="D249" s="114" t="str">
        <f>IFERROR(__xludf.DUMMYFUNCTION("""COMPUTED_VALUE"""),"Reiju")</f>
        <v>Reiju</v>
      </c>
      <c r="E249" s="114" t="str">
        <f>IFERROR(__xludf.DUMMYFUNCTION("""COMPUTED_VALUE"""),"")</f>
        <v/>
      </c>
      <c r="F249" s="114"/>
      <c r="G249" s="114"/>
      <c r="H249" s="114"/>
      <c r="I249" s="114"/>
      <c r="J249" s="114"/>
      <c r="K249" s="114" t="s">
        <v>5064</v>
      </c>
      <c r="L249" s="114" t="s">
        <v>5065</v>
      </c>
      <c r="M249" s="114" t="s">
        <v>5066</v>
      </c>
      <c r="N249" s="114" t="s">
        <v>5067</v>
      </c>
      <c r="O249" s="114"/>
      <c r="P249" s="120">
        <v>94.0</v>
      </c>
      <c r="Q249" s="117" t="s">
        <v>5068</v>
      </c>
      <c r="R249" s="114"/>
      <c r="S249" s="117" t="s">
        <v>3203</v>
      </c>
      <c r="T249" s="114">
        <f t="shared" si="1"/>
        <v>248</v>
      </c>
      <c r="U249" s="114" t="s">
        <v>617</v>
      </c>
      <c r="V249" s="114" t="str">
        <f>IFERROR(__xludf.DUMMYFUNCTION("REGEXREPLACE(U249, ""\n"", "" "")"),"Raid Robin")</f>
        <v>Raid Robin</v>
      </c>
      <c r="W249" s="114"/>
      <c r="X249" s="115" t="str">
        <f t="shared" si="2"/>
        <v>248 Raid on Onigashima - Nico Robin - Medal [Raid Robin]</v>
      </c>
      <c r="Y249" s="119"/>
      <c r="Z249" s="117" t="s">
        <v>5069</v>
      </c>
      <c r="AA249" s="117" t="s">
        <v>2788</v>
      </c>
      <c r="AB249" s="114"/>
      <c r="AC249" s="123" t="str">
        <f>IFERROR(__xludf.DUMMYFUNCTION("""COMPUTED_VALUE"""),"https://ik.imagekit.io/alaaalaa6171/095%20The%20Seven%20Warlords%20of%20the%20Sea%20-%20Bartholomew%20Kuma%20-%20Medal%20_Kuma_.png?updatedAt=1770076420857")</f>
        <v>https://ik.imagekit.io/alaaalaa6171/095%20The%20Seven%20Warlords%20of%20the%20Sea%20-%20Bartholomew%20Kuma%20-%20Medal%20_Kuma_.png?updatedAt=1770076420857</v>
      </c>
      <c r="AD249" s="123" t="str">
        <f>IFERROR(__xludf.DUMMYFUNCTION("""COMPUTED_VALUE"""),"https://ik.imagekit.io/alaaalaa6171/095%20The%20Seven%20Warlords%20of%20the%20Sea%20-%20Bartholomew%20Kuma%20-%20Medal%20_Kuma_%20_Colored_.png?updatedAt=1770076420797")</f>
        <v>https://ik.imagekit.io/alaaalaa6171/095%20The%20Seven%20Warlords%20of%20the%20Sea%20-%20Bartholomew%20Kuma%20-%20Medal%20_Kuma_%20_Colored_.png?updatedAt=1770076420797</v>
      </c>
      <c r="AE249" s="123" t="str">
        <f>IFERROR(__xludf.DUMMYFUNCTION("""COMPUTED_VALUE"""),"https://ik.imagekit.io/alaaalaa6171/095%20The%20Seven%20Warlords%20of%20the%20Sea%20-%20Bartholomew%20Kuma%20-%20Medal%20_Kuma_%20-%20Piece.png?updatedAt=1770076420783")</f>
        <v>https://ik.imagekit.io/alaaalaa6171/095%20The%20Seven%20Warlords%20of%20the%20Sea%20-%20Bartholomew%20Kuma%20-%20Medal%20_Kuma_%20-%20Piece.png?updatedAt=1770076420783</v>
      </c>
      <c r="AF249" s="123" t="str">
        <f>IFERROR(__xludf.DUMMYFUNCTION("""COMPUTED_VALUE"""),"https://ik.imagekit.io/alaaalaa6171/095%20The%20Seven%20Warlords%20of%20the%20Sea%20-%20Bartholomew%20Kuma%20-%20Medal%20_Kuma_%20-%20Piece%20_Colored_.png?updatedAt=1770076420791")</f>
        <v>https://ik.imagekit.io/alaaalaa6171/095%20The%20Seven%20Warlords%20of%20the%20Sea%20-%20Bartholomew%20Kuma%20-%20Medal%20_Kuma_%20-%20Piece%20_Colored_.png?updatedAt=1770076420791</v>
      </c>
      <c r="AG249" s="114"/>
      <c r="AH249" s="114"/>
      <c r="AI249" s="121" t="s">
        <v>5070</v>
      </c>
      <c r="AJ249" s="121" t="str">
        <f>IFERROR(__xludf.DUMMYFUNCTION("regexreplace(regexreplace(AI249, ""  \["", "" ""), ""\]$"", """")"),"248 - Raid on Onigashima ~ Nico Robin - Medal - Crafted [Colored] - Raid Robin")</f>
        <v>248 - Raid on Onigashima ~ Nico Robin - Medal - Crafted [Colored] - Raid Robin</v>
      </c>
      <c r="AK249" s="114"/>
      <c r="AL249" s="117" t="s">
        <v>5071</v>
      </c>
      <c r="AM249" s="117" t="s">
        <v>5072</v>
      </c>
      <c r="AN249" s="114"/>
      <c r="AO249" s="122">
        <f>IFERROR(__xludf.DUMMYFUNCTION("""COMPUTED_VALUE"""),60.0)</f>
        <v>60</v>
      </c>
      <c r="AP249" s="114" t="str">
        <f>IFERROR(__xludf.DUMMYFUNCTION("""COMPUTED_VALUE"""),"Bubble_Bubble")</f>
        <v>Bubble_Bubble</v>
      </c>
      <c r="AQ249" s="114" t="str">
        <f>IFERROR(__xludf.DUMMYFUNCTION("""COMPUTED_VALUE"""),"Bubble_Bubble")</f>
        <v>Bubble_Bubble</v>
      </c>
      <c r="AR249" s="114"/>
      <c r="AS249" s="114"/>
      <c r="AT249" s="123" t="str">
        <f>IFERROR(__xludf.DUMMYFUNCTION("""COMPUTED_VALUE"""),"https://i.postimg.cc/ZnRrdDZs/060.png")</f>
        <v>https://i.postimg.cc/ZnRrdDZs/060.png</v>
      </c>
      <c r="AU249" s="114"/>
      <c r="AV249" s="114"/>
      <c r="AW249" s="114"/>
      <c r="AX249" s="114" t="str">
        <f t="shared" si="3"/>
        <v>60 - Medal [Event] - Crafted - Bubble_Bubble</v>
      </c>
      <c r="AY249" s="114" t="s">
        <v>5073</v>
      </c>
      <c r="AZ249" s="114"/>
      <c r="BA249" s="114"/>
      <c r="BB249" s="114"/>
      <c r="BC249" s="114"/>
      <c r="BD249" s="114"/>
      <c r="BE249" s="114"/>
    </row>
    <row r="250" ht="37.5" customHeight="1">
      <c r="A250" s="118" t="s">
        <v>5074</v>
      </c>
      <c r="B250" s="117" t="s">
        <v>3196</v>
      </c>
      <c r="C250" s="119">
        <f>IFERROR(__xludf.DUMMYFUNCTION("""COMPUTED_VALUE"""),93.0)</f>
        <v>93</v>
      </c>
      <c r="D250" s="114" t="str">
        <f>IFERROR(__xludf.DUMMYFUNCTION("""COMPUTED_VALUE"""),"Bege")</f>
        <v>Bege</v>
      </c>
      <c r="E250" s="114" t="str">
        <f>IFERROR(__xludf.DUMMYFUNCTION("""COMPUTED_VALUE"""),"")</f>
        <v/>
      </c>
      <c r="F250" s="114"/>
      <c r="G250" s="114"/>
      <c r="H250" s="114"/>
      <c r="I250" s="114"/>
      <c r="J250" s="114"/>
      <c r="K250" s="114" t="s">
        <v>5075</v>
      </c>
      <c r="L250" s="114" t="s">
        <v>5076</v>
      </c>
      <c r="M250" s="114" t="s">
        <v>5077</v>
      </c>
      <c r="N250" s="114" t="s">
        <v>5078</v>
      </c>
      <c r="O250" s="114"/>
      <c r="P250" s="120">
        <v>93.0</v>
      </c>
      <c r="Q250" s="117" t="s">
        <v>5079</v>
      </c>
      <c r="R250" s="114"/>
      <c r="S250" s="117" t="s">
        <v>3190</v>
      </c>
      <c r="T250" s="114">
        <f t="shared" si="1"/>
        <v>249</v>
      </c>
      <c r="U250" s="114" t="s">
        <v>611</v>
      </c>
      <c r="V250" s="114" t="str">
        <f>IFERROR(__xludf.DUMMYFUNCTION("REGEXREPLACE(U250, ""\n"", "" "")"),"Raid Brook")</f>
        <v>Raid Brook</v>
      </c>
      <c r="W250" s="114"/>
      <c r="X250" s="115" t="str">
        <f t="shared" si="2"/>
        <v>249 Raid on Onigashima - Brook - Medal [Raid Brook]</v>
      </c>
      <c r="Y250" s="119"/>
      <c r="Z250" s="117" t="s">
        <v>5080</v>
      </c>
      <c r="AA250" s="117" t="s">
        <v>2786</v>
      </c>
      <c r="AB250" s="114"/>
      <c r="AC250" s="123" t="str">
        <f>IFERROR(__xludf.DUMMYFUNCTION("""COMPUTED_VALUE"""),"https://ik.imagekit.io/alaaalaa6171/094%20Germa%2066%20-%20Vinsmoke%20Reiju%20-%20Medal%20_Reiju_.png?updatedAt=1770076420849")</f>
        <v>https://ik.imagekit.io/alaaalaa6171/094%20Germa%2066%20-%20Vinsmoke%20Reiju%20-%20Medal%20_Reiju_.png?updatedAt=1770076420849</v>
      </c>
      <c r="AD250" s="123" t="str">
        <f>IFERROR(__xludf.DUMMYFUNCTION("""COMPUTED_VALUE"""),"https://ik.imagekit.io/alaaalaa6171/094%20Germa%2066%20-%20Vinsmoke%20Reiju%20-%20Medal%20_Reiju_%20_Colored_.png?updatedAt=1770076420857")</f>
        <v>https://ik.imagekit.io/alaaalaa6171/094%20Germa%2066%20-%20Vinsmoke%20Reiju%20-%20Medal%20_Reiju_%20_Colored_.png?updatedAt=1770076420857</v>
      </c>
      <c r="AE250" s="123" t="str">
        <f>IFERROR(__xludf.DUMMYFUNCTION("""COMPUTED_VALUE"""),"https://ik.imagekit.io/alaaalaa6171/094%20Germa%2066%20-%20Vinsmoke%20Reiju%20-%20Medal%20_Reiju_%20-%20Piece.png?updatedAt=1770076420791")</f>
        <v>https://ik.imagekit.io/alaaalaa6171/094%20Germa%2066%20-%20Vinsmoke%20Reiju%20-%20Medal%20_Reiju_%20-%20Piece.png?updatedAt=1770076420791</v>
      </c>
      <c r="AF250" s="123" t="str">
        <f>IFERROR(__xludf.DUMMYFUNCTION("""COMPUTED_VALUE"""),"https://ik.imagekit.io/alaaalaa6171/094%20Germa%2066%20-%20Vinsmoke%20Reiju%20-%20Medal%20_Reiju_%20-%20Piece%20_Colored_.png?updatedAt=1770076420850")</f>
        <v>https://ik.imagekit.io/alaaalaa6171/094%20Germa%2066%20-%20Vinsmoke%20Reiju%20-%20Medal%20_Reiju_%20-%20Piece%20_Colored_.png?updatedAt=1770076420850</v>
      </c>
      <c r="AG250" s="114"/>
      <c r="AH250" s="114"/>
      <c r="AI250" s="121" t="s">
        <v>5081</v>
      </c>
      <c r="AJ250" s="121" t="str">
        <f>IFERROR(__xludf.DUMMYFUNCTION("regexreplace(regexreplace(AI250, ""  \["", "" ""), ""\]$"", """")"),"249 - Raid on Onigashima ~ Brook - Medal - Crafted [Colored] - Raid Brook")</f>
        <v>249 - Raid on Onigashima ~ Brook - Medal - Crafted [Colored] - Raid Brook</v>
      </c>
      <c r="AK250" s="114"/>
      <c r="AL250" s="117" t="s">
        <v>5082</v>
      </c>
      <c r="AM250" s="117" t="s">
        <v>5083</v>
      </c>
      <c r="AN250" s="114"/>
      <c r="AO250" s="122">
        <f>IFERROR(__xludf.DUMMYFUNCTION("""COMPUTED_VALUE"""),59.0)</f>
        <v>59</v>
      </c>
      <c r="AP250" s="114" t="str">
        <f>IFERROR(__xludf.DUMMYFUNCTION("""COMPUTED_VALUE"""),"Wolf")</f>
        <v>Wolf</v>
      </c>
      <c r="AQ250" s="114" t="str">
        <f>IFERROR(__xludf.DUMMYFUNCTION("""COMPUTED_VALUE"""),"Wolf")</f>
        <v>Wolf</v>
      </c>
      <c r="AR250" s="114"/>
      <c r="AS250" s="114"/>
      <c r="AT250" s="123" t="str">
        <f>IFERROR(__xludf.DUMMYFUNCTION("""COMPUTED_VALUE"""),"https://i.postimg.cc/FzB0ggHr/059.png")</f>
        <v>https://i.postimg.cc/FzB0ggHr/059.png</v>
      </c>
      <c r="AU250" s="114"/>
      <c r="AV250" s="114"/>
      <c r="AW250" s="114"/>
      <c r="AX250" s="114" t="str">
        <f t="shared" si="3"/>
        <v>59 - Medal [Event] - Crafted - Wolf</v>
      </c>
      <c r="AY250" s="114" t="s">
        <v>5084</v>
      </c>
      <c r="AZ250" s="114"/>
      <c r="BA250" s="114"/>
      <c r="BB250" s="114"/>
      <c r="BC250" s="114"/>
      <c r="BD250" s="114"/>
      <c r="BE250" s="114"/>
    </row>
    <row r="251" ht="37.5" customHeight="1">
      <c r="A251" s="118" t="s">
        <v>5085</v>
      </c>
      <c r="B251" s="117" t="s">
        <v>3183</v>
      </c>
      <c r="C251" s="119">
        <f>IFERROR(__xludf.DUMMYFUNCTION("""COMPUTED_VALUE"""),92.0)</f>
        <v>92</v>
      </c>
      <c r="D251" s="114" t="str">
        <f>IFERROR(__xludf.DUMMYFUNCTION("""COMPUTED_VALUE"""),"Boeuf Jarret Jarrer")</f>
        <v>Boeuf Jarret Jarrer</v>
      </c>
      <c r="E251" s="114" t="str">
        <f>IFERROR(__xludf.DUMMYFUNCTION("""COMPUTED_VALUE"""),"")</f>
        <v/>
      </c>
      <c r="F251" s="114"/>
      <c r="G251" s="114"/>
      <c r="H251" s="114"/>
      <c r="I251" s="114"/>
      <c r="J251" s="114"/>
      <c r="K251" s="114" t="s">
        <v>5086</v>
      </c>
      <c r="L251" s="114" t="s">
        <v>5087</v>
      </c>
      <c r="M251" s="114" t="s">
        <v>5088</v>
      </c>
      <c r="N251" s="114" t="s">
        <v>5089</v>
      </c>
      <c r="O251" s="114"/>
      <c r="P251" s="120">
        <v>92.0</v>
      </c>
      <c r="Q251" s="117" t="s">
        <v>5090</v>
      </c>
      <c r="R251" s="114"/>
      <c r="S251" s="117" t="s">
        <v>3177</v>
      </c>
      <c r="T251" s="114">
        <f t="shared" si="1"/>
        <v>250</v>
      </c>
      <c r="U251" s="114" t="s">
        <v>606</v>
      </c>
      <c r="V251" s="114" t="str">
        <f>IFERROR(__xludf.DUMMYFUNCTION("REGEXREPLACE(U251, ""\n"", "" "")"),"Namuji Glacier Fang")</f>
        <v>Namuji Glacier Fang</v>
      </c>
      <c r="W251" s="114"/>
      <c r="X251" s="115" t="str">
        <f t="shared" si="2"/>
        <v>250 Okuchi-no-Makami - Yamato - Medal [Namuji Glacier Fang]</v>
      </c>
      <c r="Y251" s="119"/>
      <c r="Z251" s="117" t="s">
        <v>5091</v>
      </c>
      <c r="AA251" s="117" t="s">
        <v>2798</v>
      </c>
      <c r="AB251" s="114"/>
      <c r="AC251" s="123" t="str">
        <f>IFERROR(__xludf.DUMMYFUNCTION("""COMPUTED_VALUE"""),"https://ik.imagekit.io/alaaalaa6171/093%20Firetank%20Pirates_Godfather%20-%20Capone%20Bege%20-%20Medal%20_Bege_.png?updatedAt=1770076420530")</f>
        <v>https://ik.imagekit.io/alaaalaa6171/093%20Firetank%20Pirates_Godfather%20-%20Capone%20Bege%20-%20Medal%20_Bege_.png?updatedAt=1770076420530</v>
      </c>
      <c r="AD251" s="123" t="str">
        <f>IFERROR(__xludf.DUMMYFUNCTION("""COMPUTED_VALUE"""),"https://ik.imagekit.io/alaaalaa6171/093%20Firetank%20Pirates_Godfather%20-%20Capone%20Bege%20-%20Medal%20_Bege_%20_Colored_.png?updatedAt=1770076420512")</f>
        <v>https://ik.imagekit.io/alaaalaa6171/093%20Firetank%20Pirates_Godfather%20-%20Capone%20Bege%20-%20Medal%20_Bege_%20_Colored_.png?updatedAt=1770076420512</v>
      </c>
      <c r="AE251" s="123" t="str">
        <f>IFERROR(__xludf.DUMMYFUNCTION("""COMPUTED_VALUE"""),"https://ik.imagekit.io/alaaalaa6171/093%20Firetank%20Pirates_Godfather%20-%20Capone%20Bege%20-%20Medal%20_Bege_%20-%20Piece.png?updatedAt=1770076420507")</f>
        <v>https://ik.imagekit.io/alaaalaa6171/093%20Firetank%20Pirates_Godfather%20-%20Capone%20Bege%20-%20Medal%20_Bege_%20-%20Piece.png?updatedAt=1770076420507</v>
      </c>
      <c r="AF251" s="123" t="str">
        <f>IFERROR(__xludf.DUMMYFUNCTION("""COMPUTED_VALUE"""),"https://ik.imagekit.io/alaaalaa6171/093%20Firetank%20Pirates_Godfather%20-%20Capone%20Bege%20-%20Medal%20_Bege_%20-%20Piece%20_Colored_.png?updatedAt=1770076420273")</f>
        <v>https://ik.imagekit.io/alaaalaa6171/093%20Firetank%20Pirates_Godfather%20-%20Capone%20Bege%20-%20Medal%20_Bege_%20-%20Piece%20_Colored_.png?updatedAt=1770076420273</v>
      </c>
      <c r="AG251" s="114"/>
      <c r="AH251" s="114"/>
      <c r="AI251" s="121" t="s">
        <v>5092</v>
      </c>
      <c r="AJ251" s="121" t="str">
        <f>IFERROR(__xludf.DUMMYFUNCTION("regexreplace(regexreplace(AI251, ""  \["", "" ""), ""\]$"", """")"),"250 - Okuchi-no-Makami ~ Yamato - Medal - Crafted [Colored] - Namuji Glacier Fang")</f>
        <v>250 - Okuchi-no-Makami ~ Yamato - Medal - Crafted [Colored] - Namuji Glacier Fang</v>
      </c>
      <c r="AK251" s="114"/>
      <c r="AL251" s="117" t="s">
        <v>5093</v>
      </c>
      <c r="AM251" s="117" t="s">
        <v>5094</v>
      </c>
      <c r="AN251" s="114"/>
      <c r="AO251" s="122">
        <f>IFERROR(__xludf.DUMMYFUNCTION("""COMPUTED_VALUE"""),58.0)</f>
        <v>58</v>
      </c>
      <c r="AP251" s="114" t="str">
        <f>IFERROR(__xludf.DUMMYFUNCTION("""COMPUTED_VALUE"""),"Happosui Army")</f>
        <v>Happosui Army</v>
      </c>
      <c r="AQ251" s="114" t="str">
        <f>IFERROR(__xludf.DUMMYFUNCTION("""COMPUTED_VALUE"""),"Happosui Army")</f>
        <v>Happosui Army</v>
      </c>
      <c r="AR251" s="114"/>
      <c r="AS251" s="114"/>
      <c r="AT251" s="123" t="str">
        <f>IFERROR(__xludf.DUMMYFUNCTION("""COMPUTED_VALUE"""),"https://i.postimg.cc/Kcq72Fr6/058.png")</f>
        <v>https://i.postimg.cc/Kcq72Fr6/058.png</v>
      </c>
      <c r="AU251" s="114"/>
      <c r="AV251" s="114"/>
      <c r="AW251" s="114"/>
      <c r="AX251" s="114" t="str">
        <f t="shared" si="3"/>
        <v>58 - Medal [Event] - Crafted - Happosui Army</v>
      </c>
      <c r="AY251" s="114" t="s">
        <v>5095</v>
      </c>
      <c r="AZ251" s="114"/>
      <c r="BA251" s="114"/>
      <c r="BB251" s="114"/>
      <c r="BC251" s="114"/>
      <c r="BD251" s="114"/>
      <c r="BE251" s="114"/>
    </row>
    <row r="252" ht="37.5" customHeight="1">
      <c r="A252" s="118" t="s">
        <v>5096</v>
      </c>
      <c r="B252" s="117" t="s">
        <v>3170</v>
      </c>
      <c r="C252" s="119">
        <f>IFERROR(__xludf.DUMMYFUNCTION("""COMPUTED_VALUE"""),91.0)</f>
        <v>91</v>
      </c>
      <c r="D252" s="114" t="str">
        <f>IFERROR(__xludf.DUMMYFUNCTION("""COMPUTED_VALUE"""),"Jinbe")</f>
        <v>Jinbe</v>
      </c>
      <c r="E252" s="114" t="str">
        <f>IFERROR(__xludf.DUMMYFUNCTION("""COMPUTED_VALUE"""),"")</f>
        <v/>
      </c>
      <c r="F252" s="114"/>
      <c r="G252" s="114"/>
      <c r="H252" s="114"/>
      <c r="I252" s="114"/>
      <c r="J252" s="114"/>
      <c r="K252" s="114" t="s">
        <v>5097</v>
      </c>
      <c r="L252" s="114" t="s">
        <v>5098</v>
      </c>
      <c r="M252" s="114" t="s">
        <v>5099</v>
      </c>
      <c r="N252" s="114" t="s">
        <v>5100</v>
      </c>
      <c r="O252" s="114"/>
      <c r="P252" s="120">
        <v>91.0</v>
      </c>
      <c r="Q252" s="117" t="s">
        <v>5101</v>
      </c>
      <c r="R252" s="114"/>
      <c r="S252" s="117" t="s">
        <v>3164</v>
      </c>
      <c r="T252" s="114">
        <f t="shared" si="1"/>
        <v>251</v>
      </c>
      <c r="U252" s="114" t="s">
        <v>600</v>
      </c>
      <c r="V252" s="114" t="str">
        <f>IFERROR(__xludf.DUMMYFUNCTION("REGEXREPLACE(U252, ""\n"", "" "")"),"Raid Nami")</f>
        <v>Raid Nami</v>
      </c>
      <c r="W252" s="114"/>
      <c r="X252" s="115" t="str">
        <f t="shared" si="2"/>
        <v>251 Raid on Onigashima - Nami - Medal [Raid Nami]</v>
      </c>
      <c r="Y252" s="119"/>
      <c r="Z252" s="117" t="s">
        <v>5102</v>
      </c>
      <c r="AA252" s="117" t="s">
        <v>2800</v>
      </c>
      <c r="AB252" s="114"/>
      <c r="AC252" s="123" t="str">
        <f>IFERROR(__xludf.DUMMYFUNCTION("""COMPUTED_VALUE"""),"https://ik.imagekit.io/alaaalaa6171/092%20Whole%20Cake%20Island%20-%20Sanji%20-%20Medal%20_Boeuf%20Jarret%20Jarrer_.png?updatedAt=1770076419639")</f>
        <v>https://ik.imagekit.io/alaaalaa6171/092%20Whole%20Cake%20Island%20-%20Sanji%20-%20Medal%20_Boeuf%20Jarret%20Jarrer_.png?updatedAt=1770076419639</v>
      </c>
      <c r="AD252" s="123" t="str">
        <f>IFERROR(__xludf.DUMMYFUNCTION("""COMPUTED_VALUE"""),"https://ik.imagekit.io/alaaalaa6171/092%20Whole%20Cake%20Island%20-%20Sanji%20-%20Medal%20_Boeuf%20Jarret%20Jarrer_%20_Colored_.png?updatedAt=1770076419012")</f>
        <v>https://ik.imagekit.io/alaaalaa6171/092%20Whole%20Cake%20Island%20-%20Sanji%20-%20Medal%20_Boeuf%20Jarret%20Jarrer_%20_Colored_.png?updatedAt=1770076419012</v>
      </c>
      <c r="AE252" s="123" t="str">
        <f>IFERROR(__xludf.DUMMYFUNCTION("""COMPUTED_VALUE"""),"https://ik.imagekit.io/alaaalaa6171/092%20Whole%20Cake%20Island%20-%20Sanji%20-%20Medal%20_Boeuf%20Jarret%20Jarrer_%20-%20Piece.png?updatedAt=1770076418889")</f>
        <v>https://ik.imagekit.io/alaaalaa6171/092%20Whole%20Cake%20Island%20-%20Sanji%20-%20Medal%20_Boeuf%20Jarret%20Jarrer_%20-%20Piece.png?updatedAt=1770076418889</v>
      </c>
      <c r="AF252" s="123" t="str">
        <f>IFERROR(__xludf.DUMMYFUNCTION("""COMPUTED_VALUE"""),"https://ik.imagekit.io/alaaalaa6171/092%20Whole%20Cake%20Island%20-%20Sanji%20-%20Medal%20_Boeuf%20Jarret%20Jarrer_%20-%20Piece%20_Colored_.png?updatedAt=1770076418495")</f>
        <v>https://ik.imagekit.io/alaaalaa6171/092%20Whole%20Cake%20Island%20-%20Sanji%20-%20Medal%20_Boeuf%20Jarret%20Jarrer_%20-%20Piece%20_Colored_.png?updatedAt=1770076418495</v>
      </c>
      <c r="AG252" s="114"/>
      <c r="AH252" s="114"/>
      <c r="AI252" s="121" t="s">
        <v>5103</v>
      </c>
      <c r="AJ252" s="121" t="str">
        <f>IFERROR(__xludf.DUMMYFUNCTION("regexreplace(regexreplace(AI252, ""  \["", "" ""), ""\]$"", """")"),"251 - Raid on Onigashima ~ Nami - Medal - Crafted [Colored] - Raid Nami")</f>
        <v>251 - Raid on Onigashima ~ Nami - Medal - Crafted [Colored] - Raid Nami</v>
      </c>
      <c r="AK252" s="114"/>
      <c r="AL252" s="117" t="s">
        <v>5104</v>
      </c>
      <c r="AM252" s="117" t="s">
        <v>5105</v>
      </c>
      <c r="AN252" s="114"/>
      <c r="AO252" s="122">
        <f>IFERROR(__xludf.DUMMYFUNCTION("""COMPUTED_VALUE"""),57.0)</f>
        <v>57</v>
      </c>
      <c r="AP252" s="114" t="str">
        <f>IFERROR(__xludf.DUMMYFUNCTION("""COMPUTED_VALUE"""),"Warrior")</f>
        <v>Warrior</v>
      </c>
      <c r="AQ252" s="114" t="str">
        <f>IFERROR(__xludf.DUMMYFUNCTION("""COMPUTED_VALUE"""),"Warrior")</f>
        <v>Warrior</v>
      </c>
      <c r="AR252" s="114"/>
      <c r="AS252" s="114"/>
      <c r="AT252" s="123" t="str">
        <f>IFERROR(__xludf.DUMMYFUNCTION("""COMPUTED_VALUE"""),"https://i.postimg.cc/TYKV2Stp/057.png")</f>
        <v>https://i.postimg.cc/TYKV2Stp/057.png</v>
      </c>
      <c r="AU252" s="114"/>
      <c r="AV252" s="114"/>
      <c r="AW252" s="114"/>
      <c r="AX252" s="114" t="str">
        <f t="shared" si="3"/>
        <v>57 - Medal [Event] - Crafted - Warrior</v>
      </c>
      <c r="AY252" s="114" t="s">
        <v>5106</v>
      </c>
      <c r="AZ252" s="114"/>
      <c r="BA252" s="114"/>
      <c r="BB252" s="114"/>
      <c r="BC252" s="114"/>
      <c r="BD252" s="114"/>
      <c r="BE252" s="114"/>
    </row>
    <row r="253" ht="37.5" customHeight="1">
      <c r="A253" s="118" t="s">
        <v>5107</v>
      </c>
      <c r="B253" s="117" t="s">
        <v>3157</v>
      </c>
      <c r="C253" s="119">
        <f>IFERROR(__xludf.DUMMYFUNCTION("""COMPUTED_VALUE"""),90.0)</f>
        <v>90</v>
      </c>
      <c r="D253" s="114" t="str">
        <f>IFERROR(__xludf.DUMMYFUNCTION("""COMPUTED_VALUE"""),"Bride")</f>
        <v>Bride</v>
      </c>
      <c r="E253" s="114" t="str">
        <f>IFERROR(__xludf.DUMMYFUNCTION("""COMPUTED_VALUE"""),"")</f>
        <v/>
      </c>
      <c r="F253" s="114"/>
      <c r="G253" s="114"/>
      <c r="H253" s="114"/>
      <c r="I253" s="114"/>
      <c r="J253" s="114"/>
      <c r="K253" s="114" t="s">
        <v>5108</v>
      </c>
      <c r="L253" s="114" t="s">
        <v>5109</v>
      </c>
      <c r="M253" s="114" t="s">
        <v>5110</v>
      </c>
      <c r="N253" s="114" t="s">
        <v>5111</v>
      </c>
      <c r="O253" s="114"/>
      <c r="P253" s="120">
        <v>90.0</v>
      </c>
      <c r="Q253" s="117" t="s">
        <v>5112</v>
      </c>
      <c r="R253" s="114"/>
      <c r="S253" s="117" t="s">
        <v>3151</v>
      </c>
      <c r="T253" s="114">
        <f t="shared" si="1"/>
        <v>252</v>
      </c>
      <c r="U253" s="114" t="s">
        <v>593</v>
      </c>
      <c r="V253" s="114" t="str">
        <f>IFERROR(__xludf.DUMMYFUNCTION("REGEXREPLACE(U253, ""\n"", "" "")"),"Raid Usopp")</f>
        <v>Raid Usopp</v>
      </c>
      <c r="W253" s="114"/>
      <c r="X253" s="115" t="str">
        <f t="shared" si="2"/>
        <v>252 Raid on Onigashima - Usopp - Medal [Raid Usopp]</v>
      </c>
      <c r="Y253" s="119"/>
      <c r="Z253" s="117" t="s">
        <v>5113</v>
      </c>
      <c r="AA253" s="117" t="s">
        <v>2801</v>
      </c>
      <c r="AB253" s="114"/>
      <c r="AC253" s="123" t="str">
        <f>IFERROR(__xludf.DUMMYFUNCTION("""COMPUTED_VALUE"""),"https://ik.imagekit.io/alaaalaa6171/091%20The%20Seven%20Warlords%20of%20the%20Sea%20-%20Jinbe%20-%20Medal%20_Jinbe_.png?updatedAt=1770076418277")</f>
        <v>https://ik.imagekit.io/alaaalaa6171/091%20The%20Seven%20Warlords%20of%20the%20Sea%20-%20Jinbe%20-%20Medal%20_Jinbe_.png?updatedAt=1770076418277</v>
      </c>
      <c r="AD253" s="123" t="str">
        <f>IFERROR(__xludf.DUMMYFUNCTION("""COMPUTED_VALUE"""),"https://ik.imagekit.io/alaaalaa6171/091%20The%20Seven%20Warlords%20of%20the%20Sea%20-%20Jinbe%20-%20Medal%20_Jinbe_%20_Colored_.png?updatedAt=1770076418066")</f>
        <v>https://ik.imagekit.io/alaaalaa6171/091%20The%20Seven%20Warlords%20of%20the%20Sea%20-%20Jinbe%20-%20Medal%20_Jinbe_%20_Colored_.png?updatedAt=1770076418066</v>
      </c>
      <c r="AE253" s="123" t="str">
        <f>IFERROR(__xludf.DUMMYFUNCTION("""COMPUTED_VALUE"""),"https://ik.imagekit.io/alaaalaa6171/091%20The%20Seven%20Warlords%20of%20the%20Sea%20-%20Jinbe%20-%20Medal%20_Jinbe_%20-%20Piece.png?updatedAt=1770076417775")</f>
        <v>https://ik.imagekit.io/alaaalaa6171/091%20The%20Seven%20Warlords%20of%20the%20Sea%20-%20Jinbe%20-%20Medal%20_Jinbe_%20-%20Piece.png?updatedAt=1770076417775</v>
      </c>
      <c r="AF253" s="123" t="str">
        <f>IFERROR(__xludf.DUMMYFUNCTION("""COMPUTED_VALUE"""),"https://ik.imagekit.io/alaaalaa6171/091%20The%20Seven%20Warlords%20of%20the%20Sea%20-%20Jinbe%20-%20Medal%20_Jinbe_%20-%20Piece%20_Colored_.png?updatedAt=1770076417234")</f>
        <v>https://ik.imagekit.io/alaaalaa6171/091%20The%20Seven%20Warlords%20of%20the%20Sea%20-%20Jinbe%20-%20Medal%20_Jinbe_%20-%20Piece%20_Colored_.png?updatedAt=1770076417234</v>
      </c>
      <c r="AG253" s="114"/>
      <c r="AH253" s="114"/>
      <c r="AI253" s="121" t="s">
        <v>5114</v>
      </c>
      <c r="AJ253" s="121" t="str">
        <f>IFERROR(__xludf.DUMMYFUNCTION("regexreplace(regexreplace(AI253, ""  \["", "" ""), ""\]$"", """")"),"252 - Raid on Onigashima ~ Usopp - Medal - Crafted [Colored] - Raid Usopp")</f>
        <v>252 - Raid on Onigashima ~ Usopp - Medal - Crafted [Colored] - Raid Usopp</v>
      </c>
      <c r="AK253" s="114"/>
      <c r="AL253" s="117" t="s">
        <v>5115</v>
      </c>
      <c r="AM253" s="117" t="s">
        <v>5116</v>
      </c>
      <c r="AN253" s="114"/>
      <c r="AO253" s="122">
        <f>IFERROR(__xludf.DUMMYFUNCTION("""COMPUTED_VALUE"""),56.0)</f>
        <v>56</v>
      </c>
      <c r="AP253" s="114" t="str">
        <f>IFERROR(__xludf.DUMMYFUNCTION("""COMPUTED_VALUE"""),"Champion")</f>
        <v>Champion</v>
      </c>
      <c r="AQ253" s="114" t="str">
        <f>IFERROR(__xludf.DUMMYFUNCTION("""COMPUTED_VALUE"""),"Champion")</f>
        <v>Champion</v>
      </c>
      <c r="AR253" s="114"/>
      <c r="AS253" s="114"/>
      <c r="AT253" s="123" t="str">
        <f>IFERROR(__xludf.DUMMYFUNCTION("""COMPUTED_VALUE"""),"https://i.postimg.cc/bN4QZT5L/056.png")</f>
        <v>https://i.postimg.cc/bN4QZT5L/056.png</v>
      </c>
      <c r="AU253" s="114"/>
      <c r="AV253" s="114"/>
      <c r="AW253" s="114"/>
      <c r="AX253" s="114" t="str">
        <f t="shared" si="3"/>
        <v>56 - Medal [Event] - Crafted - Champion</v>
      </c>
      <c r="AY253" s="114" t="s">
        <v>5117</v>
      </c>
      <c r="AZ253" s="114"/>
      <c r="BA253" s="114"/>
      <c r="BB253" s="114"/>
      <c r="BC253" s="114"/>
      <c r="BD253" s="114"/>
      <c r="BE253" s="114"/>
    </row>
    <row r="254" ht="37.5" customHeight="1">
      <c r="A254" s="118" t="s">
        <v>5118</v>
      </c>
      <c r="B254" s="117" t="s">
        <v>3144</v>
      </c>
      <c r="C254" s="119">
        <f>IFERROR(__xludf.DUMMYFUNCTION("""COMPUTED_VALUE"""),89.0)</f>
        <v>89</v>
      </c>
      <c r="D254" s="114" t="str">
        <f>IFERROR(__xludf.DUMMYFUNCTION("""COMPUTED_VALUE"""),"Perona")</f>
        <v>Perona</v>
      </c>
      <c r="E254" s="114" t="str">
        <f>IFERROR(__xludf.DUMMYFUNCTION("""COMPUTED_VALUE"""),"")</f>
        <v/>
      </c>
      <c r="F254" s="114"/>
      <c r="G254" s="114"/>
      <c r="H254" s="114"/>
      <c r="I254" s="114"/>
      <c r="J254" s="114"/>
      <c r="K254" s="114" t="s">
        <v>5119</v>
      </c>
      <c r="L254" s="114" t="s">
        <v>5120</v>
      </c>
      <c r="M254" s="114" t="s">
        <v>5121</v>
      </c>
      <c r="N254" s="114" t="s">
        <v>5122</v>
      </c>
      <c r="O254" s="114"/>
      <c r="P254" s="120">
        <v>89.0</v>
      </c>
      <c r="Q254" s="117" t="s">
        <v>5123</v>
      </c>
      <c r="R254" s="114"/>
      <c r="S254" s="117" t="s">
        <v>3138</v>
      </c>
      <c r="T254" s="114">
        <f t="shared" si="1"/>
        <v>253</v>
      </c>
      <c r="U254" s="114" t="s">
        <v>586</v>
      </c>
      <c r="V254" s="114" t="str">
        <f>IFERROR(__xludf.DUMMYFUNCTION("REGEXREPLACE(U254, ""\n"", "" "")"),"Vander Decken IX")</f>
        <v>Vander Decken IX</v>
      </c>
      <c r="W254" s="114"/>
      <c r="X254" s="115" t="str">
        <f t="shared" si="2"/>
        <v>253 Flying Pirates / Captain - Vander Decken IX - Medal [Vander Decken IX]</v>
      </c>
      <c r="Y254" s="119"/>
      <c r="Z254" s="117" t="s">
        <v>5124</v>
      </c>
      <c r="AA254" s="117" t="s">
        <v>2799</v>
      </c>
      <c r="AB254" s="114"/>
      <c r="AC254" s="123" t="str">
        <f>IFERROR(__xludf.DUMMYFUNCTION("""COMPUTED_VALUE"""),"https://ik.imagekit.io/alaaalaa6171/090%20Imprisoned%20Bride%20-%20Nami%20-%20Medal%20_Bride_.png?updatedAt=1770076416379")</f>
        <v>https://ik.imagekit.io/alaaalaa6171/090%20Imprisoned%20Bride%20-%20Nami%20-%20Medal%20_Bride_.png?updatedAt=1770076416379</v>
      </c>
      <c r="AD254" s="123" t="str">
        <f>IFERROR(__xludf.DUMMYFUNCTION("""COMPUTED_VALUE"""),"https://ik.imagekit.io/alaaalaa6171/090%20Imprisoned%20Bride%20-%20Nami%20-%20Medal%20_Bride_%20_Colored_.png?updatedAt=1770076416349")</f>
        <v>https://ik.imagekit.io/alaaalaa6171/090%20Imprisoned%20Bride%20-%20Nami%20-%20Medal%20_Bride_%20_Colored_.png?updatedAt=1770076416349</v>
      </c>
      <c r="AE254" s="123" t="str">
        <f>IFERROR(__xludf.DUMMYFUNCTION("""COMPUTED_VALUE"""),"https://ik.imagekit.io/alaaalaa6171/090%20Imprisoned%20Bride%20-%20Nami%20-%20Medal%20_Bride_%20-%20Piece.png?updatedAt=1770076416315")</f>
        <v>https://ik.imagekit.io/alaaalaa6171/090%20Imprisoned%20Bride%20-%20Nami%20-%20Medal%20_Bride_%20-%20Piece.png?updatedAt=1770076416315</v>
      </c>
      <c r="AF254" s="123" t="str">
        <f>IFERROR(__xludf.DUMMYFUNCTION("""COMPUTED_VALUE"""),"https://ik.imagekit.io/alaaalaa6171/090%20Imprisoned%20Bride%20-%20Nami%20-%20Medal%20_Bride_%20-%20Piece%20_Colored_.png?updatedAt=1770076416304")</f>
        <v>https://ik.imagekit.io/alaaalaa6171/090%20Imprisoned%20Bride%20-%20Nami%20-%20Medal%20_Bride_%20-%20Piece%20_Colored_.png?updatedAt=1770076416304</v>
      </c>
      <c r="AG254" s="114"/>
      <c r="AH254" s="114"/>
      <c r="AI254" s="121" t="s">
        <v>5125</v>
      </c>
      <c r="AJ254" s="121" t="str">
        <f>IFERROR(__xludf.DUMMYFUNCTION("regexreplace(regexreplace(AI254, ""  \["", "" ""), ""\]$"", """")"),"253 - Flying Pirates_Captain ~ Vander Decken IX - Medal - Crafted [Colored] - Vander Decken IX")</f>
        <v>253 - Flying Pirates_Captain ~ Vander Decken IX - Medal - Crafted [Colored] - Vander Decken IX</v>
      </c>
      <c r="AK254" s="114"/>
      <c r="AL254" s="117" t="s">
        <v>5126</v>
      </c>
      <c r="AM254" s="117" t="s">
        <v>5127</v>
      </c>
      <c r="AN254" s="114"/>
      <c r="AO254" s="122">
        <f>IFERROR(__xludf.DUMMYFUNCTION("""COMPUTED_VALUE"""),55.0)</f>
        <v>55</v>
      </c>
      <c r="AP254" s="114" t="str">
        <f>IFERROR(__xludf.DUMMYFUNCTION("""COMPUTED_VALUE"""),"Rain")</f>
        <v>Rain</v>
      </c>
      <c r="AQ254" s="114" t="str">
        <f>IFERROR(__xludf.DUMMYFUNCTION("""COMPUTED_VALUE"""),"Rain")</f>
        <v>Rain</v>
      </c>
      <c r="AR254" s="114"/>
      <c r="AS254" s="114"/>
      <c r="AT254" s="123" t="str">
        <f>IFERROR(__xludf.DUMMYFUNCTION("""COMPUTED_VALUE"""),"https://i.postimg.cc/GmYvGDwR/055.png")</f>
        <v>https://i.postimg.cc/GmYvGDwR/055.png</v>
      </c>
      <c r="AU254" s="114"/>
      <c r="AV254" s="114"/>
      <c r="AW254" s="114"/>
      <c r="AX254" s="114" t="str">
        <f t="shared" si="3"/>
        <v>55 - Medal [Event] - Crafted - Rain</v>
      </c>
      <c r="AY254" s="114" t="s">
        <v>5128</v>
      </c>
      <c r="AZ254" s="114"/>
      <c r="BA254" s="114"/>
      <c r="BB254" s="114"/>
      <c r="BC254" s="114"/>
      <c r="BD254" s="114"/>
      <c r="BE254" s="114"/>
    </row>
    <row r="255" ht="37.5" customHeight="1">
      <c r="A255" s="118" t="s">
        <v>5129</v>
      </c>
      <c r="B255" s="117" t="s">
        <v>3131</v>
      </c>
      <c r="C255" s="119">
        <f>IFERROR(__xludf.DUMMYFUNCTION("""COMPUTED_VALUE"""),88.0)</f>
        <v>88</v>
      </c>
      <c r="D255" s="114" t="str">
        <f>IFERROR(__xludf.DUMMYFUNCTION("""COMPUTED_VALUE"""),"Ryuma")</f>
        <v>Ryuma</v>
      </c>
      <c r="E255" s="114" t="str">
        <f>IFERROR(__xludf.DUMMYFUNCTION("""COMPUTED_VALUE"""),"")</f>
        <v/>
      </c>
      <c r="F255" s="114"/>
      <c r="G255" s="114"/>
      <c r="H255" s="114"/>
      <c r="I255" s="114"/>
      <c r="J255" s="114"/>
      <c r="K255" s="114" t="s">
        <v>5130</v>
      </c>
      <c r="L255" s="114" t="s">
        <v>5131</v>
      </c>
      <c r="M255" s="114" t="s">
        <v>5132</v>
      </c>
      <c r="N255" s="114" t="s">
        <v>5133</v>
      </c>
      <c r="O255" s="114"/>
      <c r="P255" s="120">
        <v>88.0</v>
      </c>
      <c r="Q255" s="117" t="s">
        <v>5134</v>
      </c>
      <c r="R255" s="114"/>
      <c r="S255" s="117" t="s">
        <v>3125</v>
      </c>
      <c r="T255" s="114">
        <f t="shared" si="1"/>
        <v>254</v>
      </c>
      <c r="U255" s="114" t="s">
        <v>579</v>
      </c>
      <c r="V255" s="114" t="str">
        <f>IFERROR(__xludf.DUMMYFUNCTION("REGEXREPLACE(U255, ""\n"", "" "")"),"Caribou")</f>
        <v>Caribou</v>
      </c>
      <c r="W255" s="114"/>
      <c r="X255" s="115" t="str">
        <f t="shared" si="2"/>
        <v>254 Caribou Pirates / Captain - Caribou - Medal [Caribou]</v>
      </c>
      <c r="Y255" s="119"/>
      <c r="Z255" s="117" t="s">
        <v>5135</v>
      </c>
      <c r="AA255" s="117" t="s">
        <v>2811</v>
      </c>
      <c r="AB255" s="114"/>
      <c r="AC255" s="123" t="str">
        <f>IFERROR(__xludf.DUMMYFUNCTION("""COMPUTED_VALUE"""),"https://ik.imagekit.io/alaaalaa6171/089%20Thriller%20Park%20Pirates_Mysterious%20Four%20-%20Perona%20-%20Medal%20_Perona_.png?updatedAt=1770076416170")</f>
        <v>https://ik.imagekit.io/alaaalaa6171/089%20Thriller%20Park%20Pirates_Mysterious%20Four%20-%20Perona%20-%20Medal%20_Perona_.png?updatedAt=1770076416170</v>
      </c>
      <c r="AD255" s="123" t="str">
        <f>IFERROR(__xludf.DUMMYFUNCTION("""COMPUTED_VALUE"""),"https://ik.imagekit.io/alaaalaa6171/089%20Thriller%20Park%20Pirates_Mysterious%20Four%20-%20Perona%20-%20Medal%20_Perona_%20_Colored_.png?updatedAt=1770076416158")</f>
        <v>https://ik.imagekit.io/alaaalaa6171/089%20Thriller%20Park%20Pirates_Mysterious%20Four%20-%20Perona%20-%20Medal%20_Perona_%20_Colored_.png?updatedAt=1770076416158</v>
      </c>
      <c r="AE255" s="123" t="str">
        <f>IFERROR(__xludf.DUMMYFUNCTION("""COMPUTED_VALUE"""),"https://ik.imagekit.io/alaaalaa6171/089%20Thriller%20Park%20Pirates_Mysterious%20Four%20-%20Perona%20-%20Medal%20_Perona_%20-%20Piece.png?updatedAt=1770076416554")</f>
        <v>https://ik.imagekit.io/alaaalaa6171/089%20Thriller%20Park%20Pirates_Mysterious%20Four%20-%20Perona%20-%20Medal%20_Perona_%20-%20Piece.png?updatedAt=1770076416554</v>
      </c>
      <c r="AF255" s="123" t="str">
        <f>IFERROR(__xludf.DUMMYFUNCTION("""COMPUTED_VALUE"""),"https://ik.imagekit.io/alaaalaa6171/089%20Thriller%20Park%20Pirates_Mysterious%20Four%20-%20Perona%20-%20Medal%20_Perona_%20-%20Piece%20_Colored_.png?updatedAt=1770076416487")</f>
        <v>https://ik.imagekit.io/alaaalaa6171/089%20Thriller%20Park%20Pirates_Mysterious%20Four%20-%20Perona%20-%20Medal%20_Perona_%20-%20Piece%20_Colored_.png?updatedAt=1770076416487</v>
      </c>
      <c r="AG255" s="114"/>
      <c r="AH255" s="114"/>
      <c r="AI255" s="121" t="s">
        <v>5136</v>
      </c>
      <c r="AJ255" s="121" t="str">
        <f>IFERROR(__xludf.DUMMYFUNCTION("regexreplace(regexreplace(AI255, ""  \["", "" ""), ""\]$"", """")"),"254 - Caribou Pirates_Captain ~ Caribou - Medal - Crafted [Colored] - Caribou")</f>
        <v>254 - Caribou Pirates_Captain ~ Caribou - Medal - Crafted [Colored] - Caribou</v>
      </c>
      <c r="AK255" s="114"/>
      <c r="AL255" s="117" t="s">
        <v>5137</v>
      </c>
      <c r="AM255" s="117" t="s">
        <v>5138</v>
      </c>
      <c r="AN255" s="114"/>
      <c r="AO255" s="122">
        <f>IFERROR(__xludf.DUMMYFUNCTION("""COMPUTED_VALUE"""),54.0)</f>
        <v>54</v>
      </c>
      <c r="AP255" s="114" t="str">
        <f>IFERROR(__xludf.DUMMYFUNCTION("""COMPUTED_VALUE"""),"Pursuer")</f>
        <v>Pursuer</v>
      </c>
      <c r="AQ255" s="114" t="str">
        <f>IFERROR(__xludf.DUMMYFUNCTION("""COMPUTED_VALUE"""),"Pursuer")</f>
        <v>Pursuer</v>
      </c>
      <c r="AR255" s="114"/>
      <c r="AS255" s="114"/>
      <c r="AT255" s="123" t="str">
        <f>IFERROR(__xludf.DUMMYFUNCTION("""COMPUTED_VALUE"""),"https://i.postimg.cc/7Lk0VLw2/054.png")</f>
        <v>https://i.postimg.cc/7Lk0VLw2/054.png</v>
      </c>
      <c r="AU255" s="114"/>
      <c r="AV255" s="114"/>
      <c r="AW255" s="114"/>
      <c r="AX255" s="114" t="str">
        <f t="shared" si="3"/>
        <v>54 - Medal [Event] - Crafted - Pursuer</v>
      </c>
      <c r="AY255" s="114" t="s">
        <v>5139</v>
      </c>
      <c r="AZ255" s="114"/>
      <c r="BA255" s="114"/>
      <c r="BB255" s="114"/>
      <c r="BC255" s="114"/>
      <c r="BD255" s="114"/>
      <c r="BE255" s="114"/>
    </row>
    <row r="256" ht="37.5" customHeight="1">
      <c r="A256" s="118" t="s">
        <v>5140</v>
      </c>
      <c r="B256" s="117" t="s">
        <v>3118</v>
      </c>
      <c r="C256" s="119">
        <f>IFERROR(__xludf.DUMMYFUNCTION("""COMPUTED_VALUE"""),87.0)</f>
        <v>87</v>
      </c>
      <c r="D256" s="114" t="str">
        <f>IFERROR(__xludf.DUMMYFUNCTION("""COMPUTED_VALUE"""),"Nightmare")</f>
        <v>Nightmare</v>
      </c>
      <c r="E256" s="114" t="str">
        <f>IFERROR(__xludf.DUMMYFUNCTION("""COMPUTED_VALUE"""),"")</f>
        <v/>
      </c>
      <c r="F256" s="114"/>
      <c r="G256" s="114"/>
      <c r="H256" s="114"/>
      <c r="I256" s="114"/>
      <c r="J256" s="114"/>
      <c r="K256" s="114" t="s">
        <v>5141</v>
      </c>
      <c r="L256" s="114" t="s">
        <v>5142</v>
      </c>
      <c r="M256" s="114" t="s">
        <v>5143</v>
      </c>
      <c r="N256" s="114" t="s">
        <v>5144</v>
      </c>
      <c r="O256" s="114"/>
      <c r="P256" s="120">
        <v>87.0</v>
      </c>
      <c r="Q256" s="117" t="s">
        <v>5145</v>
      </c>
      <c r="R256" s="114"/>
      <c r="S256" s="117" t="s">
        <v>3099</v>
      </c>
      <c r="T256" s="114">
        <f t="shared" si="1"/>
        <v>256</v>
      </c>
      <c r="U256" s="114" t="s">
        <v>566</v>
      </c>
      <c r="V256" s="114" t="str">
        <f>IFERROR(__xludf.DUMMYFUNCTION("REGEXREPLACE(U256, ""\n"", "" "")"),"Shark Pack")</f>
        <v>Shark Pack</v>
      </c>
      <c r="W256" s="114"/>
      <c r="X256" s="115" t="str">
        <f t="shared" si="2"/>
        <v>256 New Fish-Man Pirates / Captain - Hody Jones - Medal [Shark Pack]</v>
      </c>
      <c r="Y256" s="119"/>
      <c r="Z256" s="117" t="s">
        <v>5146</v>
      </c>
      <c r="AA256" s="117" t="s">
        <v>2813</v>
      </c>
      <c r="AB256" s="114"/>
      <c r="AC256" s="123" t="str">
        <f>IFERROR(__xludf.DUMMYFUNCTION("""COMPUTED_VALUE"""),"https://ik.imagekit.io/alaaalaa6171/088%20Legendary%20Samurai%20Zombie%20-%20Ryuma%20-%20Medal%20_Ryuma_.png?updatedAt=1770076416086")</f>
        <v>https://ik.imagekit.io/alaaalaa6171/088%20Legendary%20Samurai%20Zombie%20-%20Ryuma%20-%20Medal%20_Ryuma_.png?updatedAt=1770076416086</v>
      </c>
      <c r="AD256" s="123" t="str">
        <f>IFERROR(__xludf.DUMMYFUNCTION("""COMPUTED_VALUE"""),"https://ik.imagekit.io/alaaalaa6171/088%20Legendary%20Samurai%20Zombie%20-%20Ryuma%20-%20Medal%20_Ryuma_%20_Colored_.png?updatedAt=1770076416107")</f>
        <v>https://ik.imagekit.io/alaaalaa6171/088%20Legendary%20Samurai%20Zombie%20-%20Ryuma%20-%20Medal%20_Ryuma_%20_Colored_.png?updatedAt=1770076416107</v>
      </c>
      <c r="AE256" s="123" t="str">
        <f>IFERROR(__xludf.DUMMYFUNCTION("""COMPUTED_VALUE"""),"https://ik.imagekit.io/alaaalaa6171/088%20Legendary%20Samurai%20Zombie%20-%20Ryuma%20-%20Medal%20_Ryuma_%20-%20Piece.png?updatedAt=1770076416120")</f>
        <v>https://ik.imagekit.io/alaaalaa6171/088%20Legendary%20Samurai%20Zombie%20-%20Ryuma%20-%20Medal%20_Ryuma_%20-%20Piece.png?updatedAt=1770076416120</v>
      </c>
      <c r="AF256" s="123" t="str">
        <f>IFERROR(__xludf.DUMMYFUNCTION("""COMPUTED_VALUE"""),"https://ik.imagekit.io/alaaalaa6171/088%20Legendary%20Samurai%20Zombie%20-%20Ryuma%20-%20Medal%20_Ryuma_%20-%20Piece%20_Colored_.png?updatedAt=1770076416097")</f>
        <v>https://ik.imagekit.io/alaaalaa6171/088%20Legendary%20Samurai%20Zombie%20-%20Ryuma%20-%20Medal%20_Ryuma_%20-%20Piece%20_Colored_.png?updatedAt=1770076416097</v>
      </c>
      <c r="AG256" s="114"/>
      <c r="AH256" s="114"/>
      <c r="AI256" s="121" t="s">
        <v>5147</v>
      </c>
      <c r="AJ256" s="121" t="str">
        <f>IFERROR(__xludf.DUMMYFUNCTION("regexreplace(regexreplace(AI256, ""  \["", "" ""), ""\]$"", """")"),"255 - Ryugu Kingdom_King ~ Neptune - Medal - Crafted [Colored] - Neptune")</f>
        <v>255 - Ryugu Kingdom_King ~ Neptune - Medal - Crafted [Colored] - Neptune</v>
      </c>
      <c r="AK256" s="114"/>
      <c r="AL256" s="117" t="s">
        <v>5148</v>
      </c>
      <c r="AM256" s="117" t="s">
        <v>5149</v>
      </c>
      <c r="AN256" s="114"/>
      <c r="AO256" s="122">
        <f>IFERROR(__xludf.DUMMYFUNCTION("""COMPUTED_VALUE"""),53.0)</f>
        <v>53</v>
      </c>
      <c r="AP256" s="114" t="str">
        <f>IFERROR(__xludf.DUMMYFUNCTION("""COMPUTED_VALUE"""),"Beckman")</f>
        <v>Beckman</v>
      </c>
      <c r="AQ256" s="114" t="str">
        <f>IFERROR(__xludf.DUMMYFUNCTION("""COMPUTED_VALUE"""),"Beckman")</f>
        <v>Beckman</v>
      </c>
      <c r="AR256" s="114"/>
      <c r="AS256" s="114"/>
      <c r="AT256" s="123" t="str">
        <f>IFERROR(__xludf.DUMMYFUNCTION("""COMPUTED_VALUE"""),"https://i.postimg.cc/cJBY5NL5/053.png")</f>
        <v>https://i.postimg.cc/cJBY5NL5/053.png</v>
      </c>
      <c r="AU256" s="114"/>
      <c r="AV256" s="114"/>
      <c r="AW256" s="114"/>
      <c r="AX256" s="114" t="str">
        <f t="shared" si="3"/>
        <v>53 - Medal [Event] - Crafted - Beckman</v>
      </c>
      <c r="AY256" s="114" t="s">
        <v>5150</v>
      </c>
      <c r="AZ256" s="114"/>
      <c r="BA256" s="114"/>
      <c r="BB256" s="114"/>
      <c r="BC256" s="114"/>
      <c r="BD256" s="114"/>
      <c r="BE256" s="114"/>
    </row>
    <row r="257" ht="37.5" customHeight="1">
      <c r="A257" s="118" t="s">
        <v>5151</v>
      </c>
      <c r="B257" s="117" t="s">
        <v>3092</v>
      </c>
      <c r="C257" s="119">
        <f>IFERROR(__xludf.DUMMYFUNCTION("""COMPUTED_VALUE"""),86.0)</f>
        <v>86</v>
      </c>
      <c r="D257" s="114" t="str">
        <f>IFERROR(__xludf.DUMMYFUNCTION("""COMPUTED_VALUE"""),"Katakuri")</f>
        <v>Katakuri</v>
      </c>
      <c r="E257" s="114" t="str">
        <f>IFERROR(__xludf.DUMMYFUNCTION("""COMPUTED_VALUE"""),"")</f>
        <v/>
      </c>
      <c r="F257" s="114"/>
      <c r="G257" s="114"/>
      <c r="H257" s="114"/>
      <c r="I257" s="114"/>
      <c r="J257" s="114"/>
      <c r="K257" s="114" t="s">
        <v>5152</v>
      </c>
      <c r="L257" s="114" t="s">
        <v>5153</v>
      </c>
      <c r="M257" s="114" t="s">
        <v>5154</v>
      </c>
      <c r="N257" s="114" t="s">
        <v>5155</v>
      </c>
      <c r="O257" s="114"/>
      <c r="P257" s="120">
        <v>86.0</v>
      </c>
      <c r="Q257" s="117" t="s">
        <v>5156</v>
      </c>
      <c r="R257" s="114"/>
      <c r="S257" s="117" t="s">
        <v>3112</v>
      </c>
      <c r="T257" s="114">
        <f t="shared" si="1"/>
        <v>255</v>
      </c>
      <c r="U257" s="114" t="s">
        <v>572</v>
      </c>
      <c r="V257" s="114" t="str">
        <f>IFERROR(__xludf.DUMMYFUNCTION("REGEXREPLACE(U257, ""\n"", "" "")"),"Neptune")</f>
        <v>Neptune</v>
      </c>
      <c r="W257" s="114"/>
      <c r="X257" s="115" t="str">
        <f t="shared" si="2"/>
        <v>255 Ryugu Kingdom / King - Neptune - Medal [Neptune]</v>
      </c>
      <c r="Y257" s="119"/>
      <c r="Z257" s="117" t="s">
        <v>5157</v>
      </c>
      <c r="AA257" s="117" t="s">
        <v>2814</v>
      </c>
      <c r="AB257" s="114"/>
      <c r="AC257" s="123" t="str">
        <f>IFERROR(__xludf.DUMMYFUNCTION("""COMPUTED_VALUE"""),"https://ik.imagekit.io/alaaalaa6171/087%20Ray%20of%20Hope%20-%20Nightmare%20Luffy%20-%20Medal%20_Nightmare_.png?updatedAt=1770076416060")</f>
        <v>https://ik.imagekit.io/alaaalaa6171/087%20Ray%20of%20Hope%20-%20Nightmare%20Luffy%20-%20Medal%20_Nightmare_.png?updatedAt=1770076416060</v>
      </c>
      <c r="AD257" s="123" t="str">
        <f>IFERROR(__xludf.DUMMYFUNCTION("""COMPUTED_VALUE"""),"https://ik.imagekit.io/alaaalaa6171/087%20Ray%20of%20Hope%20-%20Nightmare%20Luffy%20-%20Medal%20_Nightmare_%20_Colored_.png?updatedAt=1770076416082")</f>
        <v>https://ik.imagekit.io/alaaalaa6171/087%20Ray%20of%20Hope%20-%20Nightmare%20Luffy%20-%20Medal%20_Nightmare_%20_Colored_.png?updatedAt=1770076416082</v>
      </c>
      <c r="AE257" s="123" t="str">
        <f>IFERROR(__xludf.DUMMYFUNCTION("""COMPUTED_VALUE"""),"https://ik.imagekit.io/alaaalaa6171/087%20Ray%20of%20Hope%20-%20Nightmare%20Luffy%20-%20Medal%20_Nightmare_%20-%20Piece.png?updatedAt=1770076416067")</f>
        <v>https://ik.imagekit.io/alaaalaa6171/087%20Ray%20of%20Hope%20-%20Nightmare%20Luffy%20-%20Medal%20_Nightmare_%20-%20Piece.png?updatedAt=1770076416067</v>
      </c>
      <c r="AF257" s="123" t="str">
        <f>IFERROR(__xludf.DUMMYFUNCTION("""COMPUTED_VALUE"""),"https://ik.imagekit.io/alaaalaa6171/087%20Ray%20of%20Hope%20-%20Nightmare%20Luffy%20-%20Medal%20_Nightmare_%20-%20Piece%20_Colored_.png?updatedAt=1770076416077")</f>
        <v>https://ik.imagekit.io/alaaalaa6171/087%20Ray%20of%20Hope%20-%20Nightmare%20Luffy%20-%20Medal%20_Nightmare_%20-%20Piece%20_Colored_.png?updatedAt=1770076416077</v>
      </c>
      <c r="AG257" s="114"/>
      <c r="AH257" s="114"/>
      <c r="AI257" s="121" t="s">
        <v>5158</v>
      </c>
      <c r="AJ257" s="121" t="str">
        <f>IFERROR(__xludf.DUMMYFUNCTION("regexreplace(regexreplace(AI257, ""  \["", "" ""), ""\]$"", """")"),"256 - New Fish-Man Pirates_Captain ~ Hody Jones - Medal - Crafted [Colored] - Shark Pack")</f>
        <v>256 - New Fish-Man Pirates_Captain ~ Hody Jones - Medal - Crafted [Colored] - Shark Pack</v>
      </c>
      <c r="AK257" s="114"/>
      <c r="AL257" s="117" t="s">
        <v>5159</v>
      </c>
      <c r="AM257" s="117" t="s">
        <v>5160</v>
      </c>
      <c r="AN257" s="114"/>
      <c r="AO257" s="122">
        <f>IFERROR(__xludf.DUMMYFUNCTION("""COMPUTED_VALUE"""),52.0)</f>
        <v>52</v>
      </c>
      <c r="AP257" s="114" t="str">
        <f>IFERROR(__xludf.DUMMYFUNCTION("""COMPUTED_VALUE"""),"Drought")</f>
        <v>Drought</v>
      </c>
      <c r="AQ257" s="114" t="str">
        <f>IFERROR(__xludf.DUMMYFUNCTION("""COMPUTED_VALUE"""),"Drought")</f>
        <v>Drought</v>
      </c>
      <c r="AR257" s="114"/>
      <c r="AS257" s="114"/>
      <c r="AT257" s="123" t="str">
        <f>IFERROR(__xludf.DUMMYFUNCTION("""COMPUTED_VALUE"""),"https://i.postimg.cc/G23DWSB3/052.png")</f>
        <v>https://i.postimg.cc/G23DWSB3/052.png</v>
      </c>
      <c r="AU257" s="114"/>
      <c r="AV257" s="114"/>
      <c r="AW257" s="114"/>
      <c r="AX257" s="114" t="str">
        <f t="shared" si="3"/>
        <v>52 - Medal [Event] - Crafted - Drought</v>
      </c>
      <c r="AY257" s="114" t="s">
        <v>5161</v>
      </c>
      <c r="AZ257" s="114"/>
      <c r="BA257" s="114"/>
      <c r="BB257" s="114"/>
      <c r="BC257" s="114"/>
      <c r="BD257" s="114"/>
      <c r="BE257" s="114"/>
    </row>
    <row r="258" ht="37.5" customHeight="1">
      <c r="A258" s="118" t="s">
        <v>5162</v>
      </c>
      <c r="B258" s="117" t="s">
        <v>3105</v>
      </c>
      <c r="C258" s="119">
        <f>IFERROR(__xludf.DUMMYFUNCTION("""COMPUTED_VALUE"""),85.0)</f>
        <v>85</v>
      </c>
      <c r="D258" s="114" t="str">
        <f>IFERROR(__xludf.DUMMYFUNCTION("""COMPUTED_VALUE"""),"Big Mom")</f>
        <v>Big Mom</v>
      </c>
      <c r="E258" s="114" t="str">
        <f>IFERROR(__xludf.DUMMYFUNCTION("""COMPUTED_VALUE"""),"")</f>
        <v/>
      </c>
      <c r="F258" s="114"/>
      <c r="G258" s="114"/>
      <c r="H258" s="114"/>
      <c r="I258" s="114"/>
      <c r="J258" s="114"/>
      <c r="K258" s="114" t="s">
        <v>5163</v>
      </c>
      <c r="L258" s="114" t="s">
        <v>5164</v>
      </c>
      <c r="M258" s="114" t="s">
        <v>5165</v>
      </c>
      <c r="N258" s="114" t="s">
        <v>5166</v>
      </c>
      <c r="O258" s="114"/>
      <c r="P258" s="120">
        <v>85.0</v>
      </c>
      <c r="Q258" s="117" t="s">
        <v>5167</v>
      </c>
      <c r="R258" s="114"/>
      <c r="S258" s="117" t="s">
        <v>3073</v>
      </c>
      <c r="T258" s="114">
        <f t="shared" si="1"/>
        <v>258</v>
      </c>
      <c r="U258" s="114" t="s">
        <v>554</v>
      </c>
      <c r="V258" s="114" t="str">
        <f>IFERROR(__xludf.DUMMYFUNCTION("REGEXREPLACE(U258, ""\n"", "" "")"),"Raid Killer")</f>
        <v>Raid Killer</v>
      </c>
      <c r="W258" s="114"/>
      <c r="X258" s="115" t="str">
        <f t="shared" si="2"/>
        <v>258 Raid on Onigashima - Killer - Medal [Raid Killer]</v>
      </c>
      <c r="Y258" s="119"/>
      <c r="Z258" s="117" t="s">
        <v>5168</v>
      </c>
      <c r="AA258" s="117" t="s">
        <v>2812</v>
      </c>
      <c r="AB258" s="114"/>
      <c r="AC258" s="123" t="str">
        <f>IFERROR(__xludf.DUMMYFUNCTION("""COMPUTED_VALUE"""),"https://ik.imagekit.io/alaaalaa6171/086%20Big%20Mom%20Pirates_'Sweet%203'%20General%20-%20Charlotte%20Katakuri%20-%20Medal%20_Katakuri_.png?updatedAt=1770076416115")</f>
        <v>https://ik.imagekit.io/alaaalaa6171/086%20Big%20Mom%20Pirates_'Sweet%203'%20General%20-%20Charlotte%20Katakuri%20-%20Medal%20_Katakuri_.png?updatedAt=1770076416115</v>
      </c>
      <c r="AD258" s="123" t="str">
        <f>IFERROR(__xludf.DUMMYFUNCTION("""COMPUTED_VALUE"""),"https://ik.imagekit.io/alaaalaa6171/086%20Big%20Mom%20Pirates_'Sweet%203'%20General%20-%20Charlotte%20Katakuri%20-%20Medal%20_Katakuri_%20_Colored_.png?updatedAt=1770076416113")</f>
        <v>https://ik.imagekit.io/alaaalaa6171/086%20Big%20Mom%20Pirates_'Sweet%203'%20General%20-%20Charlotte%20Katakuri%20-%20Medal%20_Katakuri_%20_Colored_.png?updatedAt=1770076416113</v>
      </c>
      <c r="AE258" s="123" t="str">
        <f>IFERROR(__xludf.DUMMYFUNCTION("""COMPUTED_VALUE"""),"https://ik.imagekit.io/alaaalaa6171/086%20Big%20Mom%20Pirates_'Sweet%203'%20General%20-%20Charlotte%20Katakuri%20-%20Medal%20_Katakuri_%20-%20Piece.png?updatedAt=1770076416084")</f>
        <v>https://ik.imagekit.io/alaaalaa6171/086%20Big%20Mom%20Pirates_'Sweet%203'%20General%20-%20Charlotte%20Katakuri%20-%20Medal%20_Katakuri_%20-%20Piece.png?updatedAt=1770076416084</v>
      </c>
      <c r="AF258" s="123" t="str">
        <f>IFERROR(__xludf.DUMMYFUNCTION("""COMPUTED_VALUE"""),"https://ik.imagekit.io/alaaalaa6171/086%20Big%20Mom%20Pirates_'Sweet%203'%20General%20-%20Charlotte%20Katakuri%20-%20Medal%20_Katakuri_%20-%20Piece%20_Colored_.png?updatedAt=1770076416073")</f>
        <v>https://ik.imagekit.io/alaaalaa6171/086%20Big%20Mom%20Pirates_'Sweet%203'%20General%20-%20Charlotte%20Katakuri%20-%20Medal%20_Katakuri_%20-%20Piece%20_Colored_.png?updatedAt=1770076416073</v>
      </c>
      <c r="AG258" s="114"/>
      <c r="AH258" s="114"/>
      <c r="AI258" s="121" t="s">
        <v>5169</v>
      </c>
      <c r="AJ258" s="121" t="str">
        <f>IFERROR(__xludf.DUMMYFUNCTION("regexreplace(regexreplace(AI258, ""  \["", "" ""), ""\]$"", """")"),"257 - Battle of Monsters on Onigashima ~ Kid &amp; Law - Medal - Crafted [Colored] - Kid &amp; Law")</f>
        <v>257 - Battle of Monsters on Onigashima ~ Kid &amp; Law - Medal - Crafted [Colored] - Kid &amp; Law</v>
      </c>
      <c r="AK258" s="114"/>
      <c r="AL258" s="117" t="s">
        <v>5170</v>
      </c>
      <c r="AM258" s="117" t="s">
        <v>5171</v>
      </c>
      <c r="AN258" s="114"/>
      <c r="AO258" s="122">
        <f>IFERROR(__xludf.DUMMYFUNCTION("""COMPUTED_VALUE"""),51.0)</f>
        <v>51</v>
      </c>
      <c r="AP258" s="114" t="str">
        <f>IFERROR(__xludf.DUMMYFUNCTION("""COMPUTED_VALUE"""),"Plague")</f>
        <v>Plague</v>
      </c>
      <c r="AQ258" s="114" t="str">
        <f>IFERROR(__xludf.DUMMYFUNCTION("""COMPUTED_VALUE"""),"Plague")</f>
        <v>Plague</v>
      </c>
      <c r="AR258" s="114"/>
      <c r="AS258" s="114"/>
      <c r="AT258" s="123" t="str">
        <f>IFERROR(__xludf.DUMMYFUNCTION("""COMPUTED_VALUE"""),"https://i.postimg.cc/gJMhmqRV/051.png")</f>
        <v>https://i.postimg.cc/gJMhmqRV/051.png</v>
      </c>
      <c r="AU258" s="114"/>
      <c r="AV258" s="114"/>
      <c r="AW258" s="114"/>
      <c r="AX258" s="114" t="str">
        <f t="shared" si="3"/>
        <v>51 - Medal [Event] - Crafted - Plague</v>
      </c>
      <c r="AY258" s="114" t="s">
        <v>5172</v>
      </c>
      <c r="AZ258" s="114"/>
      <c r="BA258" s="114"/>
      <c r="BB258" s="114"/>
      <c r="BC258" s="114"/>
      <c r="BD258" s="114"/>
      <c r="BE258" s="114"/>
    </row>
    <row r="259" ht="37.5" customHeight="1">
      <c r="A259" s="118" t="s">
        <v>5173</v>
      </c>
      <c r="B259" s="117" t="s">
        <v>3079</v>
      </c>
      <c r="C259" s="119">
        <f>IFERROR(__xludf.DUMMYFUNCTION("""COMPUTED_VALUE"""),84.0)</f>
        <v>84</v>
      </c>
      <c r="D259" s="114" t="str">
        <f>IFERROR(__xludf.DUMMYFUNCTION("""COMPUTED_VALUE"""),"Ultra Tiger Hunt")</f>
        <v>Ultra Tiger Hunt</v>
      </c>
      <c r="E259" s="114" t="str">
        <f>IFERROR(__xludf.DUMMYFUNCTION("""COMPUTED_VALUE"""),"")</f>
        <v/>
      </c>
      <c r="F259" s="114"/>
      <c r="G259" s="114"/>
      <c r="H259" s="114"/>
      <c r="I259" s="114"/>
      <c r="J259" s="114"/>
      <c r="K259" s="114" t="s">
        <v>5174</v>
      </c>
      <c r="L259" s="114" t="s">
        <v>5175</v>
      </c>
      <c r="M259" s="114" t="s">
        <v>5176</v>
      </c>
      <c r="N259" s="114" t="s">
        <v>5177</v>
      </c>
      <c r="O259" s="114"/>
      <c r="P259" s="120">
        <v>84.0</v>
      </c>
      <c r="Q259" s="117" t="s">
        <v>5178</v>
      </c>
      <c r="R259" s="114"/>
      <c r="S259" s="117" t="s">
        <v>3086</v>
      </c>
      <c r="T259" s="114">
        <f t="shared" si="1"/>
        <v>257</v>
      </c>
      <c r="U259" s="114" t="s">
        <v>561</v>
      </c>
      <c r="V259" s="114" t="str">
        <f>IFERROR(__xludf.DUMMYFUNCTION("REGEXREPLACE(U259, ""\n"", "" "")"),"Kid &amp; Law")</f>
        <v>Kid &amp; Law</v>
      </c>
      <c r="W259" s="114"/>
      <c r="X259" s="115" t="str">
        <f t="shared" si="2"/>
        <v>257 Battle of Monsters on Onigashima - Kid &amp; Law - Medal [Kid &amp; Law]</v>
      </c>
      <c r="Y259" s="119"/>
      <c r="Z259" s="117" t="s">
        <v>5179</v>
      </c>
      <c r="AA259" s="117" t="s">
        <v>2824</v>
      </c>
      <c r="AB259" s="114"/>
      <c r="AC259" s="123" t="str">
        <f>IFERROR(__xludf.DUMMYFUNCTION("""COMPUTED_VALUE"""),"https://ik.imagekit.io/alaaalaa6171/085%20Big%20Mom%20Pirates_Captain%20-%20Charlotte%20Linlin%20-%20Medal%20_Big%20Mom_.png?updatedAt=1770076416042")</f>
        <v>https://ik.imagekit.io/alaaalaa6171/085%20Big%20Mom%20Pirates_Captain%20-%20Charlotte%20Linlin%20-%20Medal%20_Big%20Mom_.png?updatedAt=1770076416042</v>
      </c>
      <c r="AD259" s="123" t="str">
        <f>IFERROR(__xludf.DUMMYFUNCTION("""COMPUTED_VALUE"""),"https://ik.imagekit.io/alaaalaa6171/085%20Big%20Mom%20Pirates_Captain%20-%20Charlotte%20Linlin%20-%20Medal%20_Big%20Mom_%20_Colored_.png?updatedAt=1770076416040")</f>
        <v>https://ik.imagekit.io/alaaalaa6171/085%20Big%20Mom%20Pirates_Captain%20-%20Charlotte%20Linlin%20-%20Medal%20_Big%20Mom_%20_Colored_.png?updatedAt=1770076416040</v>
      </c>
      <c r="AE259" s="123" t="str">
        <f>IFERROR(__xludf.DUMMYFUNCTION("""COMPUTED_VALUE"""),"https://ik.imagekit.io/alaaalaa6171/085%20Big%20Mom%20Pirates_Captain%20-%20Charlotte%20Linlin%20-%20Medal%20_Big%20Mom_%20-%20Piece.png?updatedAt=1770076416067")</f>
        <v>https://ik.imagekit.io/alaaalaa6171/085%20Big%20Mom%20Pirates_Captain%20-%20Charlotte%20Linlin%20-%20Medal%20_Big%20Mom_%20-%20Piece.png?updatedAt=1770076416067</v>
      </c>
      <c r="AF259" s="123" t="str">
        <f>IFERROR(__xludf.DUMMYFUNCTION("""COMPUTED_VALUE"""),"https://ik.imagekit.io/alaaalaa6171/085%20Big%20Mom%20Pirates_Captain%20-%20Charlotte%20Linlin%20-%20Medal%20_Big%20Mom_%20-%20Piece%20_Colored_.png?updatedAt=1770076416039")</f>
        <v>https://ik.imagekit.io/alaaalaa6171/085%20Big%20Mom%20Pirates_Captain%20-%20Charlotte%20Linlin%20-%20Medal%20_Big%20Mom_%20-%20Piece%20_Colored_.png?updatedAt=1770076416039</v>
      </c>
      <c r="AG259" s="114"/>
      <c r="AH259" s="114"/>
      <c r="AI259" s="121" t="s">
        <v>5180</v>
      </c>
      <c r="AJ259" s="121" t="str">
        <f>IFERROR(__xludf.DUMMYFUNCTION("regexreplace(regexreplace(AI259, ""  \["", "" ""), ""\]$"", """")"),"258 - Raid on Onigashima ~ Killer - Medal - Crafted [Colored] - Raid Killer")</f>
        <v>258 - Raid on Onigashima ~ Killer - Medal - Crafted [Colored] - Raid Killer</v>
      </c>
      <c r="AK259" s="114"/>
      <c r="AL259" s="117" t="s">
        <v>5181</v>
      </c>
      <c r="AM259" s="117" t="s">
        <v>5182</v>
      </c>
      <c r="AN259" s="114"/>
      <c r="AO259" s="122">
        <f>IFERROR(__xludf.DUMMYFUNCTION("""COMPUTED_VALUE"""),50.0)</f>
        <v>50</v>
      </c>
      <c r="AP259" s="114" t="str">
        <f>IFERROR(__xludf.DUMMYFUNCTION("""COMPUTED_VALUE"""),"Koala")</f>
        <v>Koala</v>
      </c>
      <c r="AQ259" s="114" t="str">
        <f>IFERROR(__xludf.DUMMYFUNCTION("""COMPUTED_VALUE"""),"Koala")</f>
        <v>Koala</v>
      </c>
      <c r="AR259" s="114"/>
      <c r="AS259" s="114"/>
      <c r="AT259" s="123" t="str">
        <f>IFERROR(__xludf.DUMMYFUNCTION("""COMPUTED_VALUE"""),"https://i.postimg.cc/yxkZdgXw/050.png")</f>
        <v>https://i.postimg.cc/yxkZdgXw/050.png</v>
      </c>
      <c r="AU259" s="114"/>
      <c r="AV259" s="114"/>
      <c r="AW259" s="114"/>
      <c r="AX259" s="114" t="str">
        <f t="shared" si="3"/>
        <v>50 - Medal [Event] - Crafted - Koala</v>
      </c>
      <c r="AY259" s="114" t="s">
        <v>5183</v>
      </c>
      <c r="AZ259" s="114"/>
      <c r="BA259" s="114"/>
      <c r="BB259" s="114"/>
      <c r="BC259" s="114"/>
      <c r="BD259" s="114"/>
      <c r="BE259" s="114"/>
    </row>
    <row r="260" ht="37.5" customHeight="1">
      <c r="A260" s="118" t="s">
        <v>5184</v>
      </c>
      <c r="B260" s="117" t="s">
        <v>3066</v>
      </c>
      <c r="C260" s="119">
        <f>IFERROR(__xludf.DUMMYFUNCTION("""COMPUTED_VALUE"""),83.0)</f>
        <v>83</v>
      </c>
      <c r="D260" s="114" t="str">
        <f>IFERROR(__xludf.DUMMYFUNCTION("""COMPUTED_VALUE"""),"Hawkins")</f>
        <v>Hawkins</v>
      </c>
      <c r="E260" s="114" t="str">
        <f>IFERROR(__xludf.DUMMYFUNCTION("""COMPUTED_VALUE"""),"")</f>
        <v/>
      </c>
      <c r="F260" s="114"/>
      <c r="G260" s="114"/>
      <c r="H260" s="114"/>
      <c r="I260" s="114"/>
      <c r="J260" s="114"/>
      <c r="K260" s="114" t="s">
        <v>5185</v>
      </c>
      <c r="L260" s="114" t="s">
        <v>5186</v>
      </c>
      <c r="M260" s="114" t="s">
        <v>5187</v>
      </c>
      <c r="N260" s="114" t="s">
        <v>5188</v>
      </c>
      <c r="O260" s="114"/>
      <c r="P260" s="120">
        <v>83.0</v>
      </c>
      <c r="Q260" s="117" t="s">
        <v>5189</v>
      </c>
      <c r="R260" s="114"/>
      <c r="S260" s="117" t="s">
        <v>3060</v>
      </c>
      <c r="T260" s="114">
        <f t="shared" si="1"/>
        <v>259</v>
      </c>
      <c r="U260" s="114" t="s">
        <v>547</v>
      </c>
      <c r="V260" s="114" t="str">
        <f>IFERROR(__xludf.DUMMYFUNCTION("REGEXREPLACE(U260, ""\n"", "" "")"),"Shanks`` Daughter")</f>
        <v>Shanks`` Daughter</v>
      </c>
      <c r="W260" s="114"/>
      <c r="X260" s="115" t="str">
        <f t="shared" si="2"/>
        <v>259 Singer of the New Genesis - Uta - Medal [Shanks`` Daughter]</v>
      </c>
      <c r="Y260" s="119"/>
      <c r="Z260" s="117" t="s">
        <v>5190</v>
      </c>
      <c r="AA260" s="117" t="s">
        <v>2826</v>
      </c>
      <c r="AB260" s="114"/>
      <c r="AC260" s="123" t="str">
        <f>IFERROR(__xludf.DUMMYFUNCTION("""COMPUTED_VALUE"""),"https://ik.imagekit.io/alaaalaa6171/084%20Land%20of%20Wano%20-%20Zorojuro%20-%20Medal%20_Ultra%20Tiger%20Hunt_.png?updatedAt=1770076416103")</f>
        <v>https://ik.imagekit.io/alaaalaa6171/084%20Land%20of%20Wano%20-%20Zorojuro%20-%20Medal%20_Ultra%20Tiger%20Hunt_.png?updatedAt=1770076416103</v>
      </c>
      <c r="AD260" s="123" t="str">
        <f>IFERROR(__xludf.DUMMYFUNCTION("""COMPUTED_VALUE"""),"https://ik.imagekit.io/alaaalaa6171/084%20Land%20of%20Wano%20-%20Zorojuro%20-%20Medal%20_Ultra%20Tiger%20Hunt_%20_Colored_.png?updatedAt=1770076416021")</f>
        <v>https://ik.imagekit.io/alaaalaa6171/084%20Land%20of%20Wano%20-%20Zorojuro%20-%20Medal%20_Ultra%20Tiger%20Hunt_%20_Colored_.png?updatedAt=1770076416021</v>
      </c>
      <c r="AE260" s="123" t="str">
        <f>IFERROR(__xludf.DUMMYFUNCTION("""COMPUTED_VALUE"""),"https://ik.imagekit.io/alaaalaa6171/084%20Land%20of%20Wano%20-%20Zorojuro%20-%20Medal%20_Ultra%20Tiger%20Hunt_%20-%20Piece.png?updatedAt=1770076416022")</f>
        <v>https://ik.imagekit.io/alaaalaa6171/084%20Land%20of%20Wano%20-%20Zorojuro%20-%20Medal%20_Ultra%20Tiger%20Hunt_%20-%20Piece.png?updatedAt=1770076416022</v>
      </c>
      <c r="AF260" s="123" t="str">
        <f>IFERROR(__xludf.DUMMYFUNCTION("""COMPUTED_VALUE"""),"https://ik.imagekit.io/alaaalaa6171/084%20Land%20of%20Wano%20-%20Zorojuro%20-%20Medal%20_Ultra%20Tiger%20Hunt_%20-%20Piece%20_Colored_.png?updatedAt=1770076416017")</f>
        <v>https://ik.imagekit.io/alaaalaa6171/084%20Land%20of%20Wano%20-%20Zorojuro%20-%20Medal%20_Ultra%20Tiger%20Hunt_%20-%20Piece%20_Colored_.png?updatedAt=1770076416017</v>
      </c>
      <c r="AG260" s="114"/>
      <c r="AH260" s="114"/>
      <c r="AI260" s="121" t="s">
        <v>5191</v>
      </c>
      <c r="AJ260" s="121" t="str">
        <f>IFERROR(__xludf.DUMMYFUNCTION("regexreplace(regexreplace(AI260, ""  \["", "" ""), ""\]$"", """")"),"259 - Singer of the New Genesis ~ Uta - Medal - Crafted [Colored] - Shanks`` Daughter")</f>
        <v>259 - Singer of the New Genesis ~ Uta - Medal - Crafted [Colored] - Shanks`` Daughter</v>
      </c>
      <c r="AK260" s="114"/>
      <c r="AL260" s="117" t="s">
        <v>5192</v>
      </c>
      <c r="AM260" s="117" t="s">
        <v>5193</v>
      </c>
      <c r="AN260" s="114"/>
      <c r="AO260" s="122">
        <f>IFERROR(__xludf.DUMMYFUNCTION("""COMPUTED_VALUE"""),49.0)</f>
        <v>49</v>
      </c>
      <c r="AP260" s="114" t="str">
        <f>IFERROR(__xludf.DUMMYFUNCTION("""COMPUTED_VALUE"""),"Miracle Worker")</f>
        <v>Miracle Worker</v>
      </c>
      <c r="AQ260" s="114" t="str">
        <f>IFERROR(__xludf.DUMMYFUNCTION("""COMPUTED_VALUE"""),"Miracle Worker")</f>
        <v>Miracle Worker</v>
      </c>
      <c r="AR260" s="114"/>
      <c r="AS260" s="114"/>
      <c r="AT260" s="123" t="str">
        <f>IFERROR(__xludf.DUMMYFUNCTION("""COMPUTED_VALUE"""),"https://i.postimg.cc/fyp00z8k/049.png")</f>
        <v>https://i.postimg.cc/fyp00z8k/049.png</v>
      </c>
      <c r="AU260" s="114"/>
      <c r="AV260" s="114"/>
      <c r="AW260" s="114"/>
      <c r="AX260" s="114" t="str">
        <f t="shared" si="3"/>
        <v>49 - Medal [Event] - Crafted - Miracle Worker</v>
      </c>
      <c r="AY260" s="114" t="s">
        <v>5194</v>
      </c>
      <c r="AZ260" s="114"/>
      <c r="BA260" s="114"/>
      <c r="BB260" s="114"/>
      <c r="BC260" s="114"/>
      <c r="BD260" s="114"/>
      <c r="BE260" s="114"/>
    </row>
    <row r="261" ht="37.5" customHeight="1">
      <c r="A261" s="118" t="s">
        <v>5195</v>
      </c>
      <c r="B261" s="117" t="s">
        <v>3053</v>
      </c>
      <c r="C261" s="119">
        <f>IFERROR(__xludf.DUMMYFUNCTION("""COMPUTED_VALUE"""),82.0)</f>
        <v>82</v>
      </c>
      <c r="D261" s="114" t="str">
        <f>IFERROR(__xludf.DUMMYFUNCTION("""COMPUTED_VALUE"""),"ROOM")</f>
        <v>ROOM</v>
      </c>
      <c r="E261" s="114" t="str">
        <f>IFERROR(__xludf.DUMMYFUNCTION("""COMPUTED_VALUE"""),"")</f>
        <v/>
      </c>
      <c r="F261" s="114"/>
      <c r="G261" s="114"/>
      <c r="H261" s="114"/>
      <c r="I261" s="114"/>
      <c r="J261" s="114"/>
      <c r="K261" s="114" t="s">
        <v>5196</v>
      </c>
      <c r="L261" s="114" t="s">
        <v>5197</v>
      </c>
      <c r="M261" s="114" t="s">
        <v>5198</v>
      </c>
      <c r="N261" s="114" t="s">
        <v>5199</v>
      </c>
      <c r="O261" s="114"/>
      <c r="P261" s="120">
        <v>82.0</v>
      </c>
      <c r="Q261" s="117" t="s">
        <v>5200</v>
      </c>
      <c r="R261" s="114"/>
      <c r="S261" s="117" t="s">
        <v>3047</v>
      </c>
      <c r="T261" s="114">
        <f t="shared" si="1"/>
        <v>260</v>
      </c>
      <c r="U261" s="114" t="s">
        <v>541</v>
      </c>
      <c r="V261" s="114" t="str">
        <f>IFERROR(__xludf.DUMMYFUNCTION("REGEXREPLACE(U261, ""\n"", "" "")"),"Gear Five")</f>
        <v>Gear Five</v>
      </c>
      <c r="W261" s="114"/>
      <c r="X261" s="115" t="str">
        <f t="shared" si="2"/>
        <v>260 Gear Five - Monkey D. Luffy - Medal [Gear Five]</v>
      </c>
      <c r="Y261" s="119"/>
      <c r="Z261" s="117" t="s">
        <v>5201</v>
      </c>
      <c r="AA261" s="117" t="s">
        <v>2827</v>
      </c>
      <c r="AB261" s="114"/>
      <c r="AC261" s="123" t="str">
        <f>IFERROR(__xludf.DUMMYFUNCTION("""COMPUTED_VALUE"""),"https://ik.imagekit.io/alaaalaa6171/083%20Land%20of%20Wano%20-%20Basil%20Hawkins%20-%20Medal%20_Hawkins_.png?updatedAt=1770076416032")</f>
        <v>https://ik.imagekit.io/alaaalaa6171/083%20Land%20of%20Wano%20-%20Basil%20Hawkins%20-%20Medal%20_Hawkins_.png?updatedAt=1770076416032</v>
      </c>
      <c r="AD261" s="123" t="str">
        <f>IFERROR(__xludf.DUMMYFUNCTION("""COMPUTED_VALUE"""),"https://ik.imagekit.io/alaaalaa6171/083%20Land%20of%20Wano%20-%20Basil%20Hawkins%20-%20Medal%20_Hawkins_%20_Colored_.png?updatedAt=1770076415988")</f>
        <v>https://ik.imagekit.io/alaaalaa6171/083%20Land%20of%20Wano%20-%20Basil%20Hawkins%20-%20Medal%20_Hawkins_%20_Colored_.png?updatedAt=1770076415988</v>
      </c>
      <c r="AE261" s="123" t="str">
        <f>IFERROR(__xludf.DUMMYFUNCTION("""COMPUTED_VALUE"""),"https://ik.imagekit.io/alaaalaa6171/083%20Land%20of%20Wano%20-%20Basil%20Hawkins%20-%20Medal%20_Hawkins_%20-%20Piece.png?updatedAt=1770076416009")</f>
        <v>https://ik.imagekit.io/alaaalaa6171/083%20Land%20of%20Wano%20-%20Basil%20Hawkins%20-%20Medal%20_Hawkins_%20-%20Piece.png?updatedAt=1770076416009</v>
      </c>
      <c r="AF261" s="123" t="str">
        <f>IFERROR(__xludf.DUMMYFUNCTION("""COMPUTED_VALUE"""),"https://ik.imagekit.io/alaaalaa6171/083%20Land%20of%20Wano%20-%20Basil%20Hawkins%20-%20Medal%20_Hawkins_%20-%20Piece%20_Colored_.png?updatedAt=1770076416041")</f>
        <v>https://ik.imagekit.io/alaaalaa6171/083%20Land%20of%20Wano%20-%20Basil%20Hawkins%20-%20Medal%20_Hawkins_%20-%20Piece%20_Colored_.png?updatedAt=1770076416041</v>
      </c>
      <c r="AG261" s="114"/>
      <c r="AH261" s="114"/>
      <c r="AI261" s="121" t="s">
        <v>5202</v>
      </c>
      <c r="AJ261" s="121" t="str">
        <f>IFERROR(__xludf.DUMMYFUNCTION("regexreplace(regexreplace(AI261, ""  \["", "" ""), ""\]$"", """")"),"260 - Gear Five ~ Monkey D. Luffy - Medal - Crafted [Colored] - Gear Five")</f>
        <v>260 - Gear Five ~ Monkey D. Luffy - Medal - Crafted [Colored] - Gear Five</v>
      </c>
      <c r="AK261" s="114"/>
      <c r="AL261" s="117" t="s">
        <v>5203</v>
      </c>
      <c r="AM261" s="117" t="s">
        <v>5204</v>
      </c>
      <c r="AN261" s="114"/>
      <c r="AO261" s="122">
        <f>IFERROR(__xludf.DUMMYFUNCTION("""COMPUTED_VALUE"""),48.0)</f>
        <v>48</v>
      </c>
      <c r="AP261" s="114" t="str">
        <f>IFERROR(__xludf.DUMMYFUNCTION("""COMPUTED_VALUE"""),"Chiffon")</f>
        <v>Chiffon</v>
      </c>
      <c r="AQ261" s="114" t="str">
        <f>IFERROR(__xludf.DUMMYFUNCTION("""COMPUTED_VALUE"""),"Chiffon")</f>
        <v>Chiffon</v>
      </c>
      <c r="AR261" s="114"/>
      <c r="AS261" s="114"/>
      <c r="AT261" s="123" t="str">
        <f>IFERROR(__xludf.DUMMYFUNCTION("""COMPUTED_VALUE"""),"https://i.postimg.cc/PfRD7ydh/048.png")</f>
        <v>https://i.postimg.cc/PfRD7ydh/048.png</v>
      </c>
      <c r="AU261" s="114"/>
      <c r="AV261" s="114"/>
      <c r="AW261" s="114"/>
      <c r="AX261" s="114" t="str">
        <f t="shared" si="3"/>
        <v>48 - Medal [Event] - Crafted - Chiffon</v>
      </c>
      <c r="AY261" s="114" t="s">
        <v>5205</v>
      </c>
      <c r="AZ261" s="114"/>
      <c r="BA261" s="114"/>
      <c r="BB261" s="114"/>
      <c r="BC261" s="114"/>
      <c r="BD261" s="114"/>
      <c r="BE261" s="114"/>
    </row>
    <row r="262" ht="37.5" customHeight="1">
      <c r="A262" s="118" t="s">
        <v>5206</v>
      </c>
      <c r="B262" s="117" t="s">
        <v>3027</v>
      </c>
      <c r="C262" s="119">
        <f>IFERROR(__xludf.DUMMYFUNCTION("""COMPUTED_VALUE"""),81.0)</f>
        <v>81</v>
      </c>
      <c r="D262" s="114" t="str">
        <f>IFERROR(__xludf.DUMMYFUNCTION("""COMPUTED_VALUE"""),"Billow_White")</f>
        <v>Billow_White</v>
      </c>
      <c r="E262" s="114" t="str">
        <f>IFERROR(__xludf.DUMMYFUNCTION("""COMPUTED_VALUE"""),"")</f>
        <v/>
      </c>
      <c r="F262" s="114"/>
      <c r="G262" s="114"/>
      <c r="H262" s="114"/>
      <c r="I262" s="114"/>
      <c r="J262" s="114"/>
      <c r="K262" s="114" t="s">
        <v>5207</v>
      </c>
      <c r="L262" s="114" t="s">
        <v>5208</v>
      </c>
      <c r="M262" s="114" t="s">
        <v>5209</v>
      </c>
      <c r="N262" s="114" t="s">
        <v>5210</v>
      </c>
      <c r="O262" s="114"/>
      <c r="P262" s="120">
        <v>81.0</v>
      </c>
      <c r="Q262" s="117" t="s">
        <v>5211</v>
      </c>
      <c r="R262" s="114"/>
      <c r="S262" s="117" t="s">
        <v>3034</v>
      </c>
      <c r="T262" s="114">
        <f t="shared" si="1"/>
        <v>261</v>
      </c>
      <c r="U262" s="114" t="s">
        <v>535</v>
      </c>
      <c r="V262" s="114" t="str">
        <f>IFERROR(__xludf.DUMMYFUNCTION("REGEXREPLACE(U262, ""\n"", "" "")"),"Raid Sanji")</f>
        <v>Raid Sanji</v>
      </c>
      <c r="W262" s="114"/>
      <c r="X262" s="115" t="str">
        <f t="shared" si="2"/>
        <v>261 Raid on Onigashima - Sanji - Medal [Raid Sanji]</v>
      </c>
      <c r="Y262" s="119"/>
      <c r="Z262" s="117" t="s">
        <v>5212</v>
      </c>
      <c r="AA262" s="117" t="s">
        <v>2825</v>
      </c>
      <c r="AB262" s="114"/>
      <c r="AC262" s="123" t="str">
        <f>IFERROR(__xludf.DUMMYFUNCTION("""COMPUTED_VALUE"""),"https://ik.imagekit.io/alaaalaa6171/082%20Land%20of%20Wano%20-%20Trafalgar%20Law%20-%20Medal%20_ROOM_.png?updatedAt=1770076415993")</f>
        <v>https://ik.imagekit.io/alaaalaa6171/082%20Land%20of%20Wano%20-%20Trafalgar%20Law%20-%20Medal%20_ROOM_.png?updatedAt=1770076415993</v>
      </c>
      <c r="AD262" s="123" t="str">
        <f>IFERROR(__xludf.DUMMYFUNCTION("""COMPUTED_VALUE"""),"https://ik.imagekit.io/alaaalaa6171/082%20Land%20of%20Wano%20-%20Trafalgar%20Law%20-%20Medal%20_ROOM_%20_Colored_.png?updatedAt=1770076416016")</f>
        <v>https://ik.imagekit.io/alaaalaa6171/082%20Land%20of%20Wano%20-%20Trafalgar%20Law%20-%20Medal%20_ROOM_%20_Colored_.png?updatedAt=1770076416016</v>
      </c>
      <c r="AE262" s="123" t="str">
        <f>IFERROR(__xludf.DUMMYFUNCTION("""COMPUTED_VALUE"""),"https://ik.imagekit.io/alaaalaa6171/082%20Land%20of%20Wano%20-%20Trafalgar%20Law%20-%20Medal%20_ROOM_%20-%20Piece.png?updatedAt=1770076416011")</f>
        <v>https://ik.imagekit.io/alaaalaa6171/082%20Land%20of%20Wano%20-%20Trafalgar%20Law%20-%20Medal%20_ROOM_%20-%20Piece.png?updatedAt=1770076416011</v>
      </c>
      <c r="AF262" s="123" t="str">
        <f>IFERROR(__xludf.DUMMYFUNCTION("""COMPUTED_VALUE"""),"https://ik.imagekit.io/alaaalaa6171/082%20Land%20of%20Wano%20-%20Trafalgar%20Law%20-%20Medal%20_ROOM_%20-%20Piece%20_Colored_.png?updatedAt=1770076416020")</f>
        <v>https://ik.imagekit.io/alaaalaa6171/082%20Land%20of%20Wano%20-%20Trafalgar%20Law%20-%20Medal%20_ROOM_%20-%20Piece%20_Colored_.png?updatedAt=1770076416020</v>
      </c>
      <c r="AG262" s="114"/>
      <c r="AH262" s="114"/>
      <c r="AI262" s="121" t="s">
        <v>5213</v>
      </c>
      <c r="AJ262" s="121" t="str">
        <f>IFERROR(__xludf.DUMMYFUNCTION("regexreplace(regexreplace(AI262, ""  \["", "" ""), ""\]$"", """")"),"261 - Raid on Onigashima ~ Sanji - Medal - Crafted [Colored] - Raid Sanji")</f>
        <v>261 - Raid on Onigashima ~ Sanji - Medal - Crafted [Colored] - Raid Sanji</v>
      </c>
      <c r="AK262" s="114"/>
      <c r="AL262" s="117" t="s">
        <v>5214</v>
      </c>
      <c r="AM262" s="117" t="s">
        <v>5215</v>
      </c>
      <c r="AN262" s="114"/>
      <c r="AO262" s="122">
        <f>IFERROR(__xludf.DUMMYFUNCTION("""COMPUTED_VALUE"""),47.0)</f>
        <v>47</v>
      </c>
      <c r="AP262" s="114" t="str">
        <f>IFERROR(__xludf.DUMMYFUNCTION("""COMPUTED_VALUE"""),"Memo_Memo")</f>
        <v>Memo_Memo</v>
      </c>
      <c r="AQ262" s="114" t="str">
        <f>IFERROR(__xludf.DUMMYFUNCTION("""COMPUTED_VALUE"""),"Memo_Memo")</f>
        <v>Memo_Memo</v>
      </c>
      <c r="AR262" s="114"/>
      <c r="AS262" s="114"/>
      <c r="AT262" s="123" t="str">
        <f>IFERROR(__xludf.DUMMYFUNCTION("""COMPUTED_VALUE"""),"https://i.postimg.cc/MKfBJBGB/047.png")</f>
        <v>https://i.postimg.cc/MKfBJBGB/047.png</v>
      </c>
      <c r="AU262" s="114"/>
      <c r="AV262" s="114"/>
      <c r="AW262" s="114"/>
      <c r="AX262" s="114" t="str">
        <f t="shared" si="3"/>
        <v>47 - Medal [Event] - Crafted - Memo_Memo</v>
      </c>
      <c r="AY262" s="114" t="s">
        <v>5216</v>
      </c>
      <c r="AZ262" s="114"/>
      <c r="BA262" s="114"/>
      <c r="BB262" s="114"/>
      <c r="BC262" s="114"/>
      <c r="BD262" s="114"/>
      <c r="BE262" s="114"/>
    </row>
    <row r="263" ht="37.5" customHeight="1">
      <c r="A263" s="118" t="s">
        <v>5217</v>
      </c>
      <c r="B263" s="117" t="s">
        <v>3040</v>
      </c>
      <c r="C263" s="119">
        <f>IFERROR(__xludf.DUMMYFUNCTION("""COMPUTED_VALUE"""),80.0)</f>
        <v>80</v>
      </c>
      <c r="D263" s="114" t="str">
        <f>IFERROR(__xludf.DUMMYFUNCTION("""COMPUTED_VALUE"""),"King Kong Gun")</f>
        <v>King Kong Gun</v>
      </c>
      <c r="E263" s="114" t="str">
        <f>IFERROR(__xludf.DUMMYFUNCTION("""COMPUTED_VALUE"""),"")</f>
        <v/>
      </c>
      <c r="F263" s="114"/>
      <c r="G263" s="114"/>
      <c r="H263" s="114"/>
      <c r="I263" s="114"/>
      <c r="J263" s="114"/>
      <c r="K263" s="114" t="s">
        <v>5218</v>
      </c>
      <c r="L263" s="114" t="s">
        <v>5219</v>
      </c>
      <c r="M263" s="114" t="s">
        <v>5220</v>
      </c>
      <c r="N263" s="114" t="s">
        <v>5221</v>
      </c>
      <c r="O263" s="114"/>
      <c r="P263" s="120">
        <v>80.0</v>
      </c>
      <c r="Q263" s="117" t="s">
        <v>5222</v>
      </c>
      <c r="R263" s="114"/>
      <c r="S263" s="117" t="s">
        <v>3021</v>
      </c>
      <c r="T263" s="114">
        <f t="shared" si="1"/>
        <v>262</v>
      </c>
      <c r="U263" s="114" t="s">
        <v>530</v>
      </c>
      <c r="V263" s="114" t="str">
        <f>IFERROR(__xludf.DUMMYFUNCTION("REGEXREPLACE(U263, ""\n"", "" "")"),"Heliceratops")</f>
        <v>Heliceratops</v>
      </c>
      <c r="W263" s="114"/>
      <c r="X263" s="115" t="str">
        <f t="shared" si="2"/>
        <v>262 Animal Kingdom Pirates / Tobi Roppo - Sasaki - Medal [Heliceratops]</v>
      </c>
      <c r="Y263" s="119"/>
      <c r="Z263" s="117" t="s">
        <v>5223</v>
      </c>
      <c r="AA263" s="117" t="s">
        <v>2837</v>
      </c>
      <c r="AB263" s="114"/>
      <c r="AC263" s="123" t="str">
        <f>IFERROR(__xludf.DUMMYFUNCTION("""COMPUTED_VALUE"""),"https://ik.imagekit.io/alaaalaa6171/081%20The%20Seven%20Warlords%20of%20the%20Sea%20-%20Don%20Quixote%20Doflamingo%20-%20Medal%20_Billow_White_.png?updatedAt=1770076415976")</f>
        <v>https://ik.imagekit.io/alaaalaa6171/081%20The%20Seven%20Warlords%20of%20the%20Sea%20-%20Don%20Quixote%20Doflamingo%20-%20Medal%20_Billow_White_.png?updatedAt=1770076415976</v>
      </c>
      <c r="AD263" s="123" t="str">
        <f>IFERROR(__xludf.DUMMYFUNCTION("""COMPUTED_VALUE"""),"https://ik.imagekit.io/alaaalaa6171/081%20The%20Seven%20Warlords%20of%20the%20Sea%20-%20Don%20Quixote%20Doflamingo%20-%20Medal%20_Billow_White_%20_Colored_.png?updatedAt=1770076415983")</f>
        <v>https://ik.imagekit.io/alaaalaa6171/081%20The%20Seven%20Warlords%20of%20the%20Sea%20-%20Don%20Quixote%20Doflamingo%20-%20Medal%20_Billow_White_%20_Colored_.png?updatedAt=1770076415983</v>
      </c>
      <c r="AE263" s="123" t="str">
        <f>IFERROR(__xludf.DUMMYFUNCTION("""COMPUTED_VALUE"""),"https://ik.imagekit.io/alaaalaa6171/081%20The%20Seven%20Warlords%20of%20the%20Sea%20-%20Don%20Quixote%20Doflamingo%20-%20Medal%20_Billow_White_%20-%20Piece.png?updatedAt=1770076416021")</f>
        <v>https://ik.imagekit.io/alaaalaa6171/081%20The%20Seven%20Warlords%20of%20the%20Sea%20-%20Don%20Quixote%20Doflamingo%20-%20Medal%20_Billow_White_%20-%20Piece.png?updatedAt=1770076416021</v>
      </c>
      <c r="AF263" s="123" t="str">
        <f>IFERROR(__xludf.DUMMYFUNCTION("""COMPUTED_VALUE"""),"https://ik.imagekit.io/alaaalaa6171/081%20The%20Seven%20Warlords%20of%20the%20Sea%20-%20Don%20Quixote%20Doflamingo%20-%20Medal%20_Billow_White_%20-%20Piece%20_Colored_.png?updatedAt=1770076416090")</f>
        <v>https://ik.imagekit.io/alaaalaa6171/081%20The%20Seven%20Warlords%20of%20the%20Sea%20-%20Don%20Quixote%20Doflamingo%20-%20Medal%20_Billow_White_%20-%20Piece%20_Colored_.png?updatedAt=1770076416090</v>
      </c>
      <c r="AG263" s="114"/>
      <c r="AH263" s="114"/>
      <c r="AI263" s="121" t="s">
        <v>5224</v>
      </c>
      <c r="AJ263" s="121" t="str">
        <f>IFERROR(__xludf.DUMMYFUNCTION("regexreplace(regexreplace(AI263, ""  \["", "" ""), ""\]$"", """")"),"262 - Animal Kingdom Pirates_Tobi Roppo ~ Sasaki - Medal - Crafted [Colored] - Heliceratops")</f>
        <v>262 - Animal Kingdom Pirates_Tobi Roppo ~ Sasaki - Medal - Crafted [Colored] - Heliceratops</v>
      </c>
      <c r="AK263" s="114"/>
      <c r="AL263" s="117" t="s">
        <v>5225</v>
      </c>
      <c r="AM263" s="117" t="s">
        <v>5226</v>
      </c>
      <c r="AN263" s="114"/>
      <c r="AO263" s="122">
        <f>IFERROR(__xludf.DUMMYFUNCTION("""COMPUTED_VALUE"""),46.0)</f>
        <v>46</v>
      </c>
      <c r="AP263" s="114" t="str">
        <f>IFERROR(__xludf.DUMMYFUNCTION("""COMPUTED_VALUE"""),"Mark_Mark")</f>
        <v>Mark_Mark</v>
      </c>
      <c r="AQ263" s="114" t="str">
        <f>IFERROR(__xludf.DUMMYFUNCTION("""COMPUTED_VALUE"""),"Mark_Mark")</f>
        <v>Mark_Mark</v>
      </c>
      <c r="AR263" s="114"/>
      <c r="AS263" s="114"/>
      <c r="AT263" s="123" t="str">
        <f>IFERROR(__xludf.DUMMYFUNCTION("""COMPUTED_VALUE"""),"https://i.postimg.cc/mgxHLrc5/046.png")</f>
        <v>https://i.postimg.cc/mgxHLrc5/046.png</v>
      </c>
      <c r="AU263" s="114"/>
      <c r="AV263" s="114"/>
      <c r="AW263" s="114"/>
      <c r="AX263" s="114" t="str">
        <f t="shared" si="3"/>
        <v>46 - Medal [Event] - Crafted - Mark_Mark</v>
      </c>
      <c r="AY263" s="114" t="s">
        <v>5227</v>
      </c>
      <c r="AZ263" s="114"/>
      <c r="BA263" s="114"/>
      <c r="BB263" s="114"/>
      <c r="BC263" s="114"/>
      <c r="BD263" s="114"/>
      <c r="BE263" s="114"/>
    </row>
    <row r="264" ht="37.5" customHeight="1">
      <c r="A264" s="118" t="s">
        <v>5228</v>
      </c>
      <c r="B264" s="117" t="s">
        <v>3013</v>
      </c>
      <c r="C264" s="119">
        <f>IFERROR(__xludf.DUMMYFUNCTION("""COMPUTED_VALUE"""),79.0)</f>
        <v>79</v>
      </c>
      <c r="D264" s="114" t="str">
        <f>IFERROR(__xludf.DUMMYFUNCTION("""COMPUTED_VALUE"""),"Sabo
(STAMPEDE)")</f>
        <v>Sabo
(STAMPEDE)</v>
      </c>
      <c r="E264" s="114" t="str">
        <f>IFERROR(__xludf.DUMMYFUNCTION("""COMPUTED_VALUE"""),"")</f>
        <v/>
      </c>
      <c r="F264" s="114"/>
      <c r="G264" s="114"/>
      <c r="H264" s="114"/>
      <c r="I264" s="114"/>
      <c r="J264" s="114"/>
      <c r="K264" s="114" t="s">
        <v>5229</v>
      </c>
      <c r="L264" s="114" t="s">
        <v>5230</v>
      </c>
      <c r="M264" s="114" t="s">
        <v>5231</v>
      </c>
      <c r="N264" s="114" t="s">
        <v>5232</v>
      </c>
      <c r="O264" s="114"/>
      <c r="P264" s="120">
        <v>79.0</v>
      </c>
      <c r="Q264" s="117" t="s">
        <v>5233</v>
      </c>
      <c r="R264" s="114"/>
      <c r="S264" s="117" t="s">
        <v>3007</v>
      </c>
      <c r="T264" s="114">
        <f t="shared" si="1"/>
        <v>263</v>
      </c>
      <c r="U264" s="114" t="s">
        <v>523</v>
      </c>
      <c r="V264" s="114" t="str">
        <f>IFERROR(__xludf.DUMMYFUNCTION("REGEXREPLACE(U264, ""\n"", "" "")"),"Imperial Flame")</f>
        <v>Imperial Flame</v>
      </c>
      <c r="W264" s="114"/>
      <c r="X264" s="115" t="str">
        <f t="shared" si="2"/>
        <v>263 Lunarian - Alber - Medal [Imperial Flame]</v>
      </c>
      <c r="Y264" s="119"/>
      <c r="Z264" s="117" t="s">
        <v>5234</v>
      </c>
      <c r="AA264" s="117" t="s">
        <v>2839</v>
      </c>
      <c r="AB264" s="114"/>
      <c r="AC264" s="123" t="str">
        <f>IFERROR(__xludf.DUMMYFUNCTION("""COMPUTED_VALUE"""),"https://ik.imagekit.io/alaaalaa6171/080%20Gear%20Four_Bounceman%20-%20Monkey%20D.%20Luffy%20-%20Medal%20_King%20Kong%20Gun_.png?updatedAt=1770076416011")</f>
        <v>https://ik.imagekit.io/alaaalaa6171/080%20Gear%20Four_Bounceman%20-%20Monkey%20D.%20Luffy%20-%20Medal%20_King%20Kong%20Gun_.png?updatedAt=1770076416011</v>
      </c>
      <c r="AD264" s="123" t="str">
        <f>IFERROR(__xludf.DUMMYFUNCTION("""COMPUTED_VALUE"""),"https://ik.imagekit.io/alaaalaa6171/080%20Gear%20Four_Bounceman%20-%20Monkey%20D.%20Luffy%20-%20Medal%20_King%20Kong%20Gun_%20_Colored_.png?updatedAt=1770076416005")</f>
        <v>https://ik.imagekit.io/alaaalaa6171/080%20Gear%20Four_Bounceman%20-%20Monkey%20D.%20Luffy%20-%20Medal%20_King%20Kong%20Gun_%20_Colored_.png?updatedAt=1770076416005</v>
      </c>
      <c r="AE264" s="123" t="str">
        <f>IFERROR(__xludf.DUMMYFUNCTION("""COMPUTED_VALUE"""),"https://ik.imagekit.io/alaaalaa6171/080%20Gear%20Four_Bounceman%20-%20Monkey%20D.%20Luffy%20-%20Medal%20_King%20Kong%20Gun_%20-%20Piece.png?updatedAt=1770076416004")</f>
        <v>https://ik.imagekit.io/alaaalaa6171/080%20Gear%20Four_Bounceman%20-%20Monkey%20D.%20Luffy%20-%20Medal%20_King%20Kong%20Gun_%20-%20Piece.png?updatedAt=1770076416004</v>
      </c>
      <c r="AF264" s="123" t="str">
        <f>IFERROR(__xludf.DUMMYFUNCTION("""COMPUTED_VALUE"""),"https://ik.imagekit.io/alaaalaa6171/080%20Gear%20Four_Bounceman%20-%20Monkey%20D.%20Luffy%20-%20Medal%20_King%20Kong%20Gun_%20-%20Piece%20_Colored_.png?updatedAt=1770076416030")</f>
        <v>https://ik.imagekit.io/alaaalaa6171/080%20Gear%20Four_Bounceman%20-%20Monkey%20D.%20Luffy%20-%20Medal%20_King%20Kong%20Gun_%20-%20Piece%20_Colored_.png?updatedAt=1770076416030</v>
      </c>
      <c r="AG264" s="114"/>
      <c r="AH264" s="114"/>
      <c r="AI264" s="121" t="s">
        <v>5235</v>
      </c>
      <c r="AJ264" s="121" t="str">
        <f>IFERROR(__xludf.DUMMYFUNCTION("regexreplace(regexreplace(AI264, ""  \["", "" ""), ""\]$"", """")"),"263 - Lunarian ~ Alber - Medal - Crafted [Colored] - Imperial Flame")</f>
        <v>263 - Lunarian ~ Alber - Medal - Crafted [Colored] - Imperial Flame</v>
      </c>
      <c r="AK264" s="114"/>
      <c r="AL264" s="117" t="s">
        <v>5236</v>
      </c>
      <c r="AM264" s="117" t="s">
        <v>5237</v>
      </c>
      <c r="AN264" s="114"/>
      <c r="AO264" s="122">
        <f>IFERROR(__xludf.DUMMYFUNCTION("""COMPUTED_VALUE"""),45.0)</f>
        <v>45</v>
      </c>
      <c r="AP264" s="114" t="str">
        <f>IFERROR(__xludf.DUMMYFUNCTION("""COMPUTED_VALUE"""),"Hody")</f>
        <v>Hody</v>
      </c>
      <c r="AQ264" s="114" t="str">
        <f>IFERROR(__xludf.DUMMYFUNCTION("""COMPUTED_VALUE"""),"Hody")</f>
        <v>Hody</v>
      </c>
      <c r="AR264" s="114"/>
      <c r="AS264" s="114"/>
      <c r="AT264" s="123" t="str">
        <f>IFERROR(__xludf.DUMMYFUNCTION("""COMPUTED_VALUE"""),"https://i.postimg.cc/x1KbcSMT/045.png")</f>
        <v>https://i.postimg.cc/x1KbcSMT/045.png</v>
      </c>
      <c r="AU264" s="114"/>
      <c r="AV264" s="114"/>
      <c r="AW264" s="114"/>
      <c r="AX264" s="114" t="str">
        <f t="shared" si="3"/>
        <v>45 - Medal [Event] - Crafted - Hody</v>
      </c>
      <c r="AY264" s="114" t="s">
        <v>5238</v>
      </c>
      <c r="AZ264" s="114"/>
      <c r="BA264" s="114"/>
      <c r="BB264" s="114"/>
      <c r="BC264" s="114"/>
      <c r="BD264" s="114"/>
      <c r="BE264" s="114"/>
    </row>
    <row r="265" ht="37.5" customHeight="1">
      <c r="A265" s="118" t="s">
        <v>5239</v>
      </c>
      <c r="B265" s="117" t="s">
        <v>2959</v>
      </c>
      <c r="C265" s="119">
        <f>IFERROR(__xludf.DUMMYFUNCTION("""COMPUTED_VALUE"""),78.0)</f>
        <v>78</v>
      </c>
      <c r="D265" s="114" t="str">
        <f>IFERROR(__xludf.DUMMYFUNCTION("""COMPUTED_VALUE"""),"Luffy
(STAMPEDE)")</f>
        <v>Luffy
(STAMPEDE)</v>
      </c>
      <c r="E265" s="114" t="str">
        <f>IFERROR(__xludf.DUMMYFUNCTION("""COMPUTED_VALUE"""),"")</f>
        <v/>
      </c>
      <c r="F265" s="114"/>
      <c r="G265" s="114"/>
      <c r="H265" s="114"/>
      <c r="I265" s="114"/>
      <c r="J265" s="114"/>
      <c r="K265" s="114" t="s">
        <v>5240</v>
      </c>
      <c r="L265" s="114" t="s">
        <v>5241</v>
      </c>
      <c r="M265" s="114" t="s">
        <v>5242</v>
      </c>
      <c r="N265" s="114" t="s">
        <v>5243</v>
      </c>
      <c r="O265" s="114"/>
      <c r="P265" s="120">
        <v>78.0</v>
      </c>
      <c r="Q265" s="117" t="s">
        <v>5244</v>
      </c>
      <c r="R265" s="114"/>
      <c r="S265" s="117" t="s">
        <v>2994</v>
      </c>
      <c r="T265" s="114">
        <f t="shared" si="1"/>
        <v>264</v>
      </c>
      <c r="U265" s="114" t="s">
        <v>517</v>
      </c>
      <c r="V265" s="114" t="str">
        <f>IFERROR(__xludf.DUMMYFUNCTION("REGEXREPLACE(U265, ""\n"", "" "")"),"Flying Pan")</f>
        <v>Flying Pan</v>
      </c>
      <c r="W265" s="114"/>
      <c r="X265" s="115" t="str">
        <f t="shared" si="2"/>
        <v>264 Cyborg - Queen - Medal [Flying Pan]</v>
      </c>
      <c r="Y265" s="119"/>
      <c r="Z265" s="117" t="s">
        <v>5245</v>
      </c>
      <c r="AA265" s="117" t="s">
        <v>2840</v>
      </c>
      <c r="AB265" s="114"/>
      <c r="AC265" s="123" t="str">
        <f>IFERROR(__xludf.DUMMYFUNCTION("""COMPUTED_VALUE"""),"https://ik.imagekit.io/alaaalaa6171/079%20STAMPEDE%20-%20Sabo%20-%20Medal%20_Sabo%20(STAMPEDE)_.png?updatedAt=1770076416001")</f>
        <v>https://ik.imagekit.io/alaaalaa6171/079%20STAMPEDE%20-%20Sabo%20-%20Medal%20_Sabo%20(STAMPEDE)_.png?updatedAt=1770076416001</v>
      </c>
      <c r="AD265" s="123" t="str">
        <f>IFERROR(__xludf.DUMMYFUNCTION("""COMPUTED_VALUE"""),"https://ik.imagekit.io/alaaalaa6171/079%20STAMPEDE%20-%20Sabo%20-%20Medal%20_Sabo%20(STAMPEDE)_%20_Colored_.png?updatedAt=1770076415987")</f>
        <v>https://ik.imagekit.io/alaaalaa6171/079%20STAMPEDE%20-%20Sabo%20-%20Medal%20_Sabo%20(STAMPEDE)_%20_Colored_.png?updatedAt=1770076415987</v>
      </c>
      <c r="AE265" s="123" t="str">
        <f>IFERROR(__xludf.DUMMYFUNCTION("""COMPUTED_VALUE"""),"https://ik.imagekit.io/alaaalaa6171/079%20STAMPEDE%20-%20Sabo%20-%20Medal%20_Sabo%20(STAMPEDE)_%20-%20Piece.png?updatedAt=1770076416027")</f>
        <v>https://ik.imagekit.io/alaaalaa6171/079%20STAMPEDE%20-%20Sabo%20-%20Medal%20_Sabo%20(STAMPEDE)_%20-%20Piece.png?updatedAt=1770076416027</v>
      </c>
      <c r="AF265" s="123" t="str">
        <f>IFERROR(__xludf.DUMMYFUNCTION("""COMPUTED_VALUE"""),"https://ik.imagekit.io/alaaalaa6171/079%20STAMPEDE%20-%20Sabo%20-%20Medal%20_Sabo%20(STAMPEDE)_%20-%20Piece%20_Colored_.png?updatedAt=1770076415950")</f>
        <v>https://ik.imagekit.io/alaaalaa6171/079%20STAMPEDE%20-%20Sabo%20-%20Medal%20_Sabo%20(STAMPEDE)_%20-%20Piece%20_Colored_.png?updatedAt=1770076415950</v>
      </c>
      <c r="AG265" s="114"/>
      <c r="AH265" s="114"/>
      <c r="AI265" s="121" t="s">
        <v>5246</v>
      </c>
      <c r="AJ265" s="121" t="str">
        <f>IFERROR(__xludf.DUMMYFUNCTION("regexreplace(regexreplace(AI265, ""  \["", "" ""), ""\]$"", """")"),"264 - Cyborg ~ Queen - Medal - Crafted [Colored] - Flying Pan")</f>
        <v>264 - Cyborg ~ Queen - Medal - Crafted [Colored] - Flying Pan</v>
      </c>
      <c r="AK265" s="114"/>
      <c r="AL265" s="117" t="s">
        <v>5247</v>
      </c>
      <c r="AM265" s="117" t="s">
        <v>5248</v>
      </c>
      <c r="AN265" s="114"/>
      <c r="AO265" s="122">
        <f>IFERROR(__xludf.DUMMYFUNCTION("""COMPUTED_VALUE"""),44.0)</f>
        <v>44</v>
      </c>
      <c r="AP265" s="114" t="str">
        <f>IFERROR(__xludf.DUMMYFUNCTION("""COMPUTED_VALUE"""),"Wild Zombie")</f>
        <v>Wild Zombie</v>
      </c>
      <c r="AQ265" s="114" t="str">
        <f>IFERROR(__xludf.DUMMYFUNCTION("""COMPUTED_VALUE"""),"Wild Zombie")</f>
        <v>Wild Zombie</v>
      </c>
      <c r="AR265" s="114"/>
      <c r="AS265" s="114"/>
      <c r="AT265" s="123" t="str">
        <f>IFERROR(__xludf.DUMMYFUNCTION("""COMPUTED_VALUE"""),"https://i.postimg.cc/jjtnfk46/044.png")</f>
        <v>https://i.postimg.cc/jjtnfk46/044.png</v>
      </c>
      <c r="AU265" s="114"/>
      <c r="AV265" s="114"/>
      <c r="AW265" s="114"/>
      <c r="AX265" s="114" t="str">
        <f t="shared" si="3"/>
        <v>44 - Medal [Event] - Crafted - Wild Zombie</v>
      </c>
      <c r="AY265" s="114" t="s">
        <v>5249</v>
      </c>
      <c r="AZ265" s="114"/>
      <c r="BA265" s="114"/>
      <c r="BB265" s="114"/>
      <c r="BC265" s="114"/>
      <c r="BD265" s="114"/>
      <c r="BE265" s="114"/>
    </row>
    <row r="266" ht="37.5" customHeight="1">
      <c r="A266" s="118" t="s">
        <v>5250</v>
      </c>
      <c r="B266" s="117" t="s">
        <v>2973</v>
      </c>
      <c r="C266" s="119">
        <f>IFERROR(__xludf.DUMMYFUNCTION("""COMPUTED_VALUE"""),77.0)</f>
        <v>77</v>
      </c>
      <c r="D266" s="114" t="str">
        <f>IFERROR(__xludf.DUMMYFUNCTION("""COMPUTED_VALUE"""),"Smoker
(STAMPEDE)")</f>
        <v>Smoker
(STAMPEDE)</v>
      </c>
      <c r="E266" s="114" t="str">
        <f>IFERROR(__xludf.DUMMYFUNCTION("""COMPUTED_VALUE"""),"")</f>
        <v/>
      </c>
      <c r="F266" s="114"/>
      <c r="G266" s="114"/>
      <c r="H266" s="114"/>
      <c r="I266" s="114"/>
      <c r="J266" s="114"/>
      <c r="K266" s="114" t="s">
        <v>5251</v>
      </c>
      <c r="L266" s="114" t="s">
        <v>5252</v>
      </c>
      <c r="M266" s="114" t="s">
        <v>5253</v>
      </c>
      <c r="N266" s="114" t="s">
        <v>5254</v>
      </c>
      <c r="O266" s="114"/>
      <c r="P266" s="120">
        <v>77.0</v>
      </c>
      <c r="Q266" s="117" t="s">
        <v>5255</v>
      </c>
      <c r="R266" s="114"/>
      <c r="S266" s="117" t="s">
        <v>2981</v>
      </c>
      <c r="T266" s="114">
        <f t="shared" si="1"/>
        <v>265</v>
      </c>
      <c r="U266" s="114" t="s">
        <v>509</v>
      </c>
      <c r="V266" s="114" t="str">
        <f>IFERROR(__xludf.DUMMYFUNCTION("REGEXREPLACE(U266, ""\n"", "" "")"),"Hack")</f>
        <v>Hack</v>
      </c>
      <c r="W266" s="114"/>
      <c r="X266" s="115" t="str">
        <f t="shared" si="2"/>
        <v>265 Revolutionary Army / Solider - Hack - Medal [Hack]</v>
      </c>
      <c r="Y266" s="119"/>
      <c r="Z266" s="117" t="s">
        <v>5256</v>
      </c>
      <c r="AA266" s="117" t="s">
        <v>2838</v>
      </c>
      <c r="AB266" s="114"/>
      <c r="AC266" s="123" t="str">
        <f>IFERROR(__xludf.DUMMYFUNCTION("""COMPUTED_VALUE"""),"https://ik.imagekit.io/alaaalaa6171/078%20STAMPEDE%20-%20Monkey%20D.%20Luffy%20-%20Medal%20_Luffy%20(STAMPEDE)_.png?updatedAt=1770076415933")</f>
        <v>https://ik.imagekit.io/alaaalaa6171/078%20STAMPEDE%20-%20Monkey%20D.%20Luffy%20-%20Medal%20_Luffy%20(STAMPEDE)_.png?updatedAt=1770076415933</v>
      </c>
      <c r="AD266" s="123" t="str">
        <f>IFERROR(__xludf.DUMMYFUNCTION("""COMPUTED_VALUE"""),"https://ik.imagekit.io/alaaalaa6171/078%20STAMPEDE%20-%20Monkey%20D.%20Luffy%20-%20Medal%20_Luffy%20(STAMPEDE)_%20_Colored_.png?updatedAt=1770076415945")</f>
        <v>https://ik.imagekit.io/alaaalaa6171/078%20STAMPEDE%20-%20Monkey%20D.%20Luffy%20-%20Medal%20_Luffy%20(STAMPEDE)_%20_Colored_.png?updatedAt=1770076415945</v>
      </c>
      <c r="AE266" s="123" t="str">
        <f>IFERROR(__xludf.DUMMYFUNCTION("""COMPUTED_VALUE"""),"https://ik.imagekit.io/alaaalaa6171/078%20STAMPEDE%20-%20Monkey%20D.%20Luffy%20-%20Medal%20_Luffy%20(STAMPEDE)_%20-%20Piece.png?updatedAt=1770076415934")</f>
        <v>https://ik.imagekit.io/alaaalaa6171/078%20STAMPEDE%20-%20Monkey%20D.%20Luffy%20-%20Medal%20_Luffy%20(STAMPEDE)_%20-%20Piece.png?updatedAt=1770076415934</v>
      </c>
      <c r="AF266" s="123" t="str">
        <f>IFERROR(__xludf.DUMMYFUNCTION("""COMPUTED_VALUE"""),"https://ik.imagekit.io/alaaalaa6171/078%20STAMPEDE%20-%20Monkey%20D.%20Luffy%20-%20Medal%20_Luffy%20(STAMPEDE)_%20-%20Piece%20_Colored_.png?updatedAt=1770076415927")</f>
        <v>https://ik.imagekit.io/alaaalaa6171/078%20STAMPEDE%20-%20Monkey%20D.%20Luffy%20-%20Medal%20_Luffy%20(STAMPEDE)_%20-%20Piece%20_Colored_.png?updatedAt=1770076415927</v>
      </c>
      <c r="AG266" s="114"/>
      <c r="AH266" s="114"/>
      <c r="AI266" s="121" t="s">
        <v>5257</v>
      </c>
      <c r="AJ266" s="121" t="str">
        <f>IFERROR(__xludf.DUMMYFUNCTION("regexreplace(regexreplace(AI266, ""  \["", "" ""), ""\]$"", """")"),"265 - Revolutionary Army_Solider ~ Hack - Medal - Crafted [Colored] - Hack")</f>
        <v>265 - Revolutionary Army_Solider ~ Hack - Medal - Crafted [Colored] - Hack</v>
      </c>
      <c r="AK266" s="114"/>
      <c r="AL266" s="117" t="s">
        <v>5258</v>
      </c>
      <c r="AM266" s="117" t="s">
        <v>5259</v>
      </c>
      <c r="AN266" s="114"/>
      <c r="AO266" s="122">
        <f>IFERROR(__xludf.DUMMYFUNCTION("""COMPUTED_VALUE"""),43.0)</f>
        <v>43</v>
      </c>
      <c r="AP266" s="114" t="str">
        <f>IFERROR(__xludf.DUMMYFUNCTION("""COMPUTED_VALUE"""),"Genie")</f>
        <v>Genie</v>
      </c>
      <c r="AQ266" s="114" t="str">
        <f>IFERROR(__xludf.DUMMYFUNCTION("""COMPUTED_VALUE"""),"Genie")</f>
        <v>Genie</v>
      </c>
      <c r="AR266" s="114"/>
      <c r="AS266" s="114"/>
      <c r="AT266" s="123" t="str">
        <f>IFERROR(__xludf.DUMMYFUNCTION("""COMPUTED_VALUE"""),"https://i.postimg.cc/SKd2f7gB/043.png")</f>
        <v>https://i.postimg.cc/SKd2f7gB/043.png</v>
      </c>
      <c r="AU266" s="114"/>
      <c r="AV266" s="114"/>
      <c r="AW266" s="114"/>
      <c r="AX266" s="114" t="str">
        <f t="shared" si="3"/>
        <v>43 - Medal [Event] - Crafted - Genie</v>
      </c>
      <c r="AY266" s="114" t="s">
        <v>5260</v>
      </c>
      <c r="AZ266" s="114"/>
      <c r="BA266" s="114"/>
      <c r="BB266" s="114"/>
      <c r="BC266" s="114"/>
      <c r="BD266" s="114"/>
      <c r="BE266" s="114"/>
    </row>
    <row r="267" ht="37.5" customHeight="1">
      <c r="A267" s="118" t="s">
        <v>5261</v>
      </c>
      <c r="B267" s="117" t="s">
        <v>3000</v>
      </c>
      <c r="C267" s="119">
        <f>IFERROR(__xludf.DUMMYFUNCTION("""COMPUTED_VALUE"""),76.0)</f>
        <v>76</v>
      </c>
      <c r="D267" s="114" t="str">
        <f>IFERROR(__xludf.DUMMYFUNCTION("""COMPUTED_VALUE"""),"Fire Pillar")</f>
        <v>Fire Pillar</v>
      </c>
      <c r="E267" s="114" t="str">
        <f>IFERROR(__xludf.DUMMYFUNCTION("""COMPUTED_VALUE"""),"")</f>
        <v/>
      </c>
      <c r="F267" s="114"/>
      <c r="G267" s="114"/>
      <c r="H267" s="114"/>
      <c r="I267" s="114"/>
      <c r="J267" s="114"/>
      <c r="K267" s="114" t="s">
        <v>5262</v>
      </c>
      <c r="L267" s="114" t="s">
        <v>5263</v>
      </c>
      <c r="M267" s="114" t="s">
        <v>5264</v>
      </c>
      <c r="N267" s="114" t="s">
        <v>5265</v>
      </c>
      <c r="O267" s="114"/>
      <c r="P267" s="120">
        <v>76.0</v>
      </c>
      <c r="Q267" s="117" t="s">
        <v>5266</v>
      </c>
      <c r="R267" s="114"/>
      <c r="S267" s="117" t="s">
        <v>2967</v>
      </c>
      <c r="T267" s="114">
        <f t="shared" si="1"/>
        <v>266</v>
      </c>
      <c r="U267" s="114" t="s">
        <v>502</v>
      </c>
      <c r="V267" s="114" t="str">
        <f>IFERROR(__xludf.DUMMYFUNCTION("REGEXREPLACE(U267, ""\n"", "" "")"),"Inazuma")</f>
        <v>Inazuma</v>
      </c>
      <c r="W267" s="114"/>
      <c r="X267" s="115" t="str">
        <f t="shared" si="2"/>
        <v>266 Revolutionary Army / Officer - Inazuma - Medal [Inazuma]</v>
      </c>
      <c r="Y267" s="119"/>
      <c r="Z267" s="117" t="s">
        <v>5267</v>
      </c>
      <c r="AA267" s="117" t="s">
        <v>2850</v>
      </c>
      <c r="AB267" s="114"/>
      <c r="AC267" s="123" t="str">
        <f>IFERROR(__xludf.DUMMYFUNCTION("""COMPUTED_VALUE"""),"https://ik.imagekit.io/alaaalaa6171/077%20STAMPEDE%20-%20Smoker%20-%20Medal%20_Smoker%20(STAMPEDE)_.png?updatedAt=1770076415954")</f>
        <v>https://ik.imagekit.io/alaaalaa6171/077%20STAMPEDE%20-%20Smoker%20-%20Medal%20_Smoker%20(STAMPEDE)_.png?updatedAt=1770076415954</v>
      </c>
      <c r="AD267" s="123" t="str">
        <f>IFERROR(__xludf.DUMMYFUNCTION("""COMPUTED_VALUE"""),"https://ik.imagekit.io/alaaalaa6171/077%20STAMPEDE%20-%20Smoker%20-%20Medal%20_Smoker%20(STAMPEDE)_%20_Colored_.png?updatedAt=1770076415942")</f>
        <v>https://ik.imagekit.io/alaaalaa6171/077%20STAMPEDE%20-%20Smoker%20-%20Medal%20_Smoker%20(STAMPEDE)_%20_Colored_.png?updatedAt=1770076415942</v>
      </c>
      <c r="AE267" s="123" t="str">
        <f>IFERROR(__xludf.DUMMYFUNCTION("""COMPUTED_VALUE"""),"https://ik.imagekit.io/alaaalaa6171/077%20STAMPEDE%20-%20Smoker%20-%20Medal%20_Smoker%20(STAMPEDE)_%20-%20Piece.png?updatedAt=1770076415945")</f>
        <v>https://ik.imagekit.io/alaaalaa6171/077%20STAMPEDE%20-%20Smoker%20-%20Medal%20_Smoker%20(STAMPEDE)_%20-%20Piece.png?updatedAt=1770076415945</v>
      </c>
      <c r="AF267" s="123" t="str">
        <f>IFERROR(__xludf.DUMMYFUNCTION("""COMPUTED_VALUE"""),"https://ik.imagekit.io/alaaalaa6171/077%20STAMPEDE%20-%20Smoker%20-%20Medal%20_Smoker%20(STAMPEDE)_%20-%20Piece%20_Colored_.png?updatedAt=1770076415923")</f>
        <v>https://ik.imagekit.io/alaaalaa6171/077%20STAMPEDE%20-%20Smoker%20-%20Medal%20_Smoker%20(STAMPEDE)_%20-%20Piece%20_Colored_.png?updatedAt=1770076415923</v>
      </c>
      <c r="AG267" s="114"/>
      <c r="AH267" s="114"/>
      <c r="AI267" s="121" t="s">
        <v>5268</v>
      </c>
      <c r="AJ267" s="121" t="str">
        <f>IFERROR(__xludf.DUMMYFUNCTION("regexreplace(regexreplace(AI267, ""  \["", "" ""), ""\]$"", """")"),"266 - Revolutionary Army_Officer ~ Inazuma - Medal - Crafted [Colored] - Inazuma")</f>
        <v>266 - Revolutionary Army_Officer ~ Inazuma - Medal - Crafted [Colored] - Inazuma</v>
      </c>
      <c r="AK267" s="114"/>
      <c r="AL267" s="117" t="s">
        <v>5269</v>
      </c>
      <c r="AM267" s="117" t="s">
        <v>5270</v>
      </c>
      <c r="AN267" s="114"/>
      <c r="AO267" s="122">
        <f>IFERROR(__xludf.DUMMYFUNCTION("""COMPUTED_VALUE"""),42.0)</f>
        <v>42</v>
      </c>
      <c r="AP267" s="114" t="str">
        <f>IFERROR(__xludf.DUMMYFUNCTION("""COMPUTED_VALUE"""),"Bis_Bis")</f>
        <v>Bis_Bis</v>
      </c>
      <c r="AQ267" s="114" t="str">
        <f>IFERROR(__xludf.DUMMYFUNCTION("""COMPUTED_VALUE"""),"Bis_Bis")</f>
        <v>Bis_Bis</v>
      </c>
      <c r="AR267" s="114"/>
      <c r="AS267" s="114"/>
      <c r="AT267" s="123" t="str">
        <f>IFERROR(__xludf.DUMMYFUNCTION("""COMPUTED_VALUE"""),"https://i.postimg.cc/fLb32tFJ/042.png")</f>
        <v>https://i.postimg.cc/fLb32tFJ/042.png</v>
      </c>
      <c r="AU267" s="114"/>
      <c r="AV267" s="114"/>
      <c r="AW267" s="114"/>
      <c r="AX267" s="114" t="str">
        <f t="shared" si="3"/>
        <v>42 - Medal [Event] - Crafted - Bis_Bis</v>
      </c>
      <c r="AY267" s="114" t="s">
        <v>5271</v>
      </c>
      <c r="AZ267" s="114"/>
      <c r="BA267" s="114"/>
      <c r="BB267" s="114"/>
      <c r="BC267" s="114"/>
      <c r="BD267" s="114"/>
      <c r="BE267" s="114"/>
    </row>
    <row r="268" ht="37.5" customHeight="1">
      <c r="A268" s="118" t="s">
        <v>5272</v>
      </c>
      <c r="B268" s="117" t="s">
        <v>2987</v>
      </c>
      <c r="C268" s="119">
        <f>IFERROR(__xludf.DUMMYFUNCTION("""COMPUTED_VALUE"""),75.0)</f>
        <v>75</v>
      </c>
      <c r="D268" s="114" t="str">
        <f>IFERROR(__xludf.DUMMYFUNCTION("""COMPUTED_VALUE"""),"Sables")</f>
        <v>Sables</v>
      </c>
      <c r="E268" s="114" t="str">
        <f>IFERROR(__xludf.DUMMYFUNCTION("""COMPUTED_VALUE"""),"")</f>
        <v/>
      </c>
      <c r="F268" s="114"/>
      <c r="G268" s="114"/>
      <c r="H268" s="114"/>
      <c r="I268" s="114"/>
      <c r="J268" s="114"/>
      <c r="K268" s="114" t="s">
        <v>5273</v>
      </c>
      <c r="L268" s="114" t="s">
        <v>5274</v>
      </c>
      <c r="M268" s="114" t="s">
        <v>5275</v>
      </c>
      <c r="N268" s="114" t="s">
        <v>5276</v>
      </c>
      <c r="O268" s="114"/>
      <c r="P268" s="120">
        <v>75.0</v>
      </c>
      <c r="Q268" s="117" t="s">
        <v>5277</v>
      </c>
      <c r="R268" s="114"/>
      <c r="S268" s="117" t="s">
        <v>2953</v>
      </c>
      <c r="T268" s="114">
        <f t="shared" si="1"/>
        <v>267</v>
      </c>
      <c r="U268" s="114" t="s">
        <v>497</v>
      </c>
      <c r="V268" s="114" t="str">
        <f>IFERROR(__xludf.DUMMYFUNCTION("REGEXREPLACE(U268, ""\n"", "" "")"),"Karasu")</f>
        <v>Karasu</v>
      </c>
      <c r="W268" s="114"/>
      <c r="X268" s="115" t="str">
        <f t="shared" si="2"/>
        <v>267 Revolutionary Army / Captain of the Northern Forces - Karasu - Medal [Karasu]</v>
      </c>
      <c r="Y268" s="119"/>
      <c r="Z268" s="117" t="s">
        <v>5278</v>
      </c>
      <c r="AA268" s="117" t="s">
        <v>2852</v>
      </c>
      <c r="AB268" s="114"/>
      <c r="AC268" s="123" t="str">
        <f>IFERROR(__xludf.DUMMYFUNCTION("""COMPUTED_VALUE"""),"https://ik.imagekit.io/alaaalaa6171/076%20Navy%20Infiltrator%20-%20Portgaz%20D.%20Ace%20-%20Medal%20_Fire%20Pillar_.png?updatedAt=1770076415910")</f>
        <v>https://ik.imagekit.io/alaaalaa6171/076%20Navy%20Infiltrator%20-%20Portgaz%20D.%20Ace%20-%20Medal%20_Fire%20Pillar_.png?updatedAt=1770076415910</v>
      </c>
      <c r="AD268" s="123" t="str">
        <f>IFERROR(__xludf.DUMMYFUNCTION("""COMPUTED_VALUE"""),"https://ik.imagekit.io/alaaalaa6171/076%20Navy%20Infiltrator%20-%20Portgaz%20D.%20Ace%20-%20Medal%20_Fire%20Pillar_%20_Colored_.png?updatedAt=1770076415929")</f>
        <v>https://ik.imagekit.io/alaaalaa6171/076%20Navy%20Infiltrator%20-%20Portgaz%20D.%20Ace%20-%20Medal%20_Fire%20Pillar_%20_Colored_.png?updatedAt=1770076415929</v>
      </c>
      <c r="AE268" s="123" t="str">
        <f>IFERROR(__xludf.DUMMYFUNCTION("""COMPUTED_VALUE"""),"https://ik.imagekit.io/alaaalaa6171/076%20Navy%20Infiltrator%20-%20Portgaz%20D.%20Ace%20-%20Medal%20_Fire%20Pillar_%20-%20Piece.png?updatedAt=1770076415907")</f>
        <v>https://ik.imagekit.io/alaaalaa6171/076%20Navy%20Infiltrator%20-%20Portgaz%20D.%20Ace%20-%20Medal%20_Fire%20Pillar_%20-%20Piece.png?updatedAt=1770076415907</v>
      </c>
      <c r="AF268" s="123" t="str">
        <f>IFERROR(__xludf.DUMMYFUNCTION("""COMPUTED_VALUE"""),"https://ik.imagekit.io/alaaalaa6171/076%20Navy%20Infiltrator%20-%20Portgaz%20D.%20Ace%20-%20Medal%20_Fire%20Pillar_%20-%20Piece%20_Colored_.png?updatedAt=1770076415958")</f>
        <v>https://ik.imagekit.io/alaaalaa6171/076%20Navy%20Infiltrator%20-%20Portgaz%20D.%20Ace%20-%20Medal%20_Fire%20Pillar_%20-%20Piece%20_Colored_.png?updatedAt=1770076415958</v>
      </c>
      <c r="AG268" s="114"/>
      <c r="AH268" s="114"/>
      <c r="AI268" s="121" t="s">
        <v>5279</v>
      </c>
      <c r="AJ268" s="121" t="str">
        <f>IFERROR(__xludf.DUMMYFUNCTION("regexreplace(regexreplace(AI268, ""  \["", "" ""), ""\]$"", """")"),"267 - Revolutionary Army_Captain of the Northern Forces ~ Karasu - Medal - Crafted [Colored] - Karasu")</f>
        <v>267 - Revolutionary Army_Captain of the Northern Forces ~ Karasu - Medal - Crafted [Colored] - Karasu</v>
      </c>
      <c r="AK268" s="114"/>
      <c r="AL268" s="117" t="s">
        <v>5280</v>
      </c>
      <c r="AM268" s="117" t="s">
        <v>5281</v>
      </c>
      <c r="AN268" s="114"/>
      <c r="AO268" s="122">
        <f>IFERROR(__xludf.DUMMYFUNCTION("""COMPUTED_VALUE"""),41.0)</f>
        <v>41</v>
      </c>
      <c r="AP268" s="114" t="str">
        <f>IFERROR(__xludf.DUMMYFUNCTION("""COMPUTED_VALUE"""),"Wring_Wring")</f>
        <v>Wring_Wring</v>
      </c>
      <c r="AQ268" s="114" t="str">
        <f>IFERROR(__xludf.DUMMYFUNCTION("""COMPUTED_VALUE"""),"Wring_Wring")</f>
        <v>Wring_Wring</v>
      </c>
      <c r="AR268" s="114"/>
      <c r="AS268" s="114"/>
      <c r="AT268" s="123" t="str">
        <f>IFERROR(__xludf.DUMMYFUNCTION("""COMPUTED_VALUE"""),"https://i.postimg.cc/NMPKWGqb/041.png")</f>
        <v>https://i.postimg.cc/NMPKWGqb/041.png</v>
      </c>
      <c r="AU268" s="114"/>
      <c r="AV268" s="114"/>
      <c r="AW268" s="114"/>
      <c r="AX268" s="114" t="str">
        <f t="shared" si="3"/>
        <v>41 - Medal [Event] - Crafted - Wring_Wring</v>
      </c>
      <c r="AY268" s="114" t="s">
        <v>5282</v>
      </c>
      <c r="AZ268" s="114"/>
      <c r="BA268" s="114"/>
      <c r="BB268" s="114"/>
      <c r="BC268" s="114"/>
      <c r="BD268" s="114"/>
      <c r="BE268" s="114"/>
    </row>
    <row r="269" ht="37.5" customHeight="1">
      <c r="A269" s="118" t="s">
        <v>5283</v>
      </c>
      <c r="B269" s="117" t="s">
        <v>2946</v>
      </c>
      <c r="C269" s="119">
        <f>IFERROR(__xludf.DUMMYFUNCTION("""COMPUTED_VALUE"""),74.0)</f>
        <v>74</v>
      </c>
      <c r="D269" s="114" t="str">
        <f>IFERROR(__xludf.DUMMYFUNCTION("""COMPUTED_VALUE"""),"Bikini Hancock")</f>
        <v>Bikini Hancock</v>
      </c>
      <c r="E269" s="114" t="str">
        <f>IFERROR(__xludf.DUMMYFUNCTION("""COMPUTED_VALUE"""),"")</f>
        <v/>
      </c>
      <c r="F269" s="114"/>
      <c r="G269" s="114"/>
      <c r="H269" s="114"/>
      <c r="I269" s="114"/>
      <c r="J269" s="114"/>
      <c r="K269" s="114" t="s">
        <v>5284</v>
      </c>
      <c r="L269" s="114" t="s">
        <v>5285</v>
      </c>
      <c r="M269" s="114" t="s">
        <v>5286</v>
      </c>
      <c r="N269" s="114" t="s">
        <v>5287</v>
      </c>
      <c r="O269" s="114"/>
      <c r="P269" s="120">
        <v>74.0</v>
      </c>
      <c r="Q269" s="117" t="s">
        <v>5288</v>
      </c>
      <c r="R269" s="114"/>
      <c r="S269" s="117" t="s">
        <v>2940</v>
      </c>
      <c r="T269" s="114">
        <f t="shared" si="1"/>
        <v>268</v>
      </c>
      <c r="U269" s="114" t="s">
        <v>490</v>
      </c>
      <c r="V269" s="114" t="str">
        <f>IFERROR(__xludf.DUMMYFUNCTION("REGEXREPLACE(U269, ""\n"", "" "")"),"Belo Betty")</f>
        <v>Belo Betty</v>
      </c>
      <c r="W269" s="114"/>
      <c r="X269" s="115" t="str">
        <f t="shared" si="2"/>
        <v>268 Revolutionary Army / Captain of the Eastern Forces - Belo Betty - Medal [Belo Betty]</v>
      </c>
      <c r="Y269" s="119"/>
      <c r="Z269" s="117" t="s">
        <v>5289</v>
      </c>
      <c r="AA269" s="117" t="s">
        <v>2853</v>
      </c>
      <c r="AB269" s="114"/>
      <c r="AC269" s="123" t="str">
        <f>IFERROR(__xludf.DUMMYFUNCTION("""COMPUTED_VALUE"""),"https://ik.imagekit.io/alaaalaa6171/075%20Impel%20Down_Prisoner%20-%20Crocodile%20-%20Medal%20_Sables_.png?updatedAt=1770076415936")</f>
        <v>https://ik.imagekit.io/alaaalaa6171/075%20Impel%20Down_Prisoner%20-%20Crocodile%20-%20Medal%20_Sables_.png?updatedAt=1770076415936</v>
      </c>
      <c r="AD269" s="123" t="str">
        <f>IFERROR(__xludf.DUMMYFUNCTION("""COMPUTED_VALUE"""),"https://ik.imagekit.io/alaaalaa6171/075%20Impel%20Down_Prisoner%20-%20Crocodile%20-%20Medal%20_Sables_%20_Colored_.png?updatedAt=1770076415937")</f>
        <v>https://ik.imagekit.io/alaaalaa6171/075%20Impel%20Down_Prisoner%20-%20Crocodile%20-%20Medal%20_Sables_%20_Colored_.png?updatedAt=1770076415937</v>
      </c>
      <c r="AE269" s="123" t="str">
        <f>IFERROR(__xludf.DUMMYFUNCTION("""COMPUTED_VALUE"""),"https://ik.imagekit.io/alaaalaa6171/075%20Impel%20Down_Prisoner%20-%20Crocodile%20-%20Medal%20_Sables_%20-%20Piece.png?updatedAt=1770076415875")</f>
        <v>https://ik.imagekit.io/alaaalaa6171/075%20Impel%20Down_Prisoner%20-%20Crocodile%20-%20Medal%20_Sables_%20-%20Piece.png?updatedAt=1770076415875</v>
      </c>
      <c r="AF269" s="123" t="str">
        <f>IFERROR(__xludf.DUMMYFUNCTION("""COMPUTED_VALUE"""),"https://ik.imagekit.io/alaaalaa6171/075%20Impel%20Down_Prisoner%20-%20Crocodile%20-%20Medal%20_Sables_%20-%20Piece%20_Colored_.png?updatedAt=1770076415874")</f>
        <v>https://ik.imagekit.io/alaaalaa6171/075%20Impel%20Down_Prisoner%20-%20Crocodile%20-%20Medal%20_Sables_%20-%20Piece%20_Colored_.png?updatedAt=1770076415874</v>
      </c>
      <c r="AG269" s="114"/>
      <c r="AH269" s="114"/>
      <c r="AI269" s="121" t="s">
        <v>5290</v>
      </c>
      <c r="AJ269" s="121" t="str">
        <f>IFERROR(__xludf.DUMMYFUNCTION("regexreplace(regexreplace(AI269, ""  \["", "" ""), ""\]$"", """")"),"268 - Revolutionary Army_Captain of the Eastern Forces ~ Belo Betty - Medal - Crafted [Colored] - Belo Betty")</f>
        <v>268 - Revolutionary Army_Captain of the Eastern Forces ~ Belo Betty - Medal - Crafted [Colored] - Belo Betty</v>
      </c>
      <c r="AK269" s="114"/>
      <c r="AL269" s="117" t="s">
        <v>5291</v>
      </c>
      <c r="AM269" s="117" t="s">
        <v>5292</v>
      </c>
      <c r="AN269" s="114"/>
      <c r="AO269" s="122">
        <f>IFERROR(__xludf.DUMMYFUNCTION("""COMPUTED_VALUE"""),40.0)</f>
        <v>40</v>
      </c>
      <c r="AP269" s="114" t="str">
        <f>IFERROR(__xludf.DUMMYFUNCTION("""COMPUTED_VALUE"""),"Evening Shower")</f>
        <v>Evening Shower</v>
      </c>
      <c r="AQ269" s="114" t="str">
        <f>IFERROR(__xludf.DUMMYFUNCTION("""COMPUTED_VALUE"""),"Evening Shower")</f>
        <v>Evening Shower</v>
      </c>
      <c r="AR269" s="114"/>
      <c r="AS269" s="114"/>
      <c r="AT269" s="123" t="str">
        <f>IFERROR(__xludf.DUMMYFUNCTION("""COMPUTED_VALUE"""),"https://i.postimg.cc/brDZ8XqP/040.png")</f>
        <v>https://i.postimg.cc/brDZ8XqP/040.png</v>
      </c>
      <c r="AU269" s="114"/>
      <c r="AV269" s="114"/>
      <c r="AW269" s="114"/>
      <c r="AX269" s="114" t="str">
        <f t="shared" si="3"/>
        <v>40 - Medal [Event] - Crafted - Evening Shower</v>
      </c>
      <c r="AY269" s="114" t="s">
        <v>5293</v>
      </c>
      <c r="AZ269" s="114"/>
      <c r="BA269" s="114"/>
      <c r="BB269" s="114"/>
      <c r="BC269" s="114"/>
      <c r="BD269" s="114"/>
      <c r="BE269" s="114"/>
    </row>
    <row r="270" ht="37.5" customHeight="1">
      <c r="A270" s="118" t="s">
        <v>5294</v>
      </c>
      <c r="B270" s="117" t="s">
        <v>2933</v>
      </c>
      <c r="C270" s="119">
        <f>IFERROR(__xludf.DUMMYFUNCTION("""COMPUTED_VALUE"""),73.0)</f>
        <v>73</v>
      </c>
      <c r="D270" s="114" t="str">
        <f>IFERROR(__xludf.DUMMYFUNCTION("""COMPUTED_VALUE"""),"Bikini Nami")</f>
        <v>Bikini Nami</v>
      </c>
      <c r="E270" s="114" t="str">
        <f>IFERROR(__xludf.DUMMYFUNCTION("""COMPUTED_VALUE"""),"")</f>
        <v/>
      </c>
      <c r="F270" s="114"/>
      <c r="G270" s="114"/>
      <c r="H270" s="114"/>
      <c r="I270" s="114"/>
      <c r="J270" s="114"/>
      <c r="K270" s="114" t="s">
        <v>5295</v>
      </c>
      <c r="L270" s="114" t="s">
        <v>5296</v>
      </c>
      <c r="M270" s="114" t="s">
        <v>5297</v>
      </c>
      <c r="N270" s="114" t="s">
        <v>5298</v>
      </c>
      <c r="O270" s="114"/>
      <c r="P270" s="120">
        <v>73.0</v>
      </c>
      <c r="Q270" s="117" t="s">
        <v>5299</v>
      </c>
      <c r="R270" s="114"/>
      <c r="S270" s="117" t="s">
        <v>2927</v>
      </c>
      <c r="T270" s="114">
        <f t="shared" si="1"/>
        <v>269</v>
      </c>
      <c r="U270" s="114" t="s">
        <v>484</v>
      </c>
      <c r="V270" s="114" t="str">
        <f>IFERROR(__xludf.DUMMYFUNCTION("REGEXREPLACE(U270, ""\n"", "" "")"),"Spider_Spider")</f>
        <v>Spider_Spider</v>
      </c>
      <c r="W270" s="114"/>
      <c r="X270" s="115" t="str">
        <f t="shared" si="2"/>
        <v>269 Animal Kingdom Pirates / Tobi Roppo - Black Maria - Medal [Spider_Spider]</v>
      </c>
      <c r="Y270" s="119"/>
      <c r="Z270" s="117" t="s">
        <v>5300</v>
      </c>
      <c r="AA270" s="117" t="s">
        <v>2851</v>
      </c>
      <c r="AB270" s="114"/>
      <c r="AC270" s="123" t="str">
        <f>IFERROR(__xludf.DUMMYFUNCTION("""COMPUTED_VALUE"""),"https://ik.imagekit.io/alaaalaa6171/074%20Bikini%20-%20Boa%20Hancock%20-%20Medal%20_Bikini%20Hancock_.png?updatedAt=1770076415858")</f>
        <v>https://ik.imagekit.io/alaaalaa6171/074%20Bikini%20-%20Boa%20Hancock%20-%20Medal%20_Bikini%20Hancock_.png?updatedAt=1770076415858</v>
      </c>
      <c r="AD270" s="123" t="str">
        <f>IFERROR(__xludf.DUMMYFUNCTION("""COMPUTED_VALUE"""),"https://ik.imagekit.io/alaaalaa6171/074%20Bikini%20-%20Boa%20Hancock%20-%20Medal%20_Bikini%20Hancock_%20_Colored_.png?updatedAt=1770076415867")</f>
        <v>https://ik.imagekit.io/alaaalaa6171/074%20Bikini%20-%20Boa%20Hancock%20-%20Medal%20_Bikini%20Hancock_%20_Colored_.png?updatedAt=1770076415867</v>
      </c>
      <c r="AE270" s="123" t="str">
        <f>IFERROR(__xludf.DUMMYFUNCTION("""COMPUTED_VALUE"""),"https://ik.imagekit.io/alaaalaa6171/074%20Bikini%20-%20Boa%20Hancock%20-%20Medal%20_Bikini%20Hancock_%20-%20Piece.png?updatedAt=1770076415825")</f>
        <v>https://ik.imagekit.io/alaaalaa6171/074%20Bikini%20-%20Boa%20Hancock%20-%20Medal%20_Bikini%20Hancock_%20-%20Piece.png?updatedAt=1770076415825</v>
      </c>
      <c r="AF270" s="123" t="str">
        <f>IFERROR(__xludf.DUMMYFUNCTION("""COMPUTED_VALUE"""),"https://ik.imagekit.io/alaaalaa6171/074%20Bikini%20-%20Boa%20Hancock%20-%20Medal%20_Bikini%20Hancock_%20-%20Piece%20_Colored_.png?updatedAt=1770076415824")</f>
        <v>https://ik.imagekit.io/alaaalaa6171/074%20Bikini%20-%20Boa%20Hancock%20-%20Medal%20_Bikini%20Hancock_%20-%20Piece%20_Colored_.png?updatedAt=1770076415824</v>
      </c>
      <c r="AG270" s="114"/>
      <c r="AH270" s="114"/>
      <c r="AI270" s="121" t="s">
        <v>5301</v>
      </c>
      <c r="AJ270" s="121" t="str">
        <f>IFERROR(__xludf.DUMMYFUNCTION("regexreplace(regexreplace(AI270, ""  \["", "" ""), ""\]$"", """")"),"269 - Animal Kingdom Pirates_Tobi Roppo ~ Black Maria - Medal - Crafted [Colored] - Spider_Spider")</f>
        <v>269 - Animal Kingdom Pirates_Tobi Roppo ~ Black Maria - Medal - Crafted [Colored] - Spider_Spider</v>
      </c>
      <c r="AK270" s="114"/>
      <c r="AL270" s="117" t="s">
        <v>5302</v>
      </c>
      <c r="AM270" s="117" t="s">
        <v>5303</v>
      </c>
      <c r="AN270" s="114"/>
      <c r="AO270" s="122">
        <f>IFERROR(__xludf.DUMMYFUNCTION("""COMPUTED_VALUE"""),39.0)</f>
        <v>39</v>
      </c>
      <c r="AP270" s="114" t="str">
        <f>IFERROR(__xludf.DUMMYFUNCTION("""COMPUTED_VALUE"""),"Foxfire")</f>
        <v>Foxfire</v>
      </c>
      <c r="AQ270" s="114" t="str">
        <f>IFERROR(__xludf.DUMMYFUNCTION("""COMPUTED_VALUE"""),"Foxfire")</f>
        <v>Foxfire</v>
      </c>
      <c r="AR270" s="114"/>
      <c r="AS270" s="114"/>
      <c r="AT270" s="123" t="str">
        <f>IFERROR(__xludf.DUMMYFUNCTION("""COMPUTED_VALUE"""),"https://i.postimg.cc/hvkftCGd/039.png")</f>
        <v>https://i.postimg.cc/hvkftCGd/039.png</v>
      </c>
      <c r="AU270" s="114"/>
      <c r="AV270" s="114"/>
      <c r="AW270" s="114"/>
      <c r="AX270" s="114" t="str">
        <f t="shared" si="3"/>
        <v>39 - Medal [Event] - Crafted - Foxfire</v>
      </c>
      <c r="AY270" s="114" t="s">
        <v>5304</v>
      </c>
      <c r="AZ270" s="114"/>
      <c r="BA270" s="114"/>
      <c r="BB270" s="114"/>
      <c r="BC270" s="114"/>
      <c r="BD270" s="114"/>
      <c r="BE270" s="114"/>
    </row>
    <row r="271" ht="37.5" customHeight="1">
      <c r="A271" s="118" t="s">
        <v>5305</v>
      </c>
      <c r="B271" s="117" t="s">
        <v>2920</v>
      </c>
      <c r="C271" s="119">
        <f>IFERROR(__xludf.DUMMYFUNCTION("""COMPUTED_VALUE"""),72.0)</f>
        <v>72</v>
      </c>
      <c r="D271" s="114" t="str">
        <f>IFERROR(__xludf.DUMMYFUNCTION("""COMPUTED_VALUE"""),"Radical")</f>
        <v>Radical</v>
      </c>
      <c r="E271" s="114" t="str">
        <f>IFERROR(__xludf.DUMMYFUNCTION("""COMPUTED_VALUE"""),"")</f>
        <v/>
      </c>
      <c r="F271" s="114"/>
      <c r="G271" s="114"/>
      <c r="H271" s="114"/>
      <c r="I271" s="114"/>
      <c r="J271" s="114"/>
      <c r="K271" s="114" t="s">
        <v>5306</v>
      </c>
      <c r="L271" s="114" t="s">
        <v>5307</v>
      </c>
      <c r="M271" s="114" t="s">
        <v>5308</v>
      </c>
      <c r="N271" s="114" t="s">
        <v>5309</v>
      </c>
      <c r="O271" s="114"/>
      <c r="P271" s="120">
        <v>72.0</v>
      </c>
      <c r="Q271" s="117" t="s">
        <v>5310</v>
      </c>
      <c r="R271" s="114"/>
      <c r="S271" s="117" t="s">
        <v>2914</v>
      </c>
      <c r="T271" s="114">
        <f t="shared" si="1"/>
        <v>270</v>
      </c>
      <c r="U271" s="114" t="s">
        <v>477</v>
      </c>
      <c r="V271" s="114" t="str">
        <f>IFERROR(__xludf.DUMMYFUNCTION("REGEXREPLACE(U271, ""\n"", "" "")"),"Raid Chopper")</f>
        <v>Raid Chopper</v>
      </c>
      <c r="W271" s="114"/>
      <c r="X271" s="115" t="str">
        <f t="shared" si="2"/>
        <v>270 Raid on Onigashima - Tony Tony Chopper - Medal [Raid Chopper]</v>
      </c>
      <c r="Y271" s="119"/>
      <c r="Z271" s="117" t="s">
        <v>5311</v>
      </c>
      <c r="AA271" s="117" t="s">
        <v>2863</v>
      </c>
      <c r="AB271" s="114"/>
      <c r="AC271" s="123" t="str">
        <f>IFERROR(__xludf.DUMMYFUNCTION("""COMPUTED_VALUE"""),"https://ik.imagekit.io/alaaalaa6171/073%20Bikini%20-%20Nami%20-%20Medal%20_Bikini%20Nami_.png?updatedAt=1770076415847")</f>
        <v>https://ik.imagekit.io/alaaalaa6171/073%20Bikini%20-%20Nami%20-%20Medal%20_Bikini%20Nami_.png?updatedAt=1770076415847</v>
      </c>
      <c r="AD271" s="123" t="str">
        <f>IFERROR(__xludf.DUMMYFUNCTION("""COMPUTED_VALUE"""),"https://ik.imagekit.io/alaaalaa6171/073%20Bikini%20-%20Nami%20-%20Medal%20_Bikini%20Nami_%20_Colored_.png?updatedAt=1770076415847")</f>
        <v>https://ik.imagekit.io/alaaalaa6171/073%20Bikini%20-%20Nami%20-%20Medal%20_Bikini%20Nami_%20_Colored_.png?updatedAt=1770076415847</v>
      </c>
      <c r="AE271" s="123" t="str">
        <f>IFERROR(__xludf.DUMMYFUNCTION("""COMPUTED_VALUE"""),"https://ik.imagekit.io/alaaalaa6171/073%20Bikini%20-%20Nami%20-%20Medal%20_Bikini%20Nami_%20-%20Piece.png?updatedAt=1770076415865")</f>
        <v>https://ik.imagekit.io/alaaalaa6171/073%20Bikini%20-%20Nami%20-%20Medal%20_Bikini%20Nami_%20-%20Piece.png?updatedAt=1770076415865</v>
      </c>
      <c r="AF271" s="123" t="str">
        <f>IFERROR(__xludf.DUMMYFUNCTION("""COMPUTED_VALUE"""),"https://ik.imagekit.io/alaaalaa6171/073%20Bikini%20-%20Nami%20-%20Medal%20_Bikini%20Nami_%20-%20Piece%20_Colored_.png?updatedAt=1770076415833")</f>
        <v>https://ik.imagekit.io/alaaalaa6171/073%20Bikini%20-%20Nami%20-%20Medal%20_Bikini%20Nami_%20-%20Piece%20_Colored_.png?updatedAt=1770076415833</v>
      </c>
      <c r="AG271" s="114"/>
      <c r="AH271" s="114"/>
      <c r="AI271" s="121" t="s">
        <v>5312</v>
      </c>
      <c r="AJ271" s="121" t="str">
        <f>IFERROR(__xludf.DUMMYFUNCTION("regexreplace(regexreplace(AI271, ""  \["", "" ""), ""\]$"", """")"),"270 - Raid on Onigashima ~ Tony Tony Chopper - Medal - Crafted [Colored] - Raid Chopper")</f>
        <v>270 - Raid on Onigashima ~ Tony Tony Chopper - Medal - Crafted [Colored] - Raid Chopper</v>
      </c>
      <c r="AK271" s="114"/>
      <c r="AL271" s="117" t="s">
        <v>5313</v>
      </c>
      <c r="AM271" s="117" t="s">
        <v>5314</v>
      </c>
      <c r="AN271" s="114"/>
      <c r="AO271" s="122">
        <f>IFERROR(__xludf.DUMMYFUNCTION("""COMPUTED_VALUE"""),38.0)</f>
        <v>38</v>
      </c>
      <c r="AP271" s="114" t="str">
        <f>IFERROR(__xludf.DUMMYFUNCTION("""COMPUTED_VALUE"""),"Gas_Gas")</f>
        <v>Gas_Gas</v>
      </c>
      <c r="AQ271" s="114" t="str">
        <f>IFERROR(__xludf.DUMMYFUNCTION("""COMPUTED_VALUE"""),"Gas_Gas")</f>
        <v>Gas_Gas</v>
      </c>
      <c r="AR271" s="114"/>
      <c r="AS271" s="114"/>
      <c r="AT271" s="123" t="str">
        <f>IFERROR(__xludf.DUMMYFUNCTION("""COMPUTED_VALUE"""),"https://i.postimg.cc/RCy3d0TZ/038.png")</f>
        <v>https://i.postimg.cc/RCy3d0TZ/038.png</v>
      </c>
      <c r="AU271" s="114"/>
      <c r="AV271" s="114"/>
      <c r="AW271" s="114"/>
      <c r="AX271" s="114" t="str">
        <f t="shared" si="3"/>
        <v>38 - Medal [Event] - Crafted - Gas_Gas</v>
      </c>
      <c r="AY271" s="114" t="s">
        <v>5315</v>
      </c>
      <c r="AZ271" s="114"/>
      <c r="BA271" s="114"/>
      <c r="BB271" s="114"/>
      <c r="BC271" s="114"/>
      <c r="BD271" s="114"/>
      <c r="BE271" s="114"/>
    </row>
    <row r="272" ht="37.5" customHeight="1">
      <c r="A272" s="118" t="s">
        <v>5316</v>
      </c>
      <c r="B272" s="117" t="s">
        <v>2907</v>
      </c>
      <c r="C272" s="119">
        <f>IFERROR(__xludf.DUMMYFUNCTION("""COMPUTED_VALUE"""),71.0)</f>
        <v>71</v>
      </c>
      <c r="D272" s="114" t="str">
        <f>IFERROR(__xludf.DUMMYFUNCTION("""COMPUTED_VALUE"""),"Blizzard Slice")</f>
        <v>Blizzard Slice</v>
      </c>
      <c r="E272" s="114" t="str">
        <f>IFERROR(__xludf.DUMMYFUNCTION("""COMPUTED_VALUE"""),"")</f>
        <v/>
      </c>
      <c r="F272" s="114"/>
      <c r="G272" s="114"/>
      <c r="H272" s="114"/>
      <c r="I272" s="114"/>
      <c r="J272" s="114"/>
      <c r="K272" s="114" t="s">
        <v>5317</v>
      </c>
      <c r="L272" s="114" t="s">
        <v>5318</v>
      </c>
      <c r="M272" s="114" t="s">
        <v>5319</v>
      </c>
      <c r="N272" s="114" t="s">
        <v>5320</v>
      </c>
      <c r="O272" s="114"/>
      <c r="P272" s="120">
        <v>71.0</v>
      </c>
      <c r="Q272" s="117" t="s">
        <v>5321</v>
      </c>
      <c r="R272" s="114"/>
      <c r="S272" s="117" t="s">
        <v>2901</v>
      </c>
      <c r="T272" s="114">
        <f t="shared" si="1"/>
        <v>271</v>
      </c>
      <c r="U272" s="114" t="s">
        <v>471</v>
      </c>
      <c r="V272" s="114" t="str">
        <f>IFERROR(__xludf.DUMMYFUNCTION("REGEXREPLACE(U272, ""\n"", "" "")"),"Raid Franky")</f>
        <v>Raid Franky</v>
      </c>
      <c r="W272" s="114"/>
      <c r="X272" s="115" t="str">
        <f t="shared" si="2"/>
        <v>271 Raid on Onigashima - Franky - Medal [Raid Franky]</v>
      </c>
      <c r="Y272" s="119"/>
      <c r="Z272" s="117" t="s">
        <v>5322</v>
      </c>
      <c r="AA272" s="117" t="s">
        <v>2865</v>
      </c>
      <c r="AB272" s="114"/>
      <c r="AC272" s="123" t="str">
        <f>IFERROR(__xludf.DUMMYFUNCTION("""COMPUTED_VALUE"""),"https://ik.imagekit.io/alaaalaa6171/072%202%20Years%20Later_Ship%20Carpenter%20-%20Franky%20-%20Medal%20_Radical_.png?updatedAt=1770076415843")</f>
        <v>https://ik.imagekit.io/alaaalaa6171/072%202%20Years%20Later_Ship%20Carpenter%20-%20Franky%20-%20Medal%20_Radical_.png?updatedAt=1770076415843</v>
      </c>
      <c r="AD272" s="123" t="str">
        <f>IFERROR(__xludf.DUMMYFUNCTION("""COMPUTED_VALUE"""),"https://ik.imagekit.io/alaaalaa6171/072%202%20Years%20Later_Ship%20Carpenter%20-%20Franky%20-%20Medal%20_Radical_%20_Colored_.png?updatedAt=1770076415805")</f>
        <v>https://ik.imagekit.io/alaaalaa6171/072%202%20Years%20Later_Ship%20Carpenter%20-%20Franky%20-%20Medal%20_Radical_%20_Colored_.png?updatedAt=1770076415805</v>
      </c>
      <c r="AE272" s="123" t="str">
        <f>IFERROR(__xludf.DUMMYFUNCTION("""COMPUTED_VALUE"""),"https://ik.imagekit.io/alaaalaa6171/072%202%20Years%20Later_Ship%20Carpenter%20-%20Franky%20-%20Medal%20_Radical_%20-%20Piece.png?updatedAt=1770076415798")</f>
        <v>https://ik.imagekit.io/alaaalaa6171/072%202%20Years%20Later_Ship%20Carpenter%20-%20Franky%20-%20Medal%20_Radical_%20-%20Piece.png?updatedAt=1770076415798</v>
      </c>
      <c r="AF272" s="123" t="str">
        <f>IFERROR(__xludf.DUMMYFUNCTION("""COMPUTED_VALUE"""),"https://ik.imagekit.io/alaaalaa6171/072%202%20Years%20Later_Ship%20Carpenter%20-%20Franky%20-%20Medal%20_Radical_%20-%20Piece%20_Colored_.png?updatedAt=1770076415823")</f>
        <v>https://ik.imagekit.io/alaaalaa6171/072%202%20Years%20Later_Ship%20Carpenter%20-%20Franky%20-%20Medal%20_Radical_%20-%20Piece%20_Colored_.png?updatedAt=1770076415823</v>
      </c>
      <c r="AG272" s="114"/>
      <c r="AH272" s="114"/>
      <c r="AI272" s="121" t="s">
        <v>5323</v>
      </c>
      <c r="AJ272" s="121" t="str">
        <f>IFERROR(__xludf.DUMMYFUNCTION("regexreplace(regexreplace(AI272, ""  \["", "" ""), ""\]$"", """")"),"271 - Raid on Onigashima ~ Franky - Medal - Crafted [Colored] - Raid Franky")</f>
        <v>271 - Raid on Onigashima ~ Franky - Medal - Crafted [Colored] - Raid Franky</v>
      </c>
      <c r="AK272" s="114"/>
      <c r="AL272" s="117" t="s">
        <v>5324</v>
      </c>
      <c r="AM272" s="117" t="s">
        <v>5325</v>
      </c>
      <c r="AN272" s="114"/>
      <c r="AO272" s="122">
        <f>IFERROR(__xludf.DUMMYFUNCTION("""COMPUTED_VALUE"""),37.0)</f>
        <v>37</v>
      </c>
      <c r="AP272" s="114" t="str">
        <f>IFERROR(__xludf.DUMMYFUNCTION("""COMPUTED_VALUE"""),"Vergo")</f>
        <v>Vergo</v>
      </c>
      <c r="AQ272" s="114" t="str">
        <f>IFERROR(__xludf.DUMMYFUNCTION("""COMPUTED_VALUE"""),"Vergo")</f>
        <v>Vergo</v>
      </c>
      <c r="AR272" s="114"/>
      <c r="AS272" s="114"/>
      <c r="AT272" s="123" t="str">
        <f>IFERROR(__xludf.DUMMYFUNCTION("""COMPUTED_VALUE"""),"https://i.postimg.cc/02SzBqtd/037.png")</f>
        <v>https://i.postimg.cc/02SzBqtd/037.png</v>
      </c>
      <c r="AU272" s="114"/>
      <c r="AV272" s="114"/>
      <c r="AW272" s="114"/>
      <c r="AX272" s="114" t="str">
        <f t="shared" si="3"/>
        <v>37 - Medal [Event] - Crafted - Vergo</v>
      </c>
      <c r="AY272" s="114" t="s">
        <v>5326</v>
      </c>
      <c r="AZ272" s="114"/>
      <c r="BA272" s="114"/>
      <c r="BB272" s="114"/>
      <c r="BC272" s="114"/>
      <c r="BD272" s="114"/>
      <c r="BE272" s="114"/>
    </row>
    <row r="273" ht="37.5" customHeight="1">
      <c r="A273" s="118" t="s">
        <v>5327</v>
      </c>
      <c r="B273" s="117" t="s">
        <v>2894</v>
      </c>
      <c r="C273" s="119">
        <f>IFERROR(__xludf.DUMMYFUNCTION("""COMPUTED_VALUE"""),70.0)</f>
        <v>70</v>
      </c>
      <c r="D273" s="114" t="str">
        <f>IFERROR(__xludf.DUMMYFUNCTION("""COMPUTED_VALUE"""),"Mille Fleurs")</f>
        <v>Mille Fleurs</v>
      </c>
      <c r="E273" s="114" t="str">
        <f>IFERROR(__xludf.DUMMYFUNCTION("""COMPUTED_VALUE"""),"")</f>
        <v/>
      </c>
      <c r="F273" s="114"/>
      <c r="G273" s="114"/>
      <c r="H273" s="114"/>
      <c r="I273" s="114"/>
      <c r="J273" s="114"/>
      <c r="K273" s="114" t="s">
        <v>5328</v>
      </c>
      <c r="L273" s="114" t="s">
        <v>5329</v>
      </c>
      <c r="M273" s="114" t="s">
        <v>5330</v>
      </c>
      <c r="N273" s="114" t="s">
        <v>5331</v>
      </c>
      <c r="O273" s="114"/>
      <c r="P273" s="120">
        <v>70.0</v>
      </c>
      <c r="Q273" s="117" t="s">
        <v>5332</v>
      </c>
      <c r="R273" s="114"/>
      <c r="S273" s="117" t="s">
        <v>2888</v>
      </c>
      <c r="T273" s="114">
        <f t="shared" si="1"/>
        <v>272</v>
      </c>
      <c r="U273" s="114" t="s">
        <v>464</v>
      </c>
      <c r="V273" s="114" t="str">
        <f>IFERROR(__xludf.DUMMYFUNCTION("REGEXREPLACE(U273, ""\n"", "" "")"),"Otama &amp; Komachiyo")</f>
        <v>Otama &amp; Komachiyo</v>
      </c>
      <c r="W273" s="114"/>
      <c r="X273" s="115" t="str">
        <f t="shared" si="2"/>
        <v>272 Land of Wano - Otama &amp; Komachiyo - Medal [Otama &amp; Komachiyo]</v>
      </c>
      <c r="Y273" s="119"/>
      <c r="Z273" s="117" t="s">
        <v>5333</v>
      </c>
      <c r="AA273" s="117" t="s">
        <v>2866</v>
      </c>
      <c r="AB273" s="114"/>
      <c r="AC273" s="123" t="str">
        <f>IFERROR(__xludf.DUMMYFUNCTION("""COMPUTED_VALUE"""),"https://ik.imagekit.io/alaaalaa6171/071%202%20Years%20Later_Musician%20-%20Brook%20-%20Medal%20_Blizzard%20Slice_.png?updatedAt=1770076415870")</f>
        <v>https://ik.imagekit.io/alaaalaa6171/071%202%20Years%20Later_Musician%20-%20Brook%20-%20Medal%20_Blizzard%20Slice_.png?updatedAt=1770076415870</v>
      </c>
      <c r="AD273" s="123" t="str">
        <f>IFERROR(__xludf.DUMMYFUNCTION("""COMPUTED_VALUE"""),"https://ik.imagekit.io/alaaalaa6171/071%202%20Years%20Later_Musician%20-%20Brook%20-%20Medal%20_Blizzard%20Slice_%20_Colored_.png?updatedAt=1770076415762")</f>
        <v>https://ik.imagekit.io/alaaalaa6171/071%202%20Years%20Later_Musician%20-%20Brook%20-%20Medal%20_Blizzard%20Slice_%20_Colored_.png?updatedAt=1770076415762</v>
      </c>
      <c r="AE273" s="123" t="str">
        <f>IFERROR(__xludf.DUMMYFUNCTION("""COMPUTED_VALUE"""),"https://ik.imagekit.io/alaaalaa6171/071%202%20Years%20Later_Musician%20-%20Brook%20-%20Medal%20_Blizzard%20Slice_%20-%20Piece.png?updatedAt=1770076415793")</f>
        <v>https://ik.imagekit.io/alaaalaa6171/071%202%20Years%20Later_Musician%20-%20Brook%20-%20Medal%20_Blizzard%20Slice_%20-%20Piece.png?updatedAt=1770076415793</v>
      </c>
      <c r="AF273" s="123" t="str">
        <f>IFERROR(__xludf.DUMMYFUNCTION("""COMPUTED_VALUE"""),"https://ik.imagekit.io/alaaalaa6171/071%202%20Years%20Later_Musician%20-%20Brook%20-%20Medal%20_Blizzard%20Slice_%20-%20Piece%20_Colored_.png?updatedAt=1770076415768")</f>
        <v>https://ik.imagekit.io/alaaalaa6171/071%202%20Years%20Later_Musician%20-%20Brook%20-%20Medal%20_Blizzard%20Slice_%20-%20Piece%20_Colored_.png?updatedAt=1770076415768</v>
      </c>
      <c r="AG273" s="114"/>
      <c r="AH273" s="114"/>
      <c r="AI273" s="121" t="s">
        <v>5334</v>
      </c>
      <c r="AJ273" s="121" t="str">
        <f>IFERROR(__xludf.DUMMYFUNCTION("regexreplace(regexreplace(AI273, ""  \["", "" ""), ""\]$"", """")"),"272 - Land of Wano ~ Otama &amp; Komachiyo - Medal - Crafted [Colored] - Otama &amp; Komachiyo")</f>
        <v>272 - Land of Wano ~ Otama &amp; Komachiyo - Medal - Crafted [Colored] - Otama &amp; Komachiyo</v>
      </c>
      <c r="AK273" s="114"/>
      <c r="AL273" s="117" t="s">
        <v>5335</v>
      </c>
      <c r="AM273" s="117" t="s">
        <v>5336</v>
      </c>
      <c r="AN273" s="114"/>
      <c r="AO273" s="122">
        <f>IFERROR(__xludf.DUMMYFUNCTION("""COMPUTED_VALUE"""),36.0)</f>
        <v>36</v>
      </c>
      <c r="AP273" s="114" t="str">
        <f>IFERROR(__xludf.DUMMYFUNCTION("""COMPUTED_VALUE"""),"Ann")</f>
        <v>Ann</v>
      </c>
      <c r="AQ273" s="114" t="str">
        <f>IFERROR(__xludf.DUMMYFUNCTION("""COMPUTED_VALUE"""),"Ann")</f>
        <v>Ann</v>
      </c>
      <c r="AR273" s="114"/>
      <c r="AS273" s="114"/>
      <c r="AT273" s="123" t="str">
        <f>IFERROR(__xludf.DUMMYFUNCTION("""COMPUTED_VALUE"""),"https://i.postimg.cc/QdrFLnwL/036.png")</f>
        <v>https://i.postimg.cc/QdrFLnwL/036.png</v>
      </c>
      <c r="AU273" s="114"/>
      <c r="AV273" s="114"/>
      <c r="AW273" s="114"/>
      <c r="AX273" s="114" t="str">
        <f t="shared" si="3"/>
        <v>36 - Medal [Event] - Crafted - Ann</v>
      </c>
      <c r="AY273" s="114" t="s">
        <v>5337</v>
      </c>
      <c r="AZ273" s="114"/>
      <c r="BA273" s="114"/>
      <c r="BB273" s="114"/>
      <c r="BC273" s="114"/>
      <c r="BD273" s="114"/>
      <c r="BE273" s="114"/>
    </row>
    <row r="274" ht="37.5" customHeight="1">
      <c r="A274" s="118" t="s">
        <v>5338</v>
      </c>
      <c r="B274" s="117" t="s">
        <v>2881</v>
      </c>
      <c r="C274" s="119">
        <f>IFERROR(__xludf.DUMMYFUNCTION("""COMPUTED_VALUE"""),69.0)</f>
        <v>69</v>
      </c>
      <c r="D274" s="114" t="str">
        <f>IFERROR(__xludf.DUMMYFUNCTION("""COMPUTED_VALUE"""),"Bed Rest")</f>
        <v>Bed Rest</v>
      </c>
      <c r="E274" s="114" t="str">
        <f>IFERROR(__xludf.DUMMYFUNCTION("""COMPUTED_VALUE"""),"")</f>
        <v/>
      </c>
      <c r="F274" s="114"/>
      <c r="G274" s="114"/>
      <c r="H274" s="114"/>
      <c r="I274" s="114"/>
      <c r="J274" s="114"/>
      <c r="K274" s="114" t="s">
        <v>5339</v>
      </c>
      <c r="L274" s="114" t="s">
        <v>5340</v>
      </c>
      <c r="M274" s="114" t="s">
        <v>5341</v>
      </c>
      <c r="N274" s="114" t="s">
        <v>5342</v>
      </c>
      <c r="O274" s="114"/>
      <c r="P274" s="120">
        <v>69.0</v>
      </c>
      <c r="Q274" s="117" t="s">
        <v>5343</v>
      </c>
      <c r="R274" s="114"/>
      <c r="S274" s="117" t="s">
        <v>2875</v>
      </c>
      <c r="T274" s="114">
        <f t="shared" si="1"/>
        <v>273</v>
      </c>
      <c r="U274" s="114" t="s">
        <v>457</v>
      </c>
      <c r="V274" s="114" t="str">
        <f>IFERROR(__xludf.DUMMYFUNCTION("REGEXREPLACE(U274, ""\n"", "" "")"),"Ryokugyu")</f>
        <v>Ryokugyu</v>
      </c>
      <c r="W274" s="114"/>
      <c r="X274" s="115" t="str">
        <f t="shared" si="2"/>
        <v>273 Navy HQ / Admiral Ryokugyu - [Aramaki] - Medal [Ryokugyu]</v>
      </c>
      <c r="Y274" s="119"/>
      <c r="Z274" s="117" t="s">
        <v>5344</v>
      </c>
      <c r="AA274" s="117" t="s">
        <v>2864</v>
      </c>
      <c r="AB274" s="114"/>
      <c r="AC274" s="123" t="str">
        <f>IFERROR(__xludf.DUMMYFUNCTION("""COMPUTED_VALUE"""),"https://ik.imagekit.io/alaaalaa6171/070%202%20Years%20Later_Archaeologist%20-%20Nico%20Robin%20-%20Medal%20_Mille%20Fleurs_.png?updatedAt=1770076415761")</f>
        <v>https://ik.imagekit.io/alaaalaa6171/070%202%20Years%20Later_Archaeologist%20-%20Nico%20Robin%20-%20Medal%20_Mille%20Fleurs_.png?updatedAt=1770076415761</v>
      </c>
      <c r="AD274" s="123" t="str">
        <f>IFERROR(__xludf.DUMMYFUNCTION("""COMPUTED_VALUE"""),"https://ik.imagekit.io/alaaalaa6171/070%202%20Years%20Later_Archaeologist%20-%20Nico%20Robin%20-%20Medal%20_Mille%20Fleurs_%20_Colored_.png?updatedAt=1770076415766")</f>
        <v>https://ik.imagekit.io/alaaalaa6171/070%202%20Years%20Later_Archaeologist%20-%20Nico%20Robin%20-%20Medal%20_Mille%20Fleurs_%20_Colored_.png?updatedAt=1770076415766</v>
      </c>
      <c r="AE274" s="123" t="str">
        <f>IFERROR(__xludf.DUMMYFUNCTION("""COMPUTED_VALUE"""),"https://ik.imagekit.io/alaaalaa6171/070%202%20Years%20Later_Archaeologist%20-%20Nico%20Robin%20-%20Medal%20_Mille%20Fleurs_%20-%20Piece.png?updatedAt=1770076415737")</f>
        <v>https://ik.imagekit.io/alaaalaa6171/070%202%20Years%20Later_Archaeologist%20-%20Nico%20Robin%20-%20Medal%20_Mille%20Fleurs_%20-%20Piece.png?updatedAt=1770076415737</v>
      </c>
      <c r="AF274" s="123" t="str">
        <f>IFERROR(__xludf.DUMMYFUNCTION("""COMPUTED_VALUE"""),"https://ik.imagekit.io/alaaalaa6171/070%202%20Years%20Later_Archaeologist%20-%20Nico%20Robin%20-%20Medal%20_Mille%20Fleurs_%20-%20Piece%20_Colored_.png?updatedAt=1770076415721")</f>
        <v>https://ik.imagekit.io/alaaalaa6171/070%202%20Years%20Later_Archaeologist%20-%20Nico%20Robin%20-%20Medal%20_Mille%20Fleurs_%20-%20Piece%20_Colored_.png?updatedAt=1770076415721</v>
      </c>
      <c r="AG274" s="114"/>
      <c r="AH274" s="114"/>
      <c r="AI274" s="121" t="s">
        <v>5345</v>
      </c>
      <c r="AJ274" s="121" t="str">
        <f>IFERROR(__xludf.DUMMYFUNCTION("regexreplace(regexreplace(AI274, ""  \["", "" ""), ""\]$"", """")"),"273 - Navy HQ_Admiral Ryokugyu ~ [Aramaki] - Medal - Crafted [Colored] - Ryokugyu")</f>
        <v>273 - Navy HQ_Admiral Ryokugyu ~ [Aramaki] - Medal - Crafted [Colored] - Ryokugyu</v>
      </c>
      <c r="AK274" s="114"/>
      <c r="AL274" s="117" t="s">
        <v>5346</v>
      </c>
      <c r="AM274" s="117" t="s">
        <v>5347</v>
      </c>
      <c r="AN274" s="114"/>
      <c r="AO274" s="122">
        <f>IFERROR(__xludf.DUMMYFUNCTION("""COMPUTED_VALUE"""),35.0)</f>
        <v>35</v>
      </c>
      <c r="AP274" s="114" t="str">
        <f>IFERROR(__xludf.DUMMYFUNCTION("""COMPUTED_VALUE"""),"Lucci
(STAMPEDE)")</f>
        <v>Lucci
(STAMPEDE)</v>
      </c>
      <c r="AQ274" s="114" t="str">
        <f>IFERROR(__xludf.DUMMYFUNCTION("""COMPUTED_VALUE"""),"Lucci (STAMPEDE)")</f>
        <v>Lucci (STAMPEDE)</v>
      </c>
      <c r="AR274" s="114"/>
      <c r="AS274" s="114"/>
      <c r="AT274" s="123" t="str">
        <f>IFERROR(__xludf.DUMMYFUNCTION("""COMPUTED_VALUE"""),"https://i.postimg.cc/PqSJwfxh/035.png")</f>
        <v>https://i.postimg.cc/PqSJwfxh/035.png</v>
      </c>
      <c r="AU274" s="114"/>
      <c r="AV274" s="114"/>
      <c r="AW274" s="114"/>
      <c r="AX274" s="114" t="str">
        <f t="shared" si="3"/>
        <v>35 - Medal [Event] - Crafted - Lucci (STAMPEDE)</v>
      </c>
      <c r="AY274" s="114" t="s">
        <v>5348</v>
      </c>
      <c r="AZ274" s="114"/>
      <c r="BA274" s="114"/>
      <c r="BB274" s="114"/>
      <c r="BC274" s="114"/>
      <c r="BD274" s="114"/>
      <c r="BE274" s="114"/>
    </row>
    <row r="275" ht="37.5" customHeight="1">
      <c r="A275" s="118" t="s">
        <v>5349</v>
      </c>
      <c r="B275" s="117" t="s">
        <v>2868</v>
      </c>
      <c r="C275" s="119">
        <f>IFERROR(__xludf.DUMMYFUNCTION("""COMPUTED_VALUE"""),68.0)</f>
        <v>68</v>
      </c>
      <c r="D275" s="114" t="str">
        <f>IFERROR(__xludf.DUMMYFUNCTION("""COMPUTED_VALUE"""),"Kizaru")</f>
        <v>Kizaru</v>
      </c>
      <c r="E275" s="114" t="str">
        <f>IFERROR(__xludf.DUMMYFUNCTION("""COMPUTED_VALUE"""),"")</f>
        <v/>
      </c>
      <c r="F275" s="114"/>
      <c r="G275" s="114"/>
      <c r="H275" s="114"/>
      <c r="I275" s="114"/>
      <c r="J275" s="114"/>
      <c r="K275" s="114" t="s">
        <v>5350</v>
      </c>
      <c r="L275" s="114" t="s">
        <v>5351</v>
      </c>
      <c r="M275" s="114" t="s">
        <v>5352</v>
      </c>
      <c r="N275" s="114" t="s">
        <v>5353</v>
      </c>
      <c r="O275" s="114"/>
      <c r="P275" s="120">
        <v>68.0</v>
      </c>
      <c r="Q275" s="117" t="s">
        <v>5354</v>
      </c>
      <c r="R275" s="114"/>
      <c r="S275" s="117" t="s">
        <v>2862</v>
      </c>
      <c r="T275" s="114">
        <f t="shared" si="1"/>
        <v>274</v>
      </c>
      <c r="U275" s="114" t="s">
        <v>451</v>
      </c>
      <c r="V275" s="114" t="str">
        <f>IFERROR(__xludf.DUMMYFUNCTION("REGEXREPLACE(U275, ""\n"", "" "")"),"Shogun of Wano")</f>
        <v>Shogun of Wano</v>
      </c>
      <c r="W275" s="114"/>
      <c r="X275" s="115" t="str">
        <f t="shared" si="2"/>
        <v>274 Shogun of Wano - Kozuki Momonosuke - Medal [Shogun of Wano]</v>
      </c>
      <c r="Y275" s="119"/>
      <c r="Z275" s="117" t="s">
        <v>5355</v>
      </c>
      <c r="AA275" s="117" t="s">
        <v>2876</v>
      </c>
      <c r="AB275" s="114"/>
      <c r="AC275" s="123" t="str">
        <f>IFERROR(__xludf.DUMMYFUNCTION("""COMPUTED_VALUE"""),"https://ik.imagekit.io/alaaalaa6171/069%202%20Years%20Later_Doctor%20-%20Tony%20Tony%20Chopper%20-%20Medal%20_Bed%20Rest_.png?updatedAt=1770076415735")</f>
        <v>https://ik.imagekit.io/alaaalaa6171/069%202%20Years%20Later_Doctor%20-%20Tony%20Tony%20Chopper%20-%20Medal%20_Bed%20Rest_.png?updatedAt=1770076415735</v>
      </c>
      <c r="AD275" s="123" t="str">
        <f>IFERROR(__xludf.DUMMYFUNCTION("""COMPUTED_VALUE"""),"https://ik.imagekit.io/alaaalaa6171/069%202%20Years%20Later_Doctor%20-%20Tony%20Tony%20Chopper%20-%20Medal%20_Bed%20Rest_%20_Colored_.png?updatedAt=1770076415716")</f>
        <v>https://ik.imagekit.io/alaaalaa6171/069%202%20Years%20Later_Doctor%20-%20Tony%20Tony%20Chopper%20-%20Medal%20_Bed%20Rest_%20_Colored_.png?updatedAt=1770076415716</v>
      </c>
      <c r="AE275" s="123" t="str">
        <f>IFERROR(__xludf.DUMMYFUNCTION("""COMPUTED_VALUE"""),"https://ik.imagekit.io/alaaalaa6171/069%202%20Years%20Later_Doctor%20-%20Tony%20Tony%20Chopper%20-%20Medal%20_Bed%20Rest_%20-%20Piece.png?updatedAt=1770076415709")</f>
        <v>https://ik.imagekit.io/alaaalaa6171/069%202%20Years%20Later_Doctor%20-%20Tony%20Tony%20Chopper%20-%20Medal%20_Bed%20Rest_%20-%20Piece.png?updatedAt=1770076415709</v>
      </c>
      <c r="AF275" s="123" t="str">
        <f>IFERROR(__xludf.DUMMYFUNCTION("""COMPUTED_VALUE"""),"https://ik.imagekit.io/alaaalaa6171/069%202%20Years%20Later_Doctor%20-%20Tony%20Tony%20Chopper%20-%20Medal%20_Bed%20Rest_%20-%20Piece%20_Colored_.png?updatedAt=1770076415730")</f>
        <v>https://ik.imagekit.io/alaaalaa6171/069%202%20Years%20Later_Doctor%20-%20Tony%20Tony%20Chopper%20-%20Medal%20_Bed%20Rest_%20-%20Piece%20_Colored_.png?updatedAt=1770076415730</v>
      </c>
      <c r="AG275" s="114"/>
      <c r="AH275" s="114"/>
      <c r="AI275" s="121" t="s">
        <v>5356</v>
      </c>
      <c r="AJ275" s="121" t="str">
        <f>IFERROR(__xludf.DUMMYFUNCTION("regexreplace(regexreplace(AI275, ""  \["", "" ""), ""\]$"", """")"),"274 - Shogun of Wano ~ Kozuki Momonosuke - Medal - Crafted [Colored] - Shogun of Wano")</f>
        <v>274 - Shogun of Wano ~ Kozuki Momonosuke - Medal - Crafted [Colored] - Shogun of Wano</v>
      </c>
      <c r="AK275" s="114"/>
      <c r="AL275" s="117" t="s">
        <v>5357</v>
      </c>
      <c r="AM275" s="117" t="s">
        <v>5358</v>
      </c>
      <c r="AN275" s="114"/>
      <c r="AO275" s="122">
        <f>IFERROR(__xludf.DUMMYFUNCTION("""COMPUTED_VALUE"""),34.0)</f>
        <v>34</v>
      </c>
      <c r="AP275" s="114" t="str">
        <f>IFERROR(__xludf.DUMMYFUNCTION("""COMPUTED_VALUE"""),"Tashigi
(STAMPEDE)")</f>
        <v>Tashigi
(STAMPEDE)</v>
      </c>
      <c r="AQ275" s="114" t="str">
        <f>IFERROR(__xludf.DUMMYFUNCTION("""COMPUTED_VALUE"""),"Tashigi (STAMPEDE)")</f>
        <v>Tashigi (STAMPEDE)</v>
      </c>
      <c r="AR275" s="114"/>
      <c r="AS275" s="114"/>
      <c r="AT275" s="123" t="str">
        <f>IFERROR(__xludf.DUMMYFUNCTION("""COMPUTED_VALUE"""),"https://i.postimg.cc/xCqCyrJm/034.png")</f>
        <v>https://i.postimg.cc/xCqCyrJm/034.png</v>
      </c>
      <c r="AU275" s="114"/>
      <c r="AV275" s="114"/>
      <c r="AW275" s="114"/>
      <c r="AX275" s="114" t="str">
        <f t="shared" si="3"/>
        <v>34 - Medal [Event] - Crafted - Tashigi (STAMPEDE)</v>
      </c>
      <c r="AY275" s="114" t="s">
        <v>5359</v>
      </c>
      <c r="AZ275" s="114"/>
      <c r="BA275" s="114"/>
      <c r="BB275" s="114"/>
      <c r="BC275" s="114"/>
      <c r="BD275" s="114"/>
      <c r="BE275" s="114"/>
    </row>
    <row r="276" ht="37.5" customHeight="1">
      <c r="A276" s="118" t="s">
        <v>5360</v>
      </c>
      <c r="B276" s="117" t="s">
        <v>2842</v>
      </c>
      <c r="C276" s="119">
        <f>IFERROR(__xludf.DUMMYFUNCTION("""COMPUTED_VALUE"""),67.0)</f>
        <v>67</v>
      </c>
      <c r="D276" s="114" t="str">
        <f>IFERROR(__xludf.DUMMYFUNCTION("""COMPUTED_VALUE"""),"Bonney")</f>
        <v>Bonney</v>
      </c>
      <c r="E276" s="114" t="str">
        <f>IFERROR(__xludf.DUMMYFUNCTION("""COMPUTED_VALUE"""),"")</f>
        <v/>
      </c>
      <c r="F276" s="114"/>
      <c r="G276" s="114"/>
      <c r="H276" s="114"/>
      <c r="I276" s="114"/>
      <c r="J276" s="114"/>
      <c r="K276" s="114" t="s">
        <v>5361</v>
      </c>
      <c r="L276" s="114" t="s">
        <v>5362</v>
      </c>
      <c r="M276" s="114" t="s">
        <v>5363</v>
      </c>
      <c r="N276" s="114" t="s">
        <v>5364</v>
      </c>
      <c r="O276" s="114"/>
      <c r="P276" s="120">
        <v>67.0</v>
      </c>
      <c r="Q276" s="117" t="s">
        <v>5365</v>
      </c>
      <c r="R276" s="114"/>
      <c r="S276" s="117" t="s">
        <v>2849</v>
      </c>
      <c r="T276" s="114">
        <f t="shared" si="1"/>
        <v>275</v>
      </c>
      <c r="U276" s="114" t="s">
        <v>444</v>
      </c>
      <c r="V276" s="114" t="str">
        <f>IFERROR(__xludf.DUMMYFUNCTION("REGEXREPLACE(U276, ""\n"", "" "")"),"Ace &amp; Yamato")</f>
        <v>Ace &amp; Yamato</v>
      </c>
      <c r="W276" s="114"/>
      <c r="X276" s="115" t="str">
        <f t="shared" si="2"/>
        <v>275 Fire Fist Ogre Princess - Ace &amp; Yamato - Medal [Ace &amp; Yamato]</v>
      </c>
      <c r="Y276" s="119"/>
      <c r="Z276" s="117" t="s">
        <v>5366</v>
      </c>
      <c r="AA276" s="117" t="s">
        <v>2878</v>
      </c>
      <c r="AB276" s="114"/>
      <c r="AC276" s="123" t="str">
        <f>IFERROR(__xludf.DUMMYFUNCTION("""COMPUTED_VALUE"""),"https://ik.imagekit.io/alaaalaa6171/068%20Navy%20HQ_Admiral%20Kizaru%20-%20_Borsalino_%20-%20Medal%20_Kizaru_.png?updatedAt=1770076415674")</f>
        <v>https://ik.imagekit.io/alaaalaa6171/068%20Navy%20HQ_Admiral%20Kizaru%20-%20_Borsalino_%20-%20Medal%20_Kizaru_.png?updatedAt=1770076415674</v>
      </c>
      <c r="AD276" s="123" t="str">
        <f>IFERROR(__xludf.DUMMYFUNCTION("""COMPUTED_VALUE"""),"https://ik.imagekit.io/alaaalaa6171/068%20Navy%20HQ_Admiral%20Kizaru%20-%20_Borsalino_%20-%20Medal%20_Kizaru_%20_Colored_.png?updatedAt=1770076415677")</f>
        <v>https://ik.imagekit.io/alaaalaa6171/068%20Navy%20HQ_Admiral%20Kizaru%20-%20_Borsalino_%20-%20Medal%20_Kizaru_%20_Colored_.png?updatedAt=1770076415677</v>
      </c>
      <c r="AE276" s="123" t="str">
        <f>IFERROR(__xludf.DUMMYFUNCTION("""COMPUTED_VALUE"""),"https://ik.imagekit.io/alaaalaa6171/068%20Navy%20HQ_Admiral%20Kizaru%20-%20_Borsalino_%20-%20Medal%20_Kizaru_%20-%20Piece.png?updatedAt=1770076415664")</f>
        <v>https://ik.imagekit.io/alaaalaa6171/068%20Navy%20HQ_Admiral%20Kizaru%20-%20_Borsalino_%20-%20Medal%20_Kizaru_%20-%20Piece.png?updatedAt=1770076415664</v>
      </c>
      <c r="AF276" s="123" t="str">
        <f>IFERROR(__xludf.DUMMYFUNCTION("""COMPUTED_VALUE"""),"https://ik.imagekit.io/alaaalaa6171/068%20Navy%20HQ_Admiral%20Kizaru%20-%20_Borsalino_%20-%20Medal%20_Kizaru_%20-%20Piece%20_Colored_.png?updatedAt=1770076415661")</f>
        <v>https://ik.imagekit.io/alaaalaa6171/068%20Navy%20HQ_Admiral%20Kizaru%20-%20_Borsalino_%20-%20Medal%20_Kizaru_%20-%20Piece%20_Colored_.png?updatedAt=1770076415661</v>
      </c>
      <c r="AG276" s="114"/>
      <c r="AH276" s="114"/>
      <c r="AI276" s="121" t="s">
        <v>5367</v>
      </c>
      <c r="AJ276" s="121" t="str">
        <f>IFERROR(__xludf.DUMMYFUNCTION("regexreplace(regexreplace(AI276, ""  \["", "" ""), ""\]$"", """")"),"275 - Fire Fist Ogre Princess ~ Ace &amp; Yamato - Medal - Crafted [Colored] - Ace &amp; Yamato")</f>
        <v>275 - Fire Fist Ogre Princess ~ Ace &amp; Yamato - Medal - Crafted [Colored] - Ace &amp; Yamato</v>
      </c>
      <c r="AK276" s="114"/>
      <c r="AL276" s="117" t="s">
        <v>5368</v>
      </c>
      <c r="AM276" s="117" t="s">
        <v>5369</v>
      </c>
      <c r="AN276" s="114"/>
      <c r="AO276" s="122">
        <f>IFERROR(__xludf.DUMMYFUNCTION("""COMPUTED_VALUE"""),33.0)</f>
        <v>33</v>
      </c>
      <c r="AP276" s="114" t="str">
        <f>IFERROR(__xludf.DUMMYFUNCTION("""COMPUTED_VALUE"""),"Festa")</f>
        <v>Festa</v>
      </c>
      <c r="AQ276" s="114" t="str">
        <f>IFERROR(__xludf.DUMMYFUNCTION("""COMPUTED_VALUE"""),"Festa")</f>
        <v>Festa</v>
      </c>
      <c r="AR276" s="114"/>
      <c r="AS276" s="114"/>
      <c r="AT276" s="123" t="str">
        <f>IFERROR(__xludf.DUMMYFUNCTION("""COMPUTED_VALUE"""),"https://i.postimg.cc/N0sLF2Qp/033.png")</f>
        <v>https://i.postimg.cc/N0sLF2Qp/033.png</v>
      </c>
      <c r="AU276" s="114"/>
      <c r="AV276" s="114"/>
      <c r="AW276" s="114"/>
      <c r="AX276" s="114" t="str">
        <f t="shared" si="3"/>
        <v>33 - Medal [Event] - Crafted - Festa</v>
      </c>
      <c r="AY276" s="114" t="s">
        <v>5370</v>
      </c>
      <c r="AZ276" s="114"/>
      <c r="BA276" s="114"/>
      <c r="BB276" s="114"/>
      <c r="BC276" s="114"/>
      <c r="BD276" s="114"/>
      <c r="BE276" s="114"/>
    </row>
    <row r="277" ht="37.5" customHeight="1">
      <c r="A277" s="118" t="s">
        <v>5371</v>
      </c>
      <c r="B277" s="117" t="s">
        <v>2855</v>
      </c>
      <c r="C277" s="119">
        <f>IFERROR(__xludf.DUMMYFUNCTION("""COMPUTED_VALUE"""),66.0)</f>
        <v>66</v>
      </c>
      <c r="D277" s="114" t="str">
        <f>IFERROR(__xludf.DUMMYFUNCTION("""COMPUTED_VALUE"""),"Green Star")</f>
        <v>Green Star</v>
      </c>
      <c r="E277" s="114" t="str">
        <f>IFERROR(__xludf.DUMMYFUNCTION("""COMPUTED_VALUE"""),"")</f>
        <v/>
      </c>
      <c r="F277" s="114"/>
      <c r="G277" s="114"/>
      <c r="H277" s="114"/>
      <c r="I277" s="114"/>
      <c r="J277" s="114"/>
      <c r="K277" s="114" t="s">
        <v>5372</v>
      </c>
      <c r="L277" s="114" t="s">
        <v>5373</v>
      </c>
      <c r="M277" s="114" t="s">
        <v>5374</v>
      </c>
      <c r="N277" s="114" t="s">
        <v>5375</v>
      </c>
      <c r="O277" s="114"/>
      <c r="P277" s="120">
        <v>66.0</v>
      </c>
      <c r="Q277" s="117" t="s">
        <v>5376</v>
      </c>
      <c r="R277" s="114"/>
      <c r="S277" s="117" t="s">
        <v>2836</v>
      </c>
      <c r="T277" s="114">
        <f t="shared" si="1"/>
        <v>276</v>
      </c>
      <c r="U277" s="114" t="s">
        <v>437</v>
      </c>
      <c r="V277" s="114" t="str">
        <f>IFERROR(__xludf.DUMMYFUNCTION("REGEXREPLACE(U277, ""\n"", "" "")"),"The Man Who Shook the World")</f>
        <v>The Man Who Shook the World</v>
      </c>
      <c r="W277" s="114"/>
      <c r="X277" s="115" t="str">
        <f t="shared" si="2"/>
        <v>276 Great Pirate - Edward Newgate - Medal [The Man Who Shook the World]</v>
      </c>
      <c r="Y277" s="119"/>
      <c r="Z277" s="117" t="s">
        <v>5377</v>
      </c>
      <c r="AA277" s="117" t="s">
        <v>2879</v>
      </c>
      <c r="AB277" s="114"/>
      <c r="AC277" s="123" t="str">
        <f>IFERROR(__xludf.DUMMYFUNCTION("""COMPUTED_VALUE"""),"https://ik.imagekit.io/alaaalaa6171/067%20Bonney%20Pirates_Captain%20-%20Jewelry%20Bonney%20-%20Medal%20_Bonney_.png?updatedAt=1770076415619")</f>
        <v>https://ik.imagekit.io/alaaalaa6171/067%20Bonney%20Pirates_Captain%20-%20Jewelry%20Bonney%20-%20Medal%20_Bonney_.png?updatedAt=1770076415619</v>
      </c>
      <c r="AD277" s="123" t="str">
        <f>IFERROR(__xludf.DUMMYFUNCTION("""COMPUTED_VALUE"""),"https://ik.imagekit.io/alaaalaa6171/067%20Bonney%20Pirates_Captain%20-%20Jewelry%20Bonney%20-%20Medal%20_Bonney_%20_Colored_.png?updatedAt=1770076415625")</f>
        <v>https://ik.imagekit.io/alaaalaa6171/067%20Bonney%20Pirates_Captain%20-%20Jewelry%20Bonney%20-%20Medal%20_Bonney_%20_Colored_.png?updatedAt=1770076415625</v>
      </c>
      <c r="AE277" s="123" t="str">
        <f>IFERROR(__xludf.DUMMYFUNCTION("""COMPUTED_VALUE"""),"https://ik.imagekit.io/alaaalaa6171/067%20Bonney%20Pirates_Captain%20-%20Jewelry%20Bonney%20-%20Medal%20_Bonney_%20-%20Piece.png?updatedAt=1770076415635")</f>
        <v>https://ik.imagekit.io/alaaalaa6171/067%20Bonney%20Pirates_Captain%20-%20Jewelry%20Bonney%20-%20Medal%20_Bonney_%20-%20Piece.png?updatedAt=1770076415635</v>
      </c>
      <c r="AF277" s="123" t="str">
        <f>IFERROR(__xludf.DUMMYFUNCTION("""COMPUTED_VALUE"""),"https://ik.imagekit.io/alaaalaa6171/067%20Bonney%20Pirates_Captain%20-%20Jewelry%20Bonney%20-%20Medal%20_Bonney_%20-%20Piece%20_Colored_.png?updatedAt=1770076415567")</f>
        <v>https://ik.imagekit.io/alaaalaa6171/067%20Bonney%20Pirates_Captain%20-%20Jewelry%20Bonney%20-%20Medal%20_Bonney_%20-%20Piece%20_Colored_.png?updatedAt=1770076415567</v>
      </c>
      <c r="AG277" s="114"/>
      <c r="AH277" s="114"/>
      <c r="AI277" s="121" t="s">
        <v>5378</v>
      </c>
      <c r="AJ277" s="121" t="str">
        <f>IFERROR(__xludf.DUMMYFUNCTION("regexreplace(regexreplace(AI277, ""  \["", "" ""), ""\]$"", """")"),"276 - Great Pirate ~ Edward Newgate - Medal - Crafted [Colored] - The Man Who Shook the World")</f>
        <v>276 - Great Pirate ~ Edward Newgate - Medal - Crafted [Colored] - The Man Who Shook the World</v>
      </c>
      <c r="AK277" s="114"/>
      <c r="AL277" s="117" t="s">
        <v>5379</v>
      </c>
      <c r="AM277" s="117" t="s">
        <v>5380</v>
      </c>
      <c r="AN277" s="114"/>
      <c r="AO277" s="122">
        <f>IFERROR(__xludf.DUMMYFUNCTION("""COMPUTED_VALUE"""),32.0)</f>
        <v>32</v>
      </c>
      <c r="AP277" s="114" t="str">
        <f>IFERROR(__xludf.DUMMYFUNCTION("""COMPUTED_VALUE"""),"Bullet
(STAMPEDE)")</f>
        <v>Bullet
(STAMPEDE)</v>
      </c>
      <c r="AQ277" s="114" t="str">
        <f>IFERROR(__xludf.DUMMYFUNCTION("""COMPUTED_VALUE"""),"Bullet (STAMPEDE)")</f>
        <v>Bullet (STAMPEDE)</v>
      </c>
      <c r="AR277" s="114"/>
      <c r="AS277" s="114"/>
      <c r="AT277" s="123" t="str">
        <f>IFERROR(__xludf.DUMMYFUNCTION("""COMPUTED_VALUE"""),"https://i.postimg.cc/QdkHjJZF/032.png")</f>
        <v>https://i.postimg.cc/QdkHjJZF/032.png</v>
      </c>
      <c r="AU277" s="114"/>
      <c r="AV277" s="114"/>
      <c r="AW277" s="114"/>
      <c r="AX277" s="114" t="str">
        <f t="shared" si="3"/>
        <v>32 - Medal [Event] - Crafted - Bullet (STAMPEDE)</v>
      </c>
      <c r="AY277" s="114" t="s">
        <v>5381</v>
      </c>
      <c r="AZ277" s="114"/>
      <c r="BA277" s="114"/>
      <c r="BB277" s="114"/>
      <c r="BC277" s="114"/>
      <c r="BD277" s="114"/>
      <c r="BE277" s="114"/>
    </row>
    <row r="278" ht="37.5" customHeight="1">
      <c r="A278" s="118" t="s">
        <v>5382</v>
      </c>
      <c r="B278" s="117" t="s">
        <v>2829</v>
      </c>
      <c r="C278" s="119">
        <f>IFERROR(__xludf.DUMMYFUNCTION("""COMPUTED_VALUE"""),65.0)</f>
        <v>65</v>
      </c>
      <c r="D278" s="114" t="str">
        <f>IFERROR(__xludf.DUMMYFUNCTION("""COMPUTED_VALUE"""),"Concasser")</f>
        <v>Concasser</v>
      </c>
      <c r="E278" s="114" t="str">
        <f>IFERROR(__xludf.DUMMYFUNCTION("""COMPUTED_VALUE"""),"")</f>
        <v/>
      </c>
      <c r="F278" s="114"/>
      <c r="G278" s="114"/>
      <c r="H278" s="114"/>
      <c r="I278" s="114"/>
      <c r="J278" s="114"/>
      <c r="K278" s="114" t="s">
        <v>5383</v>
      </c>
      <c r="L278" s="114" t="s">
        <v>5384</v>
      </c>
      <c r="M278" s="114" t="s">
        <v>5385</v>
      </c>
      <c r="N278" s="114" t="s">
        <v>5386</v>
      </c>
      <c r="O278" s="114"/>
      <c r="P278" s="120">
        <v>65.0</v>
      </c>
      <c r="Q278" s="117" t="s">
        <v>5387</v>
      </c>
      <c r="R278" s="114"/>
      <c r="S278" s="117" t="s">
        <v>2823</v>
      </c>
      <c r="T278" s="114">
        <f t="shared" si="1"/>
        <v>277</v>
      </c>
      <c r="U278" s="114" t="s">
        <v>429</v>
      </c>
      <c r="V278" s="114" t="str">
        <f>IFERROR(__xludf.DUMMYFUNCTION("REGEXREPLACE(U278, ""\n"", "" "")"),"Paradise Waterfall")</f>
        <v>Paradise Waterfall</v>
      </c>
      <c r="W278" s="114"/>
      <c r="X278" s="115" t="str">
        <f t="shared" si="2"/>
        <v>277 Heir to the Shogun of Wano - Kozuki Oden - Medal [Paradise Waterfall]</v>
      </c>
      <c r="Y278" s="119"/>
      <c r="Z278" s="117" t="s">
        <v>5388</v>
      </c>
      <c r="AA278" s="117" t="s">
        <v>2877</v>
      </c>
      <c r="AB278" s="114"/>
      <c r="AC278" s="123" t="str">
        <f>IFERROR(__xludf.DUMMYFUNCTION("""COMPUTED_VALUE"""),"https://ik.imagekit.io/alaaalaa6171/066%202%20Years%20Later_Sharp%20Shooter%20-%20Usopp%20-%20Medal%20_Green%20Star_.png?updatedAt=1770076415563")</f>
        <v>https://ik.imagekit.io/alaaalaa6171/066%202%20Years%20Later_Sharp%20Shooter%20-%20Usopp%20-%20Medal%20_Green%20Star_.png?updatedAt=1770076415563</v>
      </c>
      <c r="AD278" s="123" t="str">
        <f>IFERROR(__xludf.DUMMYFUNCTION("""COMPUTED_VALUE"""),"https://ik.imagekit.io/alaaalaa6171/066%202%20Years%20Later_Sharp%20Shooter%20-%20Usopp%20-%20Medal%20_Green%20Star_%20_Colored_.png?updatedAt=1770076415581")</f>
        <v>https://ik.imagekit.io/alaaalaa6171/066%202%20Years%20Later_Sharp%20Shooter%20-%20Usopp%20-%20Medal%20_Green%20Star_%20_Colored_.png?updatedAt=1770076415581</v>
      </c>
      <c r="AE278" s="123" t="str">
        <f>IFERROR(__xludf.DUMMYFUNCTION("""COMPUTED_VALUE"""),"https://ik.imagekit.io/alaaalaa6171/066%202%20Years%20Later_Sharp%20Shooter%20-%20Usopp%20-%20Medal%20_Green%20Star_%20-%20Piece.png?updatedAt=1770076415564")</f>
        <v>https://ik.imagekit.io/alaaalaa6171/066%202%20Years%20Later_Sharp%20Shooter%20-%20Usopp%20-%20Medal%20_Green%20Star_%20-%20Piece.png?updatedAt=1770076415564</v>
      </c>
      <c r="AF278" s="123" t="str">
        <f>IFERROR(__xludf.DUMMYFUNCTION("""COMPUTED_VALUE"""),"https://ik.imagekit.io/alaaalaa6171/066%202%20Years%20Later_Sharp%20Shooter%20-%20Usopp%20-%20Medal%20_Green%20Star_%20-%20Piece%20_Colored_.png?updatedAt=1770076415432")</f>
        <v>https://ik.imagekit.io/alaaalaa6171/066%202%20Years%20Later_Sharp%20Shooter%20-%20Usopp%20-%20Medal%20_Green%20Star_%20-%20Piece%20_Colored_.png?updatedAt=1770076415432</v>
      </c>
      <c r="AG278" s="114"/>
      <c r="AH278" s="114"/>
      <c r="AI278" s="121" t="s">
        <v>5389</v>
      </c>
      <c r="AJ278" s="121" t="str">
        <f>IFERROR(__xludf.DUMMYFUNCTION("regexreplace(regexreplace(AI278, ""  \["", "" ""), ""\]$"", """")"),"277 - Heir to the Shogun of Wano ~ Kozuki Oden - Medal - Crafted [Colored] - Paradise Waterfall")</f>
        <v>277 - Heir to the Shogun of Wano ~ Kozuki Oden - Medal - Crafted [Colored] - Paradise Waterfall</v>
      </c>
      <c r="AK278" s="114"/>
      <c r="AL278" s="117" t="s">
        <v>5390</v>
      </c>
      <c r="AM278" s="117" t="s">
        <v>5391</v>
      </c>
      <c r="AN278" s="114"/>
      <c r="AO278" s="122">
        <f>IFERROR(__xludf.DUMMYFUNCTION("""COMPUTED_VALUE"""),31.0)</f>
        <v>31</v>
      </c>
      <c r="AP278" s="114" t="str">
        <f>IFERROR(__xludf.DUMMYFUNCTION("""COMPUTED_VALUE"""),"Genius Jester")</f>
        <v>Genius Jester</v>
      </c>
      <c r="AQ278" s="114" t="str">
        <f>IFERROR(__xludf.DUMMYFUNCTION("""COMPUTED_VALUE"""),"Genius Jester")</f>
        <v>Genius Jester</v>
      </c>
      <c r="AR278" s="114"/>
      <c r="AS278" s="114"/>
      <c r="AT278" s="123" t="str">
        <f>IFERROR(__xludf.DUMMYFUNCTION("""COMPUTED_VALUE"""),"https://i.postimg.cc/LX7sxyLb/031.png")</f>
        <v>https://i.postimg.cc/LX7sxyLb/031.png</v>
      </c>
      <c r="AU278" s="114"/>
      <c r="AV278" s="114"/>
      <c r="AW278" s="114"/>
      <c r="AX278" s="114" t="str">
        <f t="shared" si="3"/>
        <v>31 - Medal [Event] - Crafted - Genius Jester</v>
      </c>
      <c r="AY278" s="114" t="s">
        <v>5392</v>
      </c>
      <c r="AZ278" s="114"/>
      <c r="BA278" s="114"/>
      <c r="BB278" s="114"/>
      <c r="BC278" s="114"/>
      <c r="BD278" s="114"/>
      <c r="BE278" s="114"/>
    </row>
    <row r="279" ht="37.5" customHeight="1">
      <c r="A279" s="118" t="s">
        <v>5393</v>
      </c>
      <c r="B279" s="117" t="s">
        <v>2816</v>
      </c>
      <c r="C279" s="119">
        <f>IFERROR(__xludf.DUMMYFUNCTION("""COMPUTED_VALUE"""),64.0)</f>
        <v>64</v>
      </c>
      <c r="D279" s="114" t="str">
        <f>IFERROR(__xludf.DUMMYFUNCTION("""COMPUTED_VALUE"""),"Sabo")</f>
        <v>Sabo</v>
      </c>
      <c r="E279" s="114" t="str">
        <f>IFERROR(__xludf.DUMMYFUNCTION("""COMPUTED_VALUE"""),"")</f>
        <v/>
      </c>
      <c r="F279" s="114"/>
      <c r="G279" s="114"/>
      <c r="H279" s="114"/>
      <c r="I279" s="114"/>
      <c r="J279" s="114"/>
      <c r="K279" s="114" t="s">
        <v>5394</v>
      </c>
      <c r="L279" s="114" t="s">
        <v>5395</v>
      </c>
      <c r="M279" s="114" t="s">
        <v>5396</v>
      </c>
      <c r="N279" s="114" t="s">
        <v>5397</v>
      </c>
      <c r="O279" s="114"/>
      <c r="P279" s="120">
        <v>64.0</v>
      </c>
      <c r="Q279" s="117" t="s">
        <v>5398</v>
      </c>
      <c r="R279" s="114"/>
      <c r="S279" s="117" t="s">
        <v>2810</v>
      </c>
      <c r="T279" s="114">
        <f t="shared" si="1"/>
        <v>278</v>
      </c>
      <c r="U279" s="114" t="s">
        <v>5399</v>
      </c>
      <c r="V279" s="114" t="str">
        <f>IFERROR(__xludf.DUMMYFUNCTION("REGEXREPLACE(U279, ""\n"", "" "")"),"Carrot (Whole Cake Island)")</f>
        <v>Carrot (Whole Cake Island)</v>
      </c>
      <c r="W279" s="114"/>
      <c r="X279" s="115" t="str">
        <f t="shared" si="2"/>
        <v>278 Whole Cake Island - Carrot - Medal [Carrot (Whole Cake Island)]</v>
      </c>
      <c r="Y279" s="119"/>
      <c r="Z279" s="117" t="s">
        <v>5400</v>
      </c>
      <c r="AA279" s="117" t="s">
        <v>2889</v>
      </c>
      <c r="AB279" s="114"/>
      <c r="AC279" s="123" t="str">
        <f>IFERROR(__xludf.DUMMYFUNCTION("""COMPUTED_VALUE"""),"https://ik.imagekit.io/alaaalaa6171/065%202%20Years%20Later_Cook%20-%20Sanji%20-%20Medal%20_Concasser_.png?updatedAt=1770076414794")</f>
        <v>https://ik.imagekit.io/alaaalaa6171/065%202%20Years%20Later_Cook%20-%20Sanji%20-%20Medal%20_Concasser_.png?updatedAt=1770076414794</v>
      </c>
      <c r="AD279" s="123" t="str">
        <f>IFERROR(__xludf.DUMMYFUNCTION("""COMPUTED_VALUE"""),"https://ik.imagekit.io/alaaalaa6171/065%202%20Years%20Later_Cook%20-%20Sanji%20-%20Medal%20_Concasser_%20_Colored_.png?updatedAt=1770076414735")</f>
        <v>https://ik.imagekit.io/alaaalaa6171/065%202%20Years%20Later_Cook%20-%20Sanji%20-%20Medal%20_Concasser_%20_Colored_.png?updatedAt=1770076414735</v>
      </c>
      <c r="AE279" s="123" t="str">
        <f>IFERROR(__xludf.DUMMYFUNCTION("""COMPUTED_VALUE"""),"https://ik.imagekit.io/alaaalaa6171/065%202%20Years%20Later_Cook%20-%20Sanji%20-%20Medal%20_Concasser_%20-%20Piece.png?updatedAt=1770076414741")</f>
        <v>https://ik.imagekit.io/alaaalaa6171/065%202%20Years%20Later_Cook%20-%20Sanji%20-%20Medal%20_Concasser_%20-%20Piece.png?updatedAt=1770076414741</v>
      </c>
      <c r="AF279" s="123" t="str">
        <f>IFERROR(__xludf.DUMMYFUNCTION("""COMPUTED_VALUE"""),"https://ik.imagekit.io/alaaalaa6171/065%202%20Years%20Later_Cook%20-%20Sanji%20-%20Medal%20_Concasser_%20-%20Piece%20_Colored_.png?updatedAt=1770076414731")</f>
        <v>https://ik.imagekit.io/alaaalaa6171/065%202%20Years%20Later_Cook%20-%20Sanji%20-%20Medal%20_Concasser_%20-%20Piece%20_Colored_.png?updatedAt=1770076414731</v>
      </c>
      <c r="AG279" s="114"/>
      <c r="AH279" s="114"/>
      <c r="AI279" s="121" t="s">
        <v>5401</v>
      </c>
      <c r="AJ279" s="121" t="str">
        <f>IFERROR(__xludf.DUMMYFUNCTION("regexreplace(regexreplace(AI279, ""  \["", "" ""), ""\]$"", """")"),"278 - Whole Cake Island ~ Carrot - Medal - Crafted [Colored] - Carrot (Whole Cake Island)")</f>
        <v>278 - Whole Cake Island ~ Carrot - Medal - Crafted [Colored] - Carrot (Whole Cake Island)</v>
      </c>
      <c r="AK279" s="114"/>
      <c r="AL279" s="117" t="s">
        <v>5402</v>
      </c>
      <c r="AM279" s="117" t="s">
        <v>5403</v>
      </c>
      <c r="AN279" s="114"/>
      <c r="AO279" s="122">
        <f>IFERROR(__xludf.DUMMYFUNCTION("""COMPUTED_VALUE"""),30.0)</f>
        <v>30</v>
      </c>
      <c r="AP279" s="114" t="str">
        <f>IFERROR(__xludf.DUMMYFUNCTION("""COMPUTED_VALUE"""),"Red Hair")</f>
        <v>Red Hair</v>
      </c>
      <c r="AQ279" s="114" t="str">
        <f>IFERROR(__xludf.DUMMYFUNCTION("""COMPUTED_VALUE"""),"Red Hair")</f>
        <v>Red Hair</v>
      </c>
      <c r="AR279" s="114"/>
      <c r="AS279" s="114"/>
      <c r="AT279" s="123" t="str">
        <f>IFERROR(__xludf.DUMMYFUNCTION("""COMPUTED_VALUE"""),"https://i.postimg.cc/QVZd3H6g/030.png")</f>
        <v>https://i.postimg.cc/QVZd3H6g/030.png</v>
      </c>
      <c r="AU279" s="114"/>
      <c r="AV279" s="114"/>
      <c r="AW279" s="114"/>
      <c r="AX279" s="114" t="str">
        <f t="shared" si="3"/>
        <v>30 - Medal [Event] - Crafted - Red Hair</v>
      </c>
      <c r="AY279" s="114" t="s">
        <v>5404</v>
      </c>
      <c r="AZ279" s="114"/>
      <c r="BA279" s="114"/>
      <c r="BB279" s="114"/>
      <c r="BC279" s="114"/>
      <c r="BD279" s="114"/>
      <c r="BE279" s="114"/>
    </row>
    <row r="280" ht="37.5" customHeight="1">
      <c r="A280" s="118" t="s">
        <v>5405</v>
      </c>
      <c r="B280" s="117" t="s">
        <v>2803</v>
      </c>
      <c r="C280" s="119">
        <f>IFERROR(__xludf.DUMMYFUNCTION("""COMPUTED_VALUE"""),63.0)</f>
        <v>63</v>
      </c>
      <c r="D280" s="114" t="str">
        <f>IFERROR(__xludf.DUMMYFUNCTION("""COMPUTED_VALUE"""),"Thunder")</f>
        <v>Thunder</v>
      </c>
      <c r="E280" s="114" t="str">
        <f>IFERROR(__xludf.DUMMYFUNCTION("""COMPUTED_VALUE"""),"")</f>
        <v/>
      </c>
      <c r="F280" s="114"/>
      <c r="G280" s="114"/>
      <c r="H280" s="114"/>
      <c r="I280" s="114"/>
      <c r="J280" s="114"/>
      <c r="K280" s="114" t="s">
        <v>5406</v>
      </c>
      <c r="L280" s="114" t="s">
        <v>5407</v>
      </c>
      <c r="M280" s="114" t="s">
        <v>5408</v>
      </c>
      <c r="N280" s="114" t="s">
        <v>5409</v>
      </c>
      <c r="O280" s="114"/>
      <c r="P280" s="120">
        <v>63.0</v>
      </c>
      <c r="Q280" s="117" t="s">
        <v>5410</v>
      </c>
      <c r="R280" s="114"/>
      <c r="S280" s="117" t="s">
        <v>2797</v>
      </c>
      <c r="T280" s="114">
        <f t="shared" si="1"/>
        <v>279</v>
      </c>
      <c r="U280" s="114" t="s">
        <v>418</v>
      </c>
      <c r="V280" s="114" t="str">
        <f>IFERROR(__xludf.DUMMYFUNCTION("REGEXREPLACE(U280, ""\n"", "" "")"),"The Man Who Had Everything")</f>
        <v>The Man Who Had Everything</v>
      </c>
      <c r="W280" s="114"/>
      <c r="X280" s="115" t="str">
        <f t="shared" si="2"/>
        <v>279 Great Pirate - Gol D. Roger - Medal [The Man Who Had Everything]</v>
      </c>
      <c r="Y280" s="119"/>
      <c r="Z280" s="117" t="s">
        <v>5411</v>
      </c>
      <c r="AA280" s="117" t="s">
        <v>2891</v>
      </c>
      <c r="AB280" s="114"/>
      <c r="AC280" s="123" t="str">
        <f>IFERROR(__xludf.DUMMYFUNCTION("""COMPUTED_VALUE"""),"https://ik.imagekit.io/alaaalaa6171/064%20Revolutoonary%20Army_Chief%20of%20Staff%20-%20Sabo%20-%20Medal%20_Sabo_.png?updatedAt=1770076413478")</f>
        <v>https://ik.imagekit.io/alaaalaa6171/064%20Revolutoonary%20Army_Chief%20of%20Staff%20-%20Sabo%20-%20Medal%20_Sabo_.png?updatedAt=1770076413478</v>
      </c>
      <c r="AD280" s="123" t="str">
        <f>IFERROR(__xludf.DUMMYFUNCTION("""COMPUTED_VALUE"""),"https://ik.imagekit.io/alaaalaa6171/064%20Revolutoonary%20Army_Chief%20of%20Staff%20-%20Sabo%20-%20Medal%20_Sabo_%20_Colored_.png?updatedAt=1770076413422")</f>
        <v>https://ik.imagekit.io/alaaalaa6171/064%20Revolutoonary%20Army_Chief%20of%20Staff%20-%20Sabo%20-%20Medal%20_Sabo_%20_Colored_.png?updatedAt=1770076413422</v>
      </c>
      <c r="AE280" s="123" t="str">
        <f>IFERROR(__xludf.DUMMYFUNCTION("""COMPUTED_VALUE"""),"https://ik.imagekit.io/alaaalaa6171/064%20Revolutoonary%20Army_Chief%20of%20Staff%20-%20Sabo%20-%20Medal%20_Sabo_%20-%20Piece.png?updatedAt=1770076412917")</f>
        <v>https://ik.imagekit.io/alaaalaa6171/064%20Revolutoonary%20Army_Chief%20of%20Staff%20-%20Sabo%20-%20Medal%20_Sabo_%20-%20Piece.png?updatedAt=1770076412917</v>
      </c>
      <c r="AF280" s="123" t="str">
        <f>IFERROR(__xludf.DUMMYFUNCTION("""COMPUTED_VALUE"""),"https://ik.imagekit.io/alaaalaa6171/064%20Revolutoonary%20Army_Chief%20of%20Staff%20-%20Sabo%20-%20Medal%20_Sabo_%20-%20Piece%20_Colored_.png?updatedAt=1770076412668")</f>
        <v>https://ik.imagekit.io/alaaalaa6171/064%20Revolutoonary%20Army_Chief%20of%20Staff%20-%20Sabo%20-%20Medal%20_Sabo_%20-%20Piece%20_Colored_.png?updatedAt=1770076412668</v>
      </c>
      <c r="AG280" s="114"/>
      <c r="AH280" s="114"/>
      <c r="AI280" s="121" t="s">
        <v>5412</v>
      </c>
      <c r="AJ280" s="121" t="str">
        <f>IFERROR(__xludf.DUMMYFUNCTION("regexreplace(regexreplace(AI280, ""  \["", "" ""), ""\]$"", """")"),"279 - Great Pirate ~ Gol D. Roger - Medal - Crafted [Colored] - The Man Who Had Everything")</f>
        <v>279 - Great Pirate ~ Gol D. Roger - Medal - Crafted [Colored] - The Man Who Had Everything</v>
      </c>
      <c r="AK280" s="114"/>
      <c r="AL280" s="117" t="s">
        <v>5413</v>
      </c>
      <c r="AM280" s="117" t="s">
        <v>5414</v>
      </c>
      <c r="AN280" s="114"/>
      <c r="AO280" s="122">
        <f>IFERROR(__xludf.DUMMYFUNCTION("""COMPUTED_VALUE"""),29.0)</f>
        <v>29</v>
      </c>
      <c r="AP280" s="114" t="str">
        <f>IFERROR(__xludf.DUMMYFUNCTION("""COMPUTED_VALUE"""),"Magician")</f>
        <v>Magician</v>
      </c>
      <c r="AQ280" s="114" t="str">
        <f>IFERROR(__xludf.DUMMYFUNCTION("""COMPUTED_VALUE"""),"Magician")</f>
        <v>Magician</v>
      </c>
      <c r="AR280" s="114"/>
      <c r="AS280" s="114"/>
      <c r="AT280" s="123" t="str">
        <f>IFERROR(__xludf.DUMMYFUNCTION("""COMPUTED_VALUE"""),"https://i.postimg.cc/nVCTRT6Y/029.png")</f>
        <v>https://i.postimg.cc/nVCTRT6Y/029.png</v>
      </c>
      <c r="AU280" s="114"/>
      <c r="AV280" s="114"/>
      <c r="AW280" s="114"/>
      <c r="AX280" s="114" t="str">
        <f t="shared" si="3"/>
        <v>29 - Medal [Event] - Crafted - Magician</v>
      </c>
      <c r="AY280" s="114" t="s">
        <v>5415</v>
      </c>
      <c r="AZ280" s="114"/>
      <c r="BA280" s="114"/>
      <c r="BB280" s="114"/>
      <c r="BC280" s="114"/>
      <c r="BD280" s="114"/>
      <c r="BE280" s="114"/>
    </row>
    <row r="281" ht="37.5" customHeight="1">
      <c r="A281" s="118" t="s">
        <v>5416</v>
      </c>
      <c r="B281" s="117" t="s">
        <v>2777</v>
      </c>
      <c r="C281" s="119">
        <f>IFERROR(__xludf.DUMMYFUNCTION("""COMPUTED_VALUE"""),62.0)</f>
        <v>62</v>
      </c>
      <c r="D281" s="114" t="str">
        <f>IFERROR(__xludf.DUMMYFUNCTION("""COMPUTED_VALUE"""),"Dragon Quake")</f>
        <v>Dragon Quake</v>
      </c>
      <c r="E281" s="114" t="str">
        <f>IFERROR(__xludf.DUMMYFUNCTION("""COMPUTED_VALUE"""),"")</f>
        <v/>
      </c>
      <c r="F281" s="114"/>
      <c r="G281" s="114"/>
      <c r="H281" s="114"/>
      <c r="I281" s="114"/>
      <c r="J281" s="114"/>
      <c r="K281" s="114" t="s">
        <v>5417</v>
      </c>
      <c r="L281" s="114" t="s">
        <v>5418</v>
      </c>
      <c r="M281" s="114" t="s">
        <v>5419</v>
      </c>
      <c r="N281" s="114" t="s">
        <v>5420</v>
      </c>
      <c r="O281" s="114"/>
      <c r="P281" s="120">
        <v>62.0</v>
      </c>
      <c r="Q281" s="117" t="s">
        <v>5421</v>
      </c>
      <c r="R281" s="114"/>
      <c r="S281" s="117" t="s">
        <v>2784</v>
      </c>
      <c r="T281" s="114">
        <f t="shared" si="1"/>
        <v>280</v>
      </c>
      <c r="U281" s="114" t="s">
        <v>412</v>
      </c>
      <c r="V281" s="114" t="str">
        <f>IFERROR(__xludf.DUMMYFUNCTION("REGEXREPLACE(U281, ""\n"", "" "")"),"The Dark King`s Flash")</f>
        <v>The Dark King`s Flash</v>
      </c>
      <c r="W281" s="114"/>
      <c r="X281" s="115" t="str">
        <f t="shared" si="2"/>
        <v>280 Ex-Roger Pirates / First Mate - Silvers Rayleigh - Medal [The Dark King`s Flash]</v>
      </c>
      <c r="Y281" s="119"/>
      <c r="Z281" s="117" t="s">
        <v>5422</v>
      </c>
      <c r="AA281" s="117" t="s">
        <v>2892</v>
      </c>
      <c r="AB281" s="114"/>
      <c r="AC281" s="123" t="str">
        <f>IFERROR(__xludf.DUMMYFUNCTION("""COMPUTED_VALUE"""),"https://ik.imagekit.io/alaaalaa6171/063%202%20Years%20Later_Navigator%20-%20Nami%20-%20Medal%20_Thunder_.png?updatedAt=1770076412416")</f>
        <v>https://ik.imagekit.io/alaaalaa6171/063%202%20Years%20Later_Navigator%20-%20Nami%20-%20Medal%20_Thunder_.png?updatedAt=1770076412416</v>
      </c>
      <c r="AD281" s="123" t="str">
        <f>IFERROR(__xludf.DUMMYFUNCTION("""COMPUTED_VALUE"""),"https://ik.imagekit.io/alaaalaa6171/063%202%20Years%20Later_Navigator%20-%20Nami%20-%20Medal%20_Thunder_%20_Colored_.png?updatedAt=1770076412243")</f>
        <v>https://ik.imagekit.io/alaaalaa6171/063%202%20Years%20Later_Navigator%20-%20Nami%20-%20Medal%20_Thunder_%20_Colored_.png?updatedAt=1770076412243</v>
      </c>
      <c r="AE281" s="123" t="str">
        <f>IFERROR(__xludf.DUMMYFUNCTION("""COMPUTED_VALUE"""),"https://ik.imagekit.io/alaaalaa6171/063%202%20Years%20Later_Navigator%20-%20Nami%20-%20Medal%20_Thunder_%20-%20Piece.png?updatedAt=1770076412092")</f>
        <v>https://ik.imagekit.io/alaaalaa6171/063%202%20Years%20Later_Navigator%20-%20Nami%20-%20Medal%20_Thunder_%20-%20Piece.png?updatedAt=1770076412092</v>
      </c>
      <c r="AF281" s="123" t="str">
        <f>IFERROR(__xludf.DUMMYFUNCTION("""COMPUTED_VALUE"""),"https://ik.imagekit.io/alaaalaa6171/063%202%20Years%20Later_Navigator%20-%20Nami%20-%20Medal%20_Thunder_%20-%20Piece%20_Colored_.png?updatedAt=1770076411546")</f>
        <v>https://ik.imagekit.io/alaaalaa6171/063%202%20Years%20Later_Navigator%20-%20Nami%20-%20Medal%20_Thunder_%20-%20Piece%20_Colored_.png?updatedAt=1770076411546</v>
      </c>
      <c r="AG281" s="114"/>
      <c r="AH281" s="114"/>
      <c r="AI281" s="121" t="s">
        <v>5423</v>
      </c>
      <c r="AJ281" s="121" t="str">
        <f>IFERROR(__xludf.DUMMYFUNCTION("regexreplace(regexreplace(AI281, ""  \["", "" ""), ""\]$"", """")"),"280 - Ex-Roger Pirates_First Mate ~ Silvers Rayleigh - Medal - Crafted [Colored] - The Dark King`s Flash")</f>
        <v>280 - Ex-Roger Pirates_First Mate ~ Silvers Rayleigh - Medal - Crafted [Colored] - The Dark King`s Flash</v>
      </c>
      <c r="AK281" s="114"/>
      <c r="AL281" s="117" t="s">
        <v>5424</v>
      </c>
      <c r="AM281" s="117" t="s">
        <v>5425</v>
      </c>
      <c r="AN281" s="114"/>
      <c r="AO281" s="122">
        <f>IFERROR(__xludf.DUMMYFUNCTION("""COMPUTED_VALUE"""),28.0)</f>
        <v>28</v>
      </c>
      <c r="AP281" s="114" t="str">
        <f>IFERROR(__xludf.DUMMYFUNCTION("""COMPUTED_VALUE"""),"Gang")</f>
        <v>Gang</v>
      </c>
      <c r="AQ281" s="114" t="str">
        <f>IFERROR(__xludf.DUMMYFUNCTION("""COMPUTED_VALUE"""),"Gang")</f>
        <v>Gang</v>
      </c>
      <c r="AR281" s="114"/>
      <c r="AS281" s="114"/>
      <c r="AT281" s="123" t="str">
        <f>IFERROR(__xludf.DUMMYFUNCTION("""COMPUTED_VALUE"""),"https://i.postimg.cc/fTdCZyWV/028.png")</f>
        <v>https://i.postimg.cc/fTdCZyWV/028.png</v>
      </c>
      <c r="AU281" s="114"/>
      <c r="AV281" s="114"/>
      <c r="AW281" s="114"/>
      <c r="AX281" s="114" t="str">
        <f t="shared" si="3"/>
        <v>28 - Medal [Event] - Crafted - Gang</v>
      </c>
      <c r="AY281" s="114" t="s">
        <v>5426</v>
      </c>
      <c r="AZ281" s="114"/>
      <c r="BA281" s="114"/>
      <c r="BB281" s="114"/>
      <c r="BC281" s="114"/>
      <c r="BD281" s="114"/>
      <c r="BE281" s="114"/>
    </row>
    <row r="282" ht="37.5" customHeight="1">
      <c r="A282" s="118" t="s">
        <v>5427</v>
      </c>
      <c r="B282" s="117" t="s">
        <v>2790</v>
      </c>
      <c r="C282" s="119">
        <f>IFERROR(__xludf.DUMMYFUNCTION("""COMPUTED_VALUE"""),61.0)</f>
        <v>61</v>
      </c>
      <c r="D282" s="114" t="str">
        <f>IFERROR(__xludf.DUMMYFUNCTION("""COMPUTED_VALUE"""),"Vivi")</f>
        <v>Vivi</v>
      </c>
      <c r="E282" s="114" t="str">
        <f>IFERROR(__xludf.DUMMYFUNCTION("""COMPUTED_VALUE"""),"")</f>
        <v/>
      </c>
      <c r="F282" s="114"/>
      <c r="G282" s="114"/>
      <c r="H282" s="114"/>
      <c r="I282" s="114"/>
      <c r="J282" s="114"/>
      <c r="K282" s="114" t="s">
        <v>5428</v>
      </c>
      <c r="L282" s="114" t="s">
        <v>5429</v>
      </c>
      <c r="M282" s="114" t="s">
        <v>5430</v>
      </c>
      <c r="N282" s="114" t="s">
        <v>5431</v>
      </c>
      <c r="O282" s="114"/>
      <c r="P282" s="120">
        <v>61.0</v>
      </c>
      <c r="Q282" s="117" t="s">
        <v>5432</v>
      </c>
      <c r="R282" s="114"/>
      <c r="S282" s="117" t="s">
        <v>2771</v>
      </c>
      <c r="T282" s="114">
        <f t="shared" si="1"/>
        <v>281</v>
      </c>
      <c r="U282" s="114" t="s">
        <v>407</v>
      </c>
      <c r="V282" s="114" t="str">
        <f>IFERROR(__xludf.DUMMYFUNCTION("REGEXREPLACE(U282, ""\n"", "" "")"),"Ganfor")</f>
        <v>Ganfor</v>
      </c>
      <c r="W282" s="114"/>
      <c r="X282" s="115" t="str">
        <f t="shared" si="2"/>
        <v>281 The Sky Knight - Ganfor - Medal [Ganfor]</v>
      </c>
      <c r="Y282" s="119"/>
      <c r="Z282" s="117" t="s">
        <v>5433</v>
      </c>
      <c r="AA282" s="117" t="s">
        <v>2890</v>
      </c>
      <c r="AB282" s="114"/>
      <c r="AC282" s="123" t="str">
        <f>IFERROR(__xludf.DUMMYFUNCTION("""COMPUTED_VALUE"""),"https://ik.imagekit.io/alaaalaa6171/062%202%20Years%20Later_Combatant%20-%20Roronoa%20Zoro%20-%20Medal%20_Dragon%20Quake_.png?updatedAt=1770076410934")</f>
        <v>https://ik.imagekit.io/alaaalaa6171/062%202%20Years%20Later_Combatant%20-%20Roronoa%20Zoro%20-%20Medal%20_Dragon%20Quake_.png?updatedAt=1770076410934</v>
      </c>
      <c r="AD282" s="123" t="str">
        <f>IFERROR(__xludf.DUMMYFUNCTION("""COMPUTED_VALUE"""),"https://ik.imagekit.io/alaaalaa6171/062%202%20Years%20Later_Combatant%20-%20Roronoa%20Zoro%20-%20Medal%20_Dragon%20Quake_%20_Colored_.png?updatedAt=1770076410922")</f>
        <v>https://ik.imagekit.io/alaaalaa6171/062%202%20Years%20Later_Combatant%20-%20Roronoa%20Zoro%20-%20Medal%20_Dragon%20Quake_%20_Colored_.png?updatedAt=1770076410922</v>
      </c>
      <c r="AE282" s="123" t="str">
        <f>IFERROR(__xludf.DUMMYFUNCTION("""COMPUTED_VALUE"""),"https://ik.imagekit.io/alaaalaa6171/062%202%20Years%20Later_Combatant%20-%20Roronoa%20Zoro%20-%20Medal%20_Dragon%20Quake_%20-%20Piece.png?updatedAt=1770076410951")</f>
        <v>https://ik.imagekit.io/alaaalaa6171/062%202%20Years%20Later_Combatant%20-%20Roronoa%20Zoro%20-%20Medal%20_Dragon%20Quake_%20-%20Piece.png?updatedAt=1770076410951</v>
      </c>
      <c r="AF282" s="123" t="str">
        <f>IFERROR(__xludf.DUMMYFUNCTION("""COMPUTED_VALUE"""),"https://ik.imagekit.io/alaaalaa6171/062%202%20Years%20Later_Combatant%20-%20Roronoa%20Zoro%20-%20Medal%20_Dragon%20Quake_%20-%20Piece%20_Colored_.png?updatedAt=1770076410936")</f>
        <v>https://ik.imagekit.io/alaaalaa6171/062%202%20Years%20Later_Combatant%20-%20Roronoa%20Zoro%20-%20Medal%20_Dragon%20Quake_%20-%20Piece%20_Colored_.png?updatedAt=1770076410936</v>
      </c>
      <c r="AG282" s="114"/>
      <c r="AH282" s="114"/>
      <c r="AI282" s="121" t="s">
        <v>5434</v>
      </c>
      <c r="AJ282" s="121" t="str">
        <f>IFERROR(__xludf.DUMMYFUNCTION("regexreplace(regexreplace(AI282, ""  \["", "" ""), ""\]$"", """")"),"281 - The Sky Knight ~ Ganfor - Medal - Crafted [Colored] - Ganfor")</f>
        <v>281 - The Sky Knight ~ Ganfor - Medal - Crafted [Colored] - Ganfor</v>
      </c>
      <c r="AK282" s="114"/>
      <c r="AL282" s="117" t="s">
        <v>5435</v>
      </c>
      <c r="AM282" s="117" t="s">
        <v>5436</v>
      </c>
      <c r="AN282" s="114"/>
      <c r="AO282" s="122">
        <f>IFERROR(__xludf.DUMMYFUNCTION("""COMPUTED_VALUE"""),27.0)</f>
        <v>27</v>
      </c>
      <c r="AP282" s="114" t="str">
        <f>IFERROR(__xludf.DUMMYFUNCTION("""COMPUTED_VALUE"""),"Helmeppo Chief Petty Officer")</f>
        <v>Helmeppo Chief Petty Officer</v>
      </c>
      <c r="AQ282" s="114" t="str">
        <f>IFERROR(__xludf.DUMMYFUNCTION("""COMPUTED_VALUE"""),"Helmeppo Chief Petty Officer")</f>
        <v>Helmeppo Chief Petty Officer</v>
      </c>
      <c r="AR282" s="114"/>
      <c r="AS282" s="114"/>
      <c r="AT282" s="123" t="str">
        <f>IFERROR(__xludf.DUMMYFUNCTION("""COMPUTED_VALUE"""),"https://i.postimg.cc/gcQsf8p9/027.png")</f>
        <v>https://i.postimg.cc/gcQsf8p9/027.png</v>
      </c>
      <c r="AU282" s="114"/>
      <c r="AV282" s="114"/>
      <c r="AW282" s="114"/>
      <c r="AX282" s="114" t="str">
        <f t="shared" si="3"/>
        <v>27 - Medal [Event] - Crafted - Helmeppo Chief Petty Officer</v>
      </c>
      <c r="AY282" s="114" t="s">
        <v>5437</v>
      </c>
      <c r="AZ282" s="114"/>
      <c r="BA282" s="114"/>
      <c r="BB282" s="114"/>
      <c r="BC282" s="114"/>
      <c r="BD282" s="114"/>
      <c r="BE282" s="114"/>
    </row>
    <row r="283" ht="37.5" customHeight="1">
      <c r="A283" s="118" t="s">
        <v>5438</v>
      </c>
      <c r="B283" s="117" t="s">
        <v>2764</v>
      </c>
      <c r="C283" s="119">
        <f>IFERROR(__xludf.DUMMYFUNCTION("""COMPUTED_VALUE"""),60.0)</f>
        <v>60</v>
      </c>
      <c r="D283" s="114" t="str">
        <f>IFERROR(__xludf.DUMMYFUNCTION("""COMPUTED_VALUE"""),"Elephant Gatling")</f>
        <v>Elephant Gatling</v>
      </c>
      <c r="E283" s="114" t="str">
        <f>IFERROR(__xludf.DUMMYFUNCTION("""COMPUTED_VALUE"""),"")</f>
        <v/>
      </c>
      <c r="F283" s="114"/>
      <c r="G283" s="114"/>
      <c r="H283" s="114"/>
      <c r="I283" s="114"/>
      <c r="J283" s="114"/>
      <c r="K283" s="114" t="s">
        <v>5439</v>
      </c>
      <c r="L283" s="114" t="s">
        <v>5440</v>
      </c>
      <c r="M283" s="114" t="s">
        <v>5441</v>
      </c>
      <c r="N283" s="114" t="s">
        <v>5442</v>
      </c>
      <c r="O283" s="114"/>
      <c r="P283" s="120">
        <v>60.0</v>
      </c>
      <c r="Q283" s="117" t="s">
        <v>5443</v>
      </c>
      <c r="R283" s="114"/>
      <c r="S283" s="117" t="s">
        <v>2758</v>
      </c>
      <c r="T283" s="114">
        <f t="shared" si="1"/>
        <v>282</v>
      </c>
      <c r="U283" s="114" t="s">
        <v>400</v>
      </c>
      <c r="V283" s="114" t="str">
        <f>IFERROR(__xludf.DUMMYFUNCTION("REGEXREPLACE(U283, ""\n"", "" "")"),"The Great Warrior Kalgara")</f>
        <v>The Great Warrior Kalgara</v>
      </c>
      <c r="W283" s="114"/>
      <c r="X283" s="115" t="str">
        <f t="shared" si="2"/>
        <v>282 The Great Warrior of Shandora - Kalgara - Medal [The Great Warrior Kalgara]</v>
      </c>
      <c r="Y283" s="119"/>
      <c r="Z283" s="117" t="s">
        <v>5444</v>
      </c>
      <c r="AA283" s="117" t="s">
        <v>2902</v>
      </c>
      <c r="AB283" s="114"/>
      <c r="AC283" s="123" t="str">
        <f>IFERROR(__xludf.DUMMYFUNCTION("""COMPUTED_VALUE"""),"https://ik.imagekit.io/alaaalaa6171/061%20Alabasta_Princess%20-%20Nefeltari%20Vivi%20-%20Medal%20_Vivi_.png?updatedAt=1770076410913")</f>
        <v>https://ik.imagekit.io/alaaalaa6171/061%20Alabasta_Princess%20-%20Nefeltari%20Vivi%20-%20Medal%20_Vivi_.png?updatedAt=1770076410913</v>
      </c>
      <c r="AD283" s="123" t="str">
        <f>IFERROR(__xludf.DUMMYFUNCTION("""COMPUTED_VALUE"""),"https://ik.imagekit.io/alaaalaa6171/061%20Alabasta_Princess%20-%20Nefeltari%20Vivi%20-%20Medal%20_Vivi_%20_Colored_.png?updatedAt=1770076410944")</f>
        <v>https://ik.imagekit.io/alaaalaa6171/061%20Alabasta_Princess%20-%20Nefeltari%20Vivi%20-%20Medal%20_Vivi_%20_Colored_.png?updatedAt=1770076410944</v>
      </c>
      <c r="AE283" s="123" t="str">
        <f>IFERROR(__xludf.DUMMYFUNCTION("""COMPUTED_VALUE"""),"https://ik.imagekit.io/alaaalaa6171/061%20Alabasta_Princess%20-%20Nefeltari%20Vivi%20-%20Medal%20_Vivi_%20-%20Piece.png?updatedAt=1770076410902")</f>
        <v>https://ik.imagekit.io/alaaalaa6171/061%20Alabasta_Princess%20-%20Nefeltari%20Vivi%20-%20Medal%20_Vivi_%20-%20Piece.png?updatedAt=1770076410902</v>
      </c>
      <c r="AF283" s="123" t="str">
        <f>IFERROR(__xludf.DUMMYFUNCTION("""COMPUTED_VALUE"""),"https://ik.imagekit.io/alaaalaa6171/061%20Alabasta_Princess%20-%20Nefeltari%20Vivi%20-%20Medal%20_Vivi_%20-%20Piece%20_Colored_.png?updatedAt=1770076410906")</f>
        <v>https://ik.imagekit.io/alaaalaa6171/061%20Alabasta_Princess%20-%20Nefeltari%20Vivi%20-%20Medal%20_Vivi_%20-%20Piece%20_Colored_.png?updatedAt=1770076410906</v>
      </c>
      <c r="AG283" s="114"/>
      <c r="AH283" s="114"/>
      <c r="AI283" s="121" t="s">
        <v>5445</v>
      </c>
      <c r="AJ283" s="121" t="str">
        <f>IFERROR(__xludf.DUMMYFUNCTION("regexreplace(regexreplace(AI283, ""  \["", "" ""), ""\]$"", """")"),"282 - The Great Warrior of Shandora ~ Kalgara - Medal - Crafted [Colored] - The Great Warrior Kalgara")</f>
        <v>282 - The Great Warrior of Shandora ~ Kalgara - Medal - Crafted [Colored] - The Great Warrior Kalgara</v>
      </c>
      <c r="AK283" s="114"/>
      <c r="AL283" s="117" t="s">
        <v>5446</v>
      </c>
      <c r="AM283" s="117" t="s">
        <v>5447</v>
      </c>
      <c r="AN283" s="114"/>
      <c r="AO283" s="122">
        <f>IFERROR(__xludf.DUMMYFUNCTION("""COMPUTED_VALUE"""),26.0)</f>
        <v>26</v>
      </c>
      <c r="AP283" s="114" t="str">
        <f>IFERROR(__xludf.DUMMYFUNCTION("""COMPUTED_VALUE"""),"Koby Master Chief Petty Officer")</f>
        <v>Koby Master Chief Petty Officer</v>
      </c>
      <c r="AQ283" s="114" t="str">
        <f>IFERROR(__xludf.DUMMYFUNCTION("""COMPUTED_VALUE"""),"Koby Master Chief Petty Officer")</f>
        <v>Koby Master Chief Petty Officer</v>
      </c>
      <c r="AR283" s="114"/>
      <c r="AS283" s="114"/>
      <c r="AT283" s="123" t="str">
        <f>IFERROR(__xludf.DUMMYFUNCTION("""COMPUTED_VALUE"""),"https://i.postimg.cc/g2PD0prN/026.png")</f>
        <v>https://i.postimg.cc/g2PD0prN/026.png</v>
      </c>
      <c r="AU283" s="114"/>
      <c r="AV283" s="114"/>
      <c r="AW283" s="114"/>
      <c r="AX283" s="114" t="str">
        <f t="shared" si="3"/>
        <v>26 - Medal [Event] - Crafted - Koby Master Chief Petty Officer</v>
      </c>
      <c r="AY283" s="114" t="s">
        <v>5448</v>
      </c>
      <c r="AZ283" s="114"/>
      <c r="BA283" s="114"/>
      <c r="BB283" s="114"/>
      <c r="BC283" s="114"/>
      <c r="BD283" s="114"/>
      <c r="BE283" s="114"/>
    </row>
    <row r="284" ht="37.5" customHeight="1">
      <c r="A284" s="118" t="s">
        <v>5449</v>
      </c>
      <c r="B284" s="117" t="s">
        <v>2738</v>
      </c>
      <c r="C284" s="119">
        <f>IFERROR(__xludf.DUMMYFUNCTION("""COMPUTED_VALUE"""),59.0)</f>
        <v>59</v>
      </c>
      <c r="D284" s="114" t="str">
        <f>IFERROR(__xludf.DUMMYFUNCTION("""COMPUTED_VALUE"""),"Law")</f>
        <v>Law</v>
      </c>
      <c r="E284" s="114" t="str">
        <f>IFERROR(__xludf.DUMMYFUNCTION("""COMPUTED_VALUE"""),"")</f>
        <v/>
      </c>
      <c r="F284" s="114"/>
      <c r="G284" s="114"/>
      <c r="H284" s="114"/>
      <c r="I284" s="114"/>
      <c r="J284" s="114"/>
      <c r="K284" s="114" t="s">
        <v>5450</v>
      </c>
      <c r="L284" s="114" t="s">
        <v>5451</v>
      </c>
      <c r="M284" s="114" t="s">
        <v>5452</v>
      </c>
      <c r="N284" s="114" t="s">
        <v>5453</v>
      </c>
      <c r="O284" s="114"/>
      <c r="P284" s="120">
        <v>59.0</v>
      </c>
      <c r="Q284" s="117" t="s">
        <v>5454</v>
      </c>
      <c r="R284" s="114"/>
      <c r="S284" s="117" t="s">
        <v>2745</v>
      </c>
      <c r="T284" s="114">
        <f t="shared" si="1"/>
        <v>283</v>
      </c>
      <c r="U284" s="114" t="s">
        <v>393</v>
      </c>
      <c r="V284" s="114" t="str">
        <f>IFERROR(__xludf.DUMMYFUNCTION("REGEXREPLACE(U284, ""\n"", "" "")"),"Shandia`s Savior")</f>
        <v>Shandia`s Savior</v>
      </c>
      <c r="W284" s="114"/>
      <c r="X284" s="115" t="str">
        <f t="shared" si="2"/>
        <v>283 Lvneel Kingdom / Exploration Ship Admiral - Mont Blanc Noland - Medal [Shandia`s Savior]</v>
      </c>
      <c r="Y284" s="119"/>
      <c r="Z284" s="117" t="s">
        <v>5455</v>
      </c>
      <c r="AA284" s="117" t="s">
        <v>2904</v>
      </c>
      <c r="AB284" s="114"/>
      <c r="AC284" s="123" t="str">
        <f>IFERROR(__xludf.DUMMYFUNCTION("""COMPUTED_VALUE"""),"https://ik.imagekit.io/alaaalaa6171/060%202%20Years%20Later_Captain%20-%20Monkey%20D.%20Luffy%20-%20Medal%20_Elephant%20Gatling_.png?updatedAt=1770076410886")</f>
        <v>https://ik.imagekit.io/alaaalaa6171/060%202%20Years%20Later_Captain%20-%20Monkey%20D.%20Luffy%20-%20Medal%20_Elephant%20Gatling_.png?updatedAt=1770076410886</v>
      </c>
      <c r="AD284" s="123" t="str">
        <f>IFERROR(__xludf.DUMMYFUNCTION("""COMPUTED_VALUE"""),"https://ik.imagekit.io/alaaalaa6171/060%202%20Years%20Later_Captain%20-%20Monkey%20D.%20Luffy%20-%20Medal%20_Elephant%20Gatling_%20_Colored_.png?updatedAt=1770076410946")</f>
        <v>https://ik.imagekit.io/alaaalaa6171/060%202%20Years%20Later_Captain%20-%20Monkey%20D.%20Luffy%20-%20Medal%20_Elephant%20Gatling_%20_Colored_.png?updatedAt=1770076410946</v>
      </c>
      <c r="AE284" s="123" t="str">
        <f>IFERROR(__xludf.DUMMYFUNCTION("""COMPUTED_VALUE"""),"https://ik.imagekit.io/alaaalaa6171/060%202%20Years%20Later_Captain%20-%20Monkey%20D.%20Luffy%20-%20Medal%20_Elephant%20Gatling_%20-%20Piece.png?updatedAt=1770076410932")</f>
        <v>https://ik.imagekit.io/alaaalaa6171/060%202%20Years%20Later_Captain%20-%20Monkey%20D.%20Luffy%20-%20Medal%20_Elephant%20Gatling_%20-%20Piece.png?updatedAt=1770076410932</v>
      </c>
      <c r="AF284" s="123" t="str">
        <f>IFERROR(__xludf.DUMMYFUNCTION("""COMPUTED_VALUE"""),"https://ik.imagekit.io/alaaalaa6171/060%202%20Years%20Later_Captain%20-%20Monkey%20D.%20Luffy%20-%20Medal%20_Elephant%20Gatling_%20-%20Piece%20_Colored_.png?updatedAt=1770076410907")</f>
        <v>https://ik.imagekit.io/alaaalaa6171/060%202%20Years%20Later_Captain%20-%20Monkey%20D.%20Luffy%20-%20Medal%20_Elephant%20Gatling_%20-%20Piece%20_Colored_.png?updatedAt=1770076410907</v>
      </c>
      <c r="AG284" s="114"/>
      <c r="AH284" s="114"/>
      <c r="AI284" s="121" t="s">
        <v>5456</v>
      </c>
      <c r="AJ284" s="121" t="str">
        <f>IFERROR(__xludf.DUMMYFUNCTION("regexreplace(regexreplace(AI284, ""  \["", "" ""), ""\]$"", """")"),"283 - Lvneel Kingdom_Exploration Ship Admiral ~ Mont Blanc Noland - Medal - Crafted [Colored] - Shandia`s Savior")</f>
        <v>283 - Lvneel Kingdom_Exploration Ship Admiral ~ Mont Blanc Noland - Medal - Crafted [Colored] - Shandia`s Savior</v>
      </c>
      <c r="AK284" s="114"/>
      <c r="AL284" s="117" t="s">
        <v>5457</v>
      </c>
      <c r="AM284" s="117" t="s">
        <v>5458</v>
      </c>
      <c r="AN284" s="114"/>
      <c r="AO284" s="122">
        <f>IFERROR(__xludf.DUMMYFUNCTION("""COMPUTED_VALUE"""),25.0)</f>
        <v>25</v>
      </c>
      <c r="AP284" s="114" t="str">
        <f>IFERROR(__xludf.DUMMYFUNCTION("""COMPUTED_VALUE"""),"Roar of the Sea")</f>
        <v>Roar of the Sea</v>
      </c>
      <c r="AQ284" s="114" t="str">
        <f>IFERROR(__xludf.DUMMYFUNCTION("""COMPUTED_VALUE"""),"Roar of the Sea")</f>
        <v>Roar of the Sea</v>
      </c>
      <c r="AR284" s="114"/>
      <c r="AS284" s="114"/>
      <c r="AT284" s="123" t="str">
        <f>IFERROR(__xludf.DUMMYFUNCTION("""COMPUTED_VALUE"""),"https://i.postimg.cc/vm0LX6hN/025.png")</f>
        <v>https://i.postimg.cc/vm0LX6hN/025.png</v>
      </c>
      <c r="AU284" s="114"/>
      <c r="AV284" s="114"/>
      <c r="AW284" s="114"/>
      <c r="AX284" s="114" t="str">
        <f t="shared" si="3"/>
        <v>25 - Medal [Event] - Crafted - Roar of the Sea</v>
      </c>
      <c r="AY284" s="114" t="s">
        <v>5459</v>
      </c>
      <c r="AZ284" s="114"/>
      <c r="BA284" s="114"/>
      <c r="BB284" s="114"/>
      <c r="BC284" s="114"/>
      <c r="BD284" s="114"/>
      <c r="BE284" s="114"/>
    </row>
    <row r="285" ht="37.5" customHeight="1">
      <c r="A285" s="118" t="s">
        <v>5460</v>
      </c>
      <c r="B285" s="117" t="s">
        <v>2751</v>
      </c>
      <c r="C285" s="119">
        <f>IFERROR(__xludf.DUMMYFUNCTION("""COMPUTED_VALUE"""),58.0)</f>
        <v>58</v>
      </c>
      <c r="D285" s="114" t="str">
        <f>IFERROR(__xludf.DUMMYFUNCTION("""COMPUTED_VALUE"""),"Kid")</f>
        <v>Kid</v>
      </c>
      <c r="E285" s="114" t="str">
        <f>IFERROR(__xludf.DUMMYFUNCTION("""COMPUTED_VALUE"""),"")</f>
        <v/>
      </c>
      <c r="F285" s="114"/>
      <c r="G285" s="114"/>
      <c r="H285" s="114"/>
      <c r="I285" s="114"/>
      <c r="J285" s="114"/>
      <c r="K285" s="114" t="s">
        <v>5461</v>
      </c>
      <c r="L285" s="114" t="s">
        <v>5462</v>
      </c>
      <c r="M285" s="114" t="s">
        <v>5463</v>
      </c>
      <c r="N285" s="114" t="s">
        <v>5464</v>
      </c>
      <c r="O285" s="114"/>
      <c r="P285" s="120">
        <v>58.0</v>
      </c>
      <c r="Q285" s="117" t="s">
        <v>5465</v>
      </c>
      <c r="R285" s="114"/>
      <c r="S285" s="117" t="s">
        <v>2732</v>
      </c>
      <c r="T285" s="114">
        <f t="shared" si="1"/>
        <v>284</v>
      </c>
      <c r="U285" s="114" t="s">
        <v>386</v>
      </c>
      <c r="V285" s="114" t="str">
        <f>IFERROR(__xludf.DUMMYFUNCTION("REGEXREPLACE(U285, ""\n"", "" "")"),"Demaro Black")</f>
        <v>Demaro Black</v>
      </c>
      <c r="W285" s="114"/>
      <c r="X285" s="115" t="str">
        <f t="shared" si="2"/>
        <v>284 Fake Straw Hat Pirates / Captain - Demaro Black - Medal [Demaro Black]</v>
      </c>
      <c r="Y285" s="119"/>
      <c r="Z285" s="117" t="s">
        <v>5466</v>
      </c>
      <c r="AA285" s="117" t="s">
        <v>2905</v>
      </c>
      <c r="AB285" s="114"/>
      <c r="AC285" s="123" t="str">
        <f>IFERROR(__xludf.DUMMYFUNCTION("""COMPUTED_VALUE"""),"https://ik.imagekit.io/alaaalaa6171/059%20Heart%20Pirates_Captain%20-%20Trafalger%20Law%20-%20Medal%20_Law_.png?updatedAt=1770076410939")</f>
        <v>https://ik.imagekit.io/alaaalaa6171/059%20Heart%20Pirates_Captain%20-%20Trafalger%20Law%20-%20Medal%20_Law_.png?updatedAt=1770076410939</v>
      </c>
      <c r="AD285" s="123" t="str">
        <f>IFERROR(__xludf.DUMMYFUNCTION("""COMPUTED_VALUE"""),"https://ik.imagekit.io/alaaalaa6171/059%20Heart%20Pirates_Captain%20-%20Trafalger%20Law%20-%20Medal%20_Law_%20_Colored_.png?updatedAt=1770076410875")</f>
        <v>https://ik.imagekit.io/alaaalaa6171/059%20Heart%20Pirates_Captain%20-%20Trafalger%20Law%20-%20Medal%20_Law_%20_Colored_.png?updatedAt=1770076410875</v>
      </c>
      <c r="AE285" s="123" t="str">
        <f>IFERROR(__xludf.DUMMYFUNCTION("""COMPUTED_VALUE"""),"https://ik.imagekit.io/alaaalaa6171/059%20Heart%20Pirates_Captain%20-%20Trafalger%20Law%20-%20Medal%20_Law_%20-%20Piece.png?updatedAt=1770076410897")</f>
        <v>https://ik.imagekit.io/alaaalaa6171/059%20Heart%20Pirates_Captain%20-%20Trafalger%20Law%20-%20Medal%20_Law_%20-%20Piece.png?updatedAt=1770076410897</v>
      </c>
      <c r="AF285" s="123" t="str">
        <f>IFERROR(__xludf.DUMMYFUNCTION("""COMPUTED_VALUE"""),"https://ik.imagekit.io/alaaalaa6171/059%20Heart%20Pirates_Captain%20-%20Trafalger%20Law%20-%20Medal%20_Law_%20-%20Piece%20_Colored_.png?updatedAt=1770076410858")</f>
        <v>https://ik.imagekit.io/alaaalaa6171/059%20Heart%20Pirates_Captain%20-%20Trafalger%20Law%20-%20Medal%20_Law_%20-%20Piece%20_Colored_.png?updatedAt=1770076410858</v>
      </c>
      <c r="AG285" s="114"/>
      <c r="AH285" s="114"/>
      <c r="AI285" s="121" t="s">
        <v>5467</v>
      </c>
      <c r="AJ285" s="121" t="str">
        <f>IFERROR(__xludf.DUMMYFUNCTION("regexreplace(regexreplace(AI285, ""  \["", "" ""), ""\]$"", """")"),"284 - Fake Straw Hat Pirates_Captain ~ Demaro Black - Medal - Crafted [Colored] - Demaro Black")</f>
        <v>284 - Fake Straw Hat Pirates_Captain ~ Demaro Black - Medal - Crafted [Colored] - Demaro Black</v>
      </c>
      <c r="AK285" s="114"/>
      <c r="AL285" s="117" t="s">
        <v>5468</v>
      </c>
      <c r="AM285" s="117" t="s">
        <v>5469</v>
      </c>
      <c r="AN285" s="114"/>
      <c r="AO285" s="122">
        <f>IFERROR(__xludf.DUMMYFUNCTION("""COMPUTED_VALUE"""),24.0)</f>
        <v>24</v>
      </c>
      <c r="AP285" s="114" t="str">
        <f>IFERROR(__xludf.DUMMYFUNCTION("""COMPUTED_VALUE"""),"Red Flag")</f>
        <v>Red Flag</v>
      </c>
      <c r="AQ285" s="114" t="str">
        <f>IFERROR(__xludf.DUMMYFUNCTION("""COMPUTED_VALUE"""),"Red Flag")</f>
        <v>Red Flag</v>
      </c>
      <c r="AR285" s="114"/>
      <c r="AS285" s="114"/>
      <c r="AT285" s="123" t="str">
        <f>IFERROR(__xludf.DUMMYFUNCTION("""COMPUTED_VALUE"""),"https://i.postimg.cc/mrLyQSY9/024.png")</f>
        <v>https://i.postimg.cc/mrLyQSY9/024.png</v>
      </c>
      <c r="AU285" s="114"/>
      <c r="AV285" s="114"/>
      <c r="AW285" s="114"/>
      <c r="AX285" s="114" t="str">
        <f t="shared" si="3"/>
        <v>24 - Medal [Event] - Crafted - Red Flag</v>
      </c>
      <c r="AY285" s="114" t="s">
        <v>5470</v>
      </c>
      <c r="AZ285" s="114"/>
      <c r="BA285" s="114"/>
      <c r="BB285" s="114"/>
      <c r="BC285" s="114"/>
      <c r="BD285" s="114"/>
      <c r="BE285" s="114"/>
    </row>
    <row r="286" ht="37.5" customHeight="1">
      <c r="A286" s="118" t="s">
        <v>5471</v>
      </c>
      <c r="B286" s="117" t="s">
        <v>2725</v>
      </c>
      <c r="C286" s="119">
        <f>IFERROR(__xludf.DUMMYFUNCTION("""COMPUTED_VALUE"""),57.0)</f>
        <v>57</v>
      </c>
      <c r="D286" s="114" t="str">
        <f>IFERROR(__xludf.DUMMYFUNCTION("""COMPUTED_VALUE"""),"Bellamy")</f>
        <v>Bellamy</v>
      </c>
      <c r="E286" s="114" t="str">
        <f>IFERROR(__xludf.DUMMYFUNCTION("""COMPUTED_VALUE"""),"")</f>
        <v/>
      </c>
      <c r="F286" s="114"/>
      <c r="G286" s="114"/>
      <c r="H286" s="114"/>
      <c r="I286" s="114"/>
      <c r="J286" s="114"/>
      <c r="K286" s="114" t="s">
        <v>5472</v>
      </c>
      <c r="L286" s="114" t="s">
        <v>5473</v>
      </c>
      <c r="M286" s="114" t="s">
        <v>5474</v>
      </c>
      <c r="N286" s="114" t="s">
        <v>5475</v>
      </c>
      <c r="O286" s="114"/>
      <c r="P286" s="120">
        <v>57.0</v>
      </c>
      <c r="Q286" s="117" t="s">
        <v>5476</v>
      </c>
      <c r="R286" s="114"/>
      <c r="S286" s="117" t="s">
        <v>2719</v>
      </c>
      <c r="T286" s="114">
        <f t="shared" si="1"/>
        <v>285</v>
      </c>
      <c r="U286" s="114" t="s">
        <v>380</v>
      </c>
      <c r="V286" s="114" t="str">
        <f>IFERROR(__xludf.DUMMYFUNCTION("REGEXREPLACE(U286, ""\n"", "" "")"),"Axe")</f>
        <v>Axe</v>
      </c>
      <c r="W286" s="114"/>
      <c r="X286" s="115" t="str">
        <f t="shared" si="2"/>
        <v>285 The Most Defensive Man in the World - Sentomaru - Medal [Axe]</v>
      </c>
      <c r="Y286" s="119"/>
      <c r="Z286" s="117" t="s">
        <v>5477</v>
      </c>
      <c r="AA286" s="117" t="s">
        <v>2903</v>
      </c>
      <c r="AB286" s="114"/>
      <c r="AC286" s="123" t="str">
        <f>IFERROR(__xludf.DUMMYFUNCTION("""COMPUTED_VALUE"""),"https://ik.imagekit.io/alaaalaa6171/058%20Kid%20Pirates_Captain%20-%20Eustass%20Kid%20-%20Medal%20_Kid_.png?updatedAt=1770076410938")</f>
        <v>https://ik.imagekit.io/alaaalaa6171/058%20Kid%20Pirates_Captain%20-%20Eustass%20Kid%20-%20Medal%20_Kid_.png?updatedAt=1770076410938</v>
      </c>
      <c r="AD286" s="123" t="str">
        <f>IFERROR(__xludf.DUMMYFUNCTION("""COMPUTED_VALUE"""),"https://ik.imagekit.io/alaaalaa6171/058%20Kid%20Pirates_Captain%20-%20Eustass%20Kid%20-%20Medal%20_Kid_%20_Colored_.png?updatedAt=1770076410927")</f>
        <v>https://ik.imagekit.io/alaaalaa6171/058%20Kid%20Pirates_Captain%20-%20Eustass%20Kid%20-%20Medal%20_Kid_%20_Colored_.png?updatedAt=1770076410927</v>
      </c>
      <c r="AE286" s="123" t="str">
        <f>IFERROR(__xludf.DUMMYFUNCTION("""COMPUTED_VALUE"""),"https://ik.imagekit.io/alaaalaa6171/058%20Kid%20Pirates_Captain%20-%20Eustass%20Kid%20-%20Medal%20_Kid_%20-%20Piece.png?updatedAt=1770076410934")</f>
        <v>https://ik.imagekit.io/alaaalaa6171/058%20Kid%20Pirates_Captain%20-%20Eustass%20Kid%20-%20Medal%20_Kid_%20-%20Piece.png?updatedAt=1770076410934</v>
      </c>
      <c r="AF286" s="123" t="str">
        <f>IFERROR(__xludf.DUMMYFUNCTION("""COMPUTED_VALUE"""),"https://ik.imagekit.io/alaaalaa6171/058%20Kid%20Pirates_Captain%20-%20Eustass%20Kid%20-%20Medal%20_Kid_%20-%20Piece%20_Colored_.png?updatedAt=1770076410893")</f>
        <v>https://ik.imagekit.io/alaaalaa6171/058%20Kid%20Pirates_Captain%20-%20Eustass%20Kid%20-%20Medal%20_Kid_%20-%20Piece%20_Colored_.png?updatedAt=1770076410893</v>
      </c>
      <c r="AG286" s="114"/>
      <c r="AH286" s="114"/>
      <c r="AI286" s="121" t="s">
        <v>5478</v>
      </c>
      <c r="AJ286" s="121" t="str">
        <f>IFERROR(__xludf.DUMMYFUNCTION("regexreplace(regexreplace(AI286, ""  \["", "" ""), ""\]$"", """")"),"285 - The Most Defensive Man in the World ~ Sentomaru - Medal - Crafted [Colored] - Axe")</f>
        <v>285 - The Most Defensive Man in the World ~ Sentomaru - Medal - Crafted [Colored] - Axe</v>
      </c>
      <c r="AK286" s="114"/>
      <c r="AL286" s="117" t="s">
        <v>5479</v>
      </c>
      <c r="AM286" s="117" t="s">
        <v>5480</v>
      </c>
      <c r="AN286" s="114"/>
      <c r="AO286" s="122">
        <f>IFERROR(__xludf.DUMMYFUNCTION("""COMPUTED_VALUE"""),23.0)</f>
        <v>23</v>
      </c>
      <c r="AP286" s="114" t="str">
        <f>IFERROR(__xludf.DUMMYFUNCTION("""COMPUTED_VALUE"""),"Ace
(Child)")</f>
        <v>Ace
(Child)</v>
      </c>
      <c r="AQ286" s="114" t="str">
        <f>IFERROR(__xludf.DUMMYFUNCTION("""COMPUTED_VALUE"""),"Ace (Child)")</f>
        <v>Ace (Child)</v>
      </c>
      <c r="AR286" s="114"/>
      <c r="AS286" s="114"/>
      <c r="AT286" s="123" t="str">
        <f>IFERROR(__xludf.DUMMYFUNCTION("""COMPUTED_VALUE"""),"https://i.postimg.cc/T3qcLsDG/023.png")</f>
        <v>https://i.postimg.cc/T3qcLsDG/023.png</v>
      </c>
      <c r="AU286" s="114"/>
      <c r="AV286" s="114"/>
      <c r="AW286" s="114"/>
      <c r="AX286" s="114" t="str">
        <f t="shared" si="3"/>
        <v>23 - Medal [Event] - Crafted - Ace (Child)</v>
      </c>
      <c r="AY286" s="114" t="s">
        <v>5481</v>
      </c>
      <c r="AZ286" s="114"/>
      <c r="BA286" s="114"/>
      <c r="BB286" s="114"/>
      <c r="BC286" s="114"/>
      <c r="BD286" s="114"/>
      <c r="BE286" s="114"/>
    </row>
    <row r="287" ht="37.5" customHeight="1">
      <c r="A287" s="118" t="s">
        <v>5482</v>
      </c>
      <c r="B287" s="117" t="s">
        <v>2712</v>
      </c>
      <c r="C287" s="119">
        <f>IFERROR(__xludf.DUMMYFUNCTION("""COMPUTED_VALUE"""),56.0)</f>
        <v>56</v>
      </c>
      <c r="D287" s="114" t="str">
        <f>IFERROR(__xludf.DUMMYFUNCTION("""COMPUTED_VALUE"""),"Arm Point")</f>
        <v>Arm Point</v>
      </c>
      <c r="E287" s="114" t="str">
        <f>IFERROR(__xludf.DUMMYFUNCTION("""COMPUTED_VALUE"""),"")</f>
        <v/>
      </c>
      <c r="F287" s="114"/>
      <c r="G287" s="114"/>
      <c r="H287" s="114"/>
      <c r="I287" s="114"/>
      <c r="J287" s="114"/>
      <c r="K287" s="114" t="s">
        <v>5483</v>
      </c>
      <c r="L287" s="114" t="s">
        <v>5484</v>
      </c>
      <c r="M287" s="114" t="s">
        <v>5485</v>
      </c>
      <c r="N287" s="114" t="s">
        <v>5486</v>
      </c>
      <c r="O287" s="114"/>
      <c r="P287" s="120">
        <v>56.0</v>
      </c>
      <c r="Q287" s="117" t="s">
        <v>5487</v>
      </c>
      <c r="R287" s="114"/>
      <c r="S287" s="117" t="s">
        <v>2706</v>
      </c>
      <c r="T287" s="114">
        <f t="shared" si="1"/>
        <v>286</v>
      </c>
      <c r="U287" s="114" t="s">
        <v>373</v>
      </c>
      <c r="V287" s="114" t="str">
        <f>IFERROR(__xludf.DUMMYFUNCTION("REGEXREPLACE(U287, ""\n"", "" "")"),"Pacifista")</f>
        <v>Pacifista</v>
      </c>
      <c r="W287" s="114"/>
      <c r="X287" s="115" t="str">
        <f t="shared" si="2"/>
        <v>286 The Navy's Human Weapon - Pacifista - Medal [Pacifista]</v>
      </c>
      <c r="Y287" s="119"/>
      <c r="Z287" s="117" t="s">
        <v>5488</v>
      </c>
      <c r="AA287" s="117" t="s">
        <v>2915</v>
      </c>
      <c r="AB287" s="114"/>
      <c r="AC287" s="123" t="str">
        <f>IFERROR(__xludf.DUMMYFUNCTION("""COMPUTED_VALUE"""),"https://ik.imagekit.io/alaaalaa6171/057%20Bellamy%20Pirates_Captain%20-%20Bellamy%20-%20Medal%20_Bellamy_.png?updatedAt=1770076410858")</f>
        <v>https://ik.imagekit.io/alaaalaa6171/057%20Bellamy%20Pirates_Captain%20-%20Bellamy%20-%20Medal%20_Bellamy_.png?updatedAt=1770076410858</v>
      </c>
      <c r="AD287" s="123" t="str">
        <f>IFERROR(__xludf.DUMMYFUNCTION("""COMPUTED_VALUE"""),"https://ik.imagekit.io/alaaalaa6171/057%20Bellamy%20Pirates_Captain%20-%20Bellamy%20-%20Medal%20_Bellamy_%20_Colored_.png?updatedAt=1770076410839")</f>
        <v>https://ik.imagekit.io/alaaalaa6171/057%20Bellamy%20Pirates_Captain%20-%20Bellamy%20-%20Medal%20_Bellamy_%20_Colored_.png?updatedAt=1770076410839</v>
      </c>
      <c r="AE287" s="123" t="str">
        <f>IFERROR(__xludf.DUMMYFUNCTION("""COMPUTED_VALUE"""),"https://ik.imagekit.io/alaaalaa6171/057%20Bellamy%20Pirates_Captain%20-%20Bellamy%20-%20Medal%20_Bellamy_%20-%20Piece.png?updatedAt=1770076410851")</f>
        <v>https://ik.imagekit.io/alaaalaa6171/057%20Bellamy%20Pirates_Captain%20-%20Bellamy%20-%20Medal%20_Bellamy_%20-%20Piece.png?updatedAt=1770076410851</v>
      </c>
      <c r="AF287" s="123" t="str">
        <f>IFERROR(__xludf.DUMMYFUNCTION("""COMPUTED_VALUE"""),"https://ik.imagekit.io/alaaalaa6171/057%20Bellamy%20Pirates_Captain%20-%20Bellamy%20-%20Medal%20_Bellamy_%20-%20Piece%20_Colored_.png?updatedAt=1770076410848")</f>
        <v>https://ik.imagekit.io/alaaalaa6171/057%20Bellamy%20Pirates_Captain%20-%20Bellamy%20-%20Medal%20_Bellamy_%20-%20Piece%20_Colored_.png?updatedAt=1770076410848</v>
      </c>
      <c r="AG287" s="114"/>
      <c r="AH287" s="114"/>
      <c r="AI287" s="121" t="s">
        <v>5489</v>
      </c>
      <c r="AJ287" s="121" t="str">
        <f>IFERROR(__xludf.DUMMYFUNCTION("regexreplace(regexreplace(AI287, ""  \["", "" ""), ""\]$"", """")"),"286 - The Navy's Human Weapon ~ Pacifista - Medal - Crafted [Colored] - Pacifista")</f>
        <v>286 - The Navy's Human Weapon ~ Pacifista - Medal - Crafted [Colored] - Pacifista</v>
      </c>
      <c r="AK287" s="114"/>
      <c r="AL287" s="117" t="s">
        <v>5490</v>
      </c>
      <c r="AM287" s="117" t="s">
        <v>5491</v>
      </c>
      <c r="AN287" s="114"/>
      <c r="AO287" s="122">
        <f>IFERROR(__xludf.DUMMYFUNCTION("""COMPUTED_VALUE"""),22.0)</f>
        <v>22</v>
      </c>
      <c r="AP287" s="114" t="str">
        <f>IFERROR(__xludf.DUMMYFUNCTION("""COMPUTED_VALUE"""),"Sabo
(Child)")</f>
        <v>Sabo
(Child)</v>
      </c>
      <c r="AQ287" s="114" t="str">
        <f>IFERROR(__xludf.DUMMYFUNCTION("""COMPUTED_VALUE"""),"Sabo (Child)")</f>
        <v>Sabo (Child)</v>
      </c>
      <c r="AR287" s="114"/>
      <c r="AS287" s="114"/>
      <c r="AT287" s="123" t="str">
        <f>IFERROR(__xludf.DUMMYFUNCTION("""COMPUTED_VALUE"""),"https://i.postimg.cc/V659hLHL/022.png")</f>
        <v>https://i.postimg.cc/V659hLHL/022.png</v>
      </c>
      <c r="AU287" s="114"/>
      <c r="AV287" s="114"/>
      <c r="AW287" s="114"/>
      <c r="AX287" s="114" t="str">
        <f t="shared" si="3"/>
        <v>22 - Medal [Event] - Crafted - Sabo (Child)</v>
      </c>
      <c r="AY287" s="114" t="s">
        <v>5492</v>
      </c>
      <c r="AZ287" s="114"/>
      <c r="BA287" s="114"/>
      <c r="BB287" s="114"/>
      <c r="BC287" s="114"/>
      <c r="BD287" s="114"/>
      <c r="BE287" s="114"/>
    </row>
    <row r="288" ht="37.5" customHeight="1">
      <c r="A288" s="118" t="s">
        <v>5493</v>
      </c>
      <c r="B288" s="117" t="s">
        <v>2699</v>
      </c>
      <c r="C288" s="119">
        <f>IFERROR(__xludf.DUMMYFUNCTION("""COMPUTED_VALUE"""),55.0)</f>
        <v>55</v>
      </c>
      <c r="D288" s="114" t="str">
        <f>IFERROR(__xludf.DUMMYFUNCTION("""COMPUTED_VALUE"""),"108 Pound Phoenix")</f>
        <v>108 Pound Phoenix</v>
      </c>
      <c r="E288" s="114" t="str">
        <f>IFERROR(__xludf.DUMMYFUNCTION("""COMPUTED_VALUE"""),"")</f>
        <v/>
      </c>
      <c r="F288" s="114"/>
      <c r="G288" s="114"/>
      <c r="H288" s="114"/>
      <c r="I288" s="114"/>
      <c r="J288" s="114"/>
      <c r="K288" s="114" t="s">
        <v>5494</v>
      </c>
      <c r="L288" s="114" t="s">
        <v>5495</v>
      </c>
      <c r="M288" s="114" t="s">
        <v>5496</v>
      </c>
      <c r="N288" s="114" t="s">
        <v>5497</v>
      </c>
      <c r="O288" s="114"/>
      <c r="P288" s="120">
        <v>55.0</v>
      </c>
      <c r="Q288" s="117" t="s">
        <v>5498</v>
      </c>
      <c r="R288" s="114"/>
      <c r="S288" s="117" t="s">
        <v>2693</v>
      </c>
      <c r="T288" s="114">
        <f t="shared" si="1"/>
        <v>287</v>
      </c>
      <c r="U288" s="114" t="s">
        <v>368</v>
      </c>
      <c r="V288" s="114" t="str">
        <f>IFERROR(__xludf.DUMMYFUNCTION("REGEXREPLACE(U288, ""\n"", "" "")"),"Egghead Luffy")</f>
        <v>Egghead Luffy</v>
      </c>
      <c r="W288" s="114"/>
      <c r="X288" s="115" t="str">
        <f t="shared" si="2"/>
        <v>287 Egghead - Monkey D. Luffy - Medal [Egghead Luffy]</v>
      </c>
      <c r="Y288" s="119"/>
      <c r="Z288" s="117" t="s">
        <v>5499</v>
      </c>
      <c r="AA288" s="117" t="s">
        <v>2917</v>
      </c>
      <c r="AB288" s="114"/>
      <c r="AC288" s="123" t="str">
        <f>IFERROR(__xludf.DUMMYFUNCTION("""COMPUTED_VALUE"""),"https://ik.imagekit.io/alaaalaa6171/056%20Arm%20Point%20-%20Tony%20Tony%20Chopper%20-%20Medal%20_Arm%20Point_.png?updatedAt=1770076410852")</f>
        <v>https://ik.imagekit.io/alaaalaa6171/056%20Arm%20Point%20-%20Tony%20Tony%20Chopper%20-%20Medal%20_Arm%20Point_.png?updatedAt=1770076410852</v>
      </c>
      <c r="AD288" s="123" t="str">
        <f>IFERROR(__xludf.DUMMYFUNCTION("""COMPUTED_VALUE"""),"https://ik.imagekit.io/alaaalaa6171/056%20Arm%20Point%20-%20Tony%20Tony%20Chopper%20-%20Medal%20_Arm%20Point_%20_Colored_.png?updatedAt=1770076410823")</f>
        <v>https://ik.imagekit.io/alaaalaa6171/056%20Arm%20Point%20-%20Tony%20Tony%20Chopper%20-%20Medal%20_Arm%20Point_%20_Colored_.png?updatedAt=1770076410823</v>
      </c>
      <c r="AE288" s="123" t="str">
        <f>IFERROR(__xludf.DUMMYFUNCTION("""COMPUTED_VALUE"""),"https://ik.imagekit.io/alaaalaa6171/056%20Arm%20Point%20-%20Tony%20Tony%20Chopper%20-%20Medal%20_Arm%20Point_%20-%20Piece.png?updatedAt=1770076410908")</f>
        <v>https://ik.imagekit.io/alaaalaa6171/056%20Arm%20Point%20-%20Tony%20Tony%20Chopper%20-%20Medal%20_Arm%20Point_%20-%20Piece.png?updatedAt=1770076410908</v>
      </c>
      <c r="AF288" s="123" t="str">
        <f>IFERROR(__xludf.DUMMYFUNCTION("""COMPUTED_VALUE"""),"https://ik.imagekit.io/alaaalaa6171/056%20Arm%20Point%20-%20Tony%20Tony%20Chopper%20-%20Medal%20_Arm%20Point_%20-%20Piece%20_Colored_.png?updatedAt=1770076410837")</f>
        <v>https://ik.imagekit.io/alaaalaa6171/056%20Arm%20Point%20-%20Tony%20Tony%20Chopper%20-%20Medal%20_Arm%20Point_%20-%20Piece%20_Colored_.png?updatedAt=1770076410837</v>
      </c>
      <c r="AG288" s="114"/>
      <c r="AH288" s="114"/>
      <c r="AI288" s="121" t="s">
        <v>5500</v>
      </c>
      <c r="AJ288" s="121" t="str">
        <f>IFERROR(__xludf.DUMMYFUNCTION("regexreplace(regexreplace(AI288, ""  \["", "" ""), ""\]$"", """")"),"287 - Egghead ~ Monkey D. Luffy - Medal - Crafted [Colored] - Egghead Luffy")</f>
        <v>287 - Egghead ~ Monkey D. Luffy - Medal - Crafted [Colored] - Egghead Luffy</v>
      </c>
      <c r="AK288" s="114"/>
      <c r="AL288" s="117" t="s">
        <v>5501</v>
      </c>
      <c r="AM288" s="117" t="s">
        <v>5502</v>
      </c>
      <c r="AN288" s="114"/>
      <c r="AO288" s="122">
        <f>IFERROR(__xludf.DUMMYFUNCTION("""COMPUTED_VALUE"""),21.0)</f>
        <v>21</v>
      </c>
      <c r="AP288" s="114" t="str">
        <f>IFERROR(__xludf.DUMMYFUNCTION("""COMPUTED_VALUE"""),"Attendant of Dressrosa")</f>
        <v>Attendant of Dressrosa</v>
      </c>
      <c r="AQ288" s="114" t="str">
        <f>IFERROR(__xludf.DUMMYFUNCTION("""COMPUTED_VALUE"""),"Attendant of Dressrosa")</f>
        <v>Attendant of Dressrosa</v>
      </c>
      <c r="AR288" s="114"/>
      <c r="AS288" s="114"/>
      <c r="AT288" s="123" t="str">
        <f>IFERROR(__xludf.DUMMYFUNCTION("""COMPUTED_VALUE"""),"https://i.postimg.cc/63SVxJDV/021.png")</f>
        <v>https://i.postimg.cc/63SVxJDV/021.png</v>
      </c>
      <c r="AU288" s="114"/>
      <c r="AV288" s="114"/>
      <c r="AW288" s="114"/>
      <c r="AX288" s="114" t="str">
        <f t="shared" si="3"/>
        <v>21 - Medal [Event] - Crafted - Attendant of Dressrosa</v>
      </c>
      <c r="AY288" s="114" t="s">
        <v>5503</v>
      </c>
      <c r="AZ288" s="114"/>
      <c r="BA288" s="114"/>
      <c r="BB288" s="114"/>
      <c r="BC288" s="114"/>
      <c r="BD288" s="114"/>
      <c r="BE288" s="114"/>
    </row>
    <row r="289" ht="37.5" customHeight="1">
      <c r="A289" s="118" t="s">
        <v>5504</v>
      </c>
      <c r="B289" s="117" t="s">
        <v>2634</v>
      </c>
      <c r="C289" s="119">
        <f>IFERROR(__xludf.DUMMYFUNCTION("""COMPUTED_VALUE"""),54.0)</f>
        <v>54</v>
      </c>
      <c r="D289" s="114" t="str">
        <f>IFERROR(__xludf.DUMMYFUNCTION("""COMPUTED_VALUE"""),"Moria")</f>
        <v>Moria</v>
      </c>
      <c r="E289" s="114" t="str">
        <f>IFERROR(__xludf.DUMMYFUNCTION("""COMPUTED_VALUE"""),"")</f>
        <v/>
      </c>
      <c r="F289" s="114"/>
      <c r="G289" s="114"/>
      <c r="H289" s="114"/>
      <c r="I289" s="114"/>
      <c r="J289" s="114"/>
      <c r="K289" s="114" t="s">
        <v>5505</v>
      </c>
      <c r="L289" s="114" t="s">
        <v>5506</v>
      </c>
      <c r="M289" s="114" t="s">
        <v>5507</v>
      </c>
      <c r="N289" s="114" t="s">
        <v>5508</v>
      </c>
      <c r="O289" s="114"/>
      <c r="P289" s="120">
        <v>54.0</v>
      </c>
      <c r="Q289" s="117" t="s">
        <v>5509</v>
      </c>
      <c r="R289" s="114"/>
      <c r="S289" s="117" t="s">
        <v>2680</v>
      </c>
      <c r="T289" s="114">
        <f t="shared" si="1"/>
        <v>288</v>
      </c>
      <c r="U289" s="114" t="s">
        <v>362</v>
      </c>
      <c r="V289" s="114" t="str">
        <f>IFERROR(__xludf.DUMMYFUNCTION("REGEXREPLACE(U289, ""\n"", "" "")"),"S_Snake")</f>
        <v>S_Snake</v>
      </c>
      <c r="W289" s="114"/>
      <c r="X289" s="115" t="str">
        <f t="shared" si="2"/>
        <v>288 Seraphim - S-Snake - Medal [S_Snake]</v>
      </c>
      <c r="Y289" s="119"/>
      <c r="Z289" s="117" t="s">
        <v>5510</v>
      </c>
      <c r="AA289" s="117" t="s">
        <v>2918</v>
      </c>
      <c r="AB289" s="114"/>
      <c r="AC289" s="123" t="str">
        <f>IFERROR(__xludf.DUMMYFUNCTION("""COMPUTED_VALUE"""),"https://ik.imagekit.io/alaaalaa6171/055%20108%20Pound%20Phoenix%20-%20Roronoa%20Zoro%20-%20Medal%20_108%20Pound%20Phoenix_.png?updatedAt=1770076410813")</f>
        <v>https://ik.imagekit.io/alaaalaa6171/055%20108%20Pound%20Phoenix%20-%20Roronoa%20Zoro%20-%20Medal%20_108%20Pound%20Phoenix_.png?updatedAt=1770076410813</v>
      </c>
      <c r="AD289" s="123" t="str">
        <f>IFERROR(__xludf.DUMMYFUNCTION("""COMPUTED_VALUE"""),"https://ik.imagekit.io/alaaalaa6171/055%20108%20Pound%20Phoenix%20-%20Roronoa%20Zoro%20-%20Medal%20_108%20Pound%20Phoenix_%20_Colored_.png?updatedAt=1770076410816")</f>
        <v>https://ik.imagekit.io/alaaalaa6171/055%20108%20Pound%20Phoenix%20-%20Roronoa%20Zoro%20-%20Medal%20_108%20Pound%20Phoenix_%20_Colored_.png?updatedAt=1770076410816</v>
      </c>
      <c r="AE289" s="123" t="str">
        <f>IFERROR(__xludf.DUMMYFUNCTION("""COMPUTED_VALUE"""),"https://ik.imagekit.io/alaaalaa6171/055%20108%20Pound%20Phoenix%20-%20Roronoa%20Zoro%20-%20Medal%20_108%20Pound%20Phoenix_%20-%20Piece.png?updatedAt=1770076410855")</f>
        <v>https://ik.imagekit.io/alaaalaa6171/055%20108%20Pound%20Phoenix%20-%20Roronoa%20Zoro%20-%20Medal%20_108%20Pound%20Phoenix_%20-%20Piece.png?updatedAt=1770076410855</v>
      </c>
      <c r="AF289" s="123" t="str">
        <f>IFERROR(__xludf.DUMMYFUNCTION("""COMPUTED_VALUE"""),"https://ik.imagekit.io/alaaalaa6171/055%20108%20Pound%20Phoenix%20-%20Roronoa%20Zoro%20-%20Medal%20_108%20Pound%20Phoenix_%20-%20Piece%20_Colored_.png?updatedAt=1770076410820")</f>
        <v>https://ik.imagekit.io/alaaalaa6171/055%20108%20Pound%20Phoenix%20-%20Roronoa%20Zoro%20-%20Medal%20_108%20Pound%20Phoenix_%20-%20Piece%20_Colored_.png?updatedAt=1770076410820</v>
      </c>
      <c r="AG289" s="114"/>
      <c r="AH289" s="114"/>
      <c r="AI289" s="121" t="s">
        <v>5511</v>
      </c>
      <c r="AJ289" s="121" t="str">
        <f>IFERROR(__xludf.DUMMYFUNCTION("regexreplace(regexreplace(AI289, ""  \["", "" ""), ""\]$"", """")"),"288 - Seraphim ~ S-Snake - Medal - Crafted [Colored] - S_Snake")</f>
        <v>288 - Seraphim ~ S-Snake - Medal - Crafted [Colored] - S_Snake</v>
      </c>
      <c r="AK289" s="114"/>
      <c r="AL289" s="117" t="s">
        <v>5512</v>
      </c>
      <c r="AM289" s="117" t="s">
        <v>5513</v>
      </c>
      <c r="AN289" s="114"/>
      <c r="AO289" s="122">
        <f>IFERROR(__xludf.DUMMYFUNCTION("""COMPUTED_VALUE"""),20.0)</f>
        <v>20</v>
      </c>
      <c r="AP289" s="114" t="str">
        <f>IFERROR(__xludf.DUMMYFUNCTION("""COMPUTED_VALUE"""),"Mermaid Princess")</f>
        <v>Mermaid Princess</v>
      </c>
      <c r="AQ289" s="114" t="str">
        <f>IFERROR(__xludf.DUMMYFUNCTION("""COMPUTED_VALUE"""),"Mermaid Princess")</f>
        <v>Mermaid Princess</v>
      </c>
      <c r="AR289" s="114"/>
      <c r="AS289" s="114"/>
      <c r="AT289" s="123" t="str">
        <f>IFERROR(__xludf.DUMMYFUNCTION("""COMPUTED_VALUE"""),"https://i.postimg.cc/j27Hs3bp/020.png")</f>
        <v>https://i.postimg.cc/j27Hs3bp/020.png</v>
      </c>
      <c r="AU289" s="114"/>
      <c r="AV289" s="114"/>
      <c r="AW289" s="114"/>
      <c r="AX289" s="114" t="str">
        <f t="shared" si="3"/>
        <v>20 - Medal [Event] - Crafted - Mermaid Princess</v>
      </c>
      <c r="AY289" s="114" t="s">
        <v>5514</v>
      </c>
      <c r="AZ289" s="114"/>
      <c r="BA289" s="114"/>
      <c r="BB289" s="114"/>
      <c r="BC289" s="114"/>
      <c r="BD289" s="114"/>
      <c r="BE289" s="114"/>
    </row>
    <row r="290" ht="37.5" customHeight="1">
      <c r="A290" s="118" t="s">
        <v>5515</v>
      </c>
      <c r="B290" s="117" t="s">
        <v>2673</v>
      </c>
      <c r="C290" s="119">
        <f>IFERROR(__xludf.DUMMYFUNCTION("""COMPUTED_VALUE"""),53.0)</f>
        <v>53</v>
      </c>
      <c r="D290" s="114" t="str">
        <f>IFERROR(__xludf.DUMMYFUNCTION("""COMPUTED_VALUE"""),"Hancock")</f>
        <v>Hancock</v>
      </c>
      <c r="E290" s="114" t="str">
        <f>IFERROR(__xludf.DUMMYFUNCTION("""COMPUTED_VALUE"""),"")</f>
        <v/>
      </c>
      <c r="F290" s="114"/>
      <c r="G290" s="114"/>
      <c r="H290" s="114"/>
      <c r="I290" s="114"/>
      <c r="J290" s="114"/>
      <c r="K290" s="114" t="s">
        <v>5516</v>
      </c>
      <c r="L290" s="114" t="s">
        <v>5517</v>
      </c>
      <c r="M290" s="114" t="s">
        <v>5518</v>
      </c>
      <c r="N290" s="114" t="s">
        <v>5519</v>
      </c>
      <c r="O290" s="114"/>
      <c r="P290" s="120">
        <v>53.0</v>
      </c>
      <c r="Q290" s="117" t="s">
        <v>5520</v>
      </c>
      <c r="R290" s="114"/>
      <c r="S290" s="117" t="s">
        <v>2667</v>
      </c>
      <c r="T290" s="114">
        <f t="shared" si="1"/>
        <v>289</v>
      </c>
      <c r="U290" s="114" t="s">
        <v>356</v>
      </c>
      <c r="V290" s="114" t="str">
        <f>IFERROR(__xludf.DUMMYFUNCTION("REGEXREPLACE(U290, ""\n"", "" "")"),"Egghead Zoro")</f>
        <v>Egghead Zoro</v>
      </c>
      <c r="W290" s="114"/>
      <c r="X290" s="115" t="str">
        <f t="shared" si="2"/>
        <v>289 Egghead - Roronoa Zoro - Medal [Egghead Zoro]</v>
      </c>
      <c r="Y290" s="119"/>
      <c r="Z290" s="117" t="s">
        <v>5521</v>
      </c>
      <c r="AA290" s="117" t="s">
        <v>2916</v>
      </c>
      <c r="AB290" s="114"/>
      <c r="AC290" s="123" t="str">
        <f>IFERROR(__xludf.DUMMYFUNCTION("""COMPUTED_VALUE"""),"https://ik.imagekit.io/alaaalaa6171/054%20The%20Seven%20Warlords%20of%20the%20Sea%20-%20Gecko%20Moria%20-%20Medal%20_Moria_.png?updatedAt=1770076410798")</f>
        <v>https://ik.imagekit.io/alaaalaa6171/054%20The%20Seven%20Warlords%20of%20the%20Sea%20-%20Gecko%20Moria%20-%20Medal%20_Moria_.png?updatedAt=1770076410798</v>
      </c>
      <c r="AD290" s="123" t="str">
        <f>IFERROR(__xludf.DUMMYFUNCTION("""COMPUTED_VALUE"""),"https://ik.imagekit.io/alaaalaa6171/054%20The%20Seven%20Warlords%20of%20the%20Sea%20-%20Gecko%20Moria%20-%20Medal%20_Moria_%20_Colored_.png?updatedAt=1770076410929")</f>
        <v>https://ik.imagekit.io/alaaalaa6171/054%20The%20Seven%20Warlords%20of%20the%20Sea%20-%20Gecko%20Moria%20-%20Medal%20_Moria_%20_Colored_.png?updatedAt=1770076410929</v>
      </c>
      <c r="AE290" s="123" t="str">
        <f>IFERROR(__xludf.DUMMYFUNCTION("""COMPUTED_VALUE"""),"https://ik.imagekit.io/alaaalaa6171/054%20The%20Seven%20Warlords%20of%20the%20Sea%20-%20Gecko%20Moria%20-%20Medal%20_Moria_%20-%20Piece.png?updatedAt=1770076410808")</f>
        <v>https://ik.imagekit.io/alaaalaa6171/054%20The%20Seven%20Warlords%20of%20the%20Sea%20-%20Gecko%20Moria%20-%20Medal%20_Moria_%20-%20Piece.png?updatedAt=1770076410808</v>
      </c>
      <c r="AF290" s="123" t="str">
        <f>IFERROR(__xludf.DUMMYFUNCTION("""COMPUTED_VALUE"""),"https://ik.imagekit.io/alaaalaa6171/054%20The%20Seven%20Warlords%20of%20the%20Sea%20-%20Gecko%20Moria%20-%20Medal%20_Moria_%20-%20Piece%20_Colored_.png?updatedAt=1770076410826")</f>
        <v>https://ik.imagekit.io/alaaalaa6171/054%20The%20Seven%20Warlords%20of%20the%20Sea%20-%20Gecko%20Moria%20-%20Medal%20_Moria_%20-%20Piece%20_Colored_.png?updatedAt=1770076410826</v>
      </c>
      <c r="AG290" s="114"/>
      <c r="AH290" s="114"/>
      <c r="AI290" s="121" t="s">
        <v>5522</v>
      </c>
      <c r="AJ290" s="121" t="str">
        <f>IFERROR(__xludf.DUMMYFUNCTION("regexreplace(regexreplace(AI290, ""  \["", "" ""), ""\]$"", """")"),"289 - Egghead ~ Roronoa Zoro - Medal - Crafted [Colored] - Egghead Zoro")</f>
        <v>289 - Egghead ~ Roronoa Zoro - Medal - Crafted [Colored] - Egghead Zoro</v>
      </c>
      <c r="AK290" s="114"/>
      <c r="AL290" s="117" t="s">
        <v>5523</v>
      </c>
      <c r="AM290" s="117" t="s">
        <v>5524</v>
      </c>
      <c r="AN290" s="114"/>
      <c r="AO290" s="122">
        <f>IFERROR(__xludf.DUMMYFUNCTION("""COMPUTED_VALUE"""),19.0)</f>
        <v>19</v>
      </c>
      <c r="AP290" s="114" t="str">
        <f>IFERROR(__xludf.DUMMYFUNCTION("""COMPUTED_VALUE"""),"Mad Monk")</f>
        <v>Mad Monk</v>
      </c>
      <c r="AQ290" s="114" t="str">
        <f>IFERROR(__xludf.DUMMYFUNCTION("""COMPUTED_VALUE"""),"Mad Monk")</f>
        <v>Mad Monk</v>
      </c>
      <c r="AR290" s="114"/>
      <c r="AS290" s="114"/>
      <c r="AT290" s="123" t="str">
        <f>IFERROR(__xludf.DUMMYFUNCTION("""COMPUTED_VALUE"""),"https://i.postimg.cc/NG977FHd/019.png")</f>
        <v>https://i.postimg.cc/NG977FHd/019.png</v>
      </c>
      <c r="AU290" s="114"/>
      <c r="AV290" s="114"/>
      <c r="AW290" s="114"/>
      <c r="AX290" s="114" t="str">
        <f t="shared" si="3"/>
        <v>19 - Medal [Event] - Crafted - Mad Monk</v>
      </c>
      <c r="AY290" s="114" t="s">
        <v>5525</v>
      </c>
      <c r="AZ290" s="114"/>
      <c r="BA290" s="114"/>
      <c r="BB290" s="114"/>
      <c r="BC290" s="114"/>
      <c r="BD290" s="114"/>
      <c r="BE290" s="114"/>
    </row>
    <row r="291" ht="37.5" customHeight="1">
      <c r="A291" s="118" t="s">
        <v>5526</v>
      </c>
      <c r="B291" s="117" t="s">
        <v>2543</v>
      </c>
      <c r="C291" s="119">
        <f>IFERROR(__xludf.DUMMYFUNCTION("""COMPUTED_VALUE"""),52.0)</f>
        <v>52</v>
      </c>
      <c r="D291" s="114" t="str">
        <f>IFERROR(__xludf.DUMMYFUNCTION("""COMPUTED_VALUE"""),"Ms. All Sunday")</f>
        <v>Ms. All Sunday</v>
      </c>
      <c r="E291" s="114" t="str">
        <f>IFERROR(__xludf.DUMMYFUNCTION("""COMPUTED_VALUE"""),"")</f>
        <v/>
      </c>
      <c r="F291" s="114"/>
      <c r="G291" s="114"/>
      <c r="H291" s="114"/>
      <c r="I291" s="114"/>
      <c r="J291" s="114"/>
      <c r="K291" s="114" t="s">
        <v>5527</v>
      </c>
      <c r="L291" s="114" t="s">
        <v>5528</v>
      </c>
      <c r="M291" s="114" t="s">
        <v>5529</v>
      </c>
      <c r="N291" s="114" t="s">
        <v>5530</v>
      </c>
      <c r="O291" s="114"/>
      <c r="P291" s="120">
        <v>52.0</v>
      </c>
      <c r="Q291" s="117" t="s">
        <v>5531</v>
      </c>
      <c r="R291" s="114"/>
      <c r="S291" s="117" t="s">
        <v>2654</v>
      </c>
      <c r="T291" s="114">
        <f t="shared" si="1"/>
        <v>290</v>
      </c>
      <c r="U291" s="114" t="s">
        <v>350</v>
      </c>
      <c r="V291" s="114" t="str">
        <f>IFERROR(__xludf.DUMMYFUNCTION("REGEXREPLACE(U291, ""\n"", "" "")"),"S_Hawk")</f>
        <v>S_Hawk</v>
      </c>
      <c r="W291" s="114"/>
      <c r="X291" s="115" t="str">
        <f t="shared" si="2"/>
        <v>290 Seraphim - S-Hawk - Medal [S_Hawk]</v>
      </c>
      <c r="Y291" s="119"/>
      <c r="Z291" s="117" t="s">
        <v>5532</v>
      </c>
      <c r="AA291" s="117" t="s">
        <v>2928</v>
      </c>
      <c r="AB291" s="114"/>
      <c r="AC291" s="123" t="str">
        <f>IFERROR(__xludf.DUMMYFUNCTION("""COMPUTED_VALUE"""),"https://ik.imagekit.io/alaaalaa6171/053%20The%20Seven%20Warlords%20of%20the%20Sea%20-%20Hancock%20-%20Medal%20_Hancock_.png?updatedAt=1770076410773")</f>
        <v>https://ik.imagekit.io/alaaalaa6171/053%20The%20Seven%20Warlords%20of%20the%20Sea%20-%20Hancock%20-%20Medal%20_Hancock_.png?updatedAt=1770076410773</v>
      </c>
      <c r="AD291" s="123" t="str">
        <f>IFERROR(__xludf.DUMMYFUNCTION("""COMPUTED_VALUE"""),"https://ik.imagekit.io/alaaalaa6171/053%20The%20Seven%20Warlords%20of%20the%20Sea%20-%20Hancock%20-%20Medal%20_Hancock_%20_Colored_.png?updatedAt=1770076410791")</f>
        <v>https://ik.imagekit.io/alaaalaa6171/053%20The%20Seven%20Warlords%20of%20the%20Sea%20-%20Hancock%20-%20Medal%20_Hancock_%20_Colored_.png?updatedAt=1770076410791</v>
      </c>
      <c r="AE291" s="123" t="str">
        <f>IFERROR(__xludf.DUMMYFUNCTION("""COMPUTED_VALUE"""),"https://ik.imagekit.io/alaaalaa6171/053%20The%20Seven%20Warlords%20of%20the%20Sea%20-%20Hancock%20-%20Medal%20_Hancock_%20-%20Piece.png?updatedAt=1770076410782")</f>
        <v>https://ik.imagekit.io/alaaalaa6171/053%20The%20Seven%20Warlords%20of%20the%20Sea%20-%20Hancock%20-%20Medal%20_Hancock_%20-%20Piece.png?updatedAt=1770076410782</v>
      </c>
      <c r="AF291" s="123" t="str">
        <f>IFERROR(__xludf.DUMMYFUNCTION("""COMPUTED_VALUE"""),"https://ik.imagekit.io/alaaalaa6171/053%20The%20Seven%20Warlords%20of%20the%20Sea%20-%20Hancock%20-%20Medal%20_Hancock_%20-%20Piece%20_Colored_.png?updatedAt=1770076410766")</f>
        <v>https://ik.imagekit.io/alaaalaa6171/053%20The%20Seven%20Warlords%20of%20the%20Sea%20-%20Hancock%20-%20Medal%20_Hancock_%20-%20Piece%20_Colored_.png?updatedAt=1770076410766</v>
      </c>
      <c r="AG291" s="114"/>
      <c r="AH291" s="114"/>
      <c r="AI291" s="121" t="s">
        <v>5533</v>
      </c>
      <c r="AJ291" s="121" t="str">
        <f>IFERROR(__xludf.DUMMYFUNCTION("regexreplace(regexreplace(AI291, ""  \["", "" ""), ""\]$"", """")"),"290 - Seraphim ~ S-Hawk - Medal - Crafted [Colored] - S_Hawk")</f>
        <v>290 - Seraphim ~ S-Hawk - Medal - Crafted [Colored] - S_Hawk</v>
      </c>
      <c r="AK291" s="114"/>
      <c r="AL291" s="117" t="s">
        <v>5534</v>
      </c>
      <c r="AM291" s="117" t="s">
        <v>5535</v>
      </c>
      <c r="AN291" s="114"/>
      <c r="AO291" s="122">
        <f>IFERROR(__xludf.DUMMYFUNCTION("""COMPUTED_VALUE"""),18.0)</f>
        <v>18</v>
      </c>
      <c r="AP291" s="114" t="str">
        <f>IFERROR(__xludf.DUMMYFUNCTION("""COMPUTED_VALUE"""),"Murder Machine")</f>
        <v>Murder Machine</v>
      </c>
      <c r="AQ291" s="114" t="str">
        <f>IFERROR(__xludf.DUMMYFUNCTION("""COMPUTED_VALUE"""),"Murder Machine")</f>
        <v>Murder Machine</v>
      </c>
      <c r="AR291" s="114"/>
      <c r="AS291" s="114"/>
      <c r="AT291" s="123" t="str">
        <f>IFERROR(__xludf.DUMMYFUNCTION("""COMPUTED_VALUE"""),"https://i.postimg.cc/wxC5Wz5g/018.png")</f>
        <v>https://i.postimg.cc/wxC5Wz5g/018.png</v>
      </c>
      <c r="AU291" s="114"/>
      <c r="AV291" s="114"/>
      <c r="AW291" s="114"/>
      <c r="AX291" s="114" t="str">
        <f t="shared" si="3"/>
        <v>18 - Medal [Event] - Crafted - Murder Machine</v>
      </c>
      <c r="AY291" s="114" t="s">
        <v>5536</v>
      </c>
      <c r="AZ291" s="114"/>
      <c r="BA291" s="114"/>
      <c r="BB291" s="114"/>
      <c r="BC291" s="114"/>
      <c r="BD291" s="114"/>
      <c r="BE291" s="114"/>
    </row>
    <row r="292" ht="37.5" customHeight="1">
      <c r="A292" s="118" t="s">
        <v>5537</v>
      </c>
      <c r="B292" s="117" t="s">
        <v>2556</v>
      </c>
      <c r="C292" s="119">
        <f>IFERROR(__xludf.DUMMYFUNCTION("""COMPUTED_VALUE"""),51.0)</f>
        <v>51</v>
      </c>
      <c r="D292" s="114" t="str">
        <f>IFERROR(__xludf.DUMMYFUNCTION("""COMPUTED_VALUE"""),"Mr. 2")</f>
        <v>Mr. 2</v>
      </c>
      <c r="E292" s="114" t="str">
        <f>IFERROR(__xludf.DUMMYFUNCTION("""COMPUTED_VALUE"""),"")</f>
        <v/>
      </c>
      <c r="F292" s="114"/>
      <c r="G292" s="114"/>
      <c r="H292" s="114"/>
      <c r="I292" s="114"/>
      <c r="J292" s="114"/>
      <c r="K292" s="114" t="s">
        <v>5538</v>
      </c>
      <c r="L292" s="114" t="s">
        <v>5539</v>
      </c>
      <c r="M292" s="114" t="s">
        <v>5540</v>
      </c>
      <c r="N292" s="114" t="s">
        <v>5541</v>
      </c>
      <c r="O292" s="114"/>
      <c r="P292" s="120">
        <v>51.0</v>
      </c>
      <c r="Q292" s="117" t="s">
        <v>5542</v>
      </c>
      <c r="R292" s="114"/>
      <c r="S292" s="117" t="s">
        <v>2641</v>
      </c>
      <c r="T292" s="114">
        <f t="shared" si="1"/>
        <v>291</v>
      </c>
      <c r="U292" s="114" t="s">
        <v>344</v>
      </c>
      <c r="V292" s="114" t="str">
        <f>IFERROR(__xludf.DUMMYFUNCTION("REGEXREPLACE(U292, ""\n"", "" "")"),"Blueno")</f>
        <v>Blueno</v>
      </c>
      <c r="W292" s="114"/>
      <c r="X292" s="115" t="str">
        <f t="shared" si="2"/>
        <v>291 CP9 - Blueno - Medal [Blueno]</v>
      </c>
      <c r="Y292" s="119"/>
      <c r="Z292" s="117" t="s">
        <v>5543</v>
      </c>
      <c r="AA292" s="117" t="s">
        <v>2930</v>
      </c>
      <c r="AB292" s="114"/>
      <c r="AC292" s="123" t="str">
        <f>IFERROR(__xludf.DUMMYFUNCTION("""COMPUTED_VALUE"""),"https://ik.imagekit.io/alaaalaa6171/052%20Baroque%20Works_Vice%20President%20-%20Ms.%20All%20Sunday%20-%20Medal%20_Ms.%20All%20Sunday_.png?updatedAt=1770076410754")</f>
        <v>https://ik.imagekit.io/alaaalaa6171/052%20Baroque%20Works_Vice%20President%20-%20Ms.%20All%20Sunday%20-%20Medal%20_Ms.%20All%20Sunday_.png?updatedAt=1770076410754</v>
      </c>
      <c r="AD292" s="123" t="str">
        <f>IFERROR(__xludf.DUMMYFUNCTION("""COMPUTED_VALUE"""),"https://ik.imagekit.io/alaaalaa6171/052%20Baroque%20Works_Vice%20President%20-%20Ms.%20All%20Sunday%20-%20Medal%20_Ms.%20All%20Sunday_%20_Colored_.png?updatedAt=1770076410781")</f>
        <v>https://ik.imagekit.io/alaaalaa6171/052%20Baroque%20Works_Vice%20President%20-%20Ms.%20All%20Sunday%20-%20Medal%20_Ms.%20All%20Sunday_%20_Colored_.png?updatedAt=1770076410781</v>
      </c>
      <c r="AE292" s="123" t="str">
        <f>IFERROR(__xludf.DUMMYFUNCTION("""COMPUTED_VALUE"""),"https://ik.imagekit.io/alaaalaa6171/052%20Baroque%20Works_Vice%20President%20-%20Ms.%20All%20Sunday%20-%20Medal%20_Ms.%20All%20Sunday_%20-%20Piece.png?updatedAt=1770076410765")</f>
        <v>https://ik.imagekit.io/alaaalaa6171/052%20Baroque%20Works_Vice%20President%20-%20Ms.%20All%20Sunday%20-%20Medal%20_Ms.%20All%20Sunday_%20-%20Piece.png?updatedAt=1770076410765</v>
      </c>
      <c r="AF292" s="123" t="str">
        <f>IFERROR(__xludf.DUMMYFUNCTION("""COMPUTED_VALUE"""),"https://ik.imagekit.io/alaaalaa6171/052%20Baroque%20Works_Vice%20President%20-%20Ms.%20All%20Sunday%20-%20Medal%20_Ms.%20All%20Sunday_%20-%20Piece%20_Colored_.png?updatedAt=1770076410754")</f>
        <v>https://ik.imagekit.io/alaaalaa6171/052%20Baroque%20Works_Vice%20President%20-%20Ms.%20All%20Sunday%20-%20Medal%20_Ms.%20All%20Sunday_%20-%20Piece%20_Colored_.png?updatedAt=1770076410754</v>
      </c>
      <c r="AG292" s="114"/>
      <c r="AH292" s="114"/>
      <c r="AI292" s="121" t="s">
        <v>5544</v>
      </c>
      <c r="AJ292" s="121" t="str">
        <f>IFERROR(__xludf.DUMMYFUNCTION("regexreplace(regexreplace(AI292, ""  \["", "" ""), ""\]$"", """")"),"291 - CP9 ~ Blueno - Medal - Crafted [Colored] - Blueno")</f>
        <v>291 - CP9 ~ Blueno - Medal - Crafted [Colored] - Blueno</v>
      </c>
      <c r="AK292" s="114"/>
      <c r="AL292" s="117" t="s">
        <v>5545</v>
      </c>
      <c r="AM292" s="117" t="s">
        <v>5546</v>
      </c>
      <c r="AN292" s="114"/>
      <c r="AO292" s="122">
        <f>IFERROR(__xludf.DUMMYFUNCTION("""COMPUTED_VALUE"""),17.0)</f>
        <v>17</v>
      </c>
      <c r="AP292" s="114" t="str">
        <f>IFERROR(__xludf.DUMMYFUNCTION("""COMPUTED_VALUE"""),"Swamp Challenge")</f>
        <v>Swamp Challenge</v>
      </c>
      <c r="AQ292" s="114" t="str">
        <f>IFERROR(__xludf.DUMMYFUNCTION("""COMPUTED_VALUE"""),"Swamp Challenge")</f>
        <v>Swamp Challenge</v>
      </c>
      <c r="AR292" s="114"/>
      <c r="AS292" s="114"/>
      <c r="AT292" s="123" t="str">
        <f>IFERROR(__xludf.DUMMYFUNCTION("""COMPUTED_VALUE"""),"https://i.postimg.cc/8zHhPr2z/017.png")</f>
        <v>https://i.postimg.cc/8zHhPr2z/017.png</v>
      </c>
      <c r="AU292" s="114"/>
      <c r="AV292" s="114"/>
      <c r="AW292" s="114"/>
      <c r="AX292" s="114" t="str">
        <f t="shared" si="3"/>
        <v>17 - Medal [Event] - Crafted - Swamp Challenge</v>
      </c>
      <c r="AY292" s="114" t="s">
        <v>5547</v>
      </c>
      <c r="AZ292" s="114"/>
      <c r="BA292" s="114"/>
      <c r="BB292" s="114"/>
      <c r="BC292" s="114"/>
      <c r="BD292" s="114"/>
      <c r="BE292" s="114"/>
    </row>
    <row r="293" ht="37.5" customHeight="1">
      <c r="A293" s="118" t="s">
        <v>5548</v>
      </c>
      <c r="B293" s="117" t="s">
        <v>2608</v>
      </c>
      <c r="C293" s="119">
        <f>IFERROR(__xludf.DUMMYFUNCTION("""COMPUTED_VALUE"""),50.0)</f>
        <v>50</v>
      </c>
      <c r="D293" s="114" t="str">
        <f>IFERROR(__xludf.DUMMYFUNCTION("""COMPUTED_VALUE"""),"Aokiji")</f>
        <v>Aokiji</v>
      </c>
      <c r="E293" s="114" t="str">
        <f>IFERROR(__xludf.DUMMYFUNCTION("""COMPUTED_VALUE"""),"")</f>
        <v/>
      </c>
      <c r="F293" s="114"/>
      <c r="G293" s="114"/>
      <c r="H293" s="114"/>
      <c r="I293" s="114"/>
      <c r="J293" s="114"/>
      <c r="K293" s="114" t="s">
        <v>5549</v>
      </c>
      <c r="L293" s="114" t="s">
        <v>5550</v>
      </c>
      <c r="M293" s="114" t="s">
        <v>5551</v>
      </c>
      <c r="N293" s="114" t="s">
        <v>5552</v>
      </c>
      <c r="O293" s="114"/>
      <c r="P293" s="120">
        <v>50.0</v>
      </c>
      <c r="Q293" s="117" t="s">
        <v>5553</v>
      </c>
      <c r="R293" s="114"/>
      <c r="S293" s="117" t="s">
        <v>2628</v>
      </c>
      <c r="T293" s="114">
        <f t="shared" si="1"/>
        <v>292</v>
      </c>
      <c r="U293" s="114" t="s">
        <v>337</v>
      </c>
      <c r="V293" s="114" t="str">
        <f>IFERROR(__xludf.DUMMYFUNCTION("REGEXREPLACE(U293, ""\n"", "" "")"),"Jabra")</f>
        <v>Jabra</v>
      </c>
      <c r="W293" s="114"/>
      <c r="X293" s="115" t="str">
        <f t="shared" si="2"/>
        <v>292 CP9 - Jabra - Medal [Jabra]</v>
      </c>
      <c r="Y293" s="119"/>
      <c r="Z293" s="117" t="s">
        <v>5554</v>
      </c>
      <c r="AA293" s="117" t="s">
        <v>2931</v>
      </c>
      <c r="AB293" s="114"/>
      <c r="AC293" s="123" t="str">
        <f>IFERROR(__xludf.DUMMYFUNCTION("""COMPUTED_VALUE"""),"https://ik.imagekit.io/alaaalaa6171/051%20Baroque%20Works_Officer%20Agent%20-%20Bon%20Clay,%20aka%20Mr.%202%20-%20Medal%20_Mr.%202_.png?updatedAt=1770076410746")</f>
        <v>https://ik.imagekit.io/alaaalaa6171/051%20Baroque%20Works_Officer%20Agent%20-%20Bon%20Clay,%20aka%20Mr.%202%20-%20Medal%20_Mr.%202_.png?updatedAt=1770076410746</v>
      </c>
      <c r="AD293" s="123" t="str">
        <f>IFERROR(__xludf.DUMMYFUNCTION("""COMPUTED_VALUE"""),"https://ik.imagekit.io/alaaalaa6171/051%20Baroque%20Works_Officer%20Agent%20-%20Bon%20Clay,%20aka%20Mr.%202%20-%20Medal%20_Mr.%202_%20_Colored_.png?updatedAt=1770076410736")</f>
        <v>https://ik.imagekit.io/alaaalaa6171/051%20Baroque%20Works_Officer%20Agent%20-%20Bon%20Clay,%20aka%20Mr.%202%20-%20Medal%20_Mr.%202_%20_Colored_.png?updatedAt=1770076410736</v>
      </c>
      <c r="AE293" s="123" t="str">
        <f>IFERROR(__xludf.DUMMYFUNCTION("""COMPUTED_VALUE"""),"https://ik.imagekit.io/alaaalaa6171/051%20Baroque%20Works_Officer%20Agent%20-%20Bon%20Clay,%20aka%20Mr.%202%20-%20Medal%20_Mr.%202_%20-%20Piece.png?updatedAt=1770076410730")</f>
        <v>https://ik.imagekit.io/alaaalaa6171/051%20Baroque%20Works_Officer%20Agent%20-%20Bon%20Clay,%20aka%20Mr.%202%20-%20Medal%20_Mr.%202_%20-%20Piece.png?updatedAt=1770076410730</v>
      </c>
      <c r="AF293" s="123" t="str">
        <f>IFERROR(__xludf.DUMMYFUNCTION("""COMPUTED_VALUE"""),"https://ik.imagekit.io/alaaalaa6171/051%20Baroque%20Works_Officer%20Agent%20-%20Bon%20Clay,%20aka%20Mr.%202%20-%20Medal%20_Mr.%202_%20-%20Piece%20_Colored_.png?updatedAt=1770076410729")</f>
        <v>https://ik.imagekit.io/alaaalaa6171/051%20Baroque%20Works_Officer%20Agent%20-%20Bon%20Clay,%20aka%20Mr.%202%20-%20Medal%20_Mr.%202_%20-%20Piece%20_Colored_.png?updatedAt=1770076410729</v>
      </c>
      <c r="AG293" s="114"/>
      <c r="AH293" s="114"/>
      <c r="AI293" s="121" t="s">
        <v>5555</v>
      </c>
      <c r="AJ293" s="121" t="str">
        <f>IFERROR(__xludf.DUMMYFUNCTION("regexreplace(regexreplace(AI293, ""  \["", "" ""), ""\]$"", """")"),"292 - CP9 ~ Jabra - Medal - Crafted [Colored] - Jabra")</f>
        <v>292 - CP9 ~ Jabra - Medal - Crafted [Colored] - Jabra</v>
      </c>
      <c r="AK293" s="114"/>
      <c r="AL293" s="117" t="s">
        <v>5556</v>
      </c>
      <c r="AM293" s="117" t="s">
        <v>5557</v>
      </c>
      <c r="AN293" s="114"/>
      <c r="AO293" s="122">
        <f>IFERROR(__xludf.DUMMYFUNCTION("""COMPUTED_VALUE"""),16.0)</f>
        <v>16</v>
      </c>
      <c r="AP293" s="114" t="str">
        <f>IFERROR(__xludf.DUMMYFUNCTION("""COMPUTED_VALUE"""),"Iron Challenge")</f>
        <v>Iron Challenge</v>
      </c>
      <c r="AQ293" s="114" t="str">
        <f>IFERROR(__xludf.DUMMYFUNCTION("""COMPUTED_VALUE"""),"Iron Challenge")</f>
        <v>Iron Challenge</v>
      </c>
      <c r="AR293" s="114"/>
      <c r="AS293" s="114"/>
      <c r="AT293" s="123" t="str">
        <f>IFERROR(__xludf.DUMMYFUNCTION("""COMPUTED_VALUE"""),"https://i.postimg.cc/wTDXZrFJ/016.png")</f>
        <v>https://i.postimg.cc/wTDXZrFJ/016.png</v>
      </c>
      <c r="AU293" s="114"/>
      <c r="AV293" s="114"/>
      <c r="AW293" s="114"/>
      <c r="AX293" s="114" t="str">
        <f t="shared" si="3"/>
        <v>16 - Medal [Event] - Crafted - Iron Challenge</v>
      </c>
      <c r="AY293" s="114" t="s">
        <v>5558</v>
      </c>
      <c r="AZ293" s="114"/>
      <c r="BA293" s="114"/>
      <c r="BB293" s="114"/>
      <c r="BC293" s="114"/>
      <c r="BD293" s="114"/>
      <c r="BE293" s="114"/>
    </row>
    <row r="294" ht="37.5" customHeight="1">
      <c r="A294" s="118" t="s">
        <v>5559</v>
      </c>
      <c r="B294" s="117" t="s">
        <v>2686</v>
      </c>
      <c r="C294" s="119">
        <f>IFERROR(__xludf.DUMMYFUNCTION("""COMPUTED_VALUE"""),49.0)</f>
        <v>49</v>
      </c>
      <c r="D294" s="114" t="str">
        <f>IFERROR(__xludf.DUMMYFUNCTION("""COMPUTED_VALUE"""),"Akainu")</f>
        <v>Akainu</v>
      </c>
      <c r="E294" s="114" t="str">
        <f>IFERROR(__xludf.DUMMYFUNCTION("""COMPUTED_VALUE"""),"")</f>
        <v/>
      </c>
      <c r="F294" s="114"/>
      <c r="G294" s="114"/>
      <c r="H294" s="114"/>
      <c r="I294" s="114"/>
      <c r="J294" s="114"/>
      <c r="K294" s="114" t="s">
        <v>5560</v>
      </c>
      <c r="L294" s="114" t="s">
        <v>5561</v>
      </c>
      <c r="M294" s="114" t="s">
        <v>5562</v>
      </c>
      <c r="N294" s="114" t="s">
        <v>5563</v>
      </c>
      <c r="O294" s="114"/>
      <c r="P294" s="120">
        <v>49.0</v>
      </c>
      <c r="Q294" s="117" t="s">
        <v>5564</v>
      </c>
      <c r="R294" s="114"/>
      <c r="S294" s="117" t="s">
        <v>2602</v>
      </c>
      <c r="T294" s="114">
        <f t="shared" si="1"/>
        <v>294</v>
      </c>
      <c r="U294" s="114" t="s">
        <v>323</v>
      </c>
      <c r="V294" s="114" t="str">
        <f>IFERROR(__xludf.DUMMYFUNCTION("REGEXREPLACE(U294, ""\n"", "" "")"),"Nose Pistol")</f>
        <v>Nose Pistol</v>
      </c>
      <c r="W294" s="114"/>
      <c r="X294" s="115" t="str">
        <f t="shared" si="2"/>
        <v>294 Awakened Form - Kaku - Medal [Nose Pistol]</v>
      </c>
      <c r="Y294" s="119"/>
      <c r="Z294" s="117" t="s">
        <v>5565</v>
      </c>
      <c r="AA294" s="117" t="s">
        <v>2929</v>
      </c>
      <c r="AB294" s="114"/>
      <c r="AC294" s="123" t="str">
        <f>IFERROR(__xludf.DUMMYFUNCTION("""COMPUTED_VALUE"""),"https://ik.imagekit.io/alaaalaa6171/050%20Navy%20HQ_Admiral%20Aokiji%20-%20_Kuzan_%20-%20Medal%20_Aokiji_.png?updatedAt=1770076410776")</f>
        <v>https://ik.imagekit.io/alaaalaa6171/050%20Navy%20HQ_Admiral%20Aokiji%20-%20_Kuzan_%20-%20Medal%20_Aokiji_.png?updatedAt=1770076410776</v>
      </c>
      <c r="AD294" s="123" t="str">
        <f>IFERROR(__xludf.DUMMYFUNCTION("""COMPUTED_VALUE"""),"https://ik.imagekit.io/alaaalaa6171/050%20Navy%20HQ_Admiral%20Aokiji%20-%20_Kuzan_%20-%20Medal%20_Aokiji_%20_Colored_.png?updatedAt=1770076410761")</f>
        <v>https://ik.imagekit.io/alaaalaa6171/050%20Navy%20HQ_Admiral%20Aokiji%20-%20_Kuzan_%20-%20Medal%20_Aokiji_%20_Colored_.png?updatedAt=1770076410761</v>
      </c>
      <c r="AE294" s="123" t="str">
        <f>IFERROR(__xludf.DUMMYFUNCTION("""COMPUTED_VALUE"""),"https://ik.imagekit.io/alaaalaa6171/050%20Navy%20HQ_Admiral%20Aokiji%20-%20_Kuzan_%20-%20Medal%20_Aokiji_%20-%20Piece.png?updatedAt=1770076410731")</f>
        <v>https://ik.imagekit.io/alaaalaa6171/050%20Navy%20HQ_Admiral%20Aokiji%20-%20_Kuzan_%20-%20Medal%20_Aokiji_%20-%20Piece.png?updatedAt=1770076410731</v>
      </c>
      <c r="AF294" s="123" t="str">
        <f>IFERROR(__xludf.DUMMYFUNCTION("""COMPUTED_VALUE"""),"https://ik.imagekit.io/alaaalaa6171/050%20Navy%20HQ_Admiral%20Aokiji%20-%20_Kuzan_%20-%20Medal%20_Aokiji_%20-%20Piece%20_Colored_.png?updatedAt=1770076410694")</f>
        <v>https://ik.imagekit.io/alaaalaa6171/050%20Navy%20HQ_Admiral%20Aokiji%20-%20_Kuzan_%20-%20Medal%20_Aokiji_%20-%20Piece%20_Colored_.png?updatedAt=1770076410694</v>
      </c>
      <c r="AG294" s="114"/>
      <c r="AH294" s="114"/>
      <c r="AI294" s="121" t="s">
        <v>5566</v>
      </c>
      <c r="AJ294" s="121" t="str">
        <f>IFERROR(__xludf.DUMMYFUNCTION("regexreplace(regexreplace(AI294, ""  \["", "" ""), ""\]$"", """")"),"293 - Awakened Form ~ Rob Lucci - Medal - Crafted [Colored] - Hand Pistol")</f>
        <v>293 - Awakened Form ~ Rob Lucci - Medal - Crafted [Colored] - Hand Pistol</v>
      </c>
      <c r="AK294" s="114"/>
      <c r="AL294" s="117" t="s">
        <v>5567</v>
      </c>
      <c r="AM294" s="117" t="s">
        <v>5568</v>
      </c>
      <c r="AN294" s="114"/>
      <c r="AO294" s="122">
        <f>IFERROR(__xludf.DUMMYFUNCTION("""COMPUTED_VALUE"""),15.0)</f>
        <v>15</v>
      </c>
      <c r="AP294" s="114" t="str">
        <f>IFERROR(__xludf.DUMMYFUNCTION("""COMPUTED_VALUE"""),"First Son of the Sea")</f>
        <v>First Son of the Sea</v>
      </c>
      <c r="AQ294" s="114" t="str">
        <f>IFERROR(__xludf.DUMMYFUNCTION("""COMPUTED_VALUE"""),"First Son of the Sea")</f>
        <v>First Son of the Sea</v>
      </c>
      <c r="AR294" s="114"/>
      <c r="AS294" s="114"/>
      <c r="AT294" s="123" t="str">
        <f>IFERROR(__xludf.DUMMYFUNCTION("""COMPUTED_VALUE"""),"https://i.postimg.cc/qv0sTGZF/015.png")</f>
        <v>https://i.postimg.cc/qv0sTGZF/015.png</v>
      </c>
      <c r="AU294" s="114"/>
      <c r="AV294" s="114"/>
      <c r="AW294" s="114"/>
      <c r="AX294" s="114" t="str">
        <f t="shared" si="3"/>
        <v>15 - Medal [Event] - Crafted - First Son of the Sea</v>
      </c>
      <c r="AY294" s="114" t="s">
        <v>5569</v>
      </c>
      <c r="AZ294" s="114"/>
      <c r="BA294" s="114"/>
      <c r="BB294" s="114"/>
      <c r="BC294" s="114"/>
      <c r="BD294" s="114"/>
      <c r="BE294" s="114"/>
    </row>
    <row r="295" ht="37.5" customHeight="1">
      <c r="A295" s="118" t="s">
        <v>5570</v>
      </c>
      <c r="B295" s="117" t="s">
        <v>2660</v>
      </c>
      <c r="C295" s="119">
        <f>IFERROR(__xludf.DUMMYFUNCTION("""COMPUTED_VALUE"""),48.0)</f>
        <v>48</v>
      </c>
      <c r="D295" s="114" t="str">
        <f>IFERROR(__xludf.DUMMYFUNCTION("""COMPUTED_VALUE"""),"Fire Fist")</f>
        <v>Fire Fist</v>
      </c>
      <c r="E295" s="114" t="str">
        <f>IFERROR(__xludf.DUMMYFUNCTION("""COMPUTED_VALUE"""),"")</f>
        <v/>
      </c>
      <c r="F295" s="114"/>
      <c r="G295" s="114"/>
      <c r="H295" s="114"/>
      <c r="I295" s="114"/>
      <c r="J295" s="114"/>
      <c r="K295" s="114" t="s">
        <v>5571</v>
      </c>
      <c r="L295" s="114" t="s">
        <v>5572</v>
      </c>
      <c r="M295" s="114" t="s">
        <v>5573</v>
      </c>
      <c r="N295" s="114" t="s">
        <v>5574</v>
      </c>
      <c r="O295" s="114"/>
      <c r="P295" s="120">
        <v>48.0</v>
      </c>
      <c r="Q295" s="117" t="s">
        <v>5575</v>
      </c>
      <c r="R295" s="114"/>
      <c r="S295" s="117" t="s">
        <v>2615</v>
      </c>
      <c r="T295" s="114">
        <f t="shared" si="1"/>
        <v>293</v>
      </c>
      <c r="U295" s="114" t="s">
        <v>331</v>
      </c>
      <c r="V295" s="114" t="str">
        <f>IFERROR(__xludf.DUMMYFUNCTION("REGEXREPLACE(U295, ""\n"", "" "")"),"Hand Pistol")</f>
        <v>Hand Pistol</v>
      </c>
      <c r="W295" s="114"/>
      <c r="X295" s="115" t="str">
        <f t="shared" si="2"/>
        <v>293 Awakened Form - Rob Lucci - Medal [Hand Pistol]</v>
      </c>
      <c r="Y295" s="119"/>
      <c r="Z295" s="117" t="s">
        <v>5576</v>
      </c>
      <c r="AA295" s="117" t="s">
        <v>2941</v>
      </c>
      <c r="AB295" s="114"/>
      <c r="AC295" s="123" t="str">
        <f>IFERROR(__xludf.DUMMYFUNCTION("""COMPUTED_VALUE"""),"https://ik.imagekit.io/alaaalaa6171/049%20Navy%20HQ_Admiral%20Akainu%20-%20_Sakazuki_%20-%20Medal%20_Akainu_.png?updatedAt=1770076410700")</f>
        <v>https://ik.imagekit.io/alaaalaa6171/049%20Navy%20HQ_Admiral%20Akainu%20-%20_Sakazuki_%20-%20Medal%20_Akainu_.png?updatedAt=1770076410700</v>
      </c>
      <c r="AD295" s="123" t="str">
        <f>IFERROR(__xludf.DUMMYFUNCTION("""COMPUTED_VALUE"""),"https://ik.imagekit.io/alaaalaa6171/049%20Navy%20HQ_Admiral%20Akainu%20-%20_Sakazuki_%20-%20Medal%20_Akainu_%20_Colored_.png?updatedAt=1770076410677")</f>
        <v>https://ik.imagekit.io/alaaalaa6171/049%20Navy%20HQ_Admiral%20Akainu%20-%20_Sakazuki_%20-%20Medal%20_Akainu_%20_Colored_.png?updatedAt=1770076410677</v>
      </c>
      <c r="AE295" s="123" t="str">
        <f>IFERROR(__xludf.DUMMYFUNCTION("""COMPUTED_VALUE"""),"https://ik.imagekit.io/alaaalaa6171/049%20Navy%20HQ_Admiral%20Akainu%20-%20_Sakazuki_%20-%20Medal%20_Akainu_%20-%20Piece.png?updatedAt=1770076410691")</f>
        <v>https://ik.imagekit.io/alaaalaa6171/049%20Navy%20HQ_Admiral%20Akainu%20-%20_Sakazuki_%20-%20Medal%20_Akainu_%20-%20Piece.png?updatedAt=1770076410691</v>
      </c>
      <c r="AF295" s="123" t="str">
        <f>IFERROR(__xludf.DUMMYFUNCTION("""COMPUTED_VALUE"""),"https://ik.imagekit.io/alaaalaa6171/049%20Navy%20HQ_Admiral%20Akainu%20-%20_Sakazuki_%20-%20Medal%20_Akainu_%20-%20Piece%20_Colored_.png?updatedAt=1770076410663")</f>
        <v>https://ik.imagekit.io/alaaalaa6171/049%20Navy%20HQ_Admiral%20Akainu%20-%20_Sakazuki_%20-%20Medal%20_Akainu_%20-%20Piece%20_Colored_.png?updatedAt=1770076410663</v>
      </c>
      <c r="AG295" s="114"/>
      <c r="AH295" s="114"/>
      <c r="AI295" s="121" t="s">
        <v>5577</v>
      </c>
      <c r="AJ295" s="121" t="str">
        <f>IFERROR(__xludf.DUMMYFUNCTION("regexreplace(regexreplace(AI295, ""  \["", "" ""), ""\]$"", """")"),"294 - Awakened Form ~ Kaku - Medal - Crafted [Colored] - Nose Pistol")</f>
        <v>294 - Awakened Form ~ Kaku - Medal - Crafted [Colored] - Nose Pistol</v>
      </c>
      <c r="AK295" s="114"/>
      <c r="AL295" s="117" t="s">
        <v>5578</v>
      </c>
      <c r="AM295" s="117" t="s">
        <v>5579</v>
      </c>
      <c r="AN295" s="114"/>
      <c r="AO295" s="122">
        <f>IFERROR(__xludf.DUMMYFUNCTION("""COMPUTED_VALUE"""),14.0)</f>
        <v>14</v>
      </c>
      <c r="AP295" s="114" t="str">
        <f>IFERROR(__xludf.DUMMYFUNCTION("""COMPUTED_VALUE"""),"Heavenly Demon")</f>
        <v>Heavenly Demon</v>
      </c>
      <c r="AQ295" s="114" t="str">
        <f>IFERROR(__xludf.DUMMYFUNCTION("""COMPUTED_VALUE"""),"Heavenly Demon")</f>
        <v>Heavenly Demon</v>
      </c>
      <c r="AR295" s="114"/>
      <c r="AS295" s="114"/>
      <c r="AT295" s="123" t="str">
        <f>IFERROR(__xludf.DUMMYFUNCTION("""COMPUTED_VALUE"""),"https://i.postimg.cc/Pq51L5Hz/014.png")</f>
        <v>https://i.postimg.cc/Pq51L5Hz/014.png</v>
      </c>
      <c r="AU295" s="114"/>
      <c r="AV295" s="114"/>
      <c r="AW295" s="114"/>
      <c r="AX295" s="114" t="str">
        <f t="shared" si="3"/>
        <v>14 - Medal [Event] - Crafted - Heavenly Demon</v>
      </c>
      <c r="AY295" s="114" t="s">
        <v>5580</v>
      </c>
      <c r="AZ295" s="114"/>
      <c r="BA295" s="114"/>
      <c r="BB295" s="114"/>
      <c r="BC295" s="114"/>
      <c r="BD295" s="114"/>
      <c r="BE295" s="114"/>
    </row>
    <row r="296" ht="37.5" customHeight="1">
      <c r="A296" s="118" t="s">
        <v>5581</v>
      </c>
      <c r="B296" s="117" t="s">
        <v>2595</v>
      </c>
      <c r="C296" s="119">
        <f>IFERROR(__xludf.DUMMYFUNCTION("""COMPUTED_VALUE"""),47.0)</f>
        <v>47</v>
      </c>
      <c r="D296" s="114" t="str">
        <f>IFERROR(__xludf.DUMMYFUNCTION("""COMPUTED_VALUE"""),"Whitebeard")</f>
        <v>Whitebeard</v>
      </c>
      <c r="E296" s="114" t="str">
        <f>IFERROR(__xludf.DUMMYFUNCTION("""COMPUTED_VALUE"""),"")</f>
        <v/>
      </c>
      <c r="F296" s="114"/>
      <c r="G296" s="114"/>
      <c r="H296" s="114"/>
      <c r="I296" s="114"/>
      <c r="J296" s="114"/>
      <c r="K296" s="114" t="s">
        <v>5582</v>
      </c>
      <c r="L296" s="114" t="s">
        <v>5583</v>
      </c>
      <c r="M296" s="114" t="s">
        <v>5584</v>
      </c>
      <c r="N296" s="114" t="s">
        <v>5585</v>
      </c>
      <c r="O296" s="114"/>
      <c r="P296" s="120">
        <v>47.0</v>
      </c>
      <c r="Q296" s="117" t="s">
        <v>5586</v>
      </c>
      <c r="R296" s="114"/>
      <c r="S296" s="117" t="s">
        <v>2589</v>
      </c>
      <c r="T296" s="114">
        <f t="shared" si="1"/>
        <v>295</v>
      </c>
      <c r="U296" s="114" t="s">
        <v>317</v>
      </c>
      <c r="V296" s="114" t="str">
        <f>IFERROR(__xludf.DUMMYFUNCTION("REGEXREPLACE(U296, ""\n"", "" "")"),"Vegapunk`s Spy")</f>
        <v>Vegapunk`s Spy</v>
      </c>
      <c r="W296" s="114"/>
      <c r="X296" s="115" t="str">
        <f t="shared" si="2"/>
        <v>295 Vegapunk's Spy - Stussy - Medal [Vegapunk`s Spy]</v>
      </c>
      <c r="Y296" s="119"/>
      <c r="Z296" s="117" t="s">
        <v>5587</v>
      </c>
      <c r="AA296" s="117" t="s">
        <v>2943</v>
      </c>
      <c r="AB296" s="114"/>
      <c r="AC296" s="123" t="str">
        <f>IFERROR(__xludf.DUMMYFUNCTION("""COMPUTED_VALUE"""),"https://ik.imagekit.io/alaaalaa6171/048%20Whitebeard%20Pirates_2nd%20Division%20Commander%20-%20Portgaz%20D.%20Ace%20-%20Medal%20_Fire%20Fist_.png?updatedAt=1770076410752")</f>
        <v>https://ik.imagekit.io/alaaalaa6171/048%20Whitebeard%20Pirates_2nd%20Division%20Commander%20-%20Portgaz%20D.%20Ace%20-%20Medal%20_Fire%20Fist_.png?updatedAt=1770076410752</v>
      </c>
      <c r="AD296" s="123" t="str">
        <f>IFERROR(__xludf.DUMMYFUNCTION("""COMPUTED_VALUE"""),"https://ik.imagekit.io/alaaalaa6171/048%20Whitebeard%20Pirates_2nd%20Division%20Commander%20-%20Portgaz%20D.%20Ace%20-%20Medal%20_Fire%20Fist_%20_Colored_.png?updatedAt=1770076410676")</f>
        <v>https://ik.imagekit.io/alaaalaa6171/048%20Whitebeard%20Pirates_2nd%20Division%20Commander%20-%20Portgaz%20D.%20Ace%20-%20Medal%20_Fire%20Fist_%20_Colored_.png?updatedAt=1770076410676</v>
      </c>
      <c r="AE296" s="123" t="str">
        <f>IFERROR(__xludf.DUMMYFUNCTION("""COMPUTED_VALUE"""),"https://ik.imagekit.io/alaaalaa6171/048%20Whitebeard%20Pirates_2nd%20Division%20Commander%20-%20Portgaz%20D.%20Ace%20-%20Medal%20_Fire%20Fist_%20-%20Piece.png?updatedAt=1770076410665")</f>
        <v>https://ik.imagekit.io/alaaalaa6171/048%20Whitebeard%20Pirates_2nd%20Division%20Commander%20-%20Portgaz%20D.%20Ace%20-%20Medal%20_Fire%20Fist_%20-%20Piece.png?updatedAt=1770076410665</v>
      </c>
      <c r="AF296" s="123" t="str">
        <f>IFERROR(__xludf.DUMMYFUNCTION("""COMPUTED_VALUE"""),"https://ik.imagekit.io/alaaalaa6171/048%20Whitebeard%20Pirates_2nd%20Division%20Commander%20-%20Portgaz%20D.%20Ace%20-%20Medal%20_Fire%20Fist_%20-%20Piece%20_Colored_.png?updatedAt=1770076410672")</f>
        <v>https://ik.imagekit.io/alaaalaa6171/048%20Whitebeard%20Pirates_2nd%20Division%20Commander%20-%20Portgaz%20D.%20Ace%20-%20Medal%20_Fire%20Fist_%20-%20Piece%20_Colored_.png?updatedAt=1770076410672</v>
      </c>
      <c r="AG296" s="114"/>
      <c r="AH296" s="114"/>
      <c r="AI296" s="121" t="s">
        <v>5588</v>
      </c>
      <c r="AJ296" s="121" t="str">
        <f>IFERROR(__xludf.DUMMYFUNCTION("regexreplace(regexreplace(AI296, ""  \["", "" ""), ""\]$"", """")"),"295 - Vegapunk's Spy ~ Stussy - Medal - Crafted [Colored] - Vegapunk`s Spy")</f>
        <v>295 - Vegapunk's Spy ~ Stussy - Medal - Crafted [Colored] - Vegapunk`s Spy</v>
      </c>
      <c r="AK296" s="114"/>
      <c r="AL296" s="117" t="s">
        <v>5589</v>
      </c>
      <c r="AM296" s="117" t="s">
        <v>5590</v>
      </c>
      <c r="AN296" s="114"/>
      <c r="AO296" s="122">
        <f>IFERROR(__xludf.DUMMYFUNCTION("""COMPUTED_VALUE"""),13.0)</f>
        <v>13</v>
      </c>
      <c r="AP296" s="114" t="str">
        <f>IFERROR(__xludf.DUMMYFUNCTION("""COMPUTED_VALUE"""),"Mr. 3")</f>
        <v>Mr. 3</v>
      </c>
      <c r="AQ296" s="114" t="str">
        <f>IFERROR(__xludf.DUMMYFUNCTION("""COMPUTED_VALUE"""),"Mr. 3")</f>
        <v>Mr. 3</v>
      </c>
      <c r="AR296" s="114"/>
      <c r="AS296" s="114"/>
      <c r="AT296" s="123" t="str">
        <f>IFERROR(__xludf.DUMMYFUNCTION("""COMPUTED_VALUE"""),"https://i.postimg.cc/7Lt0SrYv/013.png")</f>
        <v>https://i.postimg.cc/7Lt0SrYv/013.png</v>
      </c>
      <c r="AU296" s="114"/>
      <c r="AV296" s="114"/>
      <c r="AW296" s="114"/>
      <c r="AX296" s="114" t="str">
        <f t="shared" si="3"/>
        <v>13 - Medal [Event] - Crafted - Mr. 3</v>
      </c>
      <c r="AY296" s="114" t="s">
        <v>5591</v>
      </c>
      <c r="AZ296" s="114"/>
      <c r="BA296" s="114"/>
      <c r="BB296" s="114"/>
      <c r="BC296" s="114"/>
      <c r="BD296" s="114"/>
      <c r="BE296" s="114"/>
    </row>
    <row r="297" ht="37.5" customHeight="1">
      <c r="A297" s="118" t="s">
        <v>5592</v>
      </c>
      <c r="B297" s="117" t="s">
        <v>2569</v>
      </c>
      <c r="C297" s="119">
        <f>IFERROR(__xludf.DUMMYFUNCTION("""COMPUTED_VALUE"""),46.0)</f>
        <v>46</v>
      </c>
      <c r="D297" s="114" t="str">
        <f>IFERROR(__xludf.DUMMYFUNCTION("""COMPUTED_VALUE"""),"Eneru")</f>
        <v>Eneru</v>
      </c>
      <c r="E297" s="114" t="str">
        <f>IFERROR(__xludf.DUMMYFUNCTION("""COMPUTED_VALUE"""),"")</f>
        <v/>
      </c>
      <c r="F297" s="114"/>
      <c r="G297" s="114"/>
      <c r="H297" s="114"/>
      <c r="I297" s="114"/>
      <c r="J297" s="114"/>
      <c r="K297" s="114" t="s">
        <v>5593</v>
      </c>
      <c r="L297" s="114" t="s">
        <v>5594</v>
      </c>
      <c r="M297" s="114" t="s">
        <v>5595</v>
      </c>
      <c r="N297" s="114" t="s">
        <v>5596</v>
      </c>
      <c r="O297" s="114"/>
      <c r="P297" s="120">
        <v>46.0</v>
      </c>
      <c r="Q297" s="117" t="s">
        <v>5597</v>
      </c>
      <c r="R297" s="114"/>
      <c r="S297" s="117" t="s">
        <v>2576</v>
      </c>
      <c r="T297" s="114">
        <f t="shared" si="1"/>
        <v>296</v>
      </c>
      <c r="U297" s="114" t="s">
        <v>312</v>
      </c>
      <c r="V297" s="114" t="str">
        <f>IFERROR(__xludf.DUMMYFUNCTION("REGEXREPLACE(U297, ""\n"", "" "")"),"Red_Haired Divine Departure")</f>
        <v>Red_Haired Divine Departure</v>
      </c>
      <c r="W297" s="114"/>
      <c r="X297" s="115" t="str">
        <f t="shared" si="2"/>
        <v>296 Divine Departure - Shanks - Medal [Red_Haired Divine Departure]</v>
      </c>
      <c r="Y297" s="119"/>
      <c r="Z297" s="117" t="s">
        <v>5598</v>
      </c>
      <c r="AA297" s="117" t="s">
        <v>2944</v>
      </c>
      <c r="AB297" s="114"/>
      <c r="AC297" s="123" t="str">
        <f>IFERROR(__xludf.DUMMYFUNCTION("""COMPUTED_VALUE"""),"https://ik.imagekit.io/alaaalaa6171/047%20Whitebeard%20Pirates_Captain%20Whitebeard%20-%20Edward%20Newgate%20-%20Medal%20_Whitebeard_.png?updatedAt=1770076410658")</f>
        <v>https://ik.imagekit.io/alaaalaa6171/047%20Whitebeard%20Pirates_Captain%20Whitebeard%20-%20Edward%20Newgate%20-%20Medal%20_Whitebeard_.png?updatedAt=1770076410658</v>
      </c>
      <c r="AD297" s="123" t="str">
        <f>IFERROR(__xludf.DUMMYFUNCTION("""COMPUTED_VALUE"""),"https://ik.imagekit.io/alaaalaa6171/047%20Whitebeard%20Pirates_Captain%20Whitebeard%20-%20Edward%20Newgate%20-%20Medal%20_Whitebeard_%20_Colored_.png?updatedAt=1770076410680")</f>
        <v>https://ik.imagekit.io/alaaalaa6171/047%20Whitebeard%20Pirates_Captain%20Whitebeard%20-%20Edward%20Newgate%20-%20Medal%20_Whitebeard_%20_Colored_.png?updatedAt=1770076410680</v>
      </c>
      <c r="AE297" s="123" t="str">
        <f>IFERROR(__xludf.DUMMYFUNCTION("""COMPUTED_VALUE"""),"https://ik.imagekit.io/alaaalaa6171/047%20Whitebeard%20Pirates_Captain%20Whitebeard%20-%20Edward%20Newgate%20-%20Medal%20_Whitebeard_%20-%20Piece.png?updatedAt=1770076410653")</f>
        <v>https://ik.imagekit.io/alaaalaa6171/047%20Whitebeard%20Pirates_Captain%20Whitebeard%20-%20Edward%20Newgate%20-%20Medal%20_Whitebeard_%20-%20Piece.png?updatedAt=1770076410653</v>
      </c>
      <c r="AF297" s="123" t="str">
        <f>IFERROR(__xludf.DUMMYFUNCTION("""COMPUTED_VALUE"""),"https://ik.imagekit.io/alaaalaa6171/047%20Whitebeard%20Pirates_Captain%20Whitebeard%20-%20Edward%20Newgate%20-%20Medal%20_Whitebeard_%20-%20Piece%20_Colored_.png?updatedAt=1770076410641")</f>
        <v>https://ik.imagekit.io/alaaalaa6171/047%20Whitebeard%20Pirates_Captain%20Whitebeard%20-%20Edward%20Newgate%20-%20Medal%20_Whitebeard_%20-%20Piece%20_Colored_.png?updatedAt=1770076410641</v>
      </c>
      <c r="AG297" s="114"/>
      <c r="AH297" s="114"/>
      <c r="AI297" s="121" t="s">
        <v>5599</v>
      </c>
      <c r="AJ297" s="121" t="str">
        <f>IFERROR(__xludf.DUMMYFUNCTION("regexreplace(regexreplace(AI297, ""  \["", "" ""), ""\]$"", """")"),"296 - Divine Departure ~ Shanks - Medal - Crafted [Colored] - Red_Haired Divine Departure")</f>
        <v>296 - Divine Departure ~ Shanks - Medal - Crafted [Colored] - Red_Haired Divine Departure</v>
      </c>
      <c r="AK297" s="114"/>
      <c r="AL297" s="117" t="s">
        <v>5600</v>
      </c>
      <c r="AM297" s="117" t="s">
        <v>5601</v>
      </c>
      <c r="AN297" s="114"/>
      <c r="AO297" s="122">
        <f>IFERROR(__xludf.DUMMYFUNCTION("""COMPUTED_VALUE"""),12.0)</f>
        <v>12</v>
      </c>
      <c r="AP297" s="114" t="str">
        <f>IFERROR(__xludf.DUMMYFUNCTION("""COMPUTED_VALUE"""),"Mr. 1")</f>
        <v>Mr. 1</v>
      </c>
      <c r="AQ297" s="114" t="str">
        <f>IFERROR(__xludf.DUMMYFUNCTION("""COMPUTED_VALUE"""),"Mr. 1")</f>
        <v>Mr. 1</v>
      </c>
      <c r="AR297" s="114"/>
      <c r="AS297" s="114"/>
      <c r="AT297" s="123" t="str">
        <f>IFERROR(__xludf.DUMMYFUNCTION("""COMPUTED_VALUE"""),"https://i.postimg.cc/Y94g3Dhv/012.png")</f>
        <v>https://i.postimg.cc/Y94g3Dhv/012.png</v>
      </c>
      <c r="AU297" s="114"/>
      <c r="AV297" s="114"/>
      <c r="AW297" s="114"/>
      <c r="AX297" s="114" t="str">
        <f t="shared" si="3"/>
        <v>12 - Medal [Event] - Crafted - Mr. 1</v>
      </c>
      <c r="AY297" s="114" t="s">
        <v>5602</v>
      </c>
      <c r="AZ297" s="114"/>
      <c r="BA297" s="114"/>
      <c r="BB297" s="114"/>
      <c r="BC297" s="114"/>
      <c r="BD297" s="114"/>
      <c r="BE297" s="114"/>
    </row>
    <row r="298" ht="37.5" customHeight="1">
      <c r="A298" s="118" t="s">
        <v>5603</v>
      </c>
      <c r="B298" s="117" t="s">
        <v>2478</v>
      </c>
      <c r="C298" s="119">
        <f>IFERROR(__xludf.DUMMYFUNCTION("""COMPUTED_VALUE"""),45.0)</f>
        <v>45</v>
      </c>
      <c r="D298" s="114" t="str">
        <f>IFERROR(__xludf.DUMMYFUNCTION("""COMPUTED_VALUE"""),"Mr. Zero")</f>
        <v>Mr. Zero</v>
      </c>
      <c r="E298" s="114" t="str">
        <f>IFERROR(__xludf.DUMMYFUNCTION("""COMPUTED_VALUE"""),"")</f>
        <v/>
      </c>
      <c r="F298" s="114"/>
      <c r="G298" s="114"/>
      <c r="H298" s="114"/>
      <c r="I298" s="114"/>
      <c r="J298" s="114"/>
      <c r="K298" s="114" t="s">
        <v>5604</v>
      </c>
      <c r="L298" s="114" t="s">
        <v>5605</v>
      </c>
      <c r="M298" s="114" t="s">
        <v>5606</v>
      </c>
      <c r="N298" s="114" t="s">
        <v>5607</v>
      </c>
      <c r="O298" s="114"/>
      <c r="P298" s="120">
        <v>45.0</v>
      </c>
      <c r="Q298" s="117" t="s">
        <v>5608</v>
      </c>
      <c r="R298" s="114"/>
      <c r="S298" s="117" t="s">
        <v>2563</v>
      </c>
      <c r="T298" s="114">
        <f t="shared" si="1"/>
        <v>297</v>
      </c>
      <c r="U298" s="114" t="s">
        <v>307</v>
      </c>
      <c r="V298" s="114" t="str">
        <f>IFERROR(__xludf.DUMMYFUNCTION("REGEXREPLACE(U298, ""\n"", "" "")"),"Dorry")</f>
        <v>Dorry</v>
      </c>
      <c r="W298" s="114"/>
      <c r="X298" s="115" t="str">
        <f t="shared" si="2"/>
        <v>297 The Blue - Dorry - Medal [Dorry]</v>
      </c>
      <c r="Y298" s="119"/>
      <c r="Z298" s="117" t="s">
        <v>5609</v>
      </c>
      <c r="AA298" s="117" t="s">
        <v>2942</v>
      </c>
      <c r="AB298" s="114"/>
      <c r="AC298" s="123" t="str">
        <f>IFERROR(__xludf.DUMMYFUNCTION("""COMPUTED_VALUE"""),"https://ik.imagekit.io/alaaalaa6171/046%20Kami%20-%20Eneru%20-%20Medal%20_Eneru_.png?updatedAt=1770076410643")</f>
        <v>https://ik.imagekit.io/alaaalaa6171/046%20Kami%20-%20Eneru%20-%20Medal%20_Eneru_.png?updatedAt=1770076410643</v>
      </c>
      <c r="AD298" s="123" t="str">
        <f>IFERROR(__xludf.DUMMYFUNCTION("""COMPUTED_VALUE"""),"https://ik.imagekit.io/alaaalaa6171/046%20Kami%20-%20Eneru%20-%20Medal%20_Eneru_%20_Colored_.png?updatedAt=1770076410658")</f>
        <v>https://ik.imagekit.io/alaaalaa6171/046%20Kami%20-%20Eneru%20-%20Medal%20_Eneru_%20_Colored_.png?updatedAt=1770076410658</v>
      </c>
      <c r="AE298" s="123" t="str">
        <f>IFERROR(__xludf.DUMMYFUNCTION("""COMPUTED_VALUE"""),"https://ik.imagekit.io/alaaalaa6171/046%20Kami%20-%20Eneru%20-%20Medal%20_Eneru_%20-%20Piece.png?updatedAt=1770076410668")</f>
        <v>https://ik.imagekit.io/alaaalaa6171/046%20Kami%20-%20Eneru%20-%20Medal%20_Eneru_%20-%20Piece.png?updatedAt=1770076410668</v>
      </c>
      <c r="AF298" s="123" t="str">
        <f>IFERROR(__xludf.DUMMYFUNCTION("""COMPUTED_VALUE"""),"https://ik.imagekit.io/alaaalaa6171/046%20Kami%20-%20Eneru%20-%20Medal%20_Eneru_%20-%20Piece%20_Colored_.png?updatedAt=1770076410647")</f>
        <v>https://ik.imagekit.io/alaaalaa6171/046%20Kami%20-%20Eneru%20-%20Medal%20_Eneru_%20-%20Piece%20_Colored_.png?updatedAt=1770076410647</v>
      </c>
      <c r="AG298" s="114"/>
      <c r="AH298" s="114"/>
      <c r="AI298" s="121" t="s">
        <v>5610</v>
      </c>
      <c r="AJ298" s="121" t="str">
        <f>IFERROR(__xludf.DUMMYFUNCTION("regexreplace(regexreplace(AI298, ""  \["", "" ""), ""\]$"", """")"),"297 - The Blue ~ Dorry - Medal - Crafted [Colored] - Dorry")</f>
        <v>297 - The Blue ~ Dorry - Medal - Crafted [Colored] - Dorry</v>
      </c>
      <c r="AK298" s="114"/>
      <c r="AL298" s="117" t="s">
        <v>5611</v>
      </c>
      <c r="AM298" s="117" t="s">
        <v>5612</v>
      </c>
      <c r="AN298" s="114"/>
      <c r="AO298" s="122">
        <f>IFERROR(__xludf.DUMMYFUNCTION("""COMPUTED_VALUE"""),11.0)</f>
        <v>11</v>
      </c>
      <c r="AP298" s="114" t="str">
        <f>IFERROR(__xludf.DUMMYFUNCTION("""COMPUTED_VALUE"""),"Tsuru")</f>
        <v>Tsuru</v>
      </c>
      <c r="AQ298" s="114" t="str">
        <f>IFERROR(__xludf.DUMMYFUNCTION("""COMPUTED_VALUE"""),"Tsuru")</f>
        <v>Tsuru</v>
      </c>
      <c r="AR298" s="114"/>
      <c r="AS298" s="114"/>
      <c r="AT298" s="123" t="str">
        <f>IFERROR(__xludf.DUMMYFUNCTION("""COMPUTED_VALUE"""),"https://i.postimg.cc/k4kShNbf/011.png")</f>
        <v>https://i.postimg.cc/k4kShNbf/011.png</v>
      </c>
      <c r="AU298" s="114"/>
      <c r="AV298" s="114"/>
      <c r="AW298" s="114"/>
      <c r="AX298" s="114" t="str">
        <f t="shared" si="3"/>
        <v>11 - Medal [Event] - Crafted - Tsuru</v>
      </c>
      <c r="AY298" s="114" t="s">
        <v>5613</v>
      </c>
      <c r="AZ298" s="114"/>
      <c r="BA298" s="114"/>
      <c r="BB298" s="114"/>
      <c r="BC298" s="114"/>
      <c r="BD298" s="114"/>
      <c r="BE298" s="114"/>
    </row>
    <row r="299" ht="37.5" customHeight="1">
      <c r="A299" s="118" t="s">
        <v>5614</v>
      </c>
      <c r="B299" s="117" t="s">
        <v>2465</v>
      </c>
      <c r="C299" s="119">
        <f>IFERROR(__xludf.DUMMYFUNCTION("""COMPUTED_VALUE"""),44.0)</f>
        <v>44</v>
      </c>
      <c r="D299" s="114" t="str">
        <f>IFERROR(__xludf.DUMMYFUNCTION("""COMPUTED_VALUE"""),"Peacock")</f>
        <v>Peacock</v>
      </c>
      <c r="E299" s="114" t="str">
        <f>IFERROR(__xludf.DUMMYFUNCTION("""COMPUTED_VALUE"""),"")</f>
        <v/>
      </c>
      <c r="F299" s="114"/>
      <c r="G299" s="114"/>
      <c r="H299" s="114"/>
      <c r="I299" s="114"/>
      <c r="J299" s="114"/>
      <c r="K299" s="114" t="s">
        <v>5615</v>
      </c>
      <c r="L299" s="114" t="s">
        <v>5616</v>
      </c>
      <c r="M299" s="114" t="s">
        <v>5617</v>
      </c>
      <c r="N299" s="114" t="s">
        <v>5618</v>
      </c>
      <c r="O299" s="114"/>
      <c r="P299" s="120">
        <v>44.0</v>
      </c>
      <c r="Q299" s="117" t="s">
        <v>5619</v>
      </c>
      <c r="R299" s="114"/>
      <c r="S299" s="117" t="s">
        <v>2550</v>
      </c>
      <c r="T299" s="114">
        <f t="shared" si="1"/>
        <v>298</v>
      </c>
      <c r="U299" s="114" t="s">
        <v>301</v>
      </c>
      <c r="V299" s="114" t="str">
        <f>IFERROR(__xludf.DUMMYFUNCTION("REGEXREPLACE(U299, ""\n"", "" "")"),"Broggy")</f>
        <v>Broggy</v>
      </c>
      <c r="W299" s="114"/>
      <c r="X299" s="115" t="str">
        <f t="shared" si="2"/>
        <v>298 The Red - Broggy - Medal [Broggy]</v>
      </c>
      <c r="Y299" s="119"/>
      <c r="Z299" s="117" t="s">
        <v>5620</v>
      </c>
      <c r="AA299" s="117" t="s">
        <v>2954</v>
      </c>
      <c r="AB299" s="114"/>
      <c r="AC299" s="123" t="str">
        <f>IFERROR(__xludf.DUMMYFUNCTION("""COMPUTED_VALUE"""),"https://ik.imagekit.io/alaaalaa6171/045%20The%20Seven%20Warlords%20of%20the%20Sea%20-%20Crocodile%20-%20Medal%20_Mr.%20Zero_.png?updatedAt=1770076410669")</f>
        <v>https://ik.imagekit.io/alaaalaa6171/045%20The%20Seven%20Warlords%20of%20the%20Sea%20-%20Crocodile%20-%20Medal%20_Mr.%20Zero_.png?updatedAt=1770076410669</v>
      </c>
      <c r="AD299" s="123" t="str">
        <f>IFERROR(__xludf.DUMMYFUNCTION("""COMPUTED_VALUE"""),"https://ik.imagekit.io/alaaalaa6171/045%20The%20Seven%20Warlords%20of%20the%20Sea%20-%20Crocodile%20-%20Medal%20_Mr.%20Zero_%20_Colored_.png?updatedAt=1770076410608")</f>
        <v>https://ik.imagekit.io/alaaalaa6171/045%20The%20Seven%20Warlords%20of%20the%20Sea%20-%20Crocodile%20-%20Medal%20_Mr.%20Zero_%20_Colored_.png?updatedAt=1770076410608</v>
      </c>
      <c r="AE299" s="123" t="str">
        <f>IFERROR(__xludf.DUMMYFUNCTION("""COMPUTED_VALUE"""),"https://ik.imagekit.io/alaaalaa6171/045%20The%20Seven%20Warlords%20of%20the%20Sea%20-%20Crocodile%20-%20Medal%20_Mr.%20Zero_%20-%20Piece.png?updatedAt=1770076410598")</f>
        <v>https://ik.imagekit.io/alaaalaa6171/045%20The%20Seven%20Warlords%20of%20the%20Sea%20-%20Crocodile%20-%20Medal%20_Mr.%20Zero_%20-%20Piece.png?updatedAt=1770076410598</v>
      </c>
      <c r="AF299" s="123" t="str">
        <f>IFERROR(__xludf.DUMMYFUNCTION("""COMPUTED_VALUE"""),"https://ik.imagekit.io/alaaalaa6171/045%20The%20Seven%20Warlords%20of%20the%20Sea%20-%20Crocodile%20-%20Medal%20_Mr.%20Zero_%20-%20Piece%20_Colored_.png?updatedAt=1770076410603")</f>
        <v>https://ik.imagekit.io/alaaalaa6171/045%20The%20Seven%20Warlords%20of%20the%20Sea%20-%20Crocodile%20-%20Medal%20_Mr.%20Zero_%20-%20Piece%20_Colored_.png?updatedAt=1770076410603</v>
      </c>
      <c r="AG299" s="114"/>
      <c r="AH299" s="114"/>
      <c r="AI299" s="121" t="s">
        <v>5621</v>
      </c>
      <c r="AJ299" s="121" t="str">
        <f>IFERROR(__xludf.DUMMYFUNCTION("regexreplace(regexreplace(AI299, ""  \["", "" ""), ""\]$"", """")"),"298 - The Red ~ Broggy - Medal - Crafted [Colored] - Broggy")</f>
        <v>298 - The Red ~ Broggy - Medal - Crafted [Colored] - Broggy</v>
      </c>
      <c r="AK299" s="114"/>
      <c r="AL299" s="117" t="s">
        <v>5622</v>
      </c>
      <c r="AM299" s="117" t="s">
        <v>5623</v>
      </c>
      <c r="AN299" s="114"/>
      <c r="AO299" s="122">
        <f>IFERROR(__xludf.DUMMYFUNCTION("""COMPUTED_VALUE"""),10.0)</f>
        <v>10</v>
      </c>
      <c r="AP299" s="114" t="str">
        <f>IFERROR(__xludf.DUMMYFUNCTION("""COMPUTED_VALUE"""),"Glint_Glint")</f>
        <v>Glint_Glint</v>
      </c>
      <c r="AQ299" s="114" t="str">
        <f>IFERROR(__xludf.DUMMYFUNCTION("""COMPUTED_VALUE"""),"Glint_Glint")</f>
        <v>Glint_Glint</v>
      </c>
      <c r="AR299" s="114"/>
      <c r="AS299" s="114"/>
      <c r="AT299" s="123" t="str">
        <f>IFERROR(__xludf.DUMMYFUNCTION("""COMPUTED_VALUE"""),"https://i.postimg.cc/qqyKftc0/010.png")</f>
        <v>https://i.postimg.cc/qqyKftc0/010.png</v>
      </c>
      <c r="AU299" s="114"/>
      <c r="AV299" s="114"/>
      <c r="AW299" s="114"/>
      <c r="AX299" s="114" t="str">
        <f t="shared" si="3"/>
        <v>10 - Medal [Event] - Crafted - Glint_Glint</v>
      </c>
      <c r="AY299" s="114" t="s">
        <v>5624</v>
      </c>
      <c r="AZ299" s="114"/>
      <c r="BA299" s="114"/>
      <c r="BB299" s="114"/>
      <c r="BC299" s="114"/>
      <c r="BD299" s="114"/>
      <c r="BE299" s="114"/>
    </row>
    <row r="300" ht="37.5" customHeight="1">
      <c r="A300" s="118" t="s">
        <v>5625</v>
      </c>
      <c r="B300" s="117" t="s">
        <v>2452</v>
      </c>
      <c r="C300" s="119">
        <f>IFERROR(__xludf.DUMMYFUNCTION("""COMPUTED_VALUE"""),43.0)</f>
        <v>43</v>
      </c>
      <c r="D300" s="114" t="str">
        <f>IFERROR(__xludf.DUMMYFUNCTION("""COMPUTED_VALUE"""),"Storm")</f>
        <v>Storm</v>
      </c>
      <c r="E300" s="114" t="str">
        <f>IFERROR(__xludf.DUMMYFUNCTION("""COMPUTED_VALUE"""),"")</f>
        <v/>
      </c>
      <c r="F300" s="114"/>
      <c r="G300" s="114"/>
      <c r="H300" s="114"/>
      <c r="I300" s="114"/>
      <c r="J300" s="114"/>
      <c r="K300" s="114" t="s">
        <v>5626</v>
      </c>
      <c r="L300" s="114" t="s">
        <v>5627</v>
      </c>
      <c r="M300" s="114" t="s">
        <v>5628</v>
      </c>
      <c r="N300" s="114" t="s">
        <v>5629</v>
      </c>
      <c r="O300" s="114"/>
      <c r="P300" s="120">
        <v>43.0</v>
      </c>
      <c r="Q300" s="117" t="s">
        <v>5630</v>
      </c>
      <c r="R300" s="114"/>
      <c r="S300" s="117" t="s">
        <v>2537</v>
      </c>
      <c r="T300" s="114">
        <f t="shared" si="1"/>
        <v>299</v>
      </c>
      <c r="U300" s="114" t="s">
        <v>296</v>
      </c>
      <c r="V300" s="114" t="str">
        <f>IFERROR(__xludf.DUMMYFUNCTION("REGEXREPLACE(U300, ""\n"", "" "")"),"Halloween Uta")</f>
        <v>Halloween Uta</v>
      </c>
      <c r="W300" s="114"/>
      <c r="X300" s="115" t="str">
        <f t="shared" si="2"/>
        <v>299 Happy Halloween - Uta - Medal [Halloween Uta]</v>
      </c>
      <c r="Y300" s="119"/>
      <c r="Z300" s="117" t="s">
        <v>5631</v>
      </c>
      <c r="AA300" s="117" t="s">
        <v>2956</v>
      </c>
      <c r="AB300" s="114"/>
      <c r="AC300" s="123" t="str">
        <f>IFERROR(__xludf.DUMMYFUNCTION("""COMPUTED_VALUE"""),"https://ik.imagekit.io/alaaalaa6171/044%20Peacock%20Slasher%20-%20Nefeltari%20Vivi%20-%20Medal%20_Peacock_.png?updatedAt=1770076410663")</f>
        <v>https://ik.imagekit.io/alaaalaa6171/044%20Peacock%20Slasher%20-%20Nefeltari%20Vivi%20-%20Medal%20_Peacock_.png?updatedAt=1770076410663</v>
      </c>
      <c r="AD300" s="123" t="str">
        <f>IFERROR(__xludf.DUMMYFUNCTION("""COMPUTED_VALUE"""),"https://ik.imagekit.io/alaaalaa6171/044%20Peacock%20Slasher%20-%20Nefeltari%20Vivi%20-%20Medal%20_Peacock_%20_Colored_.png?updatedAt=1770076410606")</f>
        <v>https://ik.imagekit.io/alaaalaa6171/044%20Peacock%20Slasher%20-%20Nefeltari%20Vivi%20-%20Medal%20_Peacock_%20_Colored_.png?updatedAt=1770076410606</v>
      </c>
      <c r="AE300" s="123" t="str">
        <f>IFERROR(__xludf.DUMMYFUNCTION("""COMPUTED_VALUE"""),"https://ik.imagekit.io/alaaalaa6171/044%20Peacock%20Slasher%20-%20Nefeltari%20Vivi%20-%20Medal%20_Peacock_%20-%20Piece.png?updatedAt=1770076410574")</f>
        <v>https://ik.imagekit.io/alaaalaa6171/044%20Peacock%20Slasher%20-%20Nefeltari%20Vivi%20-%20Medal%20_Peacock_%20-%20Piece.png?updatedAt=1770076410574</v>
      </c>
      <c r="AF300" s="123" t="str">
        <f>IFERROR(__xludf.DUMMYFUNCTION("""COMPUTED_VALUE"""),"https://ik.imagekit.io/alaaalaa6171/044%20Peacock%20Slasher%20-%20Nefeltari%20Vivi%20-%20Medal%20_Peacock_%20-%20Piece%20_Colored_.png?updatedAt=1770076410555")</f>
        <v>https://ik.imagekit.io/alaaalaa6171/044%20Peacock%20Slasher%20-%20Nefeltari%20Vivi%20-%20Medal%20_Peacock_%20-%20Piece%20_Colored_.png?updatedAt=1770076410555</v>
      </c>
      <c r="AG300" s="114"/>
      <c r="AH300" s="114"/>
      <c r="AI300" s="121" t="s">
        <v>5632</v>
      </c>
      <c r="AJ300" s="121" t="str">
        <f>IFERROR(__xludf.DUMMYFUNCTION("regexreplace(regexreplace(AI300, ""  \["", "" ""), ""\]$"", """")"),"299 - Happy Halloween ~ Uta - Medal - Crafted [Colored] - Halloween Uta")</f>
        <v>299 - Happy Halloween ~ Uta - Medal - Crafted [Colored] - Halloween Uta</v>
      </c>
      <c r="AK300" s="114"/>
      <c r="AL300" s="117" t="s">
        <v>5633</v>
      </c>
      <c r="AM300" s="117" t="s">
        <v>5634</v>
      </c>
      <c r="AN300" s="114"/>
      <c r="AO300" s="122">
        <f>IFERROR(__xludf.DUMMYFUNCTION("""COMPUTED_VALUE"""),9.0)</f>
        <v>9</v>
      </c>
      <c r="AP300" s="114" t="str">
        <f>IFERROR(__xludf.DUMMYFUNCTION("""COMPUTED_VALUE"""),"Jackal")</f>
        <v>Jackal</v>
      </c>
      <c r="AQ300" s="114" t="str">
        <f>IFERROR(__xludf.DUMMYFUNCTION("""COMPUTED_VALUE"""),"Jackal")</f>
        <v>Jackal</v>
      </c>
      <c r="AR300" s="114"/>
      <c r="AS300" s="114"/>
      <c r="AT300" s="123" t="str">
        <f>IFERROR(__xludf.DUMMYFUNCTION("""COMPUTED_VALUE"""),"https://i.postimg.cc/HWyX8NqK/009.png")</f>
        <v>https://i.postimg.cc/HWyX8NqK/009.png</v>
      </c>
      <c r="AU300" s="114"/>
      <c r="AV300" s="114"/>
      <c r="AW300" s="114"/>
      <c r="AX300" s="114" t="str">
        <f t="shared" si="3"/>
        <v>9 - Medal [Event] - Crafted - Jackal</v>
      </c>
      <c r="AY300" s="114" t="s">
        <v>5635</v>
      </c>
      <c r="AZ300" s="114"/>
      <c r="BA300" s="114"/>
      <c r="BB300" s="114"/>
      <c r="BC300" s="114"/>
      <c r="BD300" s="114"/>
      <c r="BE300" s="114"/>
    </row>
    <row r="301" ht="37.5" customHeight="1">
      <c r="A301" s="118" t="s">
        <v>5636</v>
      </c>
      <c r="B301" s="117" t="s">
        <v>2413</v>
      </c>
      <c r="C301" s="119">
        <f>IFERROR(__xludf.DUMMYFUNCTION("""COMPUTED_VALUE"""),42.0)</f>
        <v>42</v>
      </c>
      <c r="D301" s="114" t="str">
        <f>IFERROR(__xludf.DUMMYFUNCTION("""COMPUTED_VALUE"""),"Wapol")</f>
        <v>Wapol</v>
      </c>
      <c r="E301" s="114" t="str">
        <f>IFERROR(__xludf.DUMMYFUNCTION("""COMPUTED_VALUE"""),"")</f>
        <v/>
      </c>
      <c r="F301" s="114"/>
      <c r="G301" s="114"/>
      <c r="H301" s="114"/>
      <c r="I301" s="114"/>
      <c r="J301" s="114"/>
      <c r="K301" s="114" t="s">
        <v>5637</v>
      </c>
      <c r="L301" s="114" t="s">
        <v>5638</v>
      </c>
      <c r="M301" s="114" t="s">
        <v>5639</v>
      </c>
      <c r="N301" s="114" t="s">
        <v>5640</v>
      </c>
      <c r="O301" s="114"/>
      <c r="P301" s="120">
        <v>42.0</v>
      </c>
      <c r="Q301" s="117" t="s">
        <v>5641</v>
      </c>
      <c r="R301" s="114"/>
      <c r="S301" s="117" t="s">
        <v>2524</v>
      </c>
      <c r="T301" s="114">
        <f t="shared" si="1"/>
        <v>300</v>
      </c>
      <c r="U301" s="114" t="s">
        <v>289</v>
      </c>
      <c r="V301" s="114" t="str">
        <f>IFERROR(__xludf.DUMMYFUNCTION("REGEXREPLACE(U301, ""\n"", "" "")"),"Punk_02")</f>
        <v>Punk_02</v>
      </c>
      <c r="W301" s="114"/>
      <c r="X301" s="115" t="str">
        <f t="shared" si="2"/>
        <v>300 Punk-02 - Lilith - Medal [Punk_02]</v>
      </c>
      <c r="Y301" s="119"/>
      <c r="Z301" s="117" t="s">
        <v>5642</v>
      </c>
      <c r="AA301" s="117" t="s">
        <v>2957</v>
      </c>
      <c r="AB301" s="114"/>
      <c r="AC301" s="123" t="str">
        <f>IFERROR(__xludf.DUMMYFUNCTION("""COMPUTED_VALUE"""),"https://ik.imagekit.io/alaaalaa6171/043%20Gum-Gum%20Storm%20-%20Monkey%20D.%20Luffy%20-%20Medal%20_Storm_.png?updatedAt=1770076410575")</f>
        <v>https://ik.imagekit.io/alaaalaa6171/043%20Gum-Gum%20Storm%20-%20Monkey%20D.%20Luffy%20-%20Medal%20_Storm_.png?updatedAt=1770076410575</v>
      </c>
      <c r="AD301" s="123" t="str">
        <f>IFERROR(__xludf.DUMMYFUNCTION("""COMPUTED_VALUE"""),"https://ik.imagekit.io/alaaalaa6171/043%20Gum-Gum%20Storm%20-%20Monkey%20D.%20Luffy%20-%20Medal%20_Storm_%20_Colored_.png?updatedAt=1770076410556")</f>
        <v>https://ik.imagekit.io/alaaalaa6171/043%20Gum-Gum%20Storm%20-%20Monkey%20D.%20Luffy%20-%20Medal%20_Storm_%20_Colored_.png?updatedAt=1770076410556</v>
      </c>
      <c r="AE301" s="123" t="str">
        <f>IFERROR(__xludf.DUMMYFUNCTION("""COMPUTED_VALUE"""),"https://ik.imagekit.io/alaaalaa6171/043%20Gum-Gum%20Storm%20-%20Monkey%20D.%20Luffy%20-%20Medal%20_Storm_%20-%20Piece.png?updatedAt=1770076410562")</f>
        <v>https://ik.imagekit.io/alaaalaa6171/043%20Gum-Gum%20Storm%20-%20Monkey%20D.%20Luffy%20-%20Medal%20_Storm_%20-%20Piece.png?updatedAt=1770076410562</v>
      </c>
      <c r="AF301" s="123" t="str">
        <f>IFERROR(__xludf.DUMMYFUNCTION("""COMPUTED_VALUE"""),"https://ik.imagekit.io/alaaalaa6171/043%20Gum-Gum%20Storm%20-%20Monkey%20D.%20Luffy%20-%20Medal%20_Storm_%20-%20Piece%20_Colored_.png?updatedAt=1770076410567")</f>
        <v>https://ik.imagekit.io/alaaalaa6171/043%20Gum-Gum%20Storm%20-%20Monkey%20D.%20Luffy%20-%20Medal%20_Storm_%20-%20Piece%20_Colored_.png?updatedAt=1770076410567</v>
      </c>
      <c r="AG301" s="114"/>
      <c r="AH301" s="114"/>
      <c r="AI301" s="121" t="s">
        <v>5643</v>
      </c>
      <c r="AJ301" s="121" t="str">
        <f>IFERROR(__xludf.DUMMYFUNCTION("regexreplace(regexreplace(AI301, ""  \["", "" ""), ""\]$"", """")"),"300 - Punk-02 ~ Lilith - Medal - Crafted [Colored] - Punk_02")</f>
        <v>300 - Punk-02 ~ Lilith - Medal - Crafted [Colored] - Punk_02</v>
      </c>
      <c r="AK301" s="114"/>
      <c r="AL301" s="117" t="s">
        <v>5644</v>
      </c>
      <c r="AM301" s="117" t="s">
        <v>5645</v>
      </c>
      <c r="AN301" s="114"/>
      <c r="AO301" s="122">
        <f>IFERROR(__xludf.DUMMYFUNCTION("""COMPUTED_VALUE"""),8.0)</f>
        <v>8</v>
      </c>
      <c r="AP301" s="114" t="str">
        <f>IFERROR(__xludf.DUMMYFUNCTION("""COMPUTED_VALUE"""),"Falcon")</f>
        <v>Falcon</v>
      </c>
      <c r="AQ301" s="114" t="str">
        <f>IFERROR(__xludf.DUMMYFUNCTION("""COMPUTED_VALUE"""),"Falcon")</f>
        <v>Falcon</v>
      </c>
      <c r="AR301" s="114"/>
      <c r="AS301" s="114"/>
      <c r="AT301" s="123" t="str">
        <f>IFERROR(__xludf.DUMMYFUNCTION("""COMPUTED_VALUE"""),"https://i.postimg.cc/dtcd2Bv0/008.png")</f>
        <v>https://i.postimg.cc/dtcd2Bv0/008.png</v>
      </c>
      <c r="AU301" s="114"/>
      <c r="AV301" s="114"/>
      <c r="AW301" s="114"/>
      <c r="AX301" s="114" t="str">
        <f t="shared" si="3"/>
        <v>8 - Medal [Event] - Crafted - Falcon</v>
      </c>
      <c r="AY301" s="114" t="s">
        <v>5646</v>
      </c>
      <c r="AZ301" s="114"/>
      <c r="BA301" s="114"/>
      <c r="BB301" s="114"/>
      <c r="BC301" s="114"/>
      <c r="BD301" s="114"/>
      <c r="BE301" s="114"/>
    </row>
    <row r="302" ht="37.5" customHeight="1">
      <c r="A302" s="118" t="s">
        <v>5647</v>
      </c>
      <c r="B302" s="117" t="s">
        <v>2387</v>
      </c>
      <c r="C302" s="119">
        <f>IFERROR(__xludf.DUMMYFUNCTION("""COMPUTED_VALUE"""),41.0)</f>
        <v>41</v>
      </c>
      <c r="D302" s="114" t="str">
        <f>IFERROR(__xludf.DUMMYFUNCTION("""COMPUTED_VALUE"""),"Smoker")</f>
        <v>Smoker</v>
      </c>
      <c r="E302" s="114" t="str">
        <f>IFERROR(__xludf.DUMMYFUNCTION("""COMPUTED_VALUE"""),"")</f>
        <v/>
      </c>
      <c r="F302" s="114"/>
      <c r="G302" s="114"/>
      <c r="H302" s="114"/>
      <c r="I302" s="114"/>
      <c r="J302" s="114"/>
      <c r="K302" s="114" t="s">
        <v>5648</v>
      </c>
      <c r="L302" s="114" t="s">
        <v>5649</v>
      </c>
      <c r="M302" s="114" t="s">
        <v>5650</v>
      </c>
      <c r="N302" s="114" t="s">
        <v>5651</v>
      </c>
      <c r="O302" s="114"/>
      <c r="P302" s="120">
        <v>41.0</v>
      </c>
      <c r="Q302" s="117" t="s">
        <v>5652</v>
      </c>
      <c r="R302" s="114"/>
      <c r="S302" s="117" t="s">
        <v>2511</v>
      </c>
      <c r="T302" s="114">
        <f t="shared" si="1"/>
        <v>301</v>
      </c>
      <c r="U302" s="114" t="s">
        <v>283</v>
      </c>
      <c r="V302" s="114" t="str">
        <f>IFERROR(__xludf.DUMMYFUNCTION("REGEXREPLACE(U302, ""\n"", "" "")"),"S_Bear")</f>
        <v>S_Bear</v>
      </c>
      <c r="W302" s="114"/>
      <c r="X302" s="115" t="str">
        <f t="shared" si="2"/>
        <v>301 Seraphim - S-Bear - Medal [S_Bear]</v>
      </c>
      <c r="Y302" s="119"/>
      <c r="Z302" s="117" t="s">
        <v>5653</v>
      </c>
      <c r="AA302" s="117" t="s">
        <v>2955</v>
      </c>
      <c r="AB302" s="114"/>
      <c r="AC302" s="123" t="str">
        <f>IFERROR(__xludf.DUMMYFUNCTION("""COMPUTED_VALUE"""),"https://ik.imagekit.io/alaaalaa6171/042%20Drum%20Kingdom_Former%20Ruler%20-%20Wapol%20-%20Medal%20_Wapol_.png?updatedAt=1770076410546")</f>
        <v>https://ik.imagekit.io/alaaalaa6171/042%20Drum%20Kingdom_Former%20Ruler%20-%20Wapol%20-%20Medal%20_Wapol_.png?updatedAt=1770076410546</v>
      </c>
      <c r="AD302" s="123" t="str">
        <f>IFERROR(__xludf.DUMMYFUNCTION("""COMPUTED_VALUE"""),"https://ik.imagekit.io/alaaalaa6171/042%20Drum%20Kingdom_Former%20Ruler%20-%20Wapol%20-%20Medal%20_Wapol_%20_Colored_.png?updatedAt=1770076410522")</f>
        <v>https://ik.imagekit.io/alaaalaa6171/042%20Drum%20Kingdom_Former%20Ruler%20-%20Wapol%20-%20Medal%20_Wapol_%20_Colored_.png?updatedAt=1770076410522</v>
      </c>
      <c r="AE302" s="123" t="str">
        <f>IFERROR(__xludf.DUMMYFUNCTION("""COMPUTED_VALUE"""),"https://ik.imagekit.io/alaaalaa6171/042%20Drum%20Kingdom_Former%20Ruler%20-%20Wapol%20-%20Medal%20_Wapol_%20-%20Piece.png?updatedAt=1770076410475")</f>
        <v>https://ik.imagekit.io/alaaalaa6171/042%20Drum%20Kingdom_Former%20Ruler%20-%20Wapol%20-%20Medal%20_Wapol_%20-%20Piece.png?updatedAt=1770076410475</v>
      </c>
      <c r="AF302" s="123" t="str">
        <f>IFERROR(__xludf.DUMMYFUNCTION("""COMPUTED_VALUE"""),"https://ik.imagekit.io/alaaalaa6171/042%20Drum%20Kingdom_Former%20Ruler%20-%20Wapol%20-%20Medal%20_Wapol_%20-%20Piece%20_Colored_.png?updatedAt=1770076410517")</f>
        <v>https://ik.imagekit.io/alaaalaa6171/042%20Drum%20Kingdom_Former%20Ruler%20-%20Wapol%20-%20Medal%20_Wapol_%20-%20Piece%20_Colored_.png?updatedAt=1770076410517</v>
      </c>
      <c r="AG302" s="114"/>
      <c r="AH302" s="114"/>
      <c r="AI302" s="121" t="s">
        <v>5654</v>
      </c>
      <c r="AJ302" s="121" t="str">
        <f>IFERROR(__xludf.DUMMYFUNCTION("regexreplace(regexreplace(AI302, ""  \["", "" ""), ""\]$"", """")"),"301 - Seraphim ~ S-Bear - Medal - Crafted [Colored] - S_Bear")</f>
        <v>301 - Seraphim ~ S-Bear - Medal - Crafted [Colored] - S_Bear</v>
      </c>
      <c r="AK302" s="114"/>
      <c r="AL302" s="117" t="s">
        <v>5655</v>
      </c>
      <c r="AM302" s="117" t="s">
        <v>5656</v>
      </c>
      <c r="AN302" s="114"/>
      <c r="AO302" s="122">
        <f>IFERROR(__xludf.DUMMYFUNCTION("""COMPUTED_VALUE"""),7.0)</f>
        <v>7</v>
      </c>
      <c r="AP302" s="114" t="str">
        <f>IFERROR(__xludf.DUMMYFUNCTION("""COMPUTED_VALUE"""),"Diamond")</f>
        <v>Diamond</v>
      </c>
      <c r="AQ302" s="114" t="str">
        <f>IFERROR(__xludf.DUMMYFUNCTION("""COMPUTED_VALUE"""),"Diamond")</f>
        <v>Diamond</v>
      </c>
      <c r="AR302" s="114"/>
      <c r="AS302" s="114"/>
      <c r="AT302" s="123" t="str">
        <f>IFERROR(__xludf.DUMMYFUNCTION("""COMPUTED_VALUE"""),"https://i.postimg.cc/bN0n3tN9/007.png")</f>
        <v>https://i.postimg.cc/bN0n3tN9/007.png</v>
      </c>
      <c r="AU302" s="114"/>
      <c r="AV302" s="114"/>
      <c r="AW302" s="114"/>
      <c r="AX302" s="114" t="str">
        <f t="shared" si="3"/>
        <v>7 - Medal [Event] - Crafted - Diamond</v>
      </c>
      <c r="AY302" s="114" t="s">
        <v>5657</v>
      </c>
      <c r="AZ302" s="114"/>
      <c r="BA302" s="114"/>
      <c r="BB302" s="114"/>
      <c r="BC302" s="114"/>
      <c r="BD302" s="114"/>
      <c r="BE302" s="114"/>
    </row>
    <row r="303" ht="37.5" customHeight="1">
      <c r="A303" s="118" t="s">
        <v>5658</v>
      </c>
      <c r="B303" s="117" t="s">
        <v>2582</v>
      </c>
      <c r="C303" s="119">
        <f>IFERROR(__xludf.DUMMYFUNCTION("""COMPUTED_VALUE"""),40.0)</f>
        <v>40</v>
      </c>
      <c r="D303" s="114" t="str">
        <f>IFERROR(__xludf.DUMMYFUNCTION("""COMPUTED_VALUE"""),"Battle_Ax")</f>
        <v>Battle_Ax</v>
      </c>
      <c r="E303" s="114" t="str">
        <f>IFERROR(__xludf.DUMMYFUNCTION("""COMPUTED_VALUE"""),"")</f>
        <v/>
      </c>
      <c r="F303" s="114"/>
      <c r="G303" s="114"/>
      <c r="H303" s="114"/>
      <c r="I303" s="114"/>
      <c r="J303" s="114"/>
      <c r="K303" s="114" t="s">
        <v>5659</v>
      </c>
      <c r="L303" s="114" t="s">
        <v>5660</v>
      </c>
      <c r="M303" s="114" t="s">
        <v>5661</v>
      </c>
      <c r="N303" s="114" t="s">
        <v>5662</v>
      </c>
      <c r="O303" s="114"/>
      <c r="P303" s="120">
        <v>40.0</v>
      </c>
      <c r="Q303" s="117" t="s">
        <v>5663</v>
      </c>
      <c r="R303" s="114"/>
      <c r="S303" s="117" t="s">
        <v>2498</v>
      </c>
      <c r="T303" s="114">
        <f t="shared" si="1"/>
        <v>302</v>
      </c>
      <c r="U303" s="114" t="s">
        <v>277</v>
      </c>
      <c r="V303" s="114" t="str">
        <f>IFERROR(__xludf.DUMMYFUNCTION("REGEXREPLACE(U303, ""\n"", "" "")"),"Punk_05")</f>
        <v>Punk_05</v>
      </c>
      <c r="W303" s="114"/>
      <c r="X303" s="115" t="str">
        <f t="shared" si="2"/>
        <v>302 Punk-05 - Atlas - Medal [Punk_05]</v>
      </c>
      <c r="Y303" s="119"/>
      <c r="Z303" s="117" t="s">
        <v>5664</v>
      </c>
      <c r="AA303" s="117" t="s">
        <v>2968</v>
      </c>
      <c r="AB303" s="114"/>
      <c r="AC303" s="123" t="str">
        <f>IFERROR(__xludf.DUMMYFUNCTION("""COMPUTED_VALUE"""),"https://ik.imagekit.io/alaaalaa6171/041%20Navy%20HQ_Captain%20-%20Smoker%20-%20Medal%20_Smoker_.png?updatedAt=1770076410505")</f>
        <v>https://ik.imagekit.io/alaaalaa6171/041%20Navy%20HQ_Captain%20-%20Smoker%20-%20Medal%20_Smoker_.png?updatedAt=1770076410505</v>
      </c>
      <c r="AD303" s="123" t="str">
        <f>IFERROR(__xludf.DUMMYFUNCTION("""COMPUTED_VALUE"""),"https://ik.imagekit.io/alaaalaa6171/041%20Navy%20HQ_Captain%20-%20Smoker%20-%20Medal%20_Smoker_%20_Colored_.png?updatedAt=1770076410481")</f>
        <v>https://ik.imagekit.io/alaaalaa6171/041%20Navy%20HQ_Captain%20-%20Smoker%20-%20Medal%20_Smoker_%20_Colored_.png?updatedAt=1770076410481</v>
      </c>
      <c r="AE303" s="123" t="str">
        <f>IFERROR(__xludf.DUMMYFUNCTION("""COMPUTED_VALUE"""),"https://ik.imagekit.io/alaaalaa6171/041%20Navy%20HQ_Captain%20-%20Smoker%20-%20Medal%20_Smoker_%20-%20Piece.png?updatedAt=1770076410464")</f>
        <v>https://ik.imagekit.io/alaaalaa6171/041%20Navy%20HQ_Captain%20-%20Smoker%20-%20Medal%20_Smoker_%20-%20Piece.png?updatedAt=1770076410464</v>
      </c>
      <c r="AF303" s="123" t="str">
        <f>IFERROR(__xludf.DUMMYFUNCTION("""COMPUTED_VALUE"""),"https://ik.imagekit.io/alaaalaa6171/041%20Navy%20HQ_Captain%20-%20Smoker%20-%20Medal%20_Smoker_%20-%20Piece%20_Colored_.png?updatedAt=1770076410464")</f>
        <v>https://ik.imagekit.io/alaaalaa6171/041%20Navy%20HQ_Captain%20-%20Smoker%20-%20Medal%20_Smoker_%20-%20Piece%20_Colored_.png?updatedAt=1770076410464</v>
      </c>
      <c r="AG303" s="114"/>
      <c r="AH303" s="114"/>
      <c r="AI303" s="121" t="s">
        <v>5665</v>
      </c>
      <c r="AJ303" s="121" t="str">
        <f>IFERROR(__xludf.DUMMYFUNCTION("regexreplace(regexreplace(AI303, ""  \["", "" ""), ""\]$"", """")"),"302 - Punk-05 ~ Atlas - Medal - Crafted [Colored] - Punk_05")</f>
        <v>302 - Punk-05 ~ Atlas - Medal - Crafted [Colored] - Punk_05</v>
      </c>
      <c r="AK303" s="114"/>
      <c r="AL303" s="117" t="s">
        <v>5666</v>
      </c>
      <c r="AM303" s="117" t="s">
        <v>5667</v>
      </c>
      <c r="AN303" s="114"/>
      <c r="AO303" s="122">
        <f>IFERROR(__xludf.DUMMYFUNCTION("""COMPUTED_VALUE"""),6.0)</f>
        <v>6</v>
      </c>
      <c r="AP303" s="114" t="str">
        <f>IFERROR(__xludf.DUMMYFUNCTION("""COMPUTED_VALUE"""),"Phoenix")</f>
        <v>Phoenix</v>
      </c>
      <c r="AQ303" s="114" t="str">
        <f>IFERROR(__xludf.DUMMYFUNCTION("""COMPUTED_VALUE"""),"Phoenix")</f>
        <v>Phoenix</v>
      </c>
      <c r="AR303" s="114"/>
      <c r="AS303" s="114"/>
      <c r="AT303" s="123" t="str">
        <f>IFERROR(__xludf.DUMMYFUNCTION("""COMPUTED_VALUE"""),"https://i.postimg.cc/0y8w3yzR/006.png")</f>
        <v>https://i.postimg.cc/0y8w3yzR/006.png</v>
      </c>
      <c r="AU303" s="114"/>
      <c r="AV303" s="114"/>
      <c r="AW303" s="114"/>
      <c r="AX303" s="114" t="str">
        <f t="shared" si="3"/>
        <v>6 - Medal [Event] - Crafted - Phoenix</v>
      </c>
      <c r="AY303" s="114" t="s">
        <v>5668</v>
      </c>
      <c r="AZ303" s="114"/>
      <c r="BA303" s="114"/>
      <c r="BB303" s="114"/>
      <c r="BC303" s="114"/>
      <c r="BD303" s="114"/>
      <c r="BE303" s="114"/>
    </row>
    <row r="304" ht="37.5" customHeight="1">
      <c r="A304" s="118" t="s">
        <v>5669</v>
      </c>
      <c r="B304" s="117" t="s">
        <v>2335</v>
      </c>
      <c r="C304" s="119">
        <f>IFERROR(__xludf.DUMMYFUNCTION("""COMPUTED_VALUE"""),39.0)</f>
        <v>39</v>
      </c>
      <c r="D304" s="114" t="str">
        <f>IFERROR(__xludf.DUMMYFUNCTION("""COMPUTED_VALUE"""),"Saw")</f>
        <v>Saw</v>
      </c>
      <c r="E304" s="114" t="str">
        <f>IFERROR(__xludf.DUMMYFUNCTION("""COMPUTED_VALUE"""),"")</f>
        <v/>
      </c>
      <c r="F304" s="114"/>
      <c r="G304" s="114"/>
      <c r="H304" s="114"/>
      <c r="I304" s="114"/>
      <c r="J304" s="114"/>
      <c r="K304" s="114" t="s">
        <v>5670</v>
      </c>
      <c r="L304" s="114" t="s">
        <v>5671</v>
      </c>
      <c r="M304" s="114" t="s">
        <v>5672</v>
      </c>
      <c r="N304" s="114" t="s">
        <v>5673</v>
      </c>
      <c r="O304" s="114"/>
      <c r="P304" s="120">
        <v>39.0</v>
      </c>
      <c r="Q304" s="117" t="s">
        <v>5674</v>
      </c>
      <c r="R304" s="114"/>
      <c r="S304" s="117" t="s">
        <v>2485</v>
      </c>
      <c r="T304" s="114">
        <f t="shared" si="1"/>
        <v>303</v>
      </c>
      <c r="U304" s="114" t="s">
        <v>273</v>
      </c>
      <c r="V304" s="114" t="str">
        <f>IFERROR(__xludf.DUMMYFUNCTION("REGEXREPLACE(U304, ""\n"", "" "")"),"Punk_06")</f>
        <v>Punk_06</v>
      </c>
      <c r="W304" s="114"/>
      <c r="X304" s="115" t="str">
        <f t="shared" si="2"/>
        <v>303 Punk-06 - York - Medal [Punk_06]</v>
      </c>
      <c r="Y304" s="119"/>
      <c r="Z304" s="117" t="s">
        <v>5675</v>
      </c>
      <c r="AA304" s="117" t="s">
        <v>2970</v>
      </c>
      <c r="AB304" s="114"/>
      <c r="AC304" s="123" t="str">
        <f>IFERROR(__xludf.DUMMYFUNCTION("""COMPUTED_VALUE"""),"https://ik.imagekit.io/alaaalaa6171/040%2030%20Million%20Berry%20Bounty%20-%20Monkey%20D.%20Luffy%20-%20Medal%20_Battle_Ax_.png?updatedAt=1770076410397")</f>
        <v>https://ik.imagekit.io/alaaalaa6171/040%2030%20Million%20Berry%20Bounty%20-%20Monkey%20D.%20Luffy%20-%20Medal%20_Battle_Ax_.png?updatedAt=1770076410397</v>
      </c>
      <c r="AD304" s="123" t="str">
        <f>IFERROR(__xludf.DUMMYFUNCTION("""COMPUTED_VALUE"""),"https://ik.imagekit.io/alaaalaa6171/040%2030%20Million%20Berry%20Bounty%20-%20Monkey%20D.%20Luffy%20-%20Medal%20_Battle_Ax_%20_Colored_.png?updatedAt=1770076410433")</f>
        <v>https://ik.imagekit.io/alaaalaa6171/040%2030%20Million%20Berry%20Bounty%20-%20Monkey%20D.%20Luffy%20-%20Medal%20_Battle_Ax_%20_Colored_.png?updatedAt=1770076410433</v>
      </c>
      <c r="AE304" s="123" t="str">
        <f>IFERROR(__xludf.DUMMYFUNCTION("""COMPUTED_VALUE"""),"https://ik.imagekit.io/alaaalaa6171/040%2030%20Million%20Berry%20Bounty%20-%20Monkey%20D.%20Luffy%20-%20Medal%20_Battle_Ax_%20-%20Piece.png?updatedAt=1770076410355")</f>
        <v>https://ik.imagekit.io/alaaalaa6171/040%2030%20Million%20Berry%20Bounty%20-%20Monkey%20D.%20Luffy%20-%20Medal%20_Battle_Ax_%20-%20Piece.png?updatedAt=1770076410355</v>
      </c>
      <c r="AF304" s="123" t="str">
        <f>IFERROR(__xludf.DUMMYFUNCTION("""COMPUTED_VALUE"""),"https://ik.imagekit.io/alaaalaa6171/040%2030%20Million%20Berry%20Bounty%20-%20Monkey%20D.%20Luffy%20-%20Medal%20_Battle_Ax_%20-%20Piece%20_Colored_.png?updatedAt=1770076410338")</f>
        <v>https://ik.imagekit.io/alaaalaa6171/040%2030%20Million%20Berry%20Bounty%20-%20Monkey%20D.%20Luffy%20-%20Medal%20_Battle_Ax_%20-%20Piece%20_Colored_.png?updatedAt=1770076410338</v>
      </c>
      <c r="AG304" s="114"/>
      <c r="AH304" s="114"/>
      <c r="AI304" s="121" t="s">
        <v>5676</v>
      </c>
      <c r="AJ304" s="121" t="str">
        <f>IFERROR(__xludf.DUMMYFUNCTION("regexreplace(regexreplace(AI304, ""  \["", "" ""), ""\]$"", """")"),"303 - Punk-06 ~ York - Medal - Crafted [Colored] - Punk_06")</f>
        <v>303 - Punk-06 ~ York - Medal - Crafted [Colored] - Punk_06</v>
      </c>
      <c r="AK304" s="114"/>
      <c r="AL304" s="117" t="s">
        <v>5677</v>
      </c>
      <c r="AM304" s="117" t="s">
        <v>5678</v>
      </c>
      <c r="AN304" s="114"/>
      <c r="AO304" s="122">
        <f>IFERROR(__xludf.DUMMYFUNCTION("""COMPUTED_VALUE"""),5.0)</f>
        <v>5</v>
      </c>
      <c r="AP304" s="114" t="str">
        <f>IFERROR(__xludf.DUMMYFUNCTION("""COMPUTED_VALUE"""),"Rumble_Rumble")</f>
        <v>Rumble_Rumble</v>
      </c>
      <c r="AQ304" s="114" t="str">
        <f>IFERROR(__xludf.DUMMYFUNCTION("""COMPUTED_VALUE"""),"Rumble_Rumble")</f>
        <v>Rumble_Rumble</v>
      </c>
      <c r="AR304" s="114"/>
      <c r="AS304" s="114"/>
      <c r="AT304" s="123" t="str">
        <f>IFERROR(__xludf.DUMMYFUNCTION("""COMPUTED_VALUE"""),"https://i.postimg.cc/SxDMpb9X/005.png")</f>
        <v>https://i.postimg.cc/SxDMpb9X/005.png</v>
      </c>
      <c r="AU304" s="114"/>
      <c r="AV304" s="114"/>
      <c r="AW304" s="114"/>
      <c r="AX304" s="114" t="str">
        <f t="shared" si="3"/>
        <v>5 - Medal [Event] - Crafted - Rumble_Rumble</v>
      </c>
      <c r="AY304" s="114" t="s">
        <v>5679</v>
      </c>
      <c r="AZ304" s="114"/>
      <c r="BA304" s="114"/>
      <c r="BB304" s="114"/>
      <c r="BC304" s="114"/>
      <c r="BD304" s="114"/>
      <c r="BE304" s="114"/>
    </row>
    <row r="305" ht="37.5" customHeight="1">
      <c r="A305" s="118" t="s">
        <v>5680</v>
      </c>
      <c r="B305" s="117" t="s">
        <v>2374</v>
      </c>
      <c r="C305" s="119">
        <f>IFERROR(__xludf.DUMMYFUNCTION("""COMPUTED_VALUE"""),38.0)</f>
        <v>38</v>
      </c>
      <c r="D305" s="114" t="str">
        <f>IFERROR(__xludf.DUMMYFUNCTION("""COMPUTED_VALUE"""),"Hawk_Eye")</f>
        <v>Hawk_Eye</v>
      </c>
      <c r="E305" s="114" t="str">
        <f>IFERROR(__xludf.DUMMYFUNCTION("""COMPUTED_VALUE"""),"")</f>
        <v/>
      </c>
      <c r="F305" s="114"/>
      <c r="G305" s="114"/>
      <c r="H305" s="114"/>
      <c r="I305" s="114"/>
      <c r="J305" s="114"/>
      <c r="K305" s="114" t="s">
        <v>5681</v>
      </c>
      <c r="L305" s="114" t="s">
        <v>5682</v>
      </c>
      <c r="M305" s="114" t="s">
        <v>5683</v>
      </c>
      <c r="N305" s="114" t="s">
        <v>5684</v>
      </c>
      <c r="O305" s="114"/>
      <c r="P305" s="120">
        <v>38.0</v>
      </c>
      <c r="Q305" s="117" t="s">
        <v>5685</v>
      </c>
      <c r="R305" s="114"/>
      <c r="S305" s="117" t="s">
        <v>2472</v>
      </c>
      <c r="T305" s="114">
        <f t="shared" si="1"/>
        <v>304</v>
      </c>
      <c r="U305" s="114" t="s">
        <v>267</v>
      </c>
      <c r="V305" s="114" t="str">
        <f>IFERROR(__xludf.DUMMYFUNCTION("REGEXREPLACE(U305, ""\n"", "" "")"),"S_Shark")</f>
        <v>S_Shark</v>
      </c>
      <c r="W305" s="114"/>
      <c r="X305" s="115" t="str">
        <f t="shared" si="2"/>
        <v>304 Seraphim - S-Shark - Medal [S_Shark]</v>
      </c>
      <c r="Y305" s="119"/>
      <c r="Z305" s="117" t="s">
        <v>5686</v>
      </c>
      <c r="AA305" s="117" t="s">
        <v>2971</v>
      </c>
      <c r="AB305" s="114"/>
      <c r="AC305" s="123" t="str">
        <f>IFERROR(__xludf.DUMMYFUNCTION("""COMPUTED_VALUE"""),"https://ik.imagekit.io/alaaalaa6171/039%20Arlong%20Pirates_Captain%20-%20Arlong%20-%20Medal%20_Saw_.png?updatedAt=1770076410323")</f>
        <v>https://ik.imagekit.io/alaaalaa6171/039%20Arlong%20Pirates_Captain%20-%20Arlong%20-%20Medal%20_Saw_.png?updatedAt=1770076410323</v>
      </c>
      <c r="AD305" s="123" t="str">
        <f>IFERROR(__xludf.DUMMYFUNCTION("""COMPUTED_VALUE"""),"https://ik.imagekit.io/alaaalaa6171/039%20Arlong%20Pirates_Captain%20-%20Arlong%20-%20Medal%20_Saw_%20_Colored_.png?updatedAt=1770076410322")</f>
        <v>https://ik.imagekit.io/alaaalaa6171/039%20Arlong%20Pirates_Captain%20-%20Arlong%20-%20Medal%20_Saw_%20_Colored_.png?updatedAt=1770076410322</v>
      </c>
      <c r="AE305" s="123" t="str">
        <f>IFERROR(__xludf.DUMMYFUNCTION("""COMPUTED_VALUE"""),"https://ik.imagekit.io/alaaalaa6171/039%20Arlong%20Pirates_Captain%20-%20Arlong%20-%20Medal%20_Saw_%20-%20Piece.png?updatedAt=1770076410295")</f>
        <v>https://ik.imagekit.io/alaaalaa6171/039%20Arlong%20Pirates_Captain%20-%20Arlong%20-%20Medal%20_Saw_%20-%20Piece.png?updatedAt=1770076410295</v>
      </c>
      <c r="AF305" s="123" t="str">
        <f>IFERROR(__xludf.DUMMYFUNCTION("""COMPUTED_VALUE"""),"https://ik.imagekit.io/alaaalaa6171/039%20Arlong%20Pirates_Captain%20-%20Arlong%20-%20Medal%20_Saw_%20-%20Piece%20_Colored_.png?updatedAt=1770076410299")</f>
        <v>https://ik.imagekit.io/alaaalaa6171/039%20Arlong%20Pirates_Captain%20-%20Arlong%20-%20Medal%20_Saw_%20-%20Piece%20_Colored_.png?updatedAt=1770076410299</v>
      </c>
      <c r="AG305" s="114"/>
      <c r="AH305" s="114"/>
      <c r="AI305" s="121" t="s">
        <v>5687</v>
      </c>
      <c r="AJ305" s="121" t="str">
        <f>IFERROR(__xludf.DUMMYFUNCTION("regexreplace(regexreplace(AI305, ""  \["", "" ""), ""\]$"", """")"),"304 - Seraphim ~ S-Shark - Medal - Crafted [Colored] - S_Shark")</f>
        <v>304 - Seraphim ~ S-Shark - Medal - Crafted [Colored] - S_Shark</v>
      </c>
      <c r="AK305" s="114"/>
      <c r="AL305" s="117" t="s">
        <v>5688</v>
      </c>
      <c r="AM305" s="117" t="s">
        <v>5689</v>
      </c>
      <c r="AN305" s="114"/>
      <c r="AO305" s="122">
        <f>IFERROR(__xludf.DUMMYFUNCTION("""COMPUTED_VALUE"""),4.0)</f>
        <v>4</v>
      </c>
      <c r="AP305" s="114" t="str">
        <f>IFERROR(__xludf.DUMMYFUNCTION("""COMPUTED_VALUE"""),"Zoro
(Child)")</f>
        <v>Zoro
(Child)</v>
      </c>
      <c r="AQ305" s="114" t="str">
        <f>IFERROR(__xludf.DUMMYFUNCTION("""COMPUTED_VALUE"""),"Zoro (Child)")</f>
        <v>Zoro (Child)</v>
      </c>
      <c r="AR305" s="114"/>
      <c r="AS305" s="114"/>
      <c r="AT305" s="123" t="str">
        <f>IFERROR(__xludf.DUMMYFUNCTION("""COMPUTED_VALUE"""),"https://i.postimg.cc/zfvRz2wx/004.png")</f>
        <v>https://i.postimg.cc/zfvRz2wx/004.png</v>
      </c>
      <c r="AU305" s="114"/>
      <c r="AV305" s="114"/>
      <c r="AW305" s="114"/>
      <c r="AX305" s="114" t="str">
        <f t="shared" si="3"/>
        <v>4 - Medal [Event] - Crafted - Zoro (Child)</v>
      </c>
      <c r="AY305" s="114" t="s">
        <v>5690</v>
      </c>
      <c r="AZ305" s="114"/>
      <c r="BA305" s="114"/>
      <c r="BB305" s="114"/>
      <c r="BC305" s="114"/>
      <c r="BD305" s="114"/>
      <c r="BE305" s="114"/>
    </row>
    <row r="306" ht="37.5" customHeight="1">
      <c r="A306" s="118" t="s">
        <v>5691</v>
      </c>
      <c r="B306" s="117" t="s">
        <v>2361</v>
      </c>
      <c r="C306" s="119">
        <f>IFERROR(__xludf.DUMMYFUNCTION("""COMPUTED_VALUE"""),37.0)</f>
        <v>37</v>
      </c>
      <c r="D306" s="114" t="str">
        <f>IFERROR(__xludf.DUMMYFUNCTION("""COMPUTED_VALUE"""),"Kaya")</f>
        <v>Kaya</v>
      </c>
      <c r="E306" s="114" t="str">
        <f>IFERROR(__xludf.DUMMYFUNCTION("""COMPUTED_VALUE"""),"")</f>
        <v/>
      </c>
      <c r="F306" s="114"/>
      <c r="G306" s="114"/>
      <c r="H306" s="114"/>
      <c r="I306" s="114"/>
      <c r="J306" s="114"/>
      <c r="K306" s="114" t="s">
        <v>5692</v>
      </c>
      <c r="L306" s="114" t="s">
        <v>5693</v>
      </c>
      <c r="M306" s="114" t="s">
        <v>5694</v>
      </c>
      <c r="N306" s="114" t="s">
        <v>5695</v>
      </c>
      <c r="O306" s="114"/>
      <c r="P306" s="120">
        <v>37.0</v>
      </c>
      <c r="Q306" s="117" t="s">
        <v>5696</v>
      </c>
      <c r="R306" s="114"/>
      <c r="S306" s="117" t="s">
        <v>2459</v>
      </c>
      <c r="T306" s="114">
        <f t="shared" si="1"/>
        <v>305</v>
      </c>
      <c r="U306" s="114" t="s">
        <v>260</v>
      </c>
      <c r="V306" s="114" t="str">
        <f>IFERROR(__xludf.DUMMYFUNCTION("REGEXREPLACE(U306, ""\n"", "" "")"),"Egghead Sanji")</f>
        <v>Egghead Sanji</v>
      </c>
      <c r="W306" s="114"/>
      <c r="X306" s="115" t="str">
        <f t="shared" si="2"/>
        <v>305 Egghead - Sanji - Medal [Egghead Sanji]</v>
      </c>
      <c r="Y306" s="119"/>
      <c r="Z306" s="117" t="s">
        <v>5697</v>
      </c>
      <c r="AA306" s="117" t="s">
        <v>2969</v>
      </c>
      <c r="AB306" s="114"/>
      <c r="AC306" s="123" t="str">
        <f>IFERROR(__xludf.DUMMYFUNCTION("""COMPUTED_VALUE"""),"https://ik.imagekit.io/alaaalaa6171/038%20The%20Seven%20Warlords%20of%20the%20Sea%20-%20Dracule%20Mihawk%20-%20Medal%20_Hawk_Eye_.png?updatedAt=1770076410303")</f>
        <v>https://ik.imagekit.io/alaaalaa6171/038%20The%20Seven%20Warlords%20of%20the%20Sea%20-%20Dracule%20Mihawk%20-%20Medal%20_Hawk_Eye_.png?updatedAt=1770076410303</v>
      </c>
      <c r="AD306" s="123" t="str">
        <f>IFERROR(__xludf.DUMMYFUNCTION("""COMPUTED_VALUE"""),"https://ik.imagekit.io/alaaalaa6171/038%20The%20Seven%20Warlords%20of%20the%20Sea%20-%20Dracule%20Mihawk%20-%20Medal%20_Hawk_Eye_%20_Colored_.png?updatedAt=1770076410308")</f>
        <v>https://ik.imagekit.io/alaaalaa6171/038%20The%20Seven%20Warlords%20of%20the%20Sea%20-%20Dracule%20Mihawk%20-%20Medal%20_Hawk_Eye_%20_Colored_.png?updatedAt=1770076410308</v>
      </c>
      <c r="AE306" s="123" t="str">
        <f>IFERROR(__xludf.DUMMYFUNCTION("""COMPUTED_VALUE"""),"https://ik.imagekit.io/alaaalaa6171/038%20The%20Seven%20Warlords%20of%20the%20Sea%20-%20Dracule%20Mihawk%20-%20Medal%20_Hawk_Eye_%20-%20Piece.png?updatedAt=1770076410210")</f>
        <v>https://ik.imagekit.io/alaaalaa6171/038%20The%20Seven%20Warlords%20of%20the%20Sea%20-%20Dracule%20Mihawk%20-%20Medal%20_Hawk_Eye_%20-%20Piece.png?updatedAt=1770076410210</v>
      </c>
      <c r="AF306" s="123" t="str">
        <f>IFERROR(__xludf.DUMMYFUNCTION("""COMPUTED_VALUE"""),"https://ik.imagekit.io/alaaalaa6171/038%20The%20Seven%20Warlords%20of%20the%20Sea%20-%20Dracule%20Mihawk%20-%20Medal%20_Hawk_Eye_%20-%20Piece%20_Colored_.png?updatedAt=1770076409027")</f>
        <v>https://ik.imagekit.io/alaaalaa6171/038%20The%20Seven%20Warlords%20of%20the%20Sea%20-%20Dracule%20Mihawk%20-%20Medal%20_Hawk_Eye_%20-%20Piece%20_Colored_.png?updatedAt=1770076409027</v>
      </c>
      <c r="AG306" s="114"/>
      <c r="AH306" s="114"/>
      <c r="AI306" s="121" t="s">
        <v>5698</v>
      </c>
      <c r="AJ306" s="121" t="str">
        <f>IFERROR(__xludf.DUMMYFUNCTION("regexreplace(regexreplace(AI306, ""  \["", "" ""), ""\]$"", """")"),"305 - Egghead ~ Sanji - Medal - Crafted [Colored] - Egghead Sanji")</f>
        <v>305 - Egghead ~ Sanji - Medal - Crafted [Colored] - Egghead Sanji</v>
      </c>
      <c r="AK306" s="114"/>
      <c r="AL306" s="117" t="s">
        <v>5699</v>
      </c>
      <c r="AM306" s="117" t="s">
        <v>5700</v>
      </c>
      <c r="AN306" s="114"/>
      <c r="AO306" s="122">
        <f>IFERROR(__xludf.DUMMYFUNCTION("""COMPUTED_VALUE"""),3.0)</f>
        <v>3</v>
      </c>
      <c r="AP306" s="114" t="str">
        <f>IFERROR(__xludf.DUMMYFUNCTION("""COMPUTED_VALUE"""),"Luffy
(Child)")</f>
        <v>Luffy
(Child)</v>
      </c>
      <c r="AQ306" s="114" t="str">
        <f>IFERROR(__xludf.DUMMYFUNCTION("""COMPUTED_VALUE"""),"Luffy (Child)")</f>
        <v>Luffy (Child)</v>
      </c>
      <c r="AR306" s="114"/>
      <c r="AS306" s="114"/>
      <c r="AT306" s="123" t="str">
        <f>IFERROR(__xludf.DUMMYFUNCTION("""COMPUTED_VALUE"""),"https://i.postimg.cc/Pq7vPb2T/003.png")</f>
        <v>https://i.postimg.cc/Pq7vPb2T/003.png</v>
      </c>
      <c r="AU306" s="114"/>
      <c r="AV306" s="114"/>
      <c r="AW306" s="114"/>
      <c r="AX306" s="114" t="str">
        <f t="shared" si="3"/>
        <v>3 - Medal [Event] - Crafted - Luffy (Child)</v>
      </c>
      <c r="AY306" s="114" t="s">
        <v>5701</v>
      </c>
      <c r="AZ306" s="114"/>
      <c r="BA306" s="114"/>
      <c r="BB306" s="114"/>
      <c r="BC306" s="114"/>
      <c r="BD306" s="114"/>
      <c r="BE306" s="114"/>
    </row>
    <row r="307" ht="37.5" customHeight="1">
      <c r="A307" s="118" t="s">
        <v>5702</v>
      </c>
      <c r="B307" s="117" t="s">
        <v>2309</v>
      </c>
      <c r="C307" s="119">
        <f>IFERROR(__xludf.DUMMYFUNCTION("""COMPUTED_VALUE"""),36.0)</f>
        <v>36</v>
      </c>
      <c r="D307" s="114" t="str">
        <f>IFERROR(__xludf.DUMMYFUNCTION("""COMPUTED_VALUE"""),"Yasopp")</f>
        <v>Yasopp</v>
      </c>
      <c r="E307" s="114" t="str">
        <f>IFERROR(__xludf.DUMMYFUNCTION("""COMPUTED_VALUE"""),"")</f>
        <v/>
      </c>
      <c r="F307" s="114"/>
      <c r="G307" s="114"/>
      <c r="H307" s="114"/>
      <c r="I307" s="114"/>
      <c r="J307" s="114"/>
      <c r="K307" s="114" t="s">
        <v>5703</v>
      </c>
      <c r="L307" s="114" t="s">
        <v>5704</v>
      </c>
      <c r="M307" s="114" t="s">
        <v>5705</v>
      </c>
      <c r="N307" s="114" t="s">
        <v>5706</v>
      </c>
      <c r="O307" s="114"/>
      <c r="P307" s="120">
        <v>36.0</v>
      </c>
      <c r="Q307" s="117" t="s">
        <v>5707</v>
      </c>
      <c r="R307" s="114"/>
      <c r="S307" s="117" t="s">
        <v>2446</v>
      </c>
      <c r="T307" s="114">
        <f t="shared" si="1"/>
        <v>306</v>
      </c>
      <c r="U307" s="114" t="s">
        <v>252</v>
      </c>
      <c r="V307" s="114" t="str">
        <f>IFERROR(__xludf.DUMMYFUNCTION("REGEXREPLACE(U307, ""\n"", "" "")"),"Egghead Bonney")</f>
        <v>Egghead Bonney</v>
      </c>
      <c r="W307" s="114"/>
      <c r="X307" s="115" t="str">
        <f t="shared" si="2"/>
        <v>306 Egghead - Jewelry Bonney - Medal [Egghead Bonney]</v>
      </c>
      <c r="Y307" s="119"/>
      <c r="Z307" s="117" t="s">
        <v>5708</v>
      </c>
      <c r="AA307" s="117" t="s">
        <v>2982</v>
      </c>
      <c r="AB307" s="114"/>
      <c r="AC307" s="123" t="str">
        <f>IFERROR(__xludf.DUMMYFUNCTION("""COMPUTED_VALUE"""),"https://ik.imagekit.io/alaaalaa6171/037%20Girl%20from%20Syrub%20Village%20-%20Kaya%20-%20Medal%20_Kaya_.png?updatedAt=1770076408491")</f>
        <v>https://ik.imagekit.io/alaaalaa6171/037%20Girl%20from%20Syrub%20Village%20-%20Kaya%20-%20Medal%20_Kaya_.png?updatedAt=1770076408491</v>
      </c>
      <c r="AD307" s="123" t="str">
        <f>IFERROR(__xludf.DUMMYFUNCTION("""COMPUTED_VALUE"""),"https://ik.imagekit.io/alaaalaa6171/037%20Girl%20from%20Syrub%20Village%20-%20Kaya%20-%20Medal%20_Kaya_%20_Colored_.png?updatedAt=1770076408255")</f>
        <v>https://ik.imagekit.io/alaaalaa6171/037%20Girl%20from%20Syrub%20Village%20-%20Kaya%20-%20Medal%20_Kaya_%20_Colored_.png?updatedAt=1770076408255</v>
      </c>
      <c r="AE307" s="123" t="str">
        <f>IFERROR(__xludf.DUMMYFUNCTION("""COMPUTED_VALUE"""),"https://ik.imagekit.io/alaaalaa6171/037%20Girl%20from%20Syrub%20Village%20-%20Kaya%20-%20Medal%20_Kaya_%20-%20Piece.png?updatedAt=1770076407685")</f>
        <v>https://ik.imagekit.io/alaaalaa6171/037%20Girl%20from%20Syrub%20Village%20-%20Kaya%20-%20Medal%20_Kaya_%20-%20Piece.png?updatedAt=1770076407685</v>
      </c>
      <c r="AF307" s="123" t="str">
        <f>IFERROR(__xludf.DUMMYFUNCTION("""COMPUTED_VALUE"""),"https://ik.imagekit.io/alaaalaa6171/037%20Girl%20from%20Syrub%20Village%20-%20Kaya%20-%20Medal%20_Kaya_%20-%20Piece%20_Colored_.png?updatedAt=1770076407474")</f>
        <v>https://ik.imagekit.io/alaaalaa6171/037%20Girl%20from%20Syrub%20Village%20-%20Kaya%20-%20Medal%20_Kaya_%20-%20Piece%20_Colored_.png?updatedAt=1770076407474</v>
      </c>
      <c r="AG307" s="114"/>
      <c r="AH307" s="114"/>
      <c r="AI307" s="121" t="s">
        <v>5709</v>
      </c>
      <c r="AJ307" s="121" t="str">
        <f>IFERROR(__xludf.DUMMYFUNCTION("regexreplace(regexreplace(AI307, ""  \["", "" ""), ""\]$"", """")"),"306 - Egghead ~ Jewelry Bonney - Medal - Crafted [Colored] - Egghead Bonney")</f>
        <v>306 - Egghead ~ Jewelry Bonney - Medal - Crafted [Colored] - Egghead Bonney</v>
      </c>
      <c r="AK307" s="114"/>
      <c r="AL307" s="117" t="s">
        <v>5710</v>
      </c>
      <c r="AM307" s="117" t="s">
        <v>5711</v>
      </c>
      <c r="AN307" s="114"/>
      <c r="AO307" s="122">
        <f>IFERROR(__xludf.DUMMYFUNCTION("""COMPUTED_VALUE"""),2.0)</f>
        <v>2</v>
      </c>
      <c r="AP307" s="114" t="str">
        <f>IFERROR(__xludf.DUMMYFUNCTION("""COMPUTED_VALUE"""),"Patty")</f>
        <v>Patty</v>
      </c>
      <c r="AQ307" s="114" t="str">
        <f>IFERROR(__xludf.DUMMYFUNCTION("""COMPUTED_VALUE"""),"Patty")</f>
        <v>Patty</v>
      </c>
      <c r="AR307" s="114"/>
      <c r="AS307" s="114"/>
      <c r="AT307" s="123" t="str">
        <f>IFERROR(__xludf.DUMMYFUNCTION("""COMPUTED_VALUE"""),"https://i.postimg.cc/tTVZP1MP/002.png")</f>
        <v>https://i.postimg.cc/tTVZP1MP/002.png</v>
      </c>
      <c r="AU307" s="114"/>
      <c r="AV307" s="114"/>
      <c r="AW307" s="114"/>
      <c r="AX307" s="114" t="str">
        <f t="shared" si="3"/>
        <v>2 - Medal [Event] - Crafted - Patty</v>
      </c>
      <c r="AY307" s="114" t="s">
        <v>5712</v>
      </c>
      <c r="AZ307" s="114"/>
      <c r="BA307" s="114"/>
      <c r="BB307" s="114"/>
      <c r="BC307" s="114"/>
      <c r="BD307" s="114"/>
      <c r="BE307" s="114"/>
    </row>
    <row r="308" ht="37.5" customHeight="1">
      <c r="A308" s="118" t="s">
        <v>5713</v>
      </c>
      <c r="B308" s="117" t="s">
        <v>2348</v>
      </c>
      <c r="C308" s="119">
        <f>IFERROR(__xludf.DUMMYFUNCTION("""COMPUTED_VALUE"""),35.0)</f>
        <v>35</v>
      </c>
      <c r="D308" s="114" t="str">
        <f>IFERROR(__xludf.DUMMYFUNCTION("""COMPUTED_VALUE"""),"Shanks")</f>
        <v>Shanks</v>
      </c>
      <c r="E308" s="114" t="str">
        <f>IFERROR(__xludf.DUMMYFUNCTION("""COMPUTED_VALUE"""),"")</f>
        <v/>
      </c>
      <c r="F308" s="114"/>
      <c r="G308" s="114"/>
      <c r="H308" s="114"/>
      <c r="I308" s="114"/>
      <c r="J308" s="114"/>
      <c r="K308" s="114" t="s">
        <v>5714</v>
      </c>
      <c r="L308" s="114" t="s">
        <v>5715</v>
      </c>
      <c r="M308" s="114" t="s">
        <v>5716</v>
      </c>
      <c r="N308" s="114" t="s">
        <v>5717</v>
      </c>
      <c r="O308" s="114"/>
      <c r="P308" s="120">
        <v>35.0</v>
      </c>
      <c r="Q308" s="117" t="s">
        <v>5718</v>
      </c>
      <c r="R308" s="114"/>
      <c r="S308" s="117" t="s">
        <v>2433</v>
      </c>
      <c r="T308" s="114">
        <f t="shared" si="1"/>
        <v>307</v>
      </c>
      <c r="U308" s="114" t="s">
        <v>246</v>
      </c>
      <c r="V308" s="114" t="str">
        <f>IFERROR(__xludf.DUMMYFUNCTION("REGEXREPLACE(U308, ""\n"", "" "")"),"Lt. Commander Helmeppo")</f>
        <v>Lt. Commander Helmeppo</v>
      </c>
      <c r="W308" s="114"/>
      <c r="X308" s="115" t="str">
        <f t="shared" si="2"/>
        <v>307 Navy HQ / Lt. Commander - Helmeppo - Medal [Lt. Commander Helmeppo]</v>
      </c>
      <c r="Y308" s="119"/>
      <c r="Z308" s="117" t="s">
        <v>5719</v>
      </c>
      <c r="AA308" s="117" t="s">
        <v>2984</v>
      </c>
      <c r="AB308" s="114"/>
      <c r="AC308" s="123" t="str">
        <f>IFERROR(__xludf.DUMMYFUNCTION("""COMPUTED_VALUE"""),"https://ik.imagekit.io/alaaalaa6171/036%20Red-Haired%20Pirates_Sharp%20Shooter%20-%20Yasopp%20-%20Medal%20_Yasopp_.png?updatedAt=1770076407212")</f>
        <v>https://ik.imagekit.io/alaaalaa6171/036%20Red-Haired%20Pirates_Sharp%20Shooter%20-%20Yasopp%20-%20Medal%20_Yasopp_.png?updatedAt=1770076407212</v>
      </c>
      <c r="AD308" s="123" t="str">
        <f>IFERROR(__xludf.DUMMYFUNCTION("""COMPUTED_VALUE"""),"https://ik.imagekit.io/alaaalaa6171/036%20Red-Haired%20Pirates_Sharp%20Shooter%20-%20Yasopp%20-%20Medal%20_Yasopp_%20_Colored_.png?updatedAt=1770076407171")</f>
        <v>https://ik.imagekit.io/alaaalaa6171/036%20Red-Haired%20Pirates_Sharp%20Shooter%20-%20Yasopp%20-%20Medal%20_Yasopp_%20_Colored_.png?updatedAt=1770076407171</v>
      </c>
      <c r="AE308" s="123" t="str">
        <f>IFERROR(__xludf.DUMMYFUNCTION("""COMPUTED_VALUE"""),"https://ik.imagekit.io/alaaalaa6171/036%20Red-Haired%20Pirates_Sharp%20Shooter%20-%20Yasopp%20-%20Medal%20_Yasopp_%20-%20Piece.png?updatedAt=1770076407123")</f>
        <v>https://ik.imagekit.io/alaaalaa6171/036%20Red-Haired%20Pirates_Sharp%20Shooter%20-%20Yasopp%20-%20Medal%20_Yasopp_%20-%20Piece.png?updatedAt=1770076407123</v>
      </c>
      <c r="AF308" s="123" t="str">
        <f>IFERROR(__xludf.DUMMYFUNCTION("""COMPUTED_VALUE"""),"https://ik.imagekit.io/alaaalaa6171/036%20Red-Haired%20Pirates_Sharp%20Shooter%20-%20Yasopp%20-%20Medal%20_Yasopp_%20-%20Piece%20_Colored_.png?updatedAt=1770076406986")</f>
        <v>https://ik.imagekit.io/alaaalaa6171/036%20Red-Haired%20Pirates_Sharp%20Shooter%20-%20Yasopp%20-%20Medal%20_Yasopp_%20-%20Piece%20_Colored_.png?updatedAt=1770076406986</v>
      </c>
      <c r="AG308" s="114"/>
      <c r="AH308" s="114"/>
      <c r="AI308" s="121" t="s">
        <v>5720</v>
      </c>
      <c r="AJ308" s="121" t="str">
        <f>IFERROR(__xludf.DUMMYFUNCTION("regexreplace(regexreplace(AI308, ""  \["", "" ""), ""\]$"", """")"),"307 - Navy HQ_Lt. Commander ~ Helmeppo - Medal - Crafted [Colored] - Lt. Commander Helmeppo")</f>
        <v>307 - Navy HQ_Lt. Commander ~ Helmeppo - Medal - Crafted [Colored] - Lt. Commander Helmeppo</v>
      </c>
      <c r="AK308" s="114"/>
      <c r="AL308" s="117" t="s">
        <v>5721</v>
      </c>
      <c r="AM308" s="117" t="s">
        <v>5722</v>
      </c>
      <c r="AN308" s="114"/>
      <c r="AO308" s="125">
        <f>IFERROR(__xludf.DUMMYFUNCTION("""COMPUTED_VALUE"""),1.0)</f>
        <v>1</v>
      </c>
      <c r="AP308" s="114" t="str">
        <f>IFERROR(__xludf.DUMMYFUNCTION("""COMPUTED_VALUE"""),"Mohji")</f>
        <v>Mohji</v>
      </c>
      <c r="AQ308" s="114" t="str">
        <f>IFERROR(__xludf.DUMMYFUNCTION("""COMPUTED_VALUE"""),"Mohji")</f>
        <v>Mohji</v>
      </c>
      <c r="AR308" s="114"/>
      <c r="AS308" s="114"/>
      <c r="AT308" s="123" t="str">
        <f>IFERROR(__xludf.DUMMYFUNCTION("""COMPUTED_VALUE"""),"https://i.postimg.cc/prb9B2wS/001.png")</f>
        <v>https://i.postimg.cc/prb9B2wS/001.png</v>
      </c>
      <c r="AU308" s="114"/>
      <c r="AV308" s="114"/>
      <c r="AW308" s="114"/>
      <c r="AX308" s="114" t="str">
        <f t="shared" si="3"/>
        <v>1 - Medal [Event] - Crafted - Mohji</v>
      </c>
      <c r="AY308" s="114" t="s">
        <v>5723</v>
      </c>
      <c r="AZ308" s="114"/>
      <c r="BA308" s="114"/>
      <c r="BB308" s="114"/>
      <c r="BC308" s="114"/>
      <c r="BD308" s="114"/>
      <c r="BE308" s="114"/>
    </row>
    <row r="309" ht="37.5" customHeight="1">
      <c r="A309" s="118" t="s">
        <v>5724</v>
      </c>
      <c r="B309" s="117" t="s">
        <v>2530</v>
      </c>
      <c r="C309" s="119">
        <f>IFERROR(__xludf.DUMMYFUNCTION("""COMPUTED_VALUE"""),34.0)</f>
        <v>34</v>
      </c>
      <c r="D309" s="114" t="str">
        <f>IFERROR(__xludf.DUMMYFUNCTION("""COMPUTED_VALUE"""),"Lion Song")</f>
        <v>Lion Song</v>
      </c>
      <c r="E309" s="114" t="str">
        <f>IFERROR(__xludf.DUMMYFUNCTION("""COMPUTED_VALUE"""),"")</f>
        <v/>
      </c>
      <c r="F309" s="114"/>
      <c r="G309" s="114"/>
      <c r="H309" s="114"/>
      <c r="I309" s="114"/>
      <c r="J309" s="114"/>
      <c r="K309" s="114" t="s">
        <v>5725</v>
      </c>
      <c r="L309" s="114" t="s">
        <v>5726</v>
      </c>
      <c r="M309" s="114" t="s">
        <v>5727</v>
      </c>
      <c r="N309" s="114" t="s">
        <v>5728</v>
      </c>
      <c r="O309" s="114"/>
      <c r="P309" s="120">
        <v>34.0</v>
      </c>
      <c r="Q309" s="117" t="s">
        <v>5729</v>
      </c>
      <c r="R309" s="114"/>
      <c r="S309" s="117" t="s">
        <v>2420</v>
      </c>
      <c r="T309" s="114">
        <f t="shared" si="1"/>
        <v>308</v>
      </c>
      <c r="U309" s="114" t="s">
        <v>239</v>
      </c>
      <c r="V309" s="114" t="str">
        <f>IFERROR(__xludf.DUMMYFUNCTION("REGEXREPLACE(U309, ""\n"", "" "")"),"Galaxy Impact")</f>
        <v>Galaxy Impact</v>
      </c>
      <c r="W309" s="114"/>
      <c r="X309" s="115" t="str">
        <f t="shared" si="2"/>
        <v>308 Legendary Hero - Monkey D. Garp - Medal [Galaxy Impact]</v>
      </c>
      <c r="Y309" s="119"/>
      <c r="Z309" s="117" t="s">
        <v>5730</v>
      </c>
      <c r="AA309" s="117" t="s">
        <v>2985</v>
      </c>
      <c r="AB309" s="114"/>
      <c r="AC309" s="123" t="str">
        <f>IFERROR(__xludf.DUMMYFUNCTION("""COMPUTED_VALUE"""),"https://ik.imagekit.io/alaaalaa6171/035%20Red-Haired%20Pirates_Captain%20-%20Shanks%20-%20Medal%20_Shanks_.png?updatedAt=1770076406868")</f>
        <v>https://ik.imagekit.io/alaaalaa6171/035%20Red-Haired%20Pirates_Captain%20-%20Shanks%20-%20Medal%20_Shanks_.png?updatedAt=1770076406868</v>
      </c>
      <c r="AD309" s="123" t="str">
        <f>IFERROR(__xludf.DUMMYFUNCTION("""COMPUTED_VALUE"""),"https://ik.imagekit.io/alaaalaa6171/035%20Red-Haired%20Pirates_Captain%20-%20Shanks%20-%20Medal%20_Shanks_%20_Colored_.png?updatedAt=1770076406622")</f>
        <v>https://ik.imagekit.io/alaaalaa6171/035%20Red-Haired%20Pirates_Captain%20-%20Shanks%20-%20Medal%20_Shanks_%20_Colored_.png?updatedAt=1770076406622</v>
      </c>
      <c r="AE309" s="123" t="str">
        <f>IFERROR(__xludf.DUMMYFUNCTION("""COMPUTED_VALUE"""),"https://ik.imagekit.io/alaaalaa6171/035%20Red-Haired%20Pirates_Captain%20-%20Shanks%20-%20Medal%20_Shanks_%20-%20Piece.png?updatedAt=1770076405151")</f>
        <v>https://ik.imagekit.io/alaaalaa6171/035%20Red-Haired%20Pirates_Captain%20-%20Shanks%20-%20Medal%20_Shanks_%20-%20Piece.png?updatedAt=1770076405151</v>
      </c>
      <c r="AF309" s="123" t="str">
        <f>IFERROR(__xludf.DUMMYFUNCTION("""COMPUTED_VALUE"""),"https://ik.imagekit.io/alaaalaa6171/035%20Red-Haired%20Pirates_Captain%20-%20Shanks%20-%20Medal%20_Shanks_%20-%20Piece%20_Colored_.png?updatedAt=1770076405203")</f>
        <v>https://ik.imagekit.io/alaaalaa6171/035%20Red-Haired%20Pirates_Captain%20-%20Shanks%20-%20Medal%20_Shanks_%20-%20Piece%20_Colored_.png?updatedAt=1770076405203</v>
      </c>
      <c r="AG309" s="114"/>
      <c r="AH309" s="114"/>
      <c r="AI309" s="121" t="s">
        <v>5731</v>
      </c>
      <c r="AJ309" s="121" t="str">
        <f>IFERROR(__xludf.DUMMYFUNCTION("regexreplace(regexreplace(AI309, ""  \["", "" ""), ""\]$"", """")"),"308 - Legendary Hero ~ Monkey D. Garp - Medal - Crafted [Colored] - Galaxy Impact")</f>
        <v>308 - Legendary Hero ~ Monkey D. Garp - Medal - Crafted [Colored] - Galaxy Impact</v>
      </c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4"/>
      <c r="AZ309" s="114"/>
      <c r="BA309" s="114"/>
      <c r="BB309" s="114"/>
      <c r="BC309" s="114"/>
      <c r="BD309" s="114"/>
      <c r="BE309" s="114"/>
    </row>
    <row r="310" ht="37.5" customHeight="1">
      <c r="A310" s="118" t="s">
        <v>5732</v>
      </c>
      <c r="B310" s="117" t="s">
        <v>2504</v>
      </c>
      <c r="C310" s="119">
        <f>IFERROR(__xludf.DUMMYFUNCTION("""COMPUTED_VALUE"""),33.0)</f>
        <v>33</v>
      </c>
      <c r="D310" s="114" t="str">
        <f>IFERROR(__xludf.DUMMYFUNCTION("""COMPUTED_VALUE"""),"Veau")</f>
        <v>Veau</v>
      </c>
      <c r="E310" s="114" t="str">
        <f>IFERROR(__xludf.DUMMYFUNCTION("""COMPUTED_VALUE"""),"")</f>
        <v/>
      </c>
      <c r="F310" s="114"/>
      <c r="G310" s="114"/>
      <c r="H310" s="114"/>
      <c r="I310" s="114"/>
      <c r="J310" s="114"/>
      <c r="K310" s="114" t="s">
        <v>5733</v>
      </c>
      <c r="L310" s="114" t="s">
        <v>5734</v>
      </c>
      <c r="M310" s="114" t="s">
        <v>5735</v>
      </c>
      <c r="N310" s="114" t="s">
        <v>5736</v>
      </c>
      <c r="O310" s="114"/>
      <c r="P310" s="120">
        <v>33.0</v>
      </c>
      <c r="Q310" s="117" t="s">
        <v>5737</v>
      </c>
      <c r="R310" s="114"/>
      <c r="S310" s="117" t="s">
        <v>2407</v>
      </c>
      <c r="T310" s="114">
        <f t="shared" si="1"/>
        <v>309</v>
      </c>
      <c r="U310" s="114" t="s">
        <v>232</v>
      </c>
      <c r="V310" s="114" t="str">
        <f>IFERROR(__xludf.DUMMYFUNCTION("REGEXREPLACE(U310, ""\n"", "" "")"),"The Future of the Navy")</f>
        <v>The Future of the Navy</v>
      </c>
      <c r="W310" s="114"/>
      <c r="X310" s="115" t="str">
        <f t="shared" si="2"/>
        <v>309 Navy HQ / Captain - Koby - Medal [The Future of the Navy]</v>
      </c>
      <c r="Y310" s="119"/>
      <c r="Z310" s="117" t="s">
        <v>5738</v>
      </c>
      <c r="AA310" s="117" t="s">
        <v>2983</v>
      </c>
      <c r="AB310" s="114"/>
      <c r="AC310" s="123" t="str">
        <f>IFERROR(__xludf.DUMMYFUNCTION("""COMPUTED_VALUE"""),"https://ik.imagekit.io/alaaalaa6171/034%20Obe-Sword%20Style%20Iai%20Lion%20Song%20-%20Roronoa%20Zoro%20-%20Medal%20_Lion%20Song_.png?updatedAt=1770076405225")</f>
        <v>https://ik.imagekit.io/alaaalaa6171/034%20Obe-Sword%20Style%20Iai%20Lion%20Song%20-%20Roronoa%20Zoro%20-%20Medal%20_Lion%20Song_.png?updatedAt=1770076405225</v>
      </c>
      <c r="AD310" s="123" t="str">
        <f>IFERROR(__xludf.DUMMYFUNCTION("""COMPUTED_VALUE"""),"https://ik.imagekit.io/alaaalaa6171/034%20Obe-Sword%20Style%20Iai%20Lion%20Song%20-%20Roronoa%20Zoro%20-%20Medal%20_Lion%20Song_%20_Colored_.png?updatedAt=1770076405279")</f>
        <v>https://ik.imagekit.io/alaaalaa6171/034%20Obe-Sword%20Style%20Iai%20Lion%20Song%20-%20Roronoa%20Zoro%20-%20Medal%20_Lion%20Song_%20_Colored_.png?updatedAt=1770076405279</v>
      </c>
      <c r="AE310" s="123" t="str">
        <f>IFERROR(__xludf.DUMMYFUNCTION("""COMPUTED_VALUE"""),"https://ik.imagekit.io/alaaalaa6171/034%20Obe-Sword%20Style%20Iai%20Lion%20Song%20-%20Roronoa%20Zoro%20-%20Medal%20_Lion%20Song_%20-%20Piece.png?updatedAt=1770076405073")</f>
        <v>https://ik.imagekit.io/alaaalaa6171/034%20Obe-Sword%20Style%20Iai%20Lion%20Song%20-%20Roronoa%20Zoro%20-%20Medal%20_Lion%20Song_%20-%20Piece.png?updatedAt=1770076405073</v>
      </c>
      <c r="AF310" s="123" t="str">
        <f>IFERROR(__xludf.DUMMYFUNCTION("""COMPUTED_VALUE"""),"https://ik.imagekit.io/alaaalaa6171/034%20Obe-Sword%20Style%20Iai%20Lion%20Song%20-%20Roronoa%20Zoro%20-%20Medal%20_Lion%20Song_%20-%20Piece%20_Colored_.png?updatedAt=1770076405020")</f>
        <v>https://ik.imagekit.io/alaaalaa6171/034%20Obe-Sword%20Style%20Iai%20Lion%20Song%20-%20Roronoa%20Zoro%20-%20Medal%20_Lion%20Song_%20-%20Piece%20_Colored_.png?updatedAt=1770076405020</v>
      </c>
      <c r="AG310" s="114"/>
      <c r="AH310" s="114"/>
      <c r="AI310" s="121" t="s">
        <v>5739</v>
      </c>
      <c r="AJ310" s="121" t="str">
        <f>IFERROR(__xludf.DUMMYFUNCTION("regexreplace(regexreplace(AI310, ""  \["", "" ""), ""\]$"", """")"),"309 - Navy HQ_Captain ~ Koby - Medal - Crafted [Colored] - The Future of the Navy")</f>
        <v>309 - Navy HQ_Captain ~ Koby - Medal - Crafted [Colored] - The Future of the Navy</v>
      </c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4"/>
      <c r="AZ310" s="114"/>
      <c r="BA310" s="114"/>
      <c r="BB310" s="114"/>
      <c r="BC310" s="114"/>
      <c r="BD310" s="114"/>
      <c r="BE310" s="114"/>
    </row>
    <row r="311" ht="37.5" customHeight="1">
      <c r="A311" s="118" t="s">
        <v>5740</v>
      </c>
      <c r="B311" s="117" t="s">
        <v>2491</v>
      </c>
      <c r="C311" s="119">
        <f>IFERROR(__xludf.DUMMYFUNCTION("""COMPUTED_VALUE"""),32.0)</f>
        <v>32</v>
      </c>
      <c r="D311" s="114" t="str">
        <f>IFERROR(__xludf.DUMMYFUNCTION("""COMPUTED_VALUE"""),"Pound")</f>
        <v>Pound</v>
      </c>
      <c r="E311" s="114" t="str">
        <f>IFERROR(__xludf.DUMMYFUNCTION("""COMPUTED_VALUE"""),"")</f>
        <v/>
      </c>
      <c r="F311" s="114"/>
      <c r="G311" s="114"/>
      <c r="H311" s="114"/>
      <c r="I311" s="114"/>
      <c r="J311" s="114"/>
      <c r="K311" s="114" t="s">
        <v>5741</v>
      </c>
      <c r="L311" s="114" t="s">
        <v>5742</v>
      </c>
      <c r="M311" s="114" t="s">
        <v>5743</v>
      </c>
      <c r="N311" s="114" t="s">
        <v>5744</v>
      </c>
      <c r="O311" s="114"/>
      <c r="P311" s="120">
        <v>32.0</v>
      </c>
      <c r="Q311" s="117" t="s">
        <v>5745</v>
      </c>
      <c r="R311" s="114"/>
      <c r="S311" s="117" t="s">
        <v>2394</v>
      </c>
      <c r="T311" s="114">
        <f t="shared" si="1"/>
        <v>310</v>
      </c>
      <c r="U311" s="114" t="s">
        <v>225</v>
      </c>
      <c r="V311" s="114" t="str">
        <f>IFERROR(__xludf.DUMMYFUNCTION("REGEXREPLACE(U311, ""\n"", "" "")"),"Former Senior Apprentice")</f>
        <v>Former Senior Apprentice</v>
      </c>
      <c r="W311" s="114"/>
      <c r="X311" s="115" t="str">
        <f t="shared" si="2"/>
        <v>310 Blackbeard Pirates - Kuzan - Medal [Former Senior Apprentice]</v>
      </c>
      <c r="Y311" s="119"/>
      <c r="Z311" s="117" t="s">
        <v>5746</v>
      </c>
      <c r="AA311" s="117" t="s">
        <v>2995</v>
      </c>
      <c r="AB311" s="114"/>
      <c r="AC311" s="123" t="str">
        <f>IFERROR(__xludf.DUMMYFUNCTION("""COMPUTED_VALUE"""),"https://ik.imagekit.io/alaaalaa6171/033%20Veau%20Vengeance%20-%20Sanji%20-%20Medal%20_Veau_.png?updatedAt=1770076405503")</f>
        <v>https://ik.imagekit.io/alaaalaa6171/033%20Veau%20Vengeance%20-%20Sanji%20-%20Medal%20_Veau_.png?updatedAt=1770076405503</v>
      </c>
      <c r="AD311" s="123" t="str">
        <f>IFERROR(__xludf.DUMMYFUNCTION("""COMPUTED_VALUE"""),"https://ik.imagekit.io/alaaalaa6171/033%20Veau%20Vengeance%20-%20Sanji%20-%20Medal%20_Veau_%20_Colored_.png?updatedAt=1770076405372")</f>
        <v>https://ik.imagekit.io/alaaalaa6171/033%20Veau%20Vengeance%20-%20Sanji%20-%20Medal%20_Veau_%20_Colored_.png?updatedAt=1770076405372</v>
      </c>
      <c r="AE311" s="123" t="str">
        <f>IFERROR(__xludf.DUMMYFUNCTION("""COMPUTED_VALUE"""),"https://ik.imagekit.io/alaaalaa6171/033%20Veau%20Vengeance%20-%20Sanji%20-%20Medal%20_Veau_%20-%20Piece.png?updatedAt=1770076405041")</f>
        <v>https://ik.imagekit.io/alaaalaa6171/033%20Veau%20Vengeance%20-%20Sanji%20-%20Medal%20_Veau_%20-%20Piece.png?updatedAt=1770076405041</v>
      </c>
      <c r="AF311" s="123" t="str">
        <f>IFERROR(__xludf.DUMMYFUNCTION("""COMPUTED_VALUE"""),"https://ik.imagekit.io/alaaalaa6171/033%20Veau%20Vengeance%20-%20Sanji%20-%20Medal%20_Veau_%20-%20Piece%20_Colored_.png?updatedAt=1770076405556")</f>
        <v>https://ik.imagekit.io/alaaalaa6171/033%20Veau%20Vengeance%20-%20Sanji%20-%20Medal%20_Veau_%20-%20Piece%20_Colored_.png?updatedAt=1770076405556</v>
      </c>
      <c r="AG311" s="114"/>
      <c r="AH311" s="114"/>
      <c r="AI311" s="121" t="s">
        <v>5747</v>
      </c>
      <c r="AJ311" s="121" t="str">
        <f>IFERROR(__xludf.DUMMYFUNCTION("regexreplace(regexreplace(AI311, ""  \["", "" ""), ""\]$"", """")"),"310 - Blackbeard Pirates ~ Kuzan - Medal - Crafted [Colored] - Former Senior Apprentice")</f>
        <v>310 - Blackbeard Pirates ~ Kuzan - Medal - Crafted [Colored] - Former Senior Apprentice</v>
      </c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4"/>
      <c r="AZ311" s="114"/>
      <c r="BA311" s="114"/>
      <c r="BB311" s="114"/>
      <c r="BC311" s="114"/>
      <c r="BD311" s="114"/>
      <c r="BE311" s="114"/>
    </row>
    <row r="312" ht="37.5" customHeight="1">
      <c r="A312" s="118" t="s">
        <v>5748</v>
      </c>
      <c r="B312" s="117" t="s">
        <v>2517</v>
      </c>
      <c r="C312" s="119">
        <f>IFERROR(__xludf.DUMMYFUNCTION("""COMPUTED_VALUE"""),31.0)</f>
        <v>31</v>
      </c>
      <c r="D312" s="114" t="str">
        <f>IFERROR(__xludf.DUMMYFUNCTION("""COMPUTED_VALUE"""),"Climate Baton")</f>
        <v>Climate Baton</v>
      </c>
      <c r="E312" s="114" t="str">
        <f>IFERROR(__xludf.DUMMYFUNCTION("""COMPUTED_VALUE"""),"")</f>
        <v/>
      </c>
      <c r="F312" s="114"/>
      <c r="G312" s="114"/>
      <c r="H312" s="114"/>
      <c r="I312" s="114"/>
      <c r="J312" s="114"/>
      <c r="K312" s="114" t="s">
        <v>5749</v>
      </c>
      <c r="L312" s="114" t="s">
        <v>5750</v>
      </c>
      <c r="M312" s="114" t="s">
        <v>5751</v>
      </c>
      <c r="N312" s="114" t="s">
        <v>5752</v>
      </c>
      <c r="O312" s="114"/>
      <c r="P312" s="120">
        <v>31.0</v>
      </c>
      <c r="Q312" s="117" t="s">
        <v>5753</v>
      </c>
      <c r="R312" s="114"/>
      <c r="S312" s="117" t="s">
        <v>2381</v>
      </c>
      <c r="T312" s="114">
        <f t="shared" si="1"/>
        <v>311</v>
      </c>
      <c r="U312" s="114" t="s">
        <v>219</v>
      </c>
      <c r="V312" s="114" t="str">
        <f>IFERROR(__xludf.DUMMYFUNCTION("REGEXREPLACE(U312, ""\n"", "" "")"),"Revolutionary Army Female Solider")</f>
        <v>Revolutionary Army Female Solider</v>
      </c>
      <c r="W312" s="114"/>
      <c r="X312" s="115" t="str">
        <f t="shared" si="2"/>
        <v>311 Assistant Fish-Man Karate Master - Koala - Medal [Revolutionary Army Female Solider]</v>
      </c>
      <c r="Y312" s="119"/>
      <c r="Z312" s="117" t="s">
        <v>5754</v>
      </c>
      <c r="AA312" s="117" t="s">
        <v>2997</v>
      </c>
      <c r="AB312" s="114"/>
      <c r="AC312" s="123" t="str">
        <f>IFERROR(__xludf.DUMMYFUNCTION("""COMPUTED_VALUE"""),"https://ik.imagekit.io/alaaalaa6171/032%205t%20Hammer%20-%20Usopp%20-%20Medal%20_Pound_.png?updatedAt=1770076405165")</f>
        <v>https://ik.imagekit.io/alaaalaa6171/032%205t%20Hammer%20-%20Usopp%20-%20Medal%20_Pound_.png?updatedAt=1770076405165</v>
      </c>
      <c r="AD312" s="123" t="str">
        <f>IFERROR(__xludf.DUMMYFUNCTION("""COMPUTED_VALUE"""),"https://ik.imagekit.io/alaaalaa6171/032%205t%20Hammer%20-%20Usopp%20-%20Medal%20_Pound_%20_Colored_.png?updatedAt=1770076405456")</f>
        <v>https://ik.imagekit.io/alaaalaa6171/032%205t%20Hammer%20-%20Usopp%20-%20Medal%20_Pound_%20_Colored_.png?updatedAt=1770076405456</v>
      </c>
      <c r="AE312" s="123" t="str">
        <f>IFERROR(__xludf.DUMMYFUNCTION("""COMPUTED_VALUE"""),"https://ik.imagekit.io/alaaalaa6171/032%205t%20Hammer%20-%20Usopp%20-%20Medal%20_Pound_%20-%20Piece.png?updatedAt=1770076404980")</f>
        <v>https://ik.imagekit.io/alaaalaa6171/032%205t%20Hammer%20-%20Usopp%20-%20Medal%20_Pound_%20-%20Piece.png?updatedAt=1770076404980</v>
      </c>
      <c r="AF312" s="123" t="str">
        <f>IFERROR(__xludf.DUMMYFUNCTION("""COMPUTED_VALUE"""),"https://ik.imagekit.io/alaaalaa6171/032%205t%20Hammer%20-%20Usopp%20-%20Medal%20_Pound_%20-%20Piece%20_Colored_.png?updatedAt=1770076405421")</f>
        <v>https://ik.imagekit.io/alaaalaa6171/032%205t%20Hammer%20-%20Usopp%20-%20Medal%20_Pound_%20-%20Piece%20_Colored_.png?updatedAt=1770076405421</v>
      </c>
      <c r="AG312" s="114"/>
      <c r="AH312" s="114"/>
      <c r="AI312" s="121" t="s">
        <v>5755</v>
      </c>
      <c r="AJ312" s="121" t="str">
        <f>IFERROR(__xludf.DUMMYFUNCTION("regexreplace(regexreplace(AI312, ""  \["", "" ""), ""\]$"", """")"),"311 - Assistant Fish-Man Karate Master ~ Koala - Medal - Crafted [Colored] - Revolutionary Army Female Solider")</f>
        <v>311 - Assistant Fish-Man Karate Master ~ Koala - Medal - Crafted [Colored] - Revolutionary Army Female Solider</v>
      </c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4"/>
      <c r="AZ312" s="114"/>
      <c r="BA312" s="114"/>
      <c r="BB312" s="114"/>
      <c r="BC312" s="114"/>
      <c r="BD312" s="114"/>
      <c r="BE312" s="114"/>
    </row>
    <row r="313" ht="37.5" customHeight="1">
      <c r="A313" s="118" t="s">
        <v>5756</v>
      </c>
      <c r="B313" s="117" t="s">
        <v>2400</v>
      </c>
      <c r="C313" s="119">
        <f>IFERROR(__xludf.DUMMYFUNCTION("""COMPUTED_VALUE"""),30.0)</f>
        <v>30</v>
      </c>
      <c r="D313" s="114" t="str">
        <f>IFERROR(__xludf.DUMMYFUNCTION("""COMPUTED_VALUE"""),"Ms. Wednesday")</f>
        <v>Ms. Wednesday</v>
      </c>
      <c r="E313" s="114" t="str">
        <f>IFERROR(__xludf.DUMMYFUNCTION("""COMPUTED_VALUE"""),"")</f>
        <v/>
      </c>
      <c r="F313" s="114"/>
      <c r="G313" s="114"/>
      <c r="H313" s="114"/>
      <c r="I313" s="114"/>
      <c r="J313" s="114"/>
      <c r="K313" s="114" t="s">
        <v>5757</v>
      </c>
      <c r="L313" s="114" t="s">
        <v>5758</v>
      </c>
      <c r="M313" s="114" t="s">
        <v>5759</v>
      </c>
      <c r="N313" s="114" t="s">
        <v>5760</v>
      </c>
      <c r="O313" s="114"/>
      <c r="P313" s="120">
        <v>30.0</v>
      </c>
      <c r="Q313" s="117" t="s">
        <v>5761</v>
      </c>
      <c r="R313" s="114"/>
      <c r="S313" s="117" t="s">
        <v>2368</v>
      </c>
      <c r="T313" s="114">
        <f t="shared" si="1"/>
        <v>312</v>
      </c>
      <c r="U313" s="114" t="s">
        <v>211</v>
      </c>
      <c r="V313" s="114" t="str">
        <f>IFERROR(__xludf.DUMMYFUNCTION("REGEXREPLACE(U313, ""\n"", "" "")"),"Rock Check")</f>
        <v>Rock Check</v>
      </c>
      <c r="W313" s="114"/>
      <c r="X313" s="115" t="str">
        <f t="shared" si="2"/>
        <v>312 Flame Emperor - Sabo - Medal [Rock Check]</v>
      </c>
      <c r="Y313" s="119"/>
      <c r="Z313" s="117" t="s">
        <v>5762</v>
      </c>
      <c r="AA313" s="117" t="s">
        <v>2998</v>
      </c>
      <c r="AB313" s="114"/>
      <c r="AC313" s="123" t="str">
        <f>IFERROR(__xludf.DUMMYFUNCTION("""COMPUTED_VALUE"""),"https://ik.imagekit.io/alaaalaa6171/031%20Climate%20Baton%20-%20Nami%20-%20Medal%20_Climate%20Baton_.png?updatedAt=1770076405440")</f>
        <v>https://ik.imagekit.io/alaaalaa6171/031%20Climate%20Baton%20-%20Nami%20-%20Medal%20_Climate%20Baton_.png?updatedAt=1770076405440</v>
      </c>
      <c r="AD313" s="123" t="str">
        <f>IFERROR(__xludf.DUMMYFUNCTION("""COMPUTED_VALUE"""),"https://ik.imagekit.io/alaaalaa6171/031%20Climate%20Baton%20-%20Nami%20-%20Medal%20_Climate%20Baton_%20_Colored_.png?updatedAt=1770076405605")</f>
        <v>https://ik.imagekit.io/alaaalaa6171/031%20Climate%20Baton%20-%20Nami%20-%20Medal%20_Climate%20Baton_%20_Colored_.png?updatedAt=1770076405605</v>
      </c>
      <c r="AE313" s="123" t="str">
        <f>IFERROR(__xludf.DUMMYFUNCTION("""COMPUTED_VALUE"""),"https://ik.imagekit.io/alaaalaa6171/031%20Climate%20Baton%20-%20Nami%20-%20Medal%20_Climate%20Baton_%20-%20Piece.png?updatedAt=1770076405277")</f>
        <v>https://ik.imagekit.io/alaaalaa6171/031%20Climate%20Baton%20-%20Nami%20-%20Medal%20_Climate%20Baton_%20-%20Piece.png?updatedAt=1770076405277</v>
      </c>
      <c r="AF313" s="123" t="str">
        <f>IFERROR(__xludf.DUMMYFUNCTION("""COMPUTED_VALUE"""),"https://ik.imagekit.io/alaaalaa6171/031%20Climate%20Baton%20-%20Nami%20-%20Medal%20_Climate%20Baton_%20-%20Piece%20_Colored_.png?updatedAt=1770076405392")</f>
        <v>https://ik.imagekit.io/alaaalaa6171/031%20Climate%20Baton%20-%20Nami%20-%20Medal%20_Climate%20Baton_%20-%20Piece%20_Colored_.png?updatedAt=1770076405392</v>
      </c>
      <c r="AG313" s="114"/>
      <c r="AH313" s="114"/>
      <c r="AI313" s="121" t="s">
        <v>5763</v>
      </c>
      <c r="AJ313" s="121" t="str">
        <f>IFERROR(__xludf.DUMMYFUNCTION("regexreplace(regexreplace(AI313, ""  \["", "" ""), ""\]$"", """")"),"312 - Flame Emperor ~ Sabo - Medal - Crafted [Colored] - Rock Check")</f>
        <v>312 - Flame Emperor ~ Sabo - Medal - Crafted [Colored] - Rock Check</v>
      </c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4"/>
      <c r="AZ313" s="114"/>
      <c r="BA313" s="114"/>
      <c r="BB313" s="114"/>
      <c r="BC313" s="114"/>
      <c r="BD313" s="114"/>
      <c r="BE313" s="114"/>
    </row>
    <row r="314" ht="37.5" customHeight="1">
      <c r="A314" s="118" t="s">
        <v>5764</v>
      </c>
      <c r="B314" s="117" t="s">
        <v>2426</v>
      </c>
      <c r="C314" s="119">
        <f>IFERROR(__xludf.DUMMYFUNCTION("""COMPUTED_VALUE"""),29.0)</f>
        <v>29</v>
      </c>
      <c r="D314" s="114" t="str">
        <f>IFERROR(__xludf.DUMMYFUNCTION("""COMPUTED_VALUE"""),"Slip_Slip")</f>
        <v>Slip_Slip</v>
      </c>
      <c r="E314" s="114" t="str">
        <f>IFERROR(__xludf.DUMMYFUNCTION("""COMPUTED_VALUE"""),"")</f>
        <v/>
      </c>
      <c r="F314" s="114"/>
      <c r="G314" s="114"/>
      <c r="H314" s="114"/>
      <c r="I314" s="114"/>
      <c r="J314" s="114"/>
      <c r="K314" s="114" t="s">
        <v>5765</v>
      </c>
      <c r="L314" s="114" t="s">
        <v>5766</v>
      </c>
      <c r="M314" s="114" t="s">
        <v>5767</v>
      </c>
      <c r="N314" s="114" t="s">
        <v>5768</v>
      </c>
      <c r="O314" s="114"/>
      <c r="P314" s="120">
        <v>29.0</v>
      </c>
      <c r="Q314" s="117" t="s">
        <v>5769</v>
      </c>
      <c r="R314" s="114"/>
      <c r="S314" s="117" t="s">
        <v>2355</v>
      </c>
      <c r="T314" s="114">
        <f t="shared" si="1"/>
        <v>313</v>
      </c>
      <c r="U314" s="114" t="s">
        <v>206</v>
      </c>
      <c r="V314" s="114" t="str">
        <f>IFERROR(__xludf.DUMMYFUNCTION("REGEXREPLACE(U314, ""\n"", "" "")"),"Ichiji")</f>
        <v>Ichiji</v>
      </c>
      <c r="W314" s="114"/>
      <c r="X314" s="115" t="str">
        <f t="shared" si="2"/>
        <v>313 Germa 66 - Vinsmoke Ichiji - Medal [Ichiji]</v>
      </c>
      <c r="Y314" s="119"/>
      <c r="Z314" s="117" t="s">
        <v>5770</v>
      </c>
      <c r="AA314" s="117" t="s">
        <v>2996</v>
      </c>
      <c r="AB314" s="114"/>
      <c r="AC314" s="123" t="str">
        <f>IFERROR(__xludf.DUMMYFUNCTION("""COMPUTED_VALUE"""),"https://ik.imagekit.io/alaaalaa6171/030%20Baroque%20Works_Frontier%20Agents%20-%20Ms.%20Wednesday%20-%20Medal%20_Slip_Slip_.png?updatedAt=1770076405258")</f>
        <v>https://ik.imagekit.io/alaaalaa6171/030%20Baroque%20Works_Frontier%20Agents%20-%20Ms.%20Wednesday%20-%20Medal%20_Slip_Slip_.png?updatedAt=1770076405258</v>
      </c>
      <c r="AD314" s="123" t="str">
        <f>IFERROR(__xludf.DUMMYFUNCTION("""COMPUTED_VALUE"""),"https://ik.imagekit.io/alaaalaa6171/030%20Baroque%20Works_Frontier%20Agents%20-%20Ms.%20Wednesday%20-%20Medal%20_Slip_Slip_%20_Colored_.png?updatedAt=1770076405238")</f>
        <v>https://ik.imagekit.io/alaaalaa6171/030%20Baroque%20Works_Frontier%20Agents%20-%20Ms.%20Wednesday%20-%20Medal%20_Slip_Slip_%20_Colored_.png?updatedAt=1770076405238</v>
      </c>
      <c r="AE314" s="123" t="str">
        <f>IFERROR(__xludf.DUMMYFUNCTION("""COMPUTED_VALUE"""),"https://ik.imagekit.io/alaaalaa6171/030%20Baroque%20Works_Frontier%20Agents%20-%20Ms.%20Wednesday%20-%20Medal%20_Slip_Slip_%20-%20Piece.png?updatedAt=1770076404982")</f>
        <v>https://ik.imagekit.io/alaaalaa6171/030%20Baroque%20Works_Frontier%20Agents%20-%20Ms.%20Wednesday%20-%20Medal%20_Slip_Slip_%20-%20Piece.png?updatedAt=1770076404982</v>
      </c>
      <c r="AF314" s="123" t="str">
        <f>IFERROR(__xludf.DUMMYFUNCTION("""COMPUTED_VALUE"""),"https://ik.imagekit.io/alaaalaa6171/030%20Baroque%20Works_Frontier%20Agents%20-%20Ms.%20Wednesday%20-%20Medal%20_Slip_Slip_%20-%20Piece%20_Colored_.png?updatedAt=1770076405335")</f>
        <v>https://ik.imagekit.io/alaaalaa6171/030%20Baroque%20Works_Frontier%20Agents%20-%20Ms.%20Wednesday%20-%20Medal%20_Slip_Slip_%20-%20Piece%20_Colored_.png?updatedAt=1770076405335</v>
      </c>
      <c r="AG314" s="114"/>
      <c r="AH314" s="114"/>
      <c r="AI314" s="121" t="s">
        <v>5771</v>
      </c>
      <c r="AJ314" s="121" t="str">
        <f>IFERROR(__xludf.DUMMYFUNCTION("regexreplace(regexreplace(AI314, ""  \["", "" ""), ""\]$"", """")"),"313 - Germa 66 ~ Vinsmoke Ichiji - Medal - Crafted [Colored] - Ichiji")</f>
        <v>313 - Germa 66 ~ Vinsmoke Ichiji - Medal - Crafted [Colored] - Ichiji</v>
      </c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4"/>
      <c r="AZ314" s="114"/>
      <c r="BA314" s="114"/>
      <c r="BB314" s="114"/>
      <c r="BC314" s="114"/>
      <c r="BD314" s="114"/>
      <c r="BE314" s="114"/>
    </row>
    <row r="315" ht="37.5" customHeight="1">
      <c r="A315" s="118" t="s">
        <v>5772</v>
      </c>
      <c r="B315" s="117" t="s">
        <v>2439</v>
      </c>
      <c r="C315" s="119">
        <f>IFERROR(__xludf.DUMMYFUNCTION("""COMPUTED_VALUE"""),28.0)</f>
        <v>28</v>
      </c>
      <c r="D315" s="114" t="str">
        <f>IFERROR(__xludf.DUMMYFUNCTION("""COMPUTED_VALUE"""),"Tashigi")</f>
        <v>Tashigi</v>
      </c>
      <c r="E315" s="114" t="str">
        <f>IFERROR(__xludf.DUMMYFUNCTION("""COMPUTED_VALUE"""),"")</f>
        <v/>
      </c>
      <c r="F315" s="114"/>
      <c r="G315" s="114"/>
      <c r="H315" s="114"/>
      <c r="I315" s="114"/>
      <c r="J315" s="114"/>
      <c r="K315" s="114" t="s">
        <v>5773</v>
      </c>
      <c r="L315" s="114" t="s">
        <v>5774</v>
      </c>
      <c r="M315" s="114" t="s">
        <v>5775</v>
      </c>
      <c r="N315" s="114" t="s">
        <v>5776</v>
      </c>
      <c r="O315" s="114"/>
      <c r="P315" s="120">
        <v>28.0</v>
      </c>
      <c r="Q315" s="117" t="s">
        <v>5777</v>
      </c>
      <c r="R315" s="114"/>
      <c r="S315" s="117" t="s">
        <v>2342</v>
      </c>
      <c r="T315" s="114">
        <f t="shared" si="1"/>
        <v>314</v>
      </c>
      <c r="U315" s="114" t="s">
        <v>200</v>
      </c>
      <c r="V315" s="114" t="str">
        <f>IFERROR(__xludf.DUMMYFUNCTION("REGEXREPLACE(U315, ""\n"", "" "")"),"Neji")</f>
        <v>Neji</v>
      </c>
      <c r="W315" s="114"/>
      <c r="X315" s="115" t="str">
        <f t="shared" si="2"/>
        <v>314 Germa 66 - Vinsmoke Neji - Medal [Neji]</v>
      </c>
      <c r="Y315" s="119"/>
      <c r="Z315" s="117" t="s">
        <v>5778</v>
      </c>
      <c r="AA315" s="117" t="s">
        <v>3008</v>
      </c>
      <c r="AB315" s="114"/>
      <c r="AC315" s="123" t="str">
        <f>IFERROR(__xludf.DUMMYFUNCTION("""COMPUTED_VALUE"""),"https://ik.imagekit.io/alaaalaa6171/029%20Slip-Slip%20Fruit%20-%20Alvida%20-%20Medal%20_Tashigi_.png?updatedAt=1770076405401")</f>
        <v>https://ik.imagekit.io/alaaalaa6171/029%20Slip-Slip%20Fruit%20-%20Alvida%20-%20Medal%20_Tashigi_.png?updatedAt=1770076405401</v>
      </c>
      <c r="AD315" s="123" t="str">
        <f>IFERROR(__xludf.DUMMYFUNCTION("""COMPUTED_VALUE"""),"https://ik.imagekit.io/alaaalaa6171/029%20Slip-Slip%20Fruit%20-%20Alvida%20-%20Medal%20_Tashigi_%20_Colored_.png?updatedAt=1770076405256")</f>
        <v>https://ik.imagekit.io/alaaalaa6171/029%20Slip-Slip%20Fruit%20-%20Alvida%20-%20Medal%20_Tashigi_%20_Colored_.png?updatedAt=1770076405256</v>
      </c>
      <c r="AE315" s="123" t="str">
        <f>IFERROR(__xludf.DUMMYFUNCTION("""COMPUTED_VALUE"""),"https://ik.imagekit.io/alaaalaa6171/029%20Slip-Slip%20Fruit%20-%20Alvida%20-%20Medal%20_Tashigi_%20-%20Piece.png?updatedAt=1770076404985")</f>
        <v>https://ik.imagekit.io/alaaalaa6171/029%20Slip-Slip%20Fruit%20-%20Alvida%20-%20Medal%20_Tashigi_%20-%20Piece.png?updatedAt=1770076404985</v>
      </c>
      <c r="AF315" s="123" t="str">
        <f>IFERROR(__xludf.DUMMYFUNCTION("""COMPUTED_VALUE"""),"https://ik.imagekit.io/alaaalaa6171/029%20Slip-Slip%20Fruit%20-%20Alvida%20-%20Medal%20_Tashigi_%20-%20Piece%20_Colored_.png?updatedAt=1770076405082")</f>
        <v>https://ik.imagekit.io/alaaalaa6171/029%20Slip-Slip%20Fruit%20-%20Alvida%20-%20Medal%20_Tashigi_%20-%20Piece%20_Colored_.png?updatedAt=1770076405082</v>
      </c>
      <c r="AG315" s="114"/>
      <c r="AH315" s="114"/>
      <c r="AI315" s="121" t="s">
        <v>5779</v>
      </c>
      <c r="AJ315" s="121" t="str">
        <f>IFERROR(__xludf.DUMMYFUNCTION("regexreplace(regexreplace(AI315, ""  \["", "" ""), ""\]$"", """")"),"314 - Germa 66 ~ Vinsmoke Neji - Medal - Crafted [Colored] - Neji")</f>
        <v>314 - Germa 66 ~ Vinsmoke Neji - Medal - Crafted [Colored] - Neji</v>
      </c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4"/>
      <c r="AZ315" s="114"/>
      <c r="BA315" s="114"/>
      <c r="BB315" s="114"/>
      <c r="BC315" s="114"/>
      <c r="BD315" s="114"/>
      <c r="BE315" s="114"/>
    </row>
    <row r="316" ht="37.5" customHeight="1">
      <c r="A316" s="118" t="s">
        <v>5780</v>
      </c>
      <c r="B316" s="117" t="s">
        <v>2166</v>
      </c>
      <c r="C316" s="119">
        <f>IFERROR(__xludf.DUMMYFUNCTION("""COMPUTED_VALUE"""),27.0)</f>
        <v>27</v>
      </c>
      <c r="D316" s="114" t="str">
        <f>IFERROR(__xludf.DUMMYFUNCTION("""COMPUTED_VALUE"""),"Choo")</f>
        <v>Choo</v>
      </c>
      <c r="E316" s="114" t="str">
        <f>IFERROR(__xludf.DUMMYFUNCTION("""COMPUTED_VALUE"""),"")</f>
        <v/>
      </c>
      <c r="F316" s="114"/>
      <c r="G316" s="114"/>
      <c r="H316" s="114"/>
      <c r="I316" s="114"/>
      <c r="J316" s="114"/>
      <c r="K316" s="114" t="s">
        <v>5781</v>
      </c>
      <c r="L316" s="114" t="s">
        <v>5782</v>
      </c>
      <c r="M316" s="114" t="s">
        <v>5783</v>
      </c>
      <c r="N316" s="114" t="s">
        <v>5784</v>
      </c>
      <c r="O316" s="114"/>
      <c r="P316" s="120">
        <v>27.0</v>
      </c>
      <c r="Q316" s="117" t="s">
        <v>5785</v>
      </c>
      <c r="R316" s="114"/>
      <c r="S316" s="117" t="s">
        <v>2329</v>
      </c>
      <c r="T316" s="114">
        <f t="shared" si="1"/>
        <v>315</v>
      </c>
      <c r="U316" s="114" t="s">
        <v>193</v>
      </c>
      <c r="V316" s="114" t="str">
        <f>IFERROR(__xludf.DUMMYFUNCTION("REGEXREPLACE(U316, ""\n"", "" "")"),"Yonji")</f>
        <v>Yonji</v>
      </c>
      <c r="W316" s="114"/>
      <c r="X316" s="115" t="str">
        <f t="shared" si="2"/>
        <v>315 Germa 66 - Vinsmoke Yonji - Medal [Yonji]</v>
      </c>
      <c r="Y316" s="119"/>
      <c r="Z316" s="117" t="s">
        <v>5786</v>
      </c>
      <c r="AA316" s="117" t="s">
        <v>3010</v>
      </c>
      <c r="AB316" s="114"/>
      <c r="AC316" s="123" t="str">
        <f>IFERROR(__xludf.DUMMYFUNCTION("""COMPUTED_VALUE"""),"https://ik.imagekit.io/alaaalaa6171/028%20Navy%20HQ_Master%20Chief%20Petty%20Officer%20-%20Tashigi%20-%20Medal%20_Ms.%20Wednesday_.png?updatedAt=1770076405186")</f>
        <v>https://ik.imagekit.io/alaaalaa6171/028%20Navy%20HQ_Master%20Chief%20Petty%20Officer%20-%20Tashigi%20-%20Medal%20_Ms.%20Wednesday_.png?updatedAt=1770076405186</v>
      </c>
      <c r="AD316" s="123" t="str">
        <f>IFERROR(__xludf.DUMMYFUNCTION("""COMPUTED_VALUE"""),"https://ik.imagekit.io/alaaalaa6171/028%20Navy%20HQ_Master%20Chief%20Petty%20Officer%20-%20Tashigi%20-%20Medal%20_Ms.%20Wednesday_%20_Colored_.png?updatedAt=1770076405318")</f>
        <v>https://ik.imagekit.io/alaaalaa6171/028%20Navy%20HQ_Master%20Chief%20Petty%20Officer%20-%20Tashigi%20-%20Medal%20_Ms.%20Wednesday_%20_Colored_.png?updatedAt=1770076405318</v>
      </c>
      <c r="AE316" s="123" t="str">
        <f>IFERROR(__xludf.DUMMYFUNCTION("""COMPUTED_VALUE"""),"https://ik.imagekit.io/alaaalaa6171/028%20Navy%20HQ_Master%20Chief%20Petty%20Officer%20-%20Tashigi%20-%20Medal%20_Ms.%20Wednesday_%20-%20Piece.png?updatedAt=1770076404982")</f>
        <v>https://ik.imagekit.io/alaaalaa6171/028%20Navy%20HQ_Master%20Chief%20Petty%20Officer%20-%20Tashigi%20-%20Medal%20_Ms.%20Wednesday_%20-%20Piece.png?updatedAt=1770076404982</v>
      </c>
      <c r="AF316" s="123" t="str">
        <f>IFERROR(__xludf.DUMMYFUNCTION("""COMPUTED_VALUE"""),"https://ik.imagekit.io/alaaalaa6171/028%20Navy%20HQ_Master%20Chief%20Petty%20Officer%20-%20Tashigi%20-%20Medal%20_Ms.%20Wednesday_%20-%20Piece%20_Colored_.png?updatedAt=1770076405035")</f>
        <v>https://ik.imagekit.io/alaaalaa6171/028%20Navy%20HQ_Master%20Chief%20Petty%20Officer%20-%20Tashigi%20-%20Medal%20_Ms.%20Wednesday_%20-%20Piece%20_Colored_.png?updatedAt=1770076405035</v>
      </c>
      <c r="AG316" s="114"/>
      <c r="AH316" s="114"/>
      <c r="AI316" s="121" t="s">
        <v>5787</v>
      </c>
      <c r="AJ316" s="121" t="str">
        <f>IFERROR(__xludf.DUMMYFUNCTION("regexreplace(regexreplace(AI316, ""  \["", "" ""), ""\]$"", """")"),"315 - Germa 66 ~ Vinsmoke Yonji - Medal - Crafted [Colored] - Yonji")</f>
        <v>315 - Germa 66 ~ Vinsmoke Yonji - Medal - Crafted [Colored] - Yonji</v>
      </c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4"/>
      <c r="AZ316" s="114"/>
      <c r="BA316" s="114"/>
      <c r="BB316" s="114"/>
      <c r="BC316" s="114"/>
      <c r="BD316" s="114"/>
      <c r="BE316" s="114"/>
    </row>
    <row r="317" ht="37.5" customHeight="1">
      <c r="A317" s="118" t="s">
        <v>5788</v>
      </c>
      <c r="B317" s="117" t="s">
        <v>2205</v>
      </c>
      <c r="C317" s="119">
        <f>IFERROR(__xludf.DUMMYFUNCTION("""COMPUTED_VALUE"""),26.0)</f>
        <v>26</v>
      </c>
      <c r="D317" s="114" t="str">
        <f>IFERROR(__xludf.DUMMYFUNCTION("""COMPUTED_VALUE"""),"Kuroobi")</f>
        <v>Kuroobi</v>
      </c>
      <c r="E317" s="114" t="str">
        <f>IFERROR(__xludf.DUMMYFUNCTION("""COMPUTED_VALUE"""),"")</f>
        <v/>
      </c>
      <c r="F317" s="114"/>
      <c r="G317" s="114"/>
      <c r="H317" s="114"/>
      <c r="I317" s="114"/>
      <c r="J317" s="114"/>
      <c r="K317" s="114" t="s">
        <v>5789</v>
      </c>
      <c r="L317" s="114" t="s">
        <v>5790</v>
      </c>
      <c r="M317" s="114" t="s">
        <v>5791</v>
      </c>
      <c r="N317" s="114" t="s">
        <v>5792</v>
      </c>
      <c r="O317" s="114"/>
      <c r="P317" s="120">
        <v>26.0</v>
      </c>
      <c r="Q317" s="117" t="s">
        <v>5793</v>
      </c>
      <c r="R317" s="114"/>
      <c r="S317" s="117" t="s">
        <v>2303</v>
      </c>
      <c r="T317" s="114">
        <f t="shared" si="1"/>
        <v>317</v>
      </c>
      <c r="U317" s="114" t="s">
        <v>180</v>
      </c>
      <c r="V317" s="114" t="str">
        <f>IFERROR(__xludf.DUMMYFUNCTION("REGEXREPLACE(U317, ""\n"", "" "")"),"Invisible Strike")</f>
        <v>Invisible Strike</v>
      </c>
      <c r="W317" s="114"/>
      <c r="X317" s="115" t="str">
        <f t="shared" si="2"/>
        <v>317 Clear-Clear Fruit - Shiryu - Medal [Invisible Strike]</v>
      </c>
      <c r="Y317" s="119"/>
      <c r="Z317" s="117" t="s">
        <v>5794</v>
      </c>
      <c r="AA317" s="117" t="s">
        <v>3011</v>
      </c>
      <c r="AB317" s="114"/>
      <c r="AC317" s="123" t="str">
        <f>IFERROR(__xludf.DUMMYFUNCTION("""COMPUTED_VALUE"""),"https://ik.imagekit.io/alaaalaa6171/027%20Arlong%20Pirates_Officer%20-%20Choo%20-%20Medal%20_Kuroobi_.png?updatedAt=1770076405325")</f>
        <v>https://ik.imagekit.io/alaaalaa6171/027%20Arlong%20Pirates_Officer%20-%20Choo%20-%20Medal%20_Kuroobi_.png?updatedAt=1770076405325</v>
      </c>
      <c r="AD317" s="123" t="str">
        <f>IFERROR(__xludf.DUMMYFUNCTION("""COMPUTED_VALUE"""),"https://ik.imagekit.io/alaaalaa6171/027%20Arlong%20Pirates_Officer%20-%20Choo%20-%20Medal%20_Kuroobi_%20_Colored_.png?updatedAt=1770076405269")</f>
        <v>https://ik.imagekit.io/alaaalaa6171/027%20Arlong%20Pirates_Officer%20-%20Choo%20-%20Medal%20_Kuroobi_%20_Colored_.png?updatedAt=1770076405269</v>
      </c>
      <c r="AE317" s="123" t="str">
        <f>IFERROR(__xludf.DUMMYFUNCTION("""COMPUTED_VALUE"""),"https://ik.imagekit.io/alaaalaa6171/027%20Arlong%20Pirates_Officer%20-%20Choo%20-%20Medal%20_Kuroobi_%20-%20Piece.png?updatedAt=1770076404986")</f>
        <v>https://ik.imagekit.io/alaaalaa6171/027%20Arlong%20Pirates_Officer%20-%20Choo%20-%20Medal%20_Kuroobi_%20-%20Piece.png?updatedAt=1770076404986</v>
      </c>
      <c r="AF317" s="123" t="str">
        <f>IFERROR(__xludf.DUMMYFUNCTION("""COMPUTED_VALUE"""),"https://ik.imagekit.io/alaaalaa6171/027%20Arlong%20Pirates_Officer%20-%20Choo%20-%20Medal%20_Kuroobi_%20-%20Piece%20_Colored_.png?updatedAt=1770076405574")</f>
        <v>https://ik.imagekit.io/alaaalaa6171/027%20Arlong%20Pirates_Officer%20-%20Choo%20-%20Medal%20_Kuroobi_%20-%20Piece%20_Colored_.png?updatedAt=1770076405574</v>
      </c>
      <c r="AG317" s="114"/>
      <c r="AH317" s="114"/>
      <c r="AI317" s="121" t="s">
        <v>5795</v>
      </c>
      <c r="AJ317" s="121" t="str">
        <f>IFERROR(__xludf.DUMMYFUNCTION("regexreplace(regexreplace(AI317, ""  \["", "" ""), ""\]$"", """")"),"316 - Strong-Strong Fruit ~ Jesus Burgess - Medal - Crafted [Colored] - Gallion Lariat")</f>
        <v>316 - Strong-Strong Fruit ~ Jesus Burgess - Medal - Crafted [Colored] - Gallion Lariat</v>
      </c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4"/>
      <c r="AZ317" s="114"/>
      <c r="BA317" s="114"/>
      <c r="BB317" s="114"/>
      <c r="BC317" s="114"/>
      <c r="BD317" s="114"/>
      <c r="BE317" s="114"/>
    </row>
    <row r="318" ht="37.5" customHeight="1">
      <c r="A318" s="118" t="s">
        <v>5796</v>
      </c>
      <c r="B318" s="117" t="s">
        <v>2231</v>
      </c>
      <c r="C318" s="119">
        <f>IFERROR(__xludf.DUMMYFUNCTION("""COMPUTED_VALUE"""),25.0)</f>
        <v>25</v>
      </c>
      <c r="D318" s="114" t="str">
        <f>IFERROR(__xludf.DUMMYFUNCTION("""COMPUTED_VALUE"""),"Hachi")</f>
        <v>Hachi</v>
      </c>
      <c r="E318" s="114" t="str">
        <f>IFERROR(__xludf.DUMMYFUNCTION("""COMPUTED_VALUE"""),"")</f>
        <v/>
      </c>
      <c r="F318" s="114"/>
      <c r="G318" s="114"/>
      <c r="H318" s="114"/>
      <c r="I318" s="114"/>
      <c r="J318" s="114"/>
      <c r="K318" s="114" t="s">
        <v>5797</v>
      </c>
      <c r="L318" s="114" t="s">
        <v>5798</v>
      </c>
      <c r="M318" s="114" t="s">
        <v>5799</v>
      </c>
      <c r="N318" s="114" t="s">
        <v>5800</v>
      </c>
      <c r="O318" s="114"/>
      <c r="P318" s="120">
        <v>25.0</v>
      </c>
      <c r="Q318" s="117" t="s">
        <v>5801</v>
      </c>
      <c r="R318" s="114"/>
      <c r="S318" s="117" t="s">
        <v>2316</v>
      </c>
      <c r="T318" s="114">
        <f t="shared" si="1"/>
        <v>316</v>
      </c>
      <c r="U318" s="114" t="s">
        <v>186</v>
      </c>
      <c r="V318" s="114" t="str">
        <f>IFERROR(__xludf.DUMMYFUNCTION("REGEXREPLACE(U318, ""\n"", "" "")"),"Gallion Lariat")</f>
        <v>Gallion Lariat</v>
      </c>
      <c r="W318" s="114"/>
      <c r="X318" s="115" t="str">
        <f t="shared" si="2"/>
        <v>316 Strong-Strong Fruit - Jesus Burgess - Medal [Gallion Lariat]</v>
      </c>
      <c r="Y318" s="119"/>
      <c r="Z318" s="117" t="s">
        <v>5802</v>
      </c>
      <c r="AA318" s="117" t="s">
        <v>3009</v>
      </c>
      <c r="AB318" s="114"/>
      <c r="AC318" s="123" t="str">
        <f>IFERROR(__xludf.DUMMYFUNCTION("""COMPUTED_VALUE"""),"https://ik.imagekit.io/alaaalaa6171/026%20Arlong%20Pirates_Officer%20-%20Kuroobi%20-%20Medal%20_Choo_.png?updatedAt=1770076405228")</f>
        <v>https://ik.imagekit.io/alaaalaa6171/026%20Arlong%20Pirates_Officer%20-%20Kuroobi%20-%20Medal%20_Choo_.png?updatedAt=1770076405228</v>
      </c>
      <c r="AD318" s="123" t="str">
        <f>IFERROR(__xludf.DUMMYFUNCTION("""COMPUTED_VALUE"""),"https://ik.imagekit.io/alaaalaa6171/026%20Arlong%20Pirates_Officer%20-%20Kuroobi%20-%20Medal%20_Choo_%20_Colored_.png?updatedAt=1770076405415")</f>
        <v>https://ik.imagekit.io/alaaalaa6171/026%20Arlong%20Pirates_Officer%20-%20Kuroobi%20-%20Medal%20_Choo_%20_Colored_.png?updatedAt=1770076405415</v>
      </c>
      <c r="AE318" s="123" t="str">
        <f>IFERROR(__xludf.DUMMYFUNCTION("""COMPUTED_VALUE"""),"https://ik.imagekit.io/alaaalaa6171/026%20Arlong%20Pirates_Officer%20-%20Kuroobi%20-%20Medal%20_Choo_%20-%20Piece.png?updatedAt=1770076405145")</f>
        <v>https://ik.imagekit.io/alaaalaa6171/026%20Arlong%20Pirates_Officer%20-%20Kuroobi%20-%20Medal%20_Choo_%20-%20Piece.png?updatedAt=1770076405145</v>
      </c>
      <c r="AF318" s="123" t="str">
        <f>IFERROR(__xludf.DUMMYFUNCTION("""COMPUTED_VALUE"""),"https://ik.imagekit.io/alaaalaa6171/026%20Arlong%20Pirates_Officer%20-%20Kuroobi%20-%20Medal%20_Choo_%20-%20Piece%20_Colored_.png?updatedAt=1770076405344")</f>
        <v>https://ik.imagekit.io/alaaalaa6171/026%20Arlong%20Pirates_Officer%20-%20Kuroobi%20-%20Medal%20_Choo_%20-%20Piece%20_Colored_.png?updatedAt=1770076405344</v>
      </c>
      <c r="AG318" s="114"/>
      <c r="AH318" s="114"/>
      <c r="AI318" s="121" t="s">
        <v>5803</v>
      </c>
      <c r="AJ318" s="121" t="str">
        <f>IFERROR(__xludf.DUMMYFUNCTION("regexreplace(regexreplace(AI318, ""  \["", "" ""), ""\]$"", """")"),"317 - Clear-Clear Fruit ~ Shiryu - Medal - Crafted [Colored] - Invisible Strike")</f>
        <v>317 - Clear-Clear Fruit ~ Shiryu - Medal - Crafted [Colored] - Invisible Strike</v>
      </c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4"/>
      <c r="AZ318" s="114"/>
      <c r="BA318" s="114"/>
      <c r="BB318" s="114"/>
      <c r="BC318" s="114"/>
      <c r="BD318" s="114"/>
      <c r="BE318" s="114"/>
    </row>
    <row r="319" ht="37.5" customHeight="1">
      <c r="A319" s="118" t="s">
        <v>5804</v>
      </c>
      <c r="B319" s="117" t="s">
        <v>2283</v>
      </c>
      <c r="C319" s="119">
        <f>IFERROR(__xludf.DUMMYFUNCTION("""COMPUTED_VALUE"""),24.0)</f>
        <v>24</v>
      </c>
      <c r="D319" s="114" t="str">
        <f>IFERROR(__xludf.DUMMYFUNCTION("""COMPUTED_VALUE"""),"Don Krieg")</f>
        <v>Don Krieg</v>
      </c>
      <c r="E319" s="114" t="str">
        <f>IFERROR(__xludf.DUMMYFUNCTION("""COMPUTED_VALUE"""),"")</f>
        <v/>
      </c>
      <c r="F319" s="114"/>
      <c r="G319" s="114"/>
      <c r="H319" s="114"/>
      <c r="I319" s="114"/>
      <c r="J319" s="114"/>
      <c r="K319" s="114" t="s">
        <v>5805</v>
      </c>
      <c r="L319" s="114" t="s">
        <v>5806</v>
      </c>
      <c r="M319" s="114" t="s">
        <v>5807</v>
      </c>
      <c r="N319" s="114" t="s">
        <v>5808</v>
      </c>
      <c r="O319" s="114"/>
      <c r="P319" s="120">
        <v>24.0</v>
      </c>
      <c r="Q319" s="117" t="s">
        <v>5809</v>
      </c>
      <c r="R319" s="114"/>
      <c r="S319" s="117" t="s">
        <v>2290</v>
      </c>
      <c r="T319" s="114">
        <f t="shared" si="1"/>
        <v>318</v>
      </c>
      <c r="U319" s="114" t="s">
        <v>172</v>
      </c>
      <c r="V319" s="114" t="str">
        <f>IFERROR(__xludf.DUMMYFUNCTION("REGEXREPLACE(U319, ""\n"", "" "")"),"St. Charlos")</f>
        <v>St. Charlos</v>
      </c>
      <c r="W319" s="114"/>
      <c r="X319" s="115" t="str">
        <f t="shared" si="2"/>
        <v>318 Celestial Dragon - St. Charlos - Medal [St. Charlos]</v>
      </c>
      <c r="Y319" s="119"/>
      <c r="Z319" s="117" t="s">
        <v>5810</v>
      </c>
      <c r="AA319" s="117" t="s">
        <v>3022</v>
      </c>
      <c r="AB319" s="114"/>
      <c r="AC319" s="123" t="str">
        <f>IFERROR(__xludf.DUMMYFUNCTION("""COMPUTED_VALUE"""),"https://ik.imagekit.io/alaaalaa6171/025%20Arlong%20Pirates_Officer%20-%20Hatchan%20-%20Medal%20_Hachi_.png?updatedAt=1770076405293")</f>
        <v>https://ik.imagekit.io/alaaalaa6171/025%20Arlong%20Pirates_Officer%20-%20Hatchan%20-%20Medal%20_Hachi_.png?updatedAt=1770076405293</v>
      </c>
      <c r="AD319" s="123" t="str">
        <f>IFERROR(__xludf.DUMMYFUNCTION("""COMPUTED_VALUE"""),"https://ik.imagekit.io/alaaalaa6171/025%20Arlong%20Pirates_Officer%20-%20Hatchan%20-%20Medal%20_Hachi_%20_Colored_.png?updatedAt=1770076405390")</f>
        <v>https://ik.imagekit.io/alaaalaa6171/025%20Arlong%20Pirates_Officer%20-%20Hatchan%20-%20Medal%20_Hachi_%20_Colored_.png?updatedAt=1770076405390</v>
      </c>
      <c r="AE319" s="123" t="str">
        <f>IFERROR(__xludf.DUMMYFUNCTION("""COMPUTED_VALUE"""),"https://ik.imagekit.io/alaaalaa6171/025%20Arlong%20Pirates_Officer%20-%20Hatchan%20-%20Medal%20_Hachi_%20-%20Piece.png?updatedAt=1770076405209")</f>
        <v>https://ik.imagekit.io/alaaalaa6171/025%20Arlong%20Pirates_Officer%20-%20Hatchan%20-%20Medal%20_Hachi_%20-%20Piece.png?updatedAt=1770076405209</v>
      </c>
      <c r="AF319" s="123" t="str">
        <f>IFERROR(__xludf.DUMMYFUNCTION("""COMPUTED_VALUE"""),"https://ik.imagekit.io/alaaalaa6171/025%20Arlong%20Pirates_Officer%20-%20Hatchan%20-%20Medal%20_Hachi_%20-%20Piece%20_Colored_.png?updatedAt=1770076405407")</f>
        <v>https://ik.imagekit.io/alaaalaa6171/025%20Arlong%20Pirates_Officer%20-%20Hatchan%20-%20Medal%20_Hachi_%20-%20Piece%20_Colored_.png?updatedAt=1770076405407</v>
      </c>
      <c r="AG319" s="114"/>
      <c r="AH319" s="114"/>
      <c r="AI319" s="121" t="s">
        <v>5811</v>
      </c>
      <c r="AJ319" s="121" t="str">
        <f>IFERROR(__xludf.DUMMYFUNCTION("regexreplace(regexreplace(AI319, ""  \["", "" ""), ""\]$"", """")"),"318 - Celestial Dragon ~ St. Charlos - Medal - Crafted [Colored] - St. Charlos")</f>
        <v>318 - Celestial Dragon ~ St. Charlos - Medal - Crafted [Colored] - St. Charlos</v>
      </c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4"/>
      <c r="AZ319" s="114"/>
      <c r="BA319" s="114"/>
      <c r="BB319" s="114"/>
      <c r="BC319" s="114"/>
      <c r="BD319" s="114"/>
      <c r="BE319" s="114"/>
    </row>
    <row r="320" ht="37.5" customHeight="1">
      <c r="A320" s="118" t="s">
        <v>5812</v>
      </c>
      <c r="B320" s="117" t="s">
        <v>2270</v>
      </c>
      <c r="C320" s="119">
        <f>IFERROR(__xludf.DUMMYFUNCTION("""COMPUTED_VALUE"""),23.0)</f>
        <v>23</v>
      </c>
      <c r="D320" s="114" t="str">
        <f>IFERROR(__xludf.DUMMYFUNCTION("""COMPUTED_VALUE"""),"Gin")</f>
        <v>Gin</v>
      </c>
      <c r="E320" s="114" t="str">
        <f>IFERROR(__xludf.DUMMYFUNCTION("""COMPUTED_VALUE"""),"")</f>
        <v/>
      </c>
      <c r="F320" s="114"/>
      <c r="G320" s="114"/>
      <c r="H320" s="114"/>
      <c r="I320" s="114"/>
      <c r="J320" s="114"/>
      <c r="K320" s="114" t="s">
        <v>5813</v>
      </c>
      <c r="L320" s="114" t="s">
        <v>5814</v>
      </c>
      <c r="M320" s="114" t="s">
        <v>5815</v>
      </c>
      <c r="N320" s="114" t="s">
        <v>5816</v>
      </c>
      <c r="O320" s="114"/>
      <c r="P320" s="120">
        <v>23.0</v>
      </c>
      <c r="Q320" s="117" t="s">
        <v>5817</v>
      </c>
      <c r="R320" s="114"/>
      <c r="S320" s="117" t="s">
        <v>2277</v>
      </c>
      <c r="T320" s="114">
        <f t="shared" si="1"/>
        <v>319</v>
      </c>
      <c r="U320" s="114" t="s">
        <v>165</v>
      </c>
      <c r="V320" s="114" t="str">
        <f>IFERROR(__xludf.DUMMYFUNCTION("REGEXREPLACE(U320, ""\n"", "" "")"),"Leo")</f>
        <v>Leo</v>
      </c>
      <c r="W320" s="114"/>
      <c r="X320" s="115" t="str">
        <f t="shared" si="2"/>
        <v>319 Tontatta Pirates / Captain - Leo - Medal [Leo]</v>
      </c>
      <c r="Y320" s="119"/>
      <c r="Z320" s="117" t="s">
        <v>5818</v>
      </c>
      <c r="AA320" s="117" t="s">
        <v>3024</v>
      </c>
      <c r="AB320" s="114"/>
      <c r="AC320" s="123" t="str">
        <f>IFERROR(__xludf.DUMMYFUNCTION("""COMPUTED_VALUE"""),"https://ik.imagekit.io/alaaalaa6171/024%20Krieg%60s%20Pirate%20Armada_Admiral%20-%20Don%20Krieg%20-%20Medal%20_Don%20Krieg_.png?updatedAt=1770076405263")</f>
        <v>https://ik.imagekit.io/alaaalaa6171/024%20Krieg%60s%20Pirate%20Armada_Admiral%20-%20Don%20Krieg%20-%20Medal%20_Don%20Krieg_.png?updatedAt=1770076405263</v>
      </c>
      <c r="AD320" s="123" t="str">
        <f>IFERROR(__xludf.DUMMYFUNCTION("""COMPUTED_VALUE"""),"https://ik.imagekit.io/alaaalaa6171/024%20Krieg%60s%20Pirate%20Armada_Admiral%20-%20Don%20Krieg%20-%20Medal%20_Don%20Krieg_%20_Colored_.png?updatedAt=1770076405396")</f>
        <v>https://ik.imagekit.io/alaaalaa6171/024%20Krieg%60s%20Pirate%20Armada_Admiral%20-%20Don%20Krieg%20-%20Medal%20_Don%20Krieg_%20_Colored_.png?updatedAt=1770076405396</v>
      </c>
      <c r="AE320" s="123" t="str">
        <f>IFERROR(__xludf.DUMMYFUNCTION("""COMPUTED_VALUE"""),"https://ik.imagekit.io/alaaalaa6171/024%20Krieg%60s%20Pirate%20Armada_Admiral%20-%20Don%20Krieg%20-%20Medal%20_Don%20Krieg_%20-%20Piece.png?updatedAt=1770076404974")</f>
        <v>https://ik.imagekit.io/alaaalaa6171/024%20Krieg%60s%20Pirate%20Armada_Admiral%20-%20Don%20Krieg%20-%20Medal%20_Don%20Krieg_%20-%20Piece.png?updatedAt=1770076404974</v>
      </c>
      <c r="AF320" s="123" t="str">
        <f>IFERROR(__xludf.DUMMYFUNCTION("""COMPUTED_VALUE"""),"https://ik.imagekit.io/alaaalaa6171/024%20Krieg%60s%20Pirate%20Armada_Admiral%20-%20Don%20Krieg%20-%20Medal%20_Don%20Krieg_%20-%20Piece%20_Colored_.png?updatedAt=1770076405020")</f>
        <v>https://ik.imagekit.io/alaaalaa6171/024%20Krieg%60s%20Pirate%20Armada_Admiral%20-%20Don%20Krieg%20-%20Medal%20_Don%20Krieg_%20-%20Piece%20_Colored_.png?updatedAt=1770076405020</v>
      </c>
      <c r="AG320" s="114"/>
      <c r="AH320" s="114"/>
      <c r="AI320" s="121" t="s">
        <v>5819</v>
      </c>
      <c r="AJ320" s="121" t="str">
        <f>IFERROR(__xludf.DUMMYFUNCTION("regexreplace(regexreplace(AI320, ""  \["", "" ""), ""\]$"", """")"),"319 - Tontatta Pirates_Captain ~ Leo - Medal - Crafted [Colored] - Leo")</f>
        <v>319 - Tontatta Pirates_Captain ~ Leo - Medal - Crafted [Colored] - Leo</v>
      </c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4"/>
      <c r="AZ320" s="114"/>
      <c r="BA320" s="114"/>
      <c r="BB320" s="114"/>
      <c r="BC320" s="114"/>
      <c r="BD320" s="114"/>
      <c r="BE320" s="114"/>
    </row>
    <row r="321" ht="37.5" customHeight="1">
      <c r="A321" s="118" t="s">
        <v>5820</v>
      </c>
      <c r="B321" s="117" t="s">
        <v>2296</v>
      </c>
      <c r="C321" s="119">
        <f>IFERROR(__xludf.DUMMYFUNCTION("""COMPUTED_VALUE"""),22.0)</f>
        <v>22</v>
      </c>
      <c r="D321" s="114" t="str">
        <f>IFERROR(__xludf.DUMMYFUNCTION("""COMPUTED_VALUE"""),"Zeff")</f>
        <v>Zeff</v>
      </c>
      <c r="E321" s="114" t="str">
        <f>IFERROR(__xludf.DUMMYFUNCTION("""COMPUTED_VALUE"""),"")</f>
        <v/>
      </c>
      <c r="F321" s="114"/>
      <c r="G321" s="114"/>
      <c r="H321" s="114"/>
      <c r="I321" s="114"/>
      <c r="J321" s="114"/>
      <c r="K321" s="114" t="s">
        <v>5821</v>
      </c>
      <c r="L321" s="114" t="s">
        <v>5822</v>
      </c>
      <c r="M321" s="114" t="s">
        <v>5823</v>
      </c>
      <c r="N321" s="114" t="s">
        <v>5824</v>
      </c>
      <c r="O321" s="114"/>
      <c r="P321" s="120">
        <v>22.0</v>
      </c>
      <c r="Q321" s="117" t="s">
        <v>5825</v>
      </c>
      <c r="R321" s="114"/>
      <c r="S321" s="117" t="s">
        <v>2264</v>
      </c>
      <c r="T321" s="114">
        <f t="shared" si="1"/>
        <v>320</v>
      </c>
      <c r="U321" s="114" t="s">
        <v>159</v>
      </c>
      <c r="V321" s="114" t="str">
        <f>IFERROR(__xludf.DUMMYFUNCTION("REGEXREPLACE(U321, ""\n"", "" "")"),"Sai")</f>
        <v>Sai</v>
      </c>
      <c r="W321" s="114"/>
      <c r="X321" s="115" t="str">
        <f t="shared" si="2"/>
        <v>320 Happosui Army / 13th Chief - Sai - Medal [Sai]</v>
      </c>
      <c r="Y321" s="119"/>
      <c r="Z321" s="117" t="s">
        <v>5826</v>
      </c>
      <c r="AA321" s="117" t="s">
        <v>3025</v>
      </c>
      <c r="AB321" s="114"/>
      <c r="AC321" s="123" t="str">
        <f>IFERROR(__xludf.DUMMYFUNCTION("""COMPUTED_VALUE"""),"https://ik.imagekit.io/alaaalaa6171/023%20Krieg%60s%20Pirate%20Armada_Battle%20Commander%20-%20Gin%20-%20Medal%20_Gin_.png?updatedAt=1770076405125")</f>
        <v>https://ik.imagekit.io/alaaalaa6171/023%20Krieg%60s%20Pirate%20Armada_Battle%20Commander%20-%20Gin%20-%20Medal%20_Gin_.png?updatedAt=1770076405125</v>
      </c>
      <c r="AD321" s="123" t="str">
        <f>IFERROR(__xludf.DUMMYFUNCTION("""COMPUTED_VALUE"""),"https://ik.imagekit.io/alaaalaa6171/023%20Krieg%60s%20Pirate%20Armada_Battle%20Commander%20-%20Gin%20-%20Medal%20_Gin_%20_Colored_.png?updatedAt=1770076405152")</f>
        <v>https://ik.imagekit.io/alaaalaa6171/023%20Krieg%60s%20Pirate%20Armada_Battle%20Commander%20-%20Gin%20-%20Medal%20_Gin_%20_Colored_.png?updatedAt=1770076405152</v>
      </c>
      <c r="AE321" s="123" t="str">
        <f>IFERROR(__xludf.DUMMYFUNCTION("""COMPUTED_VALUE"""),"https://ik.imagekit.io/alaaalaa6171/023%20Krieg%60s%20Pirate%20Armada_Battle%20Commander%20-%20Gin%20-%20Medal%20_Gin_%20-%20Piece.png?updatedAt=1770076405327")</f>
        <v>https://ik.imagekit.io/alaaalaa6171/023%20Krieg%60s%20Pirate%20Armada_Battle%20Commander%20-%20Gin%20-%20Medal%20_Gin_%20-%20Piece.png?updatedAt=1770076405327</v>
      </c>
      <c r="AF321" s="123" t="str">
        <f>IFERROR(__xludf.DUMMYFUNCTION("""COMPUTED_VALUE"""),"https://ik.imagekit.io/alaaalaa6171/023%20Krieg%60s%20Pirate%20Armada_Battle%20Commander%20-%20Gin%20-%20Medal%20_Gin_%20-%20Piece%20_Colored_.png?updatedAt=1770076405564")</f>
        <v>https://ik.imagekit.io/alaaalaa6171/023%20Krieg%60s%20Pirate%20Armada_Battle%20Commander%20-%20Gin%20-%20Medal%20_Gin_%20-%20Piece%20_Colored_.png?updatedAt=1770076405564</v>
      </c>
      <c r="AG321" s="114"/>
      <c r="AH321" s="114"/>
      <c r="AI321" s="121" t="s">
        <v>5827</v>
      </c>
      <c r="AJ321" s="121" t="str">
        <f>IFERROR(__xludf.DUMMYFUNCTION("regexreplace(regexreplace(AI321, ""  \["", "" ""), ""\]$"", """")"),"320 - Happosui Army_13th Chief ~ Sai - Medal - Crafted [Colored] - Sai")</f>
        <v>320 - Happosui Army_13th Chief ~ Sai - Medal - Crafted [Colored] - Sai</v>
      </c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4"/>
      <c r="AZ321" s="114"/>
      <c r="BA321" s="114"/>
      <c r="BB321" s="114"/>
      <c r="BC321" s="114"/>
      <c r="BD321" s="114"/>
      <c r="BE321" s="114"/>
    </row>
    <row r="322" ht="37.5" customHeight="1">
      <c r="A322" s="118" t="s">
        <v>5828</v>
      </c>
      <c r="B322" s="117" t="s">
        <v>2257</v>
      </c>
      <c r="C322" s="119">
        <f>IFERROR(__xludf.DUMMYFUNCTION("""COMPUTED_VALUE"""),21.0)</f>
        <v>21</v>
      </c>
      <c r="D322" s="114" t="str">
        <f>IFERROR(__xludf.DUMMYFUNCTION("""COMPUTED_VALUE"""),"Kuro")</f>
        <v>Kuro</v>
      </c>
      <c r="E322" s="114" t="str">
        <f>IFERROR(__xludf.DUMMYFUNCTION("""COMPUTED_VALUE"""),"")</f>
        <v/>
      </c>
      <c r="F322" s="114"/>
      <c r="G322" s="114"/>
      <c r="H322" s="114"/>
      <c r="I322" s="114"/>
      <c r="J322" s="114"/>
      <c r="K322" s="114" t="s">
        <v>5829</v>
      </c>
      <c r="L322" s="114" t="s">
        <v>5830</v>
      </c>
      <c r="M322" s="114" t="s">
        <v>5831</v>
      </c>
      <c r="N322" s="114" t="s">
        <v>5832</v>
      </c>
      <c r="O322" s="114"/>
      <c r="P322" s="120">
        <v>21.0</v>
      </c>
      <c r="Q322" s="117" t="s">
        <v>5833</v>
      </c>
      <c r="R322" s="114"/>
      <c r="S322" s="117" t="s">
        <v>2251</v>
      </c>
      <c r="T322" s="114">
        <f t="shared" si="1"/>
        <v>321</v>
      </c>
      <c r="U322" s="114" t="s">
        <v>152</v>
      </c>
      <c r="V322" s="114" t="str">
        <f>IFERROR(__xludf.DUMMYFUNCTION("REGEXREPLACE(U322, ""\n"", "" "")"),"Flail")</f>
        <v>Flail</v>
      </c>
      <c r="W322" s="114"/>
      <c r="X322" s="115" t="str">
        <f t="shared" si="2"/>
        <v>321 Davy Back Fight - Monkey D. Luffy - Medal [Flail]</v>
      </c>
      <c r="Y322" s="119"/>
      <c r="Z322" s="117" t="s">
        <v>5834</v>
      </c>
      <c r="AA322" s="117" t="s">
        <v>3023</v>
      </c>
      <c r="AB322" s="114"/>
      <c r="AC322" s="123" t="str">
        <f>IFERROR(__xludf.DUMMYFUNCTION("""COMPUTED_VALUE"""),"https://ik.imagekit.io/alaaalaa6171/022%20Baratie_Head%20Chef%20-%20Zeff%20-%20Medal%20_Zeff_.png?updatedAt=1770076405263")</f>
        <v>https://ik.imagekit.io/alaaalaa6171/022%20Baratie_Head%20Chef%20-%20Zeff%20-%20Medal%20_Zeff_.png?updatedAt=1770076405263</v>
      </c>
      <c r="AD322" s="123" t="str">
        <f>IFERROR(__xludf.DUMMYFUNCTION("""COMPUTED_VALUE"""),"https://ik.imagekit.io/alaaalaa6171/022%20Baratie_Head%20Chef%20-%20Zeff%20-%20Medal%20_Zeff_%20_Colored_.png?updatedAt=1770076405366")</f>
        <v>https://ik.imagekit.io/alaaalaa6171/022%20Baratie_Head%20Chef%20-%20Zeff%20-%20Medal%20_Zeff_%20_Colored_.png?updatedAt=1770076405366</v>
      </c>
      <c r="AE322" s="123" t="str">
        <f>IFERROR(__xludf.DUMMYFUNCTION("""COMPUTED_VALUE"""),"https://ik.imagekit.io/alaaalaa6171/022%20Baratie_Head%20Chef%20-%20Zeff%20-%20Medal%20_Zeff_%20-%20Piece.png?updatedAt=1770076405446")</f>
        <v>https://ik.imagekit.io/alaaalaa6171/022%20Baratie_Head%20Chef%20-%20Zeff%20-%20Medal%20_Zeff_%20-%20Piece.png?updatedAt=1770076405446</v>
      </c>
      <c r="AF322" s="123" t="str">
        <f>IFERROR(__xludf.DUMMYFUNCTION("""COMPUTED_VALUE"""),"https://ik.imagekit.io/alaaalaa6171/022%20Baratie_Head%20Chef%20-%20Zeff%20-%20Medal%20_Zeff_%20-%20Piece%20_Colored_.png?updatedAt=1770076405359")</f>
        <v>https://ik.imagekit.io/alaaalaa6171/022%20Baratie_Head%20Chef%20-%20Zeff%20-%20Medal%20_Zeff_%20-%20Piece%20_Colored_.png?updatedAt=1770076405359</v>
      </c>
      <c r="AG322" s="114"/>
      <c r="AH322" s="114"/>
      <c r="AI322" s="121" t="s">
        <v>5835</v>
      </c>
      <c r="AJ322" s="121" t="str">
        <f>IFERROR(__xludf.DUMMYFUNCTION("regexreplace(regexreplace(AI322, ""  \["", "" ""), ""\]$"", """")"),"321 - Davy Back Fight ~ Monkey D. Luffy - Medal - Crafted [Colored] - Flail")</f>
        <v>321 - Davy Back Fight ~ Monkey D. Luffy - Medal - Crafted [Colored] - Flail</v>
      </c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4"/>
      <c r="AZ322" s="114"/>
      <c r="BA322" s="114"/>
      <c r="BB322" s="114"/>
      <c r="BC322" s="114"/>
      <c r="BD322" s="114"/>
      <c r="BE322" s="114"/>
    </row>
    <row r="323" ht="37.5" customHeight="1">
      <c r="A323" s="118" t="s">
        <v>5836</v>
      </c>
      <c r="B323" s="117" t="s">
        <v>2322</v>
      </c>
      <c r="C323" s="119">
        <f>IFERROR(__xludf.DUMMYFUNCTION("""COMPUTED_VALUE"""),20.0)</f>
        <v>20</v>
      </c>
      <c r="D323" s="114" t="str">
        <f>IFERROR(__xludf.DUMMYFUNCTION("""COMPUTED_VALUE"""),"Buggy")</f>
        <v>Buggy</v>
      </c>
      <c r="E323" s="114" t="str">
        <f>IFERROR(__xludf.DUMMYFUNCTION("""COMPUTED_VALUE"""),"")</f>
        <v/>
      </c>
      <c r="F323" s="114"/>
      <c r="G323" s="114"/>
      <c r="H323" s="114"/>
      <c r="I323" s="114"/>
      <c r="J323" s="114"/>
      <c r="K323" s="114" t="s">
        <v>5837</v>
      </c>
      <c r="L323" s="114" t="s">
        <v>5838</v>
      </c>
      <c r="M323" s="114" t="s">
        <v>5839</v>
      </c>
      <c r="N323" s="114" t="s">
        <v>5840</v>
      </c>
      <c r="O323" s="114"/>
      <c r="P323" s="120">
        <v>20.0</v>
      </c>
      <c r="Q323" s="117" t="s">
        <v>5841</v>
      </c>
      <c r="R323" s="114"/>
      <c r="S323" s="117" t="s">
        <v>2238</v>
      </c>
      <c r="T323" s="114">
        <f t="shared" si="1"/>
        <v>322</v>
      </c>
      <c r="U323" s="114" t="s">
        <v>146</v>
      </c>
      <c r="V323" s="114" t="str">
        <f>IFERROR(__xludf.DUMMYFUNCTION("REGEXREPLACE(U323, ""\n"", "" "")"),"Foxy")</f>
        <v>Foxy</v>
      </c>
      <c r="W323" s="114"/>
      <c r="X323" s="115" t="str">
        <f t="shared" si="2"/>
        <v>322 Foxy Pirates / Captain - Foxy - Medal [Foxy]</v>
      </c>
      <c r="Y323" s="119"/>
      <c r="Z323" s="117" t="s">
        <v>5842</v>
      </c>
      <c r="AA323" s="117" t="s">
        <v>3035</v>
      </c>
      <c r="AB323" s="114"/>
      <c r="AC323" s="123" t="str">
        <f>IFERROR(__xludf.DUMMYFUNCTION("""COMPUTED_VALUE"""),"https://ik.imagekit.io/alaaalaa6171/021%20Black%20Cat%20Pirates_Former%20Captain%20-%20Captain%20Kuro%20-%20Medal%20_Kuro_.png?updatedAt=1770076405353")</f>
        <v>https://ik.imagekit.io/alaaalaa6171/021%20Black%20Cat%20Pirates_Former%20Captain%20-%20Captain%20Kuro%20-%20Medal%20_Kuro_.png?updatedAt=1770076405353</v>
      </c>
      <c r="AD323" s="123" t="str">
        <f>IFERROR(__xludf.DUMMYFUNCTION("""COMPUTED_VALUE"""),"https://ik.imagekit.io/alaaalaa6171/021%20Black%20Cat%20Pirates_Former%20Captain%20-%20Captain%20Kuro%20-%20Medal%20_Kuro_%20_Colored_.png?updatedAt=1770076405568")</f>
        <v>https://ik.imagekit.io/alaaalaa6171/021%20Black%20Cat%20Pirates_Former%20Captain%20-%20Captain%20Kuro%20-%20Medal%20_Kuro_%20_Colored_.png?updatedAt=1770076405568</v>
      </c>
      <c r="AE323" s="123" t="str">
        <f>IFERROR(__xludf.DUMMYFUNCTION("""COMPUTED_VALUE"""),"https://ik.imagekit.io/alaaalaa6171/021%20Black%20Cat%20Pirates_Former%20Captain%20-%20Captain%20Kuro%20-%20Medal%20_Kuro_%20-%20Piece.png?updatedAt=1770076404922")</f>
        <v>https://ik.imagekit.io/alaaalaa6171/021%20Black%20Cat%20Pirates_Former%20Captain%20-%20Captain%20Kuro%20-%20Medal%20_Kuro_%20-%20Piece.png?updatedAt=1770076404922</v>
      </c>
      <c r="AF323" s="123" t="str">
        <f>IFERROR(__xludf.DUMMYFUNCTION("""COMPUTED_VALUE"""),"https://ik.imagekit.io/alaaalaa6171/021%20Black%20Cat%20Pirates_Former%20Captain%20-%20Captain%20Kuro%20-%20Medal%20_Kuro_%20-%20Piece%20_Colored_.png?updatedAt=1770076405548")</f>
        <v>https://ik.imagekit.io/alaaalaa6171/021%20Black%20Cat%20Pirates_Former%20Captain%20-%20Captain%20Kuro%20-%20Medal%20_Kuro_%20-%20Piece%20_Colored_.png?updatedAt=1770076405548</v>
      </c>
      <c r="AG323" s="114"/>
      <c r="AH323" s="114"/>
      <c r="AI323" s="121" t="s">
        <v>5843</v>
      </c>
      <c r="AJ323" s="121" t="str">
        <f>IFERROR(__xludf.DUMMYFUNCTION("regexreplace(regexreplace(AI323, ""  \["", "" ""), ""\]$"", """")"),"322 - Foxy Pirates_Captain ~ Foxy - Medal - Crafted [Colored] - Foxy")</f>
        <v>322 - Foxy Pirates_Captain ~ Foxy - Medal - Crafted [Colored] - Foxy</v>
      </c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4"/>
      <c r="AZ323" s="114"/>
      <c r="BA323" s="114"/>
      <c r="BB323" s="114"/>
      <c r="BC323" s="114"/>
      <c r="BD323" s="114"/>
      <c r="BE323" s="114"/>
    </row>
    <row r="324" ht="37.5" customHeight="1">
      <c r="A324" s="118" t="s">
        <v>5844</v>
      </c>
      <c r="B324" s="117" t="s">
        <v>2179</v>
      </c>
      <c r="C324" s="119">
        <f>IFERROR(__xludf.DUMMYFUNCTION("""COMPUTED_VALUE"""),19.0)</f>
        <v>19</v>
      </c>
      <c r="D324" s="114" t="str">
        <f>IFERROR(__xludf.DUMMYFUNCTION("""COMPUTED_VALUE"""),"Johnny")</f>
        <v>Johnny</v>
      </c>
      <c r="E324" s="114" t="str">
        <f>IFERROR(__xludf.DUMMYFUNCTION("""COMPUTED_VALUE"""),"")</f>
        <v/>
      </c>
      <c r="F324" s="114"/>
      <c r="G324" s="114"/>
      <c r="H324" s="114"/>
      <c r="I324" s="114"/>
      <c r="J324" s="114"/>
      <c r="K324" s="114" t="s">
        <v>5845</v>
      </c>
      <c r="L324" s="114" t="s">
        <v>5846</v>
      </c>
      <c r="M324" s="114" t="s">
        <v>5847</v>
      </c>
      <c r="N324" s="114" t="s">
        <v>5848</v>
      </c>
      <c r="O324" s="114"/>
      <c r="P324" s="120">
        <v>19.0</v>
      </c>
      <c r="Q324" s="117" t="s">
        <v>5849</v>
      </c>
      <c r="R324" s="114"/>
      <c r="S324" s="117" t="s">
        <v>2225</v>
      </c>
      <c r="T324" s="114">
        <f t="shared" si="1"/>
        <v>323</v>
      </c>
      <c r="U324" s="114" t="s">
        <v>138</v>
      </c>
      <c r="V324" s="114" t="str">
        <f>IFERROR(__xludf.DUMMYFUNCTION("REGEXREPLACE(U324, ""\n"", "" "")"),"Armée de l’Air Power Shoot")</f>
        <v>Armée de l’Air Power Shoot</v>
      </c>
      <c r="W324" s="114"/>
      <c r="X324" s="115" t="str">
        <f t="shared" si="2"/>
        <v>323 Davy Back Fight - Sanji 1 - Medal [Armée de l’Air Power Shoot]</v>
      </c>
      <c r="Y324" s="119"/>
      <c r="Z324" s="117" t="s">
        <v>5850</v>
      </c>
      <c r="AA324" s="117" t="s">
        <v>3037</v>
      </c>
      <c r="AB324" s="114"/>
      <c r="AC324" s="123" t="str">
        <f>IFERROR(__xludf.DUMMYFUNCTION("""COMPUTED_VALUE"""),"https://ik.imagekit.io/alaaalaa6171/020%20Buggy%20Pirates_Captain%20-%20Buggy%20-%20Medal%20_Buggy_.png?updatedAt=1770076405242")</f>
        <v>https://ik.imagekit.io/alaaalaa6171/020%20Buggy%20Pirates_Captain%20-%20Buggy%20-%20Medal%20_Buggy_.png?updatedAt=1770076405242</v>
      </c>
      <c r="AD324" s="123" t="str">
        <f>IFERROR(__xludf.DUMMYFUNCTION("""COMPUTED_VALUE"""),"https://ik.imagekit.io/alaaalaa6171/020%20Buggy%20Pirates_Captain%20-%20Buggy%20-%20Medal%20_Buggy_%20_Colored_.png?updatedAt=1770076405220")</f>
        <v>https://ik.imagekit.io/alaaalaa6171/020%20Buggy%20Pirates_Captain%20-%20Buggy%20-%20Medal%20_Buggy_%20_Colored_.png?updatedAt=1770076405220</v>
      </c>
      <c r="AE324" s="123" t="str">
        <f>IFERROR(__xludf.DUMMYFUNCTION("""COMPUTED_VALUE"""),"https://ik.imagekit.io/alaaalaa6171/020%20Buggy%20Pirates_Captain%20-%20Buggy%20-%20Medal%20_Buggy_%20-%20Piece.png?updatedAt=1770076405309")</f>
        <v>https://ik.imagekit.io/alaaalaa6171/020%20Buggy%20Pirates_Captain%20-%20Buggy%20-%20Medal%20_Buggy_%20-%20Piece.png?updatedAt=1770076405309</v>
      </c>
      <c r="AF324" s="123" t="str">
        <f>IFERROR(__xludf.DUMMYFUNCTION("""COMPUTED_VALUE"""),"https://ik.imagekit.io/alaaalaa6171/020%20Buggy%20Pirates_Captain%20-%20Buggy%20-%20Medal%20_Buggy_%20-%20Piece%20_Colored_.png?updatedAt=1770076405344")</f>
        <v>https://ik.imagekit.io/alaaalaa6171/020%20Buggy%20Pirates_Captain%20-%20Buggy%20-%20Medal%20_Buggy_%20-%20Piece%20_Colored_.png?updatedAt=1770076405344</v>
      </c>
      <c r="AG324" s="114"/>
      <c r="AH324" s="114"/>
      <c r="AI324" s="121" t="s">
        <v>5851</v>
      </c>
      <c r="AJ324" s="121" t="str">
        <f>IFERROR(__xludf.DUMMYFUNCTION("regexreplace(regexreplace(AI324, ""  \["", "" ""), ""\]$"", """")"),"323 - Davy Back Fight ~ Sanji 1 - Medal - Crafted [Colored] - Armée de l’Air Power Shoot")</f>
        <v>323 - Davy Back Fight ~ Sanji 1 - Medal - Crafted [Colored] - Armée de l’Air Power Shoot</v>
      </c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4"/>
      <c r="AZ324" s="114"/>
      <c r="BA324" s="114"/>
      <c r="BB324" s="114"/>
      <c r="BC324" s="114"/>
      <c r="BD324" s="114"/>
      <c r="BE324" s="114"/>
    </row>
    <row r="325" ht="37.5" customHeight="1">
      <c r="A325" s="118" t="s">
        <v>5852</v>
      </c>
      <c r="B325" s="117" t="s">
        <v>2218</v>
      </c>
      <c r="C325" s="119">
        <f>IFERROR(__xludf.DUMMYFUNCTION("""COMPUTED_VALUE"""),18.0)</f>
        <v>18</v>
      </c>
      <c r="D325" s="114" t="str">
        <f>IFERROR(__xludf.DUMMYFUNCTION("""COMPUTED_VALUE"""),"Yosaku")</f>
        <v>Yosaku</v>
      </c>
      <c r="E325" s="114" t="str">
        <f>IFERROR(__xludf.DUMMYFUNCTION("""COMPUTED_VALUE"""),"")</f>
        <v/>
      </c>
      <c r="F325" s="114"/>
      <c r="G325" s="114"/>
      <c r="H325" s="114"/>
      <c r="I325" s="114"/>
      <c r="J325" s="114"/>
      <c r="K325" s="114" t="s">
        <v>5853</v>
      </c>
      <c r="L325" s="114" t="s">
        <v>5854</v>
      </c>
      <c r="M325" s="114" t="s">
        <v>5855</v>
      </c>
      <c r="N325" s="114" t="s">
        <v>5856</v>
      </c>
      <c r="O325" s="114"/>
      <c r="P325" s="120">
        <v>18.0</v>
      </c>
      <c r="Q325" s="117" t="s">
        <v>5857</v>
      </c>
      <c r="R325" s="114"/>
      <c r="S325" s="117" t="s">
        <v>2212</v>
      </c>
      <c r="T325" s="114">
        <f t="shared" si="1"/>
        <v>324</v>
      </c>
      <c r="U325" s="114" t="s">
        <v>132</v>
      </c>
      <c r="V325" s="114" t="str">
        <f>IFERROR(__xludf.DUMMYFUNCTION("REGEXREPLACE(U325, ""\n"", "" "")"),"Borsalino")</f>
        <v>Borsalino</v>
      </c>
      <c r="W325" s="114"/>
      <c r="X325" s="115" t="str">
        <f t="shared" si="2"/>
        <v>324 Ama no Murakumo Sword Kizaru - [Borsalino] - Medal [Borsalino]</v>
      </c>
      <c r="Y325" s="119"/>
      <c r="Z325" s="117" t="s">
        <v>5858</v>
      </c>
      <c r="AA325" s="117" t="s">
        <v>3038</v>
      </c>
      <c r="AB325" s="114"/>
      <c r="AC325" s="123" t="str">
        <f>IFERROR(__xludf.DUMMYFUNCTION("""COMPUTED_VALUE"""),"https://ik.imagekit.io/alaaalaa6171/019%20Bounty%20Hunter%20-%20Johnny%20-%20Medal%20_Johnny_.png?updatedAt=1770076405202")</f>
        <v>https://ik.imagekit.io/alaaalaa6171/019%20Bounty%20Hunter%20-%20Johnny%20-%20Medal%20_Johnny_.png?updatedAt=1770076405202</v>
      </c>
      <c r="AD325" s="123" t="str">
        <f>IFERROR(__xludf.DUMMYFUNCTION("""COMPUTED_VALUE"""),"https://ik.imagekit.io/alaaalaa6171/019%20Bounty%20Hunter%20-%20Johnny%20-%20Medal%20_Johnny_%20_Colored_.png?updatedAt=1770076405196")</f>
        <v>https://ik.imagekit.io/alaaalaa6171/019%20Bounty%20Hunter%20-%20Johnny%20-%20Medal%20_Johnny_%20_Colored_.png?updatedAt=1770076405196</v>
      </c>
      <c r="AE325" s="123" t="str">
        <f>IFERROR(__xludf.DUMMYFUNCTION("""COMPUTED_VALUE"""),"https://ik.imagekit.io/alaaalaa6171/019%20Bounty%20Hunter%20-%20Johnny%20-%20Medal%20_Johnny_%20-%20Piece.png?updatedAt=1770076404914")</f>
        <v>https://ik.imagekit.io/alaaalaa6171/019%20Bounty%20Hunter%20-%20Johnny%20-%20Medal%20_Johnny_%20-%20Piece.png?updatedAt=1770076404914</v>
      </c>
      <c r="AF325" s="123" t="str">
        <f>IFERROR(__xludf.DUMMYFUNCTION("""COMPUTED_VALUE"""),"https://ik.imagekit.io/alaaalaa6171/019%20Bounty%20Hunter%20-%20Johnny%20-%20Medal%20_Johnny_%20-%20Piece%20_Colored_.png?updatedAt=1770076405274")</f>
        <v>https://ik.imagekit.io/alaaalaa6171/019%20Bounty%20Hunter%20-%20Johnny%20-%20Medal%20_Johnny_%20-%20Piece%20_Colored_.png?updatedAt=1770076405274</v>
      </c>
      <c r="AG325" s="114"/>
      <c r="AH325" s="114"/>
      <c r="AI325" s="121" t="s">
        <v>5859</v>
      </c>
      <c r="AJ325" s="121" t="str">
        <f>IFERROR(__xludf.DUMMYFUNCTION("regexreplace(regexreplace(AI325, ""  \["", "" ""), ""\]$"", """")"),"324 - Ama no Murakumo Sword Kizaru ~ [Borsalino] - Medal - Crafted [Colored] - Borsalino")</f>
        <v>324 - Ama no Murakumo Sword Kizaru ~ [Borsalino] - Medal - Crafted [Colored] - Borsalino</v>
      </c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4"/>
      <c r="AZ325" s="114"/>
      <c r="BA325" s="114"/>
      <c r="BB325" s="114"/>
      <c r="BC325" s="114"/>
      <c r="BD325" s="114"/>
      <c r="BE325" s="114"/>
    </row>
    <row r="326" ht="37.5" customHeight="1">
      <c r="A326" s="118" t="s">
        <v>5860</v>
      </c>
      <c r="B326" s="117" t="s">
        <v>2088</v>
      </c>
      <c r="C326" s="119">
        <f>IFERROR(__xludf.DUMMYFUNCTION("""COMPUTED_VALUE"""),17.0)</f>
        <v>17</v>
      </c>
      <c r="D326" s="114" t="str">
        <f>IFERROR(__xludf.DUMMYFUNCTION("""COMPUTED_VALUE"""),"Butchie")</f>
        <v>Butchie</v>
      </c>
      <c r="E326" s="114" t="str">
        <f>IFERROR(__xludf.DUMMYFUNCTION("""COMPUTED_VALUE"""),"")</f>
        <v/>
      </c>
      <c r="F326" s="114"/>
      <c r="G326" s="114"/>
      <c r="H326" s="114"/>
      <c r="I326" s="114"/>
      <c r="J326" s="114"/>
      <c r="K326" s="114" t="s">
        <v>5861</v>
      </c>
      <c r="L326" s="114" t="s">
        <v>5862</v>
      </c>
      <c r="M326" s="114" t="s">
        <v>5863</v>
      </c>
      <c r="N326" s="114" t="s">
        <v>5864</v>
      </c>
      <c r="O326" s="114"/>
      <c r="P326" s="120">
        <v>17.0</v>
      </c>
      <c r="Q326" s="117" t="s">
        <v>5865</v>
      </c>
      <c r="R326" s="114"/>
      <c r="S326" s="117" t="s">
        <v>2199</v>
      </c>
      <c r="T326" s="114">
        <f t="shared" si="1"/>
        <v>325</v>
      </c>
      <c r="U326" s="114" t="s">
        <v>125</v>
      </c>
      <c r="V326" s="114" t="str">
        <f>IFERROR(__xludf.DUMMYFUNCTION("REGEXREPLACE(U326, ""\n"", "" "")"),"Aramaki")</f>
        <v>Aramaki</v>
      </c>
      <c r="W326" s="114"/>
      <c r="X326" s="115" t="str">
        <f t="shared" si="2"/>
        <v>325 Groves of Wrath Ryokugyu - [Aramaki] - Medal [Aramaki]</v>
      </c>
      <c r="Y326" s="119"/>
      <c r="Z326" s="117" t="s">
        <v>5866</v>
      </c>
      <c r="AA326" s="117" t="s">
        <v>3036</v>
      </c>
      <c r="AB326" s="114"/>
      <c r="AC326" s="123" t="str">
        <f>IFERROR(__xludf.DUMMYFUNCTION("""COMPUTED_VALUE"""),"https://ik.imagekit.io/alaaalaa6171/018%20Bounty%20Hunter%20-%20Yosaku%20-%20Medal%20_Yosaku_.png?updatedAt=1770076405589")</f>
        <v>https://ik.imagekit.io/alaaalaa6171/018%20Bounty%20Hunter%20-%20Yosaku%20-%20Medal%20_Yosaku_.png?updatedAt=1770076405589</v>
      </c>
      <c r="AD326" s="123" t="str">
        <f>IFERROR(__xludf.DUMMYFUNCTION("""COMPUTED_VALUE"""),"https://ik.imagekit.io/alaaalaa6171/018%20Bounty%20Hunter%20-%20Yosaku%20-%20Medal%20_Yosaku_%20_Colored_.png?updatedAt=1770076405142")</f>
        <v>https://ik.imagekit.io/alaaalaa6171/018%20Bounty%20Hunter%20-%20Yosaku%20-%20Medal%20_Yosaku_%20_Colored_.png?updatedAt=1770076405142</v>
      </c>
      <c r="AE326" s="123" t="str">
        <f>IFERROR(__xludf.DUMMYFUNCTION("""COMPUTED_VALUE"""),"https://ik.imagekit.io/alaaalaa6171/018%20Bounty%20Hunter%20-%20Yosaku%20-%20Medal%20_Yosaku_%20-%20Piece.png?updatedAt=1770076404878")</f>
        <v>https://ik.imagekit.io/alaaalaa6171/018%20Bounty%20Hunter%20-%20Yosaku%20-%20Medal%20_Yosaku_%20-%20Piece.png?updatedAt=1770076404878</v>
      </c>
      <c r="AF326" s="123" t="str">
        <f>IFERROR(__xludf.DUMMYFUNCTION("""COMPUTED_VALUE"""),"https://ik.imagekit.io/alaaalaa6171/018%20Bounty%20Hunter%20-%20Yosaku%20-%20Medal%20_Yosaku_%20-%20Piece%20_Colored_.png?updatedAt=1770076405400")</f>
        <v>https://ik.imagekit.io/alaaalaa6171/018%20Bounty%20Hunter%20-%20Yosaku%20-%20Medal%20_Yosaku_%20-%20Piece%20_Colored_.png?updatedAt=1770076405400</v>
      </c>
      <c r="AG326" s="114"/>
      <c r="AH326" s="114"/>
      <c r="AI326" s="121" t="s">
        <v>5867</v>
      </c>
      <c r="AJ326" s="121" t="str">
        <f>IFERROR(__xludf.DUMMYFUNCTION("regexreplace(regexreplace(AI326, ""  \["", "" ""), ""\]$"", """")"),"325 - Groves of Wrath Ryokugyu ~ [Aramaki] - Medal - Crafted [Colored] - Aramaki")</f>
        <v>325 - Groves of Wrath Ryokugyu ~ [Aramaki] - Medal - Crafted [Colored] - Aramaki</v>
      </c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4"/>
      <c r="AZ326" s="114"/>
      <c r="BA326" s="114"/>
      <c r="BB326" s="114"/>
      <c r="BC326" s="114"/>
      <c r="BD326" s="114"/>
      <c r="BE326" s="114"/>
    </row>
    <row r="327" ht="37.5" customHeight="1">
      <c r="A327" s="118" t="s">
        <v>5868</v>
      </c>
      <c r="B327" s="117" t="s">
        <v>2244</v>
      </c>
      <c r="C327" s="119">
        <f>IFERROR(__xludf.DUMMYFUNCTION("""COMPUTED_VALUE"""),16.0)</f>
        <v>16</v>
      </c>
      <c r="D327" s="114" t="str">
        <f>IFERROR(__xludf.DUMMYFUNCTION("""COMPUTED_VALUE"""),"Django")</f>
        <v>Django</v>
      </c>
      <c r="E327" s="114" t="str">
        <f>IFERROR(__xludf.DUMMYFUNCTION("""COMPUTED_VALUE"""),"")</f>
        <v/>
      </c>
      <c r="F327" s="114"/>
      <c r="G327" s="114"/>
      <c r="H327" s="114"/>
      <c r="I327" s="114"/>
      <c r="J327" s="114"/>
      <c r="K327" s="114" t="s">
        <v>5869</v>
      </c>
      <c r="L327" s="114" t="s">
        <v>5870</v>
      </c>
      <c r="M327" s="114" t="s">
        <v>5871</v>
      </c>
      <c r="N327" s="114" t="s">
        <v>5872</v>
      </c>
      <c r="O327" s="114"/>
      <c r="P327" s="120">
        <v>16.0</v>
      </c>
      <c r="Q327" s="117" t="s">
        <v>5873</v>
      </c>
      <c r="R327" s="114"/>
      <c r="S327" s="117" t="s">
        <v>2186</v>
      </c>
      <c r="T327" s="114">
        <f t="shared" si="1"/>
        <v>326</v>
      </c>
      <c r="U327" s="114" t="s">
        <v>119</v>
      </c>
      <c r="V327" s="114" t="str">
        <f>IFERROR(__xludf.DUMMYFUNCTION("REGEXREPLACE(U327, ""\n"", "" "")"),"Issho")</f>
        <v>Issho</v>
      </c>
      <c r="W327" s="114"/>
      <c r="X327" s="115" t="str">
        <f t="shared" si="2"/>
        <v>326 Blind Swordsman Fujitora - [Issho] - Medal [Issho]</v>
      </c>
      <c r="Y327" s="119"/>
      <c r="Z327" s="117" t="s">
        <v>5874</v>
      </c>
      <c r="AA327" s="117" t="s">
        <v>3048</v>
      </c>
      <c r="AB327" s="114"/>
      <c r="AC327" s="123" t="str">
        <f>IFERROR(__xludf.DUMMYFUNCTION("""COMPUTED_VALUE"""),"https://ik.imagekit.io/alaaalaa6171/017%20Black%20Cat%20Pirates_Guard%20-%20Butchie%20-%20Medal%20_Butchie_.png?updatedAt=1770076405404")</f>
        <v>https://ik.imagekit.io/alaaalaa6171/017%20Black%20Cat%20Pirates_Guard%20-%20Butchie%20-%20Medal%20_Butchie_.png?updatedAt=1770076405404</v>
      </c>
      <c r="AD327" s="123" t="str">
        <f>IFERROR(__xludf.DUMMYFUNCTION("""COMPUTED_VALUE"""),"https://ik.imagekit.io/alaaalaa6171/017%20Black%20Cat%20Pirates_Guard%20-%20Butchie%20-%20Medal%20_Butchie_%20_Colored_.png?updatedAt=1770076405383")</f>
        <v>https://ik.imagekit.io/alaaalaa6171/017%20Black%20Cat%20Pirates_Guard%20-%20Butchie%20-%20Medal%20_Butchie_%20_Colored_.png?updatedAt=1770076405383</v>
      </c>
      <c r="AE327" s="123" t="str">
        <f>IFERROR(__xludf.DUMMYFUNCTION("""COMPUTED_VALUE"""),"https://ik.imagekit.io/alaaalaa6171/017%20Black%20Cat%20Pirates_Guard%20-%20Butchie%20-%20Medal%20_Butchie_%20-%20Piece.png?updatedAt=1770076404928")</f>
        <v>https://ik.imagekit.io/alaaalaa6171/017%20Black%20Cat%20Pirates_Guard%20-%20Butchie%20-%20Medal%20_Butchie_%20-%20Piece.png?updatedAt=1770076404928</v>
      </c>
      <c r="AF327" s="123" t="str">
        <f>IFERROR(__xludf.DUMMYFUNCTION("""COMPUTED_VALUE"""),"https://ik.imagekit.io/alaaalaa6171/017%20Black%20Cat%20Pirates_Guard%20-%20Butchie%20-%20Medal%20_Butchie_%20-%20Piece%20_Colored_.png?updatedAt=1770076405120")</f>
        <v>https://ik.imagekit.io/alaaalaa6171/017%20Black%20Cat%20Pirates_Guard%20-%20Butchie%20-%20Medal%20_Butchie_%20-%20Piece%20_Colored_.png?updatedAt=1770076405120</v>
      </c>
      <c r="AG327" s="114"/>
      <c r="AH327" s="114"/>
      <c r="AI327" s="121" t="s">
        <v>5875</v>
      </c>
      <c r="AJ327" s="121" t="str">
        <f>IFERROR(__xludf.DUMMYFUNCTION("regexreplace(regexreplace(AI327, ""  \["", "" ""), ""\]$"", """")"),"326 - Blind Swordsman Fujitora ~ [Issho] - Medal - Crafted [Colored] - Issho")</f>
        <v>326 - Blind Swordsman Fujitora ~ [Issho] - Medal - Crafted [Colored] - Issho</v>
      </c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4"/>
      <c r="AZ327" s="114"/>
      <c r="BA327" s="114"/>
      <c r="BB327" s="114"/>
      <c r="BC327" s="114"/>
      <c r="BD327" s="114"/>
      <c r="BE327" s="114"/>
    </row>
    <row r="328" ht="37.5" customHeight="1">
      <c r="A328" s="118" t="s">
        <v>5876</v>
      </c>
      <c r="B328" s="117" t="s">
        <v>2127</v>
      </c>
      <c r="C328" s="119">
        <f>IFERROR(__xludf.DUMMYFUNCTION("""COMPUTED_VALUE"""),15.0)</f>
        <v>15</v>
      </c>
      <c r="D328" s="114" t="str">
        <f>IFERROR(__xludf.DUMMYFUNCTION("""COMPUTED_VALUE"""),"Cabaji")</f>
        <v>Cabaji</v>
      </c>
      <c r="E328" s="114" t="str">
        <f>IFERROR(__xludf.DUMMYFUNCTION("""COMPUTED_VALUE"""),"")</f>
        <v/>
      </c>
      <c r="F328" s="114"/>
      <c r="G328" s="114"/>
      <c r="H328" s="114"/>
      <c r="I328" s="114"/>
      <c r="J328" s="114"/>
      <c r="K328" s="114" t="s">
        <v>5877</v>
      </c>
      <c r="L328" s="114" t="s">
        <v>5878</v>
      </c>
      <c r="M328" s="114" t="s">
        <v>5879</v>
      </c>
      <c r="N328" s="114" t="s">
        <v>5880</v>
      </c>
      <c r="O328" s="114"/>
      <c r="P328" s="120">
        <v>15.0</v>
      </c>
      <c r="Q328" s="117" t="s">
        <v>5881</v>
      </c>
      <c r="R328" s="114"/>
      <c r="S328" s="117" t="s">
        <v>2173</v>
      </c>
      <c r="T328" s="114">
        <f t="shared" si="1"/>
        <v>327</v>
      </c>
      <c r="U328" s="114" t="s">
        <v>112</v>
      </c>
      <c r="V328" s="114" t="str">
        <f>IFERROR(__xludf.DUMMYFUNCTION("REGEXREPLACE(U328, ""\n"", "" "")"),"Egghead Nami")</f>
        <v>Egghead Nami</v>
      </c>
      <c r="W328" s="114"/>
      <c r="X328" s="115" t="str">
        <f t="shared" si="2"/>
        <v>327 Egghead - Nami - Medal [Egghead Nami]</v>
      </c>
      <c r="Y328" s="119"/>
      <c r="Z328" s="117" t="s">
        <v>5882</v>
      </c>
      <c r="AA328" s="117" t="s">
        <v>3050</v>
      </c>
      <c r="AB328" s="114"/>
      <c r="AC328" s="123" t="str">
        <f>IFERROR(__xludf.DUMMYFUNCTION("""COMPUTED_VALUE"""),"https://ik.imagekit.io/alaaalaa6171/016%20Black%20Cat%20Pirates_Captain%20-%20Django%20-%20Medal%20_Django_.png?updatedAt=1770076405572")</f>
        <v>https://ik.imagekit.io/alaaalaa6171/016%20Black%20Cat%20Pirates_Captain%20-%20Django%20-%20Medal%20_Django_.png?updatedAt=1770076405572</v>
      </c>
      <c r="AD328" s="123" t="str">
        <f>IFERROR(__xludf.DUMMYFUNCTION("""COMPUTED_VALUE"""),"https://ik.imagekit.io/alaaalaa6171/016%20Black%20Cat%20Pirates_Captain%20-%20Django%20-%20Medal%20_Django_%20_Colored_.png?updatedAt=1770076405450")</f>
        <v>https://ik.imagekit.io/alaaalaa6171/016%20Black%20Cat%20Pirates_Captain%20-%20Django%20-%20Medal%20_Django_%20_Colored_.png?updatedAt=1770076405450</v>
      </c>
      <c r="AE328" s="123" t="str">
        <f>IFERROR(__xludf.DUMMYFUNCTION("""COMPUTED_VALUE"""),"https://ik.imagekit.io/alaaalaa6171/016%20Black%20Cat%20Pirates_Captain%20-%20Django%20-%20Medal%20_Django_%20-%20Piece.png?updatedAt=1770076405314")</f>
        <v>https://ik.imagekit.io/alaaalaa6171/016%20Black%20Cat%20Pirates_Captain%20-%20Django%20-%20Medal%20_Django_%20-%20Piece.png?updatedAt=1770076405314</v>
      </c>
      <c r="AF328" s="123" t="str">
        <f>IFERROR(__xludf.DUMMYFUNCTION("""COMPUTED_VALUE"""),"https://ik.imagekit.io/alaaalaa6171/016%20Black%20Cat%20Pirates_Captain%20-%20Django%20-%20Medal%20_Django_%20-%20Piece%20_Colored_.png?updatedAt=1770076405190")</f>
        <v>https://ik.imagekit.io/alaaalaa6171/016%20Black%20Cat%20Pirates_Captain%20-%20Django%20-%20Medal%20_Django_%20-%20Piece%20_Colored_.png?updatedAt=1770076405190</v>
      </c>
      <c r="AG328" s="114"/>
      <c r="AH328" s="114"/>
      <c r="AI328" s="121" t="s">
        <v>5883</v>
      </c>
      <c r="AJ328" s="121" t="str">
        <f>IFERROR(__xludf.DUMMYFUNCTION("regexreplace(regexreplace(AI328, ""  \["", "" ""), ""\]$"", """")"),"327 - Egghead ~ Nami - Medal - Crafted [Colored] - Egghead Nami")</f>
        <v>327 - Egghead ~ Nami - Medal - Crafted [Colored] - Egghead Nami</v>
      </c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4"/>
      <c r="AZ328" s="114"/>
      <c r="BA328" s="114"/>
      <c r="BB328" s="114"/>
      <c r="BC328" s="114"/>
      <c r="BD328" s="114"/>
      <c r="BE328" s="114"/>
    </row>
    <row r="329" ht="37.5" customHeight="1">
      <c r="A329" s="118" t="s">
        <v>5884</v>
      </c>
      <c r="B329" s="117" t="s">
        <v>2192</v>
      </c>
      <c r="C329" s="119">
        <f>IFERROR(__xludf.DUMMYFUNCTION("""COMPUTED_VALUE"""),14.0)</f>
        <v>14</v>
      </c>
      <c r="D329" s="114" t="str">
        <f>IFERROR(__xludf.DUMMYFUNCTION("""COMPUTED_VALUE"""),"Morgan")</f>
        <v>Morgan</v>
      </c>
      <c r="E329" s="114" t="str">
        <f>IFERROR(__xludf.DUMMYFUNCTION("""COMPUTED_VALUE"""),"")</f>
        <v/>
      </c>
      <c r="F329" s="114"/>
      <c r="G329" s="114"/>
      <c r="H329" s="114"/>
      <c r="I329" s="114"/>
      <c r="J329" s="114"/>
      <c r="K329" s="114" t="s">
        <v>5885</v>
      </c>
      <c r="L329" s="114" t="s">
        <v>5886</v>
      </c>
      <c r="M329" s="114" t="s">
        <v>5887</v>
      </c>
      <c r="N329" s="114" t="s">
        <v>5888</v>
      </c>
      <c r="O329" s="114"/>
      <c r="P329" s="120">
        <v>14.0</v>
      </c>
      <c r="Q329" s="117" t="s">
        <v>5889</v>
      </c>
      <c r="R329" s="114"/>
      <c r="S329" s="117" t="s">
        <v>2160</v>
      </c>
      <c r="T329" s="114">
        <f t="shared" si="1"/>
        <v>328</v>
      </c>
      <c r="U329" s="114" t="s">
        <v>105</v>
      </c>
      <c r="V329" s="114" t="str">
        <f>IFERROR(__xludf.DUMMYFUNCTION("REGEXREPLACE(U329, ""\n"", "" "")"),"Egghead Usopp")</f>
        <v>Egghead Usopp</v>
      </c>
      <c r="W329" s="114"/>
      <c r="X329" s="115" t="str">
        <f t="shared" si="2"/>
        <v>328 Egghead - Usopp - Medal [Egghead Usopp]</v>
      </c>
      <c r="Y329" s="119"/>
      <c r="Z329" s="117" t="s">
        <v>5890</v>
      </c>
      <c r="AA329" s="117" t="s">
        <v>3051</v>
      </c>
      <c r="AB329" s="114"/>
      <c r="AC329" s="123" t="str">
        <f>IFERROR(__xludf.DUMMYFUNCTION("""COMPUTED_VALUE"""),"https://ik.imagekit.io/alaaalaa6171/015%20Buggy%20Pirates_Chief%20of%20Staff%20-%20Cabaji%20-%20Medal%20_Cabaji_.png?updatedAt=1770076405321")</f>
        <v>https://ik.imagekit.io/alaaalaa6171/015%20Buggy%20Pirates_Chief%20of%20Staff%20-%20Cabaji%20-%20Medal%20_Cabaji_.png?updatedAt=1770076405321</v>
      </c>
      <c r="AD329" s="123" t="str">
        <f>IFERROR(__xludf.DUMMYFUNCTION("""COMPUTED_VALUE"""),"https://ik.imagekit.io/alaaalaa6171/015%20Buggy%20Pirates_Chief%20of%20Staff%20-%20Cabaji%20-%20Medal%20_Cabaji_%20_Colored_.png?updatedAt=1770076405581")</f>
        <v>https://ik.imagekit.io/alaaalaa6171/015%20Buggy%20Pirates_Chief%20of%20Staff%20-%20Cabaji%20-%20Medal%20_Cabaji_%20_Colored_.png?updatedAt=1770076405581</v>
      </c>
      <c r="AE329" s="123" t="str">
        <f>IFERROR(__xludf.DUMMYFUNCTION("""COMPUTED_VALUE"""),"https://ik.imagekit.io/alaaalaa6171/015%20Buggy%20Pirates_Chief%20of%20Staff%20-%20Cabaji%20-%20Medal%20_Cabaji_%20-%20Piece.png?updatedAt=1770076404914")</f>
        <v>https://ik.imagekit.io/alaaalaa6171/015%20Buggy%20Pirates_Chief%20of%20Staff%20-%20Cabaji%20-%20Medal%20_Cabaji_%20-%20Piece.png?updatedAt=1770076404914</v>
      </c>
      <c r="AF329" s="123" t="str">
        <f>IFERROR(__xludf.DUMMYFUNCTION("""COMPUTED_VALUE"""),"https://ik.imagekit.io/alaaalaa6171/015%20Buggy%20Pirates_Chief%20of%20Staff%20-%20Cabaji%20-%20Medal%20_Cabaji_%20-%20Piece%20_Colored_.png?updatedAt=1770076405210")</f>
        <v>https://ik.imagekit.io/alaaalaa6171/015%20Buggy%20Pirates_Chief%20of%20Staff%20-%20Cabaji%20-%20Medal%20_Cabaji_%20-%20Piece%20_Colored_.png?updatedAt=1770076405210</v>
      </c>
      <c r="AG329" s="114"/>
      <c r="AH329" s="114"/>
      <c r="AI329" s="121" t="s">
        <v>5891</v>
      </c>
      <c r="AJ329" s="121" t="str">
        <f>IFERROR(__xludf.DUMMYFUNCTION("regexreplace(regexreplace(AI329, ""  \["", "" ""), ""\]$"", """")"),"328 - Egghead ~ Usopp - Medal - Crafted [Colored] - Egghead Usopp")</f>
        <v>328 - Egghead ~ Usopp - Medal - Crafted [Colored] - Egghead Usopp</v>
      </c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4"/>
      <c r="AZ329" s="114"/>
      <c r="BA329" s="114"/>
      <c r="BB329" s="114"/>
      <c r="BC329" s="114"/>
      <c r="BD329" s="114"/>
      <c r="BE329" s="114"/>
    </row>
    <row r="330" ht="37.5" customHeight="1">
      <c r="A330" s="118" t="s">
        <v>5892</v>
      </c>
      <c r="B330" s="117" t="s">
        <v>2114</v>
      </c>
      <c r="C330" s="119">
        <f>IFERROR(__xludf.DUMMYFUNCTION("""COMPUTED_VALUE"""),13.0)</f>
        <v>13</v>
      </c>
      <c r="D330" s="114" t="str">
        <f>IFERROR(__xludf.DUMMYFUNCTION("""COMPUTED_VALUE"""),"Helmeppo")</f>
        <v>Helmeppo</v>
      </c>
      <c r="E330" s="114" t="str">
        <f>IFERROR(__xludf.DUMMYFUNCTION("""COMPUTED_VALUE"""),"")</f>
        <v/>
      </c>
      <c r="F330" s="114"/>
      <c r="G330" s="114"/>
      <c r="H330" s="114"/>
      <c r="I330" s="114"/>
      <c r="J330" s="114"/>
      <c r="K330" s="114" t="s">
        <v>5893</v>
      </c>
      <c r="L330" s="114" t="s">
        <v>5894</v>
      </c>
      <c r="M330" s="114" t="s">
        <v>5895</v>
      </c>
      <c r="N330" s="114" t="s">
        <v>5896</v>
      </c>
      <c r="O330" s="114"/>
      <c r="P330" s="120">
        <v>13.0</v>
      </c>
      <c r="Q330" s="117" t="s">
        <v>5897</v>
      </c>
      <c r="R330" s="114"/>
      <c r="S330" s="117" t="s">
        <v>2147</v>
      </c>
      <c r="T330" s="114">
        <f t="shared" si="1"/>
        <v>329</v>
      </c>
      <c r="U330" s="114" t="s">
        <v>99</v>
      </c>
      <c r="V330" s="114" t="str">
        <f>IFERROR(__xludf.DUMMYFUNCTION("REGEXREPLACE(U330, ""\n"", "" "")"),"Star Gun")</f>
        <v>Star Gun</v>
      </c>
      <c r="W330" s="114"/>
      <c r="X330" s="115" t="str">
        <f t="shared" si="2"/>
        <v>329 The Four Emperors - Monkey D. Luffy - Medal [Star Gun]</v>
      </c>
      <c r="Y330" s="119"/>
      <c r="Z330" s="117" t="s">
        <v>5898</v>
      </c>
      <c r="AA330" s="117" t="s">
        <v>3049</v>
      </c>
      <c r="AB330" s="114"/>
      <c r="AC330" s="123" t="str">
        <f>IFERROR(__xludf.DUMMYFUNCTION("""COMPUTED_VALUE"""),"https://ik.imagekit.io/alaaalaa6171/014%20Navy%20Captain%20-%20Morgan%20-%20Medal%20_Morgan_.png?updatedAt=1770076405130")</f>
        <v>https://ik.imagekit.io/alaaalaa6171/014%20Navy%20Captain%20-%20Morgan%20-%20Medal%20_Morgan_.png?updatedAt=1770076405130</v>
      </c>
      <c r="AD330" s="123" t="str">
        <f>IFERROR(__xludf.DUMMYFUNCTION("""COMPUTED_VALUE"""),"https://ik.imagekit.io/alaaalaa6171/014%20Navy%20Captain%20-%20Morgan%20-%20Medal%20_Morgan_%20_Colored_.png?updatedAt=1770076405562")</f>
        <v>https://ik.imagekit.io/alaaalaa6171/014%20Navy%20Captain%20-%20Morgan%20-%20Medal%20_Morgan_%20_Colored_.png?updatedAt=1770076405562</v>
      </c>
      <c r="AE330" s="123" t="str">
        <f>IFERROR(__xludf.DUMMYFUNCTION("""COMPUTED_VALUE"""),"https://ik.imagekit.io/alaaalaa6171/014%20Navy%20Captain%20-%20Morgan%20-%20Medal%20_Morgan_%20-%20Piece.png?updatedAt=1770076404940")</f>
        <v>https://ik.imagekit.io/alaaalaa6171/014%20Navy%20Captain%20-%20Morgan%20-%20Medal%20_Morgan_%20-%20Piece.png?updatedAt=1770076404940</v>
      </c>
      <c r="AF330" s="123" t="str">
        <f>IFERROR(__xludf.DUMMYFUNCTION("""COMPUTED_VALUE"""),"https://ik.imagekit.io/alaaalaa6171/014%20Navy%20Captain%20-%20Morgan%20-%20Medal%20_Morgan_%20-%20Piece%20_Colored_.png?updatedAt=1770076405580")</f>
        <v>https://ik.imagekit.io/alaaalaa6171/014%20Navy%20Captain%20-%20Morgan%20-%20Medal%20_Morgan_%20-%20Piece%20_Colored_.png?updatedAt=1770076405580</v>
      </c>
      <c r="AG330" s="114"/>
      <c r="AH330" s="114"/>
      <c r="AI330" s="121" t="s">
        <v>5899</v>
      </c>
      <c r="AJ330" s="121" t="str">
        <f>IFERROR(__xludf.DUMMYFUNCTION("regexreplace(regexreplace(AI330, ""  \["", "" ""), ""\]$"", """")"),"329 - The Four Emperors ~ Monkey D. Luffy - Medal - Crafted [Colored] - Star Gun")</f>
        <v>329 - The Four Emperors ~ Monkey D. Luffy - Medal - Crafted [Colored] - Star Gun</v>
      </c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4"/>
      <c r="AZ330" s="114"/>
      <c r="BA330" s="114"/>
      <c r="BB330" s="114"/>
      <c r="BC330" s="114"/>
      <c r="BD330" s="114"/>
      <c r="BE330" s="114"/>
    </row>
    <row r="331" ht="37.5" customHeight="1">
      <c r="A331" s="118" t="s">
        <v>5900</v>
      </c>
      <c r="B331" s="117" t="s">
        <v>2140</v>
      </c>
      <c r="C331" s="119">
        <f>IFERROR(__xludf.DUMMYFUNCTION("""COMPUTED_VALUE"""),12.0)</f>
        <v>12</v>
      </c>
      <c r="D331" s="114" t="str">
        <f>IFERROR(__xludf.DUMMYFUNCTION("""COMPUTED_VALUE"""),"Alvida")</f>
        <v>Alvida</v>
      </c>
      <c r="E331" s="114" t="str">
        <f>IFERROR(__xludf.DUMMYFUNCTION("""COMPUTED_VALUE"""),"")</f>
        <v/>
      </c>
      <c r="F331" s="114"/>
      <c r="G331" s="114"/>
      <c r="H331" s="114"/>
      <c r="I331" s="114"/>
      <c r="J331" s="114"/>
      <c r="K331" s="114" t="s">
        <v>5901</v>
      </c>
      <c r="L331" s="114" t="s">
        <v>5902</v>
      </c>
      <c r="M331" s="114" t="s">
        <v>5903</v>
      </c>
      <c r="N331" s="114" t="s">
        <v>5904</v>
      </c>
      <c r="O331" s="114"/>
      <c r="P331" s="120">
        <v>12.0</v>
      </c>
      <c r="Q331" s="117" t="s">
        <v>5905</v>
      </c>
      <c r="R331" s="114"/>
      <c r="S331" s="117" t="s">
        <v>2134</v>
      </c>
      <c r="T331" s="114">
        <f t="shared" si="1"/>
        <v>330</v>
      </c>
      <c r="U331" s="114" t="s">
        <v>93</v>
      </c>
      <c r="V331" s="114" t="str">
        <f>IFERROR(__xludf.DUMMYFUNCTION("REGEXREPLACE(U331, ""\n"", "" "")"),"Egghead Brook")</f>
        <v>Egghead Brook</v>
      </c>
      <c r="W331" s="114"/>
      <c r="X331" s="115" t="str">
        <f t="shared" si="2"/>
        <v>330 Egghead - Brook - Medal [Egghead Brook]</v>
      </c>
      <c r="Y331" s="119"/>
      <c r="Z331" s="117" t="s">
        <v>5906</v>
      </c>
      <c r="AA331" s="117" t="s">
        <v>3061</v>
      </c>
      <c r="AB331" s="114"/>
      <c r="AC331" s="123" t="str">
        <f>IFERROR(__xludf.DUMMYFUNCTION("""COMPUTED_VALUE"""),"https://ik.imagekit.io/alaaalaa6171/013%20The%20Idiot%20Son%20-%20Helmeppo%20-%20Medal%20_Helmeppo_.png?updatedAt=1770076405112")</f>
        <v>https://ik.imagekit.io/alaaalaa6171/013%20The%20Idiot%20Son%20-%20Helmeppo%20-%20Medal%20_Helmeppo_.png?updatedAt=1770076405112</v>
      </c>
      <c r="AD331" s="123" t="str">
        <f>IFERROR(__xludf.DUMMYFUNCTION("""COMPUTED_VALUE"""),"https://ik.imagekit.io/alaaalaa6171/013%20The%20Idiot%20Son%20-%20Helmeppo%20-%20Medal%20_Helmeppo_%20_Colored_.png?updatedAt=1770076405301")</f>
        <v>https://ik.imagekit.io/alaaalaa6171/013%20The%20Idiot%20Son%20-%20Helmeppo%20-%20Medal%20_Helmeppo_%20_Colored_.png?updatedAt=1770076405301</v>
      </c>
      <c r="AE331" s="123" t="str">
        <f>IFERROR(__xludf.DUMMYFUNCTION("""COMPUTED_VALUE"""),"https://ik.imagekit.io/alaaalaa6171/013%20The%20Idiot%20Son%20-%20Helmeppo%20-%20Medal%20_Helmeppo_%20-%20Piece.png?updatedAt=1770076405011")</f>
        <v>https://ik.imagekit.io/alaaalaa6171/013%20The%20Idiot%20Son%20-%20Helmeppo%20-%20Medal%20_Helmeppo_%20-%20Piece.png?updatedAt=1770076405011</v>
      </c>
      <c r="AF331" s="123" t="str">
        <f>IFERROR(__xludf.DUMMYFUNCTION("""COMPUTED_VALUE"""),"https://ik.imagekit.io/alaaalaa6171/013%20The%20Idiot%20Son%20-%20Helmeppo%20-%20Medal%20_Helmeppo_%20-%20Piece%20_Colored_.png?updatedAt=1770076404858")</f>
        <v>https://ik.imagekit.io/alaaalaa6171/013%20The%20Idiot%20Son%20-%20Helmeppo%20-%20Medal%20_Helmeppo_%20-%20Piece%20_Colored_.png?updatedAt=1770076404858</v>
      </c>
      <c r="AG331" s="114"/>
      <c r="AH331" s="114"/>
      <c r="AI331" s="121" t="s">
        <v>5907</v>
      </c>
      <c r="AJ331" s="121" t="str">
        <f>IFERROR(__xludf.DUMMYFUNCTION("regexreplace(regexreplace(AI331, ""  \["", "" ""), ""\]$"", """")"),"330 - Egghead ~ Brook - Medal - Crafted [Colored] - Egghead Brook")</f>
        <v>330 - Egghead ~ Brook - Medal - Crafted [Colored] - Egghead Brook</v>
      </c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4"/>
      <c r="AZ331" s="114"/>
      <c r="BA331" s="114"/>
      <c r="BB331" s="114"/>
      <c r="BC331" s="114"/>
      <c r="BD331" s="114"/>
      <c r="BE331" s="114"/>
    </row>
    <row r="332" ht="37.5" customHeight="1">
      <c r="A332" s="118" t="s">
        <v>5908</v>
      </c>
      <c r="B332" s="117" t="s">
        <v>2101</v>
      </c>
      <c r="C332" s="119">
        <f>IFERROR(__xludf.DUMMYFUNCTION("""COMPUTED_VALUE"""),11.0)</f>
        <v>11</v>
      </c>
      <c r="D332" s="114" t="str">
        <f>IFERROR(__xludf.DUMMYFUNCTION("""COMPUTED_VALUE"""),"Koby")</f>
        <v>Koby</v>
      </c>
      <c r="E332" s="114" t="str">
        <f>IFERROR(__xludf.DUMMYFUNCTION("""COMPUTED_VALUE"""),"")</f>
        <v/>
      </c>
      <c r="F332" s="114"/>
      <c r="G332" s="114"/>
      <c r="H332" s="114"/>
      <c r="I332" s="114"/>
      <c r="J332" s="114"/>
      <c r="K332" s="114" t="s">
        <v>5909</v>
      </c>
      <c r="L332" s="114" t="s">
        <v>5910</v>
      </c>
      <c r="M332" s="114" t="s">
        <v>5911</v>
      </c>
      <c r="N332" s="114" t="s">
        <v>5912</v>
      </c>
      <c r="O332" s="114"/>
      <c r="P332" s="120">
        <v>11.0</v>
      </c>
      <c r="Q332" s="117" t="s">
        <v>5913</v>
      </c>
      <c r="R332" s="114"/>
      <c r="S332" s="117" t="s">
        <v>2121</v>
      </c>
      <c r="T332" s="114">
        <f t="shared" si="1"/>
        <v>331</v>
      </c>
      <c r="U332" s="114" t="s">
        <v>86</v>
      </c>
      <c r="V332" s="114" t="str">
        <f>IFERROR(__xludf.DUMMYFUNCTION("REGEXREPLACE(U332, ""\n"", "" "")"),"Egghead Chopper")</f>
        <v>Egghead Chopper</v>
      </c>
      <c r="W332" s="114"/>
      <c r="X332" s="115" t="str">
        <f t="shared" si="2"/>
        <v>331 Egghead - Tony Tony Chopper - Medal [Egghead Chopper]</v>
      </c>
      <c r="Y332" s="119"/>
      <c r="Z332" s="117" t="s">
        <v>5914</v>
      </c>
      <c r="AA332" s="117" t="s">
        <v>3063</v>
      </c>
      <c r="AB332" s="114"/>
      <c r="AC332" s="123" t="str">
        <f>IFERROR(__xludf.DUMMYFUNCTION("""COMPUTED_VALUE"""),"https://ik.imagekit.io/alaaalaa6171/012%20Alvida%20Pirates_Captain%20-%20Alvida%20-%20Medal%20_Alvida_.png?updatedAt=1770076404845")</f>
        <v>https://ik.imagekit.io/alaaalaa6171/012%20Alvida%20Pirates_Captain%20-%20Alvida%20-%20Medal%20_Alvida_.png?updatedAt=1770076404845</v>
      </c>
      <c r="AD332" s="123" t="str">
        <f>IFERROR(__xludf.DUMMYFUNCTION("""COMPUTED_VALUE"""),"https://ik.imagekit.io/alaaalaa6171/012%20Alvida%20Pirates_Captain%20-%20Alvida%20-%20Medal%20_Alvida_%20_Colored_.png?updatedAt=1770076404998")</f>
        <v>https://ik.imagekit.io/alaaalaa6171/012%20Alvida%20Pirates_Captain%20-%20Alvida%20-%20Medal%20_Alvida_%20_Colored_.png?updatedAt=1770076404998</v>
      </c>
      <c r="AE332" s="123" t="str">
        <f>IFERROR(__xludf.DUMMYFUNCTION("""COMPUTED_VALUE"""),"https://ik.imagekit.io/alaaalaa6171/012%20Alvida%20Pirates_Captain%20-%20Alvida%20-%20Medal%20_Alvida_%20-%20Piece.png?updatedAt=1770076404959")</f>
        <v>https://ik.imagekit.io/alaaalaa6171/012%20Alvida%20Pirates_Captain%20-%20Alvida%20-%20Medal%20_Alvida_%20-%20Piece.png?updatedAt=1770076404959</v>
      </c>
      <c r="AF332" s="123" t="str">
        <f>IFERROR(__xludf.DUMMYFUNCTION("""COMPUTED_VALUE"""),"https://ik.imagekit.io/alaaalaa6171/012%20Alvida%20Pirates_Captain%20-%20Alvida%20-%20Medal%20_Alvida_%20-%20Piece%20_Colored_.png?updatedAt=1770076405284")</f>
        <v>https://ik.imagekit.io/alaaalaa6171/012%20Alvida%20Pirates_Captain%20-%20Alvida%20-%20Medal%20_Alvida_%20-%20Piece%20_Colored_.png?updatedAt=1770076405284</v>
      </c>
      <c r="AG332" s="114"/>
      <c r="AH332" s="114"/>
      <c r="AI332" s="121" t="s">
        <v>5915</v>
      </c>
      <c r="AJ332" s="121" t="str">
        <f>IFERROR(__xludf.DUMMYFUNCTION("regexreplace(regexreplace(AI332, ""  \["", "" ""), ""\]$"", """")"),"331 - Egghead ~ Tony Tony Chopper - Medal - Crafted [Colored] - Egghead Chopper")</f>
        <v>331 - Egghead ~ Tony Tony Chopper - Medal - Crafted [Colored] - Egghead Chopper</v>
      </c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4"/>
      <c r="AZ332" s="114"/>
      <c r="BA332" s="114"/>
      <c r="BB332" s="114"/>
      <c r="BC332" s="114"/>
      <c r="BD332" s="114"/>
      <c r="BE332" s="114"/>
    </row>
    <row r="333" ht="37.5" customHeight="1">
      <c r="A333" s="118" t="s">
        <v>5916</v>
      </c>
      <c r="B333" s="117" t="s">
        <v>2153</v>
      </c>
      <c r="C333" s="119">
        <f>IFERROR(__xludf.DUMMYFUNCTION("""COMPUTED_VALUE"""),10.0)</f>
        <v>10</v>
      </c>
      <c r="D333" s="114" t="str">
        <f>IFERROR(__xludf.DUMMYFUNCTION("""COMPUTED_VALUE"""),"Higuma")</f>
        <v>Higuma</v>
      </c>
      <c r="E333" s="114" t="str">
        <f>IFERROR(__xludf.DUMMYFUNCTION("""COMPUTED_VALUE"""),"")</f>
        <v/>
      </c>
      <c r="F333" s="114"/>
      <c r="G333" s="114"/>
      <c r="H333" s="114"/>
      <c r="I333" s="114"/>
      <c r="J333" s="114"/>
      <c r="K333" s="114" t="s">
        <v>5917</v>
      </c>
      <c r="L333" s="114" t="s">
        <v>5918</v>
      </c>
      <c r="M333" s="114" t="s">
        <v>5919</v>
      </c>
      <c r="N333" s="114" t="s">
        <v>5920</v>
      </c>
      <c r="O333" s="114"/>
      <c r="P333" s="120">
        <v>10.0</v>
      </c>
      <c r="Q333" s="117" t="s">
        <v>5921</v>
      </c>
      <c r="R333" s="114"/>
      <c r="S333" s="117" t="s">
        <v>2108</v>
      </c>
      <c r="T333" s="114">
        <f t="shared" si="1"/>
        <v>332</v>
      </c>
      <c r="U333" s="114" t="s">
        <v>78</v>
      </c>
      <c r="V333" s="114" t="str">
        <f>IFERROR(__xludf.DUMMYFUNCTION("REGEXREPLACE(U333, ""\n"", "" "")"),"Egghead Robin")</f>
        <v>Egghead Robin</v>
      </c>
      <c r="W333" s="114"/>
      <c r="X333" s="115" t="str">
        <f t="shared" si="2"/>
        <v>332 Egghead - Nico Robin - Medal [Egghead Robin]</v>
      </c>
      <c r="Y333" s="119"/>
      <c r="Z333" s="117" t="s">
        <v>5922</v>
      </c>
      <c r="AA333" s="117" t="s">
        <v>3064</v>
      </c>
      <c r="AB333" s="114"/>
      <c r="AC333" s="123" t="str">
        <f>IFERROR(__xludf.DUMMYFUNCTION("""COMPUTED_VALUE"""),"https://ik.imagekit.io/alaaalaa6171/011%20Chore%20Boy%20-%20Koby%20-%20Medal%20_Koby_.png?updatedAt=1770076404792")</f>
        <v>https://ik.imagekit.io/alaaalaa6171/011%20Chore%20Boy%20-%20Koby%20-%20Medal%20_Koby_.png?updatedAt=1770076404792</v>
      </c>
      <c r="AD333" s="123" t="str">
        <f>IFERROR(__xludf.DUMMYFUNCTION("""COMPUTED_VALUE"""),"https://ik.imagekit.io/alaaalaa6171/011%20Chore%20Boy%20-%20Koby%20-%20Medal%20_Koby_%20_Colored_.png?updatedAt=1770076404711")</f>
        <v>https://ik.imagekit.io/alaaalaa6171/011%20Chore%20Boy%20-%20Koby%20-%20Medal%20_Koby_%20_Colored_.png?updatedAt=1770076404711</v>
      </c>
      <c r="AE333" s="123" t="str">
        <f>IFERROR(__xludf.DUMMYFUNCTION("""COMPUTED_VALUE"""),"https://ik.imagekit.io/alaaalaa6171/011%20Chore%20Boy%20-%20Koby%20-%20Medal%20_Koby_%20-%20Piece.png?updatedAt=1770076405306")</f>
        <v>https://ik.imagekit.io/alaaalaa6171/011%20Chore%20Boy%20-%20Koby%20-%20Medal%20_Koby_%20-%20Piece.png?updatedAt=1770076405306</v>
      </c>
      <c r="AF333" s="123" t="str">
        <f>IFERROR(__xludf.DUMMYFUNCTION("""COMPUTED_VALUE"""),"https://ik.imagekit.io/alaaalaa6171/011%20Chore%20Boy%20-%20Koby%20-%20Medal%20_Koby_%20-%20Piece%20_Colored_.png?updatedAt=1770076404732")</f>
        <v>https://ik.imagekit.io/alaaalaa6171/011%20Chore%20Boy%20-%20Koby%20-%20Medal%20_Koby_%20-%20Piece%20_Colored_.png?updatedAt=1770076404732</v>
      </c>
      <c r="AG333" s="114"/>
      <c r="AH333" s="114"/>
      <c r="AI333" s="121" t="s">
        <v>5923</v>
      </c>
      <c r="AJ333" s="121" t="str">
        <f>IFERROR(__xludf.DUMMYFUNCTION("regexreplace(regexreplace(AI333, ""  \["", "" ""), ""\]$"", """")"),"332 - Egghead ~ Nico Robin - Medal - Crafted [Colored] - Egghead Robin")</f>
        <v>332 - Egghead ~ Nico Robin - Medal - Crafted [Colored] - Egghead Robin</v>
      </c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4"/>
      <c r="AZ333" s="114"/>
      <c r="BA333" s="114"/>
      <c r="BB333" s="114"/>
      <c r="BC333" s="114"/>
      <c r="BD333" s="114"/>
      <c r="BE333" s="114"/>
    </row>
    <row r="334" ht="37.5" customHeight="1">
      <c r="A334" s="118" t="s">
        <v>5924</v>
      </c>
      <c r="B334" s="117" t="s">
        <v>2647</v>
      </c>
      <c r="C334" s="119">
        <f>IFERROR(__xludf.DUMMYFUNCTION("""COMPUTED_VALUE"""),9.0)</f>
        <v>9</v>
      </c>
      <c r="D334" s="114" t="str">
        <f>IFERROR(__xludf.DUMMYFUNCTION("""COMPUTED_VALUE"""),"Brook")</f>
        <v>Brook</v>
      </c>
      <c r="E334" s="114" t="str">
        <f>IFERROR(__xludf.DUMMYFUNCTION("""COMPUTED_VALUE"""),"")</f>
        <v/>
      </c>
      <c r="F334" s="114"/>
      <c r="G334" s="114"/>
      <c r="H334" s="114"/>
      <c r="I334" s="114"/>
      <c r="J334" s="114"/>
      <c r="K334" s="114" t="s">
        <v>5925</v>
      </c>
      <c r="L334" s="114" t="s">
        <v>5926</v>
      </c>
      <c r="M334" s="114" t="s">
        <v>5927</v>
      </c>
      <c r="N334" s="114" t="s">
        <v>5928</v>
      </c>
      <c r="O334" s="114"/>
      <c r="P334" s="120">
        <v>9.0</v>
      </c>
      <c r="Q334" s="117" t="s">
        <v>5929</v>
      </c>
      <c r="R334" s="114"/>
      <c r="S334" s="117" t="s">
        <v>2095</v>
      </c>
      <c r="T334" s="114">
        <f t="shared" si="1"/>
        <v>333</v>
      </c>
      <c r="U334" s="114" t="s">
        <v>70</v>
      </c>
      <c r="V334" s="114" t="str">
        <f>IFERROR(__xludf.DUMMYFUNCTION("REGEXREPLACE(U334, ""\n"", "" "")"),"St. Jaygarcia Saturn")</f>
        <v>St. Jaygarcia Saturn</v>
      </c>
      <c r="W334" s="114"/>
      <c r="X334" s="115" t="str">
        <f t="shared" si="2"/>
        <v>333 The Five Elders - St. Jaygarcia Saturn - Medal [St. Jaygarcia Saturn]</v>
      </c>
      <c r="Y334" s="119"/>
      <c r="Z334" s="117" t="s">
        <v>5930</v>
      </c>
      <c r="AA334" s="117" t="s">
        <v>3062</v>
      </c>
      <c r="AB334" s="114"/>
      <c r="AC334" s="123" t="str">
        <f>IFERROR(__xludf.DUMMYFUNCTION("""COMPUTED_VALUE"""),"https://ik.imagekit.io/alaaalaa6171/010%20Mountain%20Bandits_Leader%20-%20Higuma%20the%20Bear%20-%20Medal%20_Higuma_.png?updatedAt=1770076405180")</f>
        <v>https://ik.imagekit.io/alaaalaa6171/010%20Mountain%20Bandits_Leader%20-%20Higuma%20the%20Bear%20-%20Medal%20_Higuma_.png?updatedAt=1770076405180</v>
      </c>
      <c r="AD334" s="123" t="str">
        <f>IFERROR(__xludf.DUMMYFUNCTION("""COMPUTED_VALUE"""),"https://ik.imagekit.io/alaaalaa6171/010%20Mountain%20Bandits_Leader%20-%20Higuma%20the%20Bear%20-%20Medal%20_Higuma_%20_Colored_.png?updatedAt=1770076405388")</f>
        <v>https://ik.imagekit.io/alaaalaa6171/010%20Mountain%20Bandits_Leader%20-%20Higuma%20the%20Bear%20-%20Medal%20_Higuma_%20_Colored_.png?updatedAt=1770076405388</v>
      </c>
      <c r="AE334" s="123" t="str">
        <f>IFERROR(__xludf.DUMMYFUNCTION("""COMPUTED_VALUE"""),"https://ik.imagekit.io/alaaalaa6171/010%20Mountain%20Bandits_Leader%20-%20Higuma%20the%20Bear%20-%20Medal%20_Higuma_%20-%20Piece.png?updatedAt=1770076471471")</f>
        <v>https://ik.imagekit.io/alaaalaa6171/010%20Mountain%20Bandits_Leader%20-%20Higuma%20the%20Bear%20-%20Medal%20_Higuma_%20-%20Piece.png?updatedAt=1770076471471</v>
      </c>
      <c r="AF334" s="123" t="str">
        <f>IFERROR(__xludf.DUMMYFUNCTION("""COMPUTED_VALUE"""),"https://ik.imagekit.io/alaaalaa6171/010%20Mountain%20Bandits_Leader%20-%20Higuma%20the%20Bear%20-%20Medal%20_Higuma_%20-%20Piece%20_Colored_.png?updatedAt=1770076471388")</f>
        <v>https://ik.imagekit.io/alaaalaa6171/010%20Mountain%20Bandits_Leader%20-%20Higuma%20the%20Bear%20-%20Medal%20_Higuma_%20-%20Piece%20_Colored_.png?updatedAt=1770076471388</v>
      </c>
      <c r="AG334" s="114"/>
      <c r="AH334" s="114"/>
      <c r="AI334" s="121" t="s">
        <v>5931</v>
      </c>
      <c r="AJ334" s="121" t="str">
        <f>IFERROR(__xludf.DUMMYFUNCTION("regexreplace(regexreplace(AI334, ""  \["", "" ""), ""\]$"", """")"),"333 - The Five Elders ~ St. Jaygarcia Saturn - Medal - Crafted [Colored] - St. Jaygarcia Saturn")</f>
        <v>333 - The Five Elders ~ St. Jaygarcia Saturn - Medal - Crafted [Colored] - St. Jaygarcia Saturn</v>
      </c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4"/>
      <c r="AZ334" s="114"/>
      <c r="BA334" s="114"/>
      <c r="BB334" s="114"/>
      <c r="BC334" s="114"/>
      <c r="BD334" s="114"/>
      <c r="BE334" s="114"/>
    </row>
    <row r="335" ht="37.5" customHeight="1">
      <c r="A335" s="118" t="s">
        <v>5932</v>
      </c>
      <c r="B335" s="117" t="s">
        <v>2621</v>
      </c>
      <c r="C335" s="119">
        <f>IFERROR(__xludf.DUMMYFUNCTION("""COMPUTED_VALUE"""),8.0)</f>
        <v>8</v>
      </c>
      <c r="D335" s="114" t="str">
        <f>IFERROR(__xludf.DUMMYFUNCTION("""COMPUTED_VALUE"""),"Franky")</f>
        <v>Franky</v>
      </c>
      <c r="E335" s="114" t="str">
        <f>IFERROR(__xludf.DUMMYFUNCTION("""COMPUTED_VALUE"""),"")</f>
        <v/>
      </c>
      <c r="F335" s="114"/>
      <c r="G335" s="114"/>
      <c r="H335" s="114"/>
      <c r="I335" s="114"/>
      <c r="J335" s="114"/>
      <c r="K335" s="114" t="s">
        <v>5933</v>
      </c>
      <c r="L335" s="114" t="s">
        <v>5934</v>
      </c>
      <c r="M335" s="114" t="s">
        <v>5935</v>
      </c>
      <c r="N335" s="114" t="s">
        <v>5936</v>
      </c>
      <c r="O335" s="114"/>
      <c r="P335" s="120">
        <v>8.0</v>
      </c>
      <c r="Q335" s="117" t="s">
        <v>5937</v>
      </c>
      <c r="R335" s="114"/>
      <c r="S335" s="117" t="s">
        <v>2082</v>
      </c>
      <c r="T335" s="114">
        <f t="shared" si="1"/>
        <v>334</v>
      </c>
      <c r="U335" s="114" t="s">
        <v>63</v>
      </c>
      <c r="V335" s="114" t="str">
        <f>IFERROR(__xludf.DUMMYFUNCTION("REGEXREPLACE(U335, ""\n"", "" "")"),"Egghead Franky")</f>
        <v>Egghead Franky</v>
      </c>
      <c r="W335" s="114"/>
      <c r="X335" s="115" t="str">
        <f t="shared" si="2"/>
        <v>334 Egghead - Franky - Medal [Egghead Franky]</v>
      </c>
      <c r="Y335" s="119"/>
      <c r="Z335" s="117" t="s">
        <v>5938</v>
      </c>
      <c r="AA335" s="117" t="s">
        <v>3074</v>
      </c>
      <c r="AB335" s="114"/>
      <c r="AC335" s="123" t="str">
        <f>IFERROR(__xludf.DUMMYFUNCTION("""COMPUTED_VALUE"""),"https://ik.imagekit.io/alaaalaa6171/009%20Straw%20Hat%20Pirates_Musician%20-%20Brook%20-%20Medal%20_Brook_.png?updatedAt=1770076471365")</f>
        <v>https://ik.imagekit.io/alaaalaa6171/009%20Straw%20Hat%20Pirates_Musician%20-%20Brook%20-%20Medal%20_Brook_.png?updatedAt=1770076471365</v>
      </c>
      <c r="AD335" s="123" t="str">
        <f>IFERROR(__xludf.DUMMYFUNCTION("""COMPUTED_VALUE"""),"https://ik.imagekit.io/alaaalaa6171/009%20Straw%20Hat%20Pirates_Musician%20-%20Brook%20-%20Medal%20_Brook_%20_Colored_.png?updatedAt=1770076471365")</f>
        <v>https://ik.imagekit.io/alaaalaa6171/009%20Straw%20Hat%20Pirates_Musician%20-%20Brook%20-%20Medal%20_Brook_%20_Colored_.png?updatedAt=1770076471365</v>
      </c>
      <c r="AE335" s="123" t="str">
        <f>IFERROR(__xludf.DUMMYFUNCTION("""COMPUTED_VALUE"""),"https://ik.imagekit.io/alaaalaa6171/009%20Straw%20Hat%20Pirates_Musician%20-%20Brook%20-%20Medal%20_Brook_%20-%20Piece.png?updatedAt=1770076471432")</f>
        <v>https://ik.imagekit.io/alaaalaa6171/009%20Straw%20Hat%20Pirates_Musician%20-%20Brook%20-%20Medal%20_Brook_%20-%20Piece.png?updatedAt=1770076471432</v>
      </c>
      <c r="AF335" s="123" t="str">
        <f>IFERROR(__xludf.DUMMYFUNCTION("""COMPUTED_VALUE"""),"https://ik.imagekit.io/alaaalaa6171/009%20Straw%20Hat%20Pirates_Musician%20-%20Brook%20-%20Medal%20_Brook_%20-%20Piece%20_Colored_.png?updatedAt=1770076471403")</f>
        <v>https://ik.imagekit.io/alaaalaa6171/009%20Straw%20Hat%20Pirates_Musician%20-%20Brook%20-%20Medal%20_Brook_%20-%20Piece%20_Colored_.png?updatedAt=1770076471403</v>
      </c>
      <c r="AG335" s="114"/>
      <c r="AH335" s="114"/>
      <c r="AI335" s="121" t="s">
        <v>5939</v>
      </c>
      <c r="AJ335" s="121" t="str">
        <f>IFERROR(__xludf.DUMMYFUNCTION("regexreplace(regexreplace(AI335, ""  \["", "" ""), ""\]$"", """")"),"334 - Egghead ~ Franky - Medal - Crafted [Colored] - Egghead Franky")</f>
        <v>334 - Egghead ~ Franky - Medal - Crafted [Colored] - Egghead Franky</v>
      </c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4"/>
      <c r="AZ335" s="114"/>
      <c r="BA335" s="114"/>
      <c r="BB335" s="114"/>
      <c r="BC335" s="114"/>
      <c r="BD335" s="114"/>
      <c r="BE335" s="114"/>
    </row>
    <row r="336" ht="37.5" customHeight="1">
      <c r="A336" s="118" t="s">
        <v>5940</v>
      </c>
      <c r="B336" s="117" t="s">
        <v>2075</v>
      </c>
      <c r="C336" s="119">
        <f>IFERROR(__xludf.DUMMYFUNCTION("""COMPUTED_VALUE"""),7.0)</f>
        <v>7</v>
      </c>
      <c r="D336" s="114" t="str">
        <f>IFERROR(__xludf.DUMMYFUNCTION("""COMPUTED_VALUE"""),"Robin")</f>
        <v>Robin</v>
      </c>
      <c r="E336" s="114" t="str">
        <f>IFERROR(__xludf.DUMMYFUNCTION("""COMPUTED_VALUE"""),"")</f>
        <v/>
      </c>
      <c r="F336" s="114"/>
      <c r="G336" s="114"/>
      <c r="H336" s="114"/>
      <c r="I336" s="114"/>
      <c r="J336" s="114"/>
      <c r="K336" s="114" t="s">
        <v>5941</v>
      </c>
      <c r="L336" s="114" t="s">
        <v>5942</v>
      </c>
      <c r="M336" s="114" t="s">
        <v>5943</v>
      </c>
      <c r="N336" s="114" t="s">
        <v>5944</v>
      </c>
      <c r="O336" s="114"/>
      <c r="P336" s="120">
        <v>7.0</v>
      </c>
      <c r="Q336" s="117" t="s">
        <v>5945</v>
      </c>
      <c r="R336" s="114"/>
      <c r="S336" s="117" t="s">
        <v>2069</v>
      </c>
      <c r="T336" s="114">
        <f t="shared" si="1"/>
        <v>335</v>
      </c>
      <c r="U336" s="114" t="s">
        <v>55</v>
      </c>
      <c r="V336" s="114" t="str">
        <f>IFERROR(__xludf.DUMMYFUNCTION("REGEXREPLACE(U336, ""\n"", "" "")"),"Egghead Jinbe")</f>
        <v>Egghead Jinbe</v>
      </c>
      <c r="W336" s="114"/>
      <c r="X336" s="115" t="str">
        <f t="shared" si="2"/>
        <v>335 Egghead - Jinbe - Medal [Egghead Jinbe]</v>
      </c>
      <c r="Y336" s="119"/>
      <c r="Z336" s="117" t="s">
        <v>5946</v>
      </c>
      <c r="AA336" s="117" t="s">
        <v>3076</v>
      </c>
      <c r="AB336" s="114"/>
      <c r="AC336" s="123" t="str">
        <f>IFERROR(__xludf.DUMMYFUNCTION("""COMPUTED_VALUE"""),"https://ik.imagekit.io/alaaalaa6171/008%20Straw%20Hat%20Pirates_Ship%20Carpenter%20-%20Franky%20-%20Medal%20_Franky_.png?updatedAt=1770076471391")</f>
        <v>https://ik.imagekit.io/alaaalaa6171/008%20Straw%20Hat%20Pirates_Ship%20Carpenter%20-%20Franky%20-%20Medal%20_Franky_.png?updatedAt=1770076471391</v>
      </c>
      <c r="AD336" s="123" t="str">
        <f>IFERROR(__xludf.DUMMYFUNCTION("""COMPUTED_VALUE"""),"https://ik.imagekit.io/alaaalaa6171/008%20Straw%20Hat%20Pirates_Ship%20Carpenter%20-%20Franky%20-%20Medal%20_Franky_%20_Colored_.png?updatedAt=1770076471460")</f>
        <v>https://ik.imagekit.io/alaaalaa6171/008%20Straw%20Hat%20Pirates_Ship%20Carpenter%20-%20Franky%20-%20Medal%20_Franky_%20_Colored_.png?updatedAt=1770076471460</v>
      </c>
      <c r="AE336" s="123" t="str">
        <f>IFERROR(__xludf.DUMMYFUNCTION("""COMPUTED_VALUE"""),"https://ik.imagekit.io/alaaalaa6171/008%20Straw%20Hat%20Pirates_Ship%20Carpenter%20-%20Franky%20-%20Medal%20_Franky_%20-%20Piece.png?updatedAt=1770076471379")</f>
        <v>https://ik.imagekit.io/alaaalaa6171/008%20Straw%20Hat%20Pirates_Ship%20Carpenter%20-%20Franky%20-%20Medal%20_Franky_%20-%20Piece.png?updatedAt=1770076471379</v>
      </c>
      <c r="AF336" s="123" t="str">
        <f>IFERROR(__xludf.DUMMYFUNCTION("""COMPUTED_VALUE"""),"https://ik.imagekit.io/alaaalaa6171/008%20Straw%20Hat%20Pirates_Ship%20Carpenter%20-%20Franky%20-%20Medal%20_Franky_%20-%20Piece%20_Colored_.png?updatedAt=1770076471354")</f>
        <v>https://ik.imagekit.io/alaaalaa6171/008%20Straw%20Hat%20Pirates_Ship%20Carpenter%20-%20Franky%20-%20Medal%20_Franky_%20-%20Piece%20_Colored_.png?updatedAt=1770076471354</v>
      </c>
      <c r="AG336" s="114"/>
      <c r="AH336" s="114"/>
      <c r="AI336" s="121" t="s">
        <v>5947</v>
      </c>
      <c r="AJ336" s="121" t="str">
        <f>IFERROR(__xludf.DUMMYFUNCTION("regexreplace(regexreplace(AI336, ""  \["", "" ""), ""\]$"", """")"),"335 - Egghead ~ Jinbe - Medal - Crafted [Colored] - Egghead Jinbe")</f>
        <v>335 - Egghead ~ Jinbe - Medal - Crafted [Colored] - Egghead Jinbe</v>
      </c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  <c r="AV336" s="114"/>
      <c r="AW336" s="114"/>
      <c r="AX336" s="114"/>
      <c r="AY336" s="114"/>
      <c r="AZ336" s="114"/>
      <c r="BA336" s="114"/>
      <c r="BB336" s="114"/>
      <c r="BC336" s="114"/>
      <c r="BD336" s="114"/>
      <c r="BE336" s="114"/>
    </row>
    <row r="337" ht="37.5" customHeight="1">
      <c r="A337" s="118" t="s">
        <v>5948</v>
      </c>
      <c r="B337" s="117" t="s">
        <v>2062</v>
      </c>
      <c r="C337" s="119">
        <f>IFERROR(__xludf.DUMMYFUNCTION("""COMPUTED_VALUE"""),6.0)</f>
        <v>6</v>
      </c>
      <c r="D337" s="114" t="str">
        <f>IFERROR(__xludf.DUMMYFUNCTION("""COMPUTED_VALUE"""),"Chopper")</f>
        <v>Chopper</v>
      </c>
      <c r="E337" s="114" t="str">
        <f>IFERROR(__xludf.DUMMYFUNCTION("""COMPUTED_VALUE"""),"")</f>
        <v/>
      </c>
      <c r="F337" s="114"/>
      <c r="G337" s="114"/>
      <c r="H337" s="114"/>
      <c r="I337" s="114"/>
      <c r="J337" s="114"/>
      <c r="K337" s="114" t="s">
        <v>5949</v>
      </c>
      <c r="L337" s="114" t="s">
        <v>5950</v>
      </c>
      <c r="M337" s="114" t="s">
        <v>5951</v>
      </c>
      <c r="N337" s="114" t="s">
        <v>5952</v>
      </c>
      <c r="O337" s="114"/>
      <c r="P337" s="120">
        <v>6.0</v>
      </c>
      <c r="Q337" s="117" t="s">
        <v>5953</v>
      </c>
      <c r="R337" s="114"/>
      <c r="S337" s="117" t="s">
        <v>2056</v>
      </c>
      <c r="T337" s="114">
        <f t="shared" si="1"/>
        <v>336</v>
      </c>
      <c r="U337" s="114" t="s">
        <v>48</v>
      </c>
      <c r="V337" s="114" t="str">
        <f>IFERROR(__xludf.DUMMYFUNCTION("REGEXREPLACE(U337, ""\n"", "" "")"),"Kuma &amp; Bonney")</f>
        <v>Kuma &amp; Bonney</v>
      </c>
      <c r="W337" s="114"/>
      <c r="X337" s="115" t="str">
        <f t="shared" si="2"/>
        <v>336 Father and Daughter - Kuma &amp; Bonney - Medal [Kuma &amp; Bonney]</v>
      </c>
      <c r="Y337" s="119"/>
      <c r="Z337" s="117" t="s">
        <v>5954</v>
      </c>
      <c r="AA337" s="117" t="s">
        <v>3077</v>
      </c>
      <c r="AB337" s="114"/>
      <c r="AC337" s="123" t="str">
        <f>IFERROR(__xludf.DUMMYFUNCTION("""COMPUTED_VALUE"""),"https://ik.imagekit.io/alaaalaa6171/007%20Straw%20Hat%20Pirates_Archaeologist%20-%20Nico%20Robin%20-%20Medal%20_Robin_.png?updatedAt=1770076471360")</f>
        <v>https://ik.imagekit.io/alaaalaa6171/007%20Straw%20Hat%20Pirates_Archaeologist%20-%20Nico%20Robin%20-%20Medal%20_Robin_.png?updatedAt=1770076471360</v>
      </c>
      <c r="AD337" s="123" t="str">
        <f>IFERROR(__xludf.DUMMYFUNCTION("""COMPUTED_VALUE"""),"https://ik.imagekit.io/alaaalaa6171/007%20Straw%20Hat%20Pirates_Archaeologist%20-%20Nico%20Robin%20-%20Medal%20_Robin_%20_Colored_.png?updatedAt=1770076471422")</f>
        <v>https://ik.imagekit.io/alaaalaa6171/007%20Straw%20Hat%20Pirates_Archaeologist%20-%20Nico%20Robin%20-%20Medal%20_Robin_%20_Colored_.png?updatedAt=1770076471422</v>
      </c>
      <c r="AE337" s="123" t="str">
        <f>IFERROR(__xludf.DUMMYFUNCTION("""COMPUTED_VALUE"""),"https://ik.imagekit.io/alaaalaa6171/007%20Straw%20Hat%20Pirates_Archaeologist%20-%20Nico%20Robin%20-%20Medal%20_Robin_%20-%20Piece.png?updatedAt=1770076471408")</f>
        <v>https://ik.imagekit.io/alaaalaa6171/007%20Straw%20Hat%20Pirates_Archaeologist%20-%20Nico%20Robin%20-%20Medal%20_Robin_%20-%20Piece.png?updatedAt=1770076471408</v>
      </c>
      <c r="AF337" s="123" t="str">
        <f>IFERROR(__xludf.DUMMYFUNCTION("""COMPUTED_VALUE"""),"https://ik.imagekit.io/alaaalaa6171/007%20Straw%20Hat%20Pirates_Archaeologist%20-%20Nico%20Robin%20-%20Medal%20_Robin_%20-%20Piece%20_Colored_.png?updatedAt=1770076471385")</f>
        <v>https://ik.imagekit.io/alaaalaa6171/007%20Straw%20Hat%20Pirates_Archaeologist%20-%20Nico%20Robin%20-%20Medal%20_Robin_%20-%20Piece%20_Colored_.png?updatedAt=1770076471385</v>
      </c>
      <c r="AG337" s="114"/>
      <c r="AH337" s="114"/>
      <c r="AI337" s="121" t="s">
        <v>5955</v>
      </c>
      <c r="AJ337" s="121" t="str">
        <f>IFERROR(__xludf.DUMMYFUNCTION("regexreplace(regexreplace(AI337, ""  \["", "" ""), ""\]$"", """")"),"336 - Father and Daughter ~ Kuma &amp; Bonney - Medal - Crafted [Colored] - Kuma &amp; Bonney")</f>
        <v>336 - Father and Daughter ~ Kuma &amp; Bonney - Medal - Crafted [Colored] - Kuma &amp; Bonney</v>
      </c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4"/>
      <c r="AZ337" s="114"/>
      <c r="BA337" s="114"/>
      <c r="BB337" s="114"/>
      <c r="BC337" s="114"/>
      <c r="BD337" s="114"/>
      <c r="BE337" s="114"/>
    </row>
    <row r="338" ht="37.5" customHeight="1">
      <c r="A338" s="118" t="s">
        <v>5956</v>
      </c>
      <c r="B338" s="117" t="s">
        <v>2036</v>
      </c>
      <c r="C338" s="119">
        <f>IFERROR(__xludf.DUMMYFUNCTION("""COMPUTED_VALUE"""),5.0)</f>
        <v>5</v>
      </c>
      <c r="D338" s="114" t="str">
        <f>IFERROR(__xludf.DUMMYFUNCTION("""COMPUTED_VALUE"""),"Sanji")</f>
        <v>Sanji</v>
      </c>
      <c r="E338" s="114" t="str">
        <f>IFERROR(__xludf.DUMMYFUNCTION("""COMPUTED_VALUE"""),"")</f>
        <v/>
      </c>
      <c r="F338" s="114"/>
      <c r="G338" s="114"/>
      <c r="H338" s="114"/>
      <c r="I338" s="114"/>
      <c r="J338" s="114"/>
      <c r="K338" s="114" t="s">
        <v>5957</v>
      </c>
      <c r="L338" s="114" t="s">
        <v>5958</v>
      </c>
      <c r="M338" s="114" t="s">
        <v>5959</v>
      </c>
      <c r="N338" s="114" t="s">
        <v>5960</v>
      </c>
      <c r="O338" s="114"/>
      <c r="P338" s="120">
        <v>5.0</v>
      </c>
      <c r="Q338" s="117" t="s">
        <v>5961</v>
      </c>
      <c r="R338" s="114"/>
      <c r="S338" s="117" t="s">
        <v>2043</v>
      </c>
      <c r="T338" s="114">
        <f t="shared" si="1"/>
        <v>337</v>
      </c>
      <c r="U338" s="114" t="s">
        <v>41</v>
      </c>
      <c r="V338" s="114" t="str">
        <f>IFERROR(__xludf.DUMMYFUNCTION("REGEXREPLACE(U338, ""\n"", "" "")"),"Genius Scientist")</f>
        <v>Genius Scientist</v>
      </c>
      <c r="W338" s="114"/>
      <c r="X338" s="115" t="str">
        <f t="shared" si="2"/>
        <v>337 Genius Scientist - Vegapunk - Medal [Genius Scientist]</v>
      </c>
      <c r="Y338" s="119"/>
      <c r="Z338" s="117" t="s">
        <v>5962</v>
      </c>
      <c r="AA338" s="117" t="s">
        <v>3075</v>
      </c>
      <c r="AB338" s="114"/>
      <c r="AC338" s="123" t="str">
        <f>IFERROR(__xludf.DUMMYFUNCTION("""COMPUTED_VALUE"""),"https://ik.imagekit.io/alaaalaa6171/006%20Straw%20Hat%20Pirates_Doctor%20-%20Tony%20Tony%20Chopper%20-%20Medal%20_Chopper_.png?updatedAt=1770076471454")</f>
        <v>https://ik.imagekit.io/alaaalaa6171/006%20Straw%20Hat%20Pirates_Doctor%20-%20Tony%20Tony%20Chopper%20-%20Medal%20_Chopper_.png?updatedAt=1770076471454</v>
      </c>
      <c r="AD338" s="123" t="str">
        <f>IFERROR(__xludf.DUMMYFUNCTION("""COMPUTED_VALUE"""),"https://ik.imagekit.io/alaaalaa6171/006%20Straw%20Hat%20Pirates_Doctor%20-%20Tony%20Tony%20Chopper%20-%20Medal%20_Chopper_%20_Colored_.png?updatedAt=1770076471383")</f>
        <v>https://ik.imagekit.io/alaaalaa6171/006%20Straw%20Hat%20Pirates_Doctor%20-%20Tony%20Tony%20Chopper%20-%20Medal%20_Chopper_%20_Colored_.png?updatedAt=1770076471383</v>
      </c>
      <c r="AE338" s="123" t="str">
        <f>IFERROR(__xludf.DUMMYFUNCTION("""COMPUTED_VALUE"""),"https://ik.imagekit.io/alaaalaa6171/006%20Straw%20Hat%20Pirates_Doctor%20-%20Tony%20Tony%20Chopper%20-%20Medal%20_Chopper_%20-%20Piece.png?updatedAt=1770076471350")</f>
        <v>https://ik.imagekit.io/alaaalaa6171/006%20Straw%20Hat%20Pirates_Doctor%20-%20Tony%20Tony%20Chopper%20-%20Medal%20_Chopper_%20-%20Piece.png?updatedAt=1770076471350</v>
      </c>
      <c r="AF338" s="123" t="str">
        <f>IFERROR(__xludf.DUMMYFUNCTION("""COMPUTED_VALUE"""),"https://ik.imagekit.io/alaaalaa6171/006%20Straw%20Hat%20Pirates_Doctor%20-%20Tony%20Tony%20Chopper%20-%20Medal%20_Chopper_%20-%20Piece%20_Colored_.png?updatedAt=1770076471370")</f>
        <v>https://ik.imagekit.io/alaaalaa6171/006%20Straw%20Hat%20Pirates_Doctor%20-%20Tony%20Tony%20Chopper%20-%20Medal%20_Chopper_%20-%20Piece%20_Colored_.png?updatedAt=1770076471370</v>
      </c>
      <c r="AG338" s="114"/>
      <c r="AH338" s="114"/>
      <c r="AI338" s="121" t="s">
        <v>5963</v>
      </c>
      <c r="AJ338" s="121" t="str">
        <f>IFERROR(__xludf.DUMMYFUNCTION("regexreplace(regexreplace(AI338, ""  \["", "" ""), ""\]$"", """")"),"337 - Genius Scientist ~ Vegapunk - Medal - Crafted [Colored] - Genius Scientist")</f>
        <v>337 - Genius Scientist ~ Vegapunk - Medal - Crafted [Colored] - Genius Scientist</v>
      </c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4"/>
      <c r="AZ338" s="114"/>
      <c r="BA338" s="114"/>
      <c r="BB338" s="114"/>
      <c r="BC338" s="114"/>
      <c r="BD338" s="114"/>
      <c r="BE338" s="114"/>
    </row>
    <row r="339" ht="37.5" customHeight="1">
      <c r="A339" s="118" t="s">
        <v>5964</v>
      </c>
      <c r="B339" s="117" t="s">
        <v>2023</v>
      </c>
      <c r="C339" s="119">
        <f>IFERROR(__xludf.DUMMYFUNCTION("""COMPUTED_VALUE"""),4.0)</f>
        <v>4</v>
      </c>
      <c r="D339" s="114" t="str">
        <f>IFERROR(__xludf.DUMMYFUNCTION("""COMPUTED_VALUE"""),"Usopp")</f>
        <v>Usopp</v>
      </c>
      <c r="E339" s="114" t="str">
        <f>IFERROR(__xludf.DUMMYFUNCTION("""COMPUTED_VALUE"""),"")</f>
        <v/>
      </c>
      <c r="F339" s="114"/>
      <c r="G339" s="114"/>
      <c r="H339" s="114"/>
      <c r="I339" s="114"/>
      <c r="J339" s="114"/>
      <c r="K339" s="114" t="s">
        <v>5965</v>
      </c>
      <c r="L339" s="114" t="s">
        <v>5966</v>
      </c>
      <c r="M339" s="114" t="s">
        <v>5967</v>
      </c>
      <c r="N339" s="114" t="s">
        <v>5968</v>
      </c>
      <c r="O339" s="114"/>
      <c r="P339" s="120">
        <v>4.0</v>
      </c>
      <c r="Q339" s="117" t="s">
        <v>5969</v>
      </c>
      <c r="R339" s="114"/>
      <c r="S339" s="117" t="s">
        <v>2030</v>
      </c>
      <c r="T339" s="114">
        <f t="shared" si="1"/>
        <v>338</v>
      </c>
      <c r="U339" s="114" t="s">
        <v>33</v>
      </c>
      <c r="V339" s="114" t="str">
        <f>IFERROR(__xludf.DUMMYFUNCTION("REGEXREPLACE(U339, ""\n"", "" "")"),"Winner Island Bepo")</f>
        <v>Winner Island Bepo</v>
      </c>
      <c r="W339" s="114"/>
      <c r="X339" s="115" t="str">
        <f t="shared" si="2"/>
        <v>338 Winner Island - Bepo - Medal [Winner Island Bepo]</v>
      </c>
      <c r="Y339" s="119"/>
      <c r="Z339" s="117" t="s">
        <v>5970</v>
      </c>
      <c r="AA339" s="117" t="s">
        <v>3087</v>
      </c>
      <c r="AB339" s="114"/>
      <c r="AC339" s="123" t="str">
        <f>IFERROR(__xludf.DUMMYFUNCTION("""COMPUTED_VALUE"""),"https://ik.imagekit.io/alaaalaa6171/005%20Straw%20Hat%20Pirates_Cook%20-%20Sanji%20-%20Medal%20_Sanji_.png?updatedAt=1770076471409")</f>
        <v>https://ik.imagekit.io/alaaalaa6171/005%20Straw%20Hat%20Pirates_Cook%20-%20Sanji%20-%20Medal%20_Sanji_.png?updatedAt=1770076471409</v>
      </c>
      <c r="AD339" s="123" t="str">
        <f>IFERROR(__xludf.DUMMYFUNCTION("""COMPUTED_VALUE"""),"https://ik.imagekit.io/alaaalaa6171/005%20Straw%20Hat%20Pirates_Cook%20-%20Sanji%20-%20Medal%20_Sanji_%20_Colored_.png?updatedAt=1770076471395")</f>
        <v>https://ik.imagekit.io/alaaalaa6171/005%20Straw%20Hat%20Pirates_Cook%20-%20Sanji%20-%20Medal%20_Sanji_%20_Colored_.png?updatedAt=1770076471395</v>
      </c>
      <c r="AE339" s="123" t="str">
        <f>IFERROR(__xludf.DUMMYFUNCTION("""COMPUTED_VALUE"""),"https://ik.imagekit.io/alaaalaa6171/005%20Straw%20Hat%20Pirates_Cook%20-%20Sanji%20-%20Medal%20_Sanji_%20-%20Piece.png?updatedAt=1770076471378")</f>
        <v>https://ik.imagekit.io/alaaalaa6171/005%20Straw%20Hat%20Pirates_Cook%20-%20Sanji%20-%20Medal%20_Sanji_%20-%20Piece.png?updatedAt=1770076471378</v>
      </c>
      <c r="AF339" s="123" t="str">
        <f>IFERROR(__xludf.DUMMYFUNCTION("""COMPUTED_VALUE"""),"https://ik.imagekit.io/alaaalaa6171/005%20Straw%20Hat%20Pirates_Cook%20-%20Sanji%20-%20Medal%20_Sanji_%20-%20Piece%20_Colored_.png?updatedAt=1770076471443")</f>
        <v>https://ik.imagekit.io/alaaalaa6171/005%20Straw%20Hat%20Pirates_Cook%20-%20Sanji%20-%20Medal%20_Sanji_%20-%20Piece%20_Colored_.png?updatedAt=1770076471443</v>
      </c>
      <c r="AG339" s="114"/>
      <c r="AH339" s="114"/>
      <c r="AI339" s="121" t="s">
        <v>5971</v>
      </c>
      <c r="AJ339" s="121" t="str">
        <f>IFERROR(__xludf.DUMMYFUNCTION("regexreplace(regexreplace(AI339, ""  \["", "" ""), ""\]$"", """")"),"338 - Winner Island ~ Bepo - Medal - Crafted [Colored] - Winner Island Bepo")</f>
        <v>338 - Winner Island ~ Bepo - Medal - Crafted [Colored] - Winner Island Bepo</v>
      </c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  <c r="AV339" s="114"/>
      <c r="AW339" s="114"/>
      <c r="AX339" s="114"/>
      <c r="AY339" s="114"/>
      <c r="AZ339" s="114"/>
      <c r="BA339" s="114"/>
      <c r="BB339" s="114"/>
      <c r="BC339" s="114"/>
      <c r="BD339" s="114"/>
      <c r="BE339" s="114"/>
    </row>
    <row r="340" ht="37.5" customHeight="1">
      <c r="A340" s="118" t="s">
        <v>5972</v>
      </c>
      <c r="B340" s="117" t="s">
        <v>2049</v>
      </c>
      <c r="C340" s="119">
        <f>IFERROR(__xludf.DUMMYFUNCTION("""COMPUTED_VALUE"""),3.0)</f>
        <v>3</v>
      </c>
      <c r="D340" s="114" t="str">
        <f>IFERROR(__xludf.DUMMYFUNCTION("""COMPUTED_VALUE"""),"Nami")</f>
        <v>Nami</v>
      </c>
      <c r="E340" s="114" t="str">
        <f>IFERROR(__xludf.DUMMYFUNCTION("""COMPUTED_VALUE"""),"")</f>
        <v/>
      </c>
      <c r="F340" s="114"/>
      <c r="G340" s="114"/>
      <c r="H340" s="114"/>
      <c r="I340" s="114"/>
      <c r="J340" s="114"/>
      <c r="K340" s="114" t="s">
        <v>5973</v>
      </c>
      <c r="L340" s="114" t="s">
        <v>5974</v>
      </c>
      <c r="M340" s="114" t="s">
        <v>5975</v>
      </c>
      <c r="N340" s="114" t="s">
        <v>5976</v>
      </c>
      <c r="O340" s="114"/>
      <c r="P340" s="120">
        <v>3.0</v>
      </c>
      <c r="Q340" s="117" t="s">
        <v>5977</v>
      </c>
      <c r="R340" s="114"/>
      <c r="S340" s="117" t="s">
        <v>2017</v>
      </c>
      <c r="T340" s="114">
        <f t="shared" si="1"/>
        <v>339</v>
      </c>
      <c r="U340" s="114" t="s">
        <v>26</v>
      </c>
      <c r="V340" s="114" t="str">
        <f>IFERROR(__xludf.DUMMYFUNCTION("REGEXREPLACE(U340, ""\n"", "" "")"),"Winner Island Law")</f>
        <v>Winner Island Law</v>
      </c>
      <c r="W340" s="114"/>
      <c r="X340" s="115" t="str">
        <f t="shared" si="2"/>
        <v>339 Winner Island - Trafalgar Law - Medal [Winner Island Law]</v>
      </c>
      <c r="Y340" s="119"/>
      <c r="Z340" s="117" t="s">
        <v>5978</v>
      </c>
      <c r="AA340" s="117" t="s">
        <v>3089</v>
      </c>
      <c r="AB340" s="114"/>
      <c r="AC340" s="123" t="str">
        <f>IFERROR(__xludf.DUMMYFUNCTION("""COMPUTED_VALUE"""),"https://ik.imagekit.io/alaaalaa6171/004%20Straw%20Hat%20Pirates_Sharp%20Shooter%20-%20Usopp%20-%20Medal%20_Usopp_.png?updatedAt=1770076471367")</f>
        <v>https://ik.imagekit.io/alaaalaa6171/004%20Straw%20Hat%20Pirates_Sharp%20Shooter%20-%20Usopp%20-%20Medal%20_Usopp_.png?updatedAt=1770076471367</v>
      </c>
      <c r="AD340" s="123" t="str">
        <f>IFERROR(__xludf.DUMMYFUNCTION("""COMPUTED_VALUE"""),"https://ik.imagekit.io/alaaalaa6171/004%20Straw%20Hat%20Pirates_Sharp%20Shooter%20-%20Usopp%20-%20Medal%20_Usopp_%20_Colored_.png?updatedAt=1770076471345")</f>
        <v>https://ik.imagekit.io/alaaalaa6171/004%20Straw%20Hat%20Pirates_Sharp%20Shooter%20-%20Usopp%20-%20Medal%20_Usopp_%20_Colored_.png?updatedAt=1770076471345</v>
      </c>
      <c r="AE340" s="123" t="str">
        <f>IFERROR(__xludf.DUMMYFUNCTION("""COMPUTED_VALUE"""),"https://ik.imagekit.io/alaaalaa6171/004%20Straw%20Hat%20Pirates_Sharp%20Shooter%20-%20Usopp%20-%20Medal%20_Usopp_%20-%20Piece.png?updatedAt=1770076471286")</f>
        <v>https://ik.imagekit.io/alaaalaa6171/004%20Straw%20Hat%20Pirates_Sharp%20Shooter%20-%20Usopp%20-%20Medal%20_Usopp_%20-%20Piece.png?updatedAt=1770076471286</v>
      </c>
      <c r="AF340" s="123" t="str">
        <f>IFERROR(__xludf.DUMMYFUNCTION("""COMPUTED_VALUE"""),"https://ik.imagekit.io/alaaalaa6171/004%20Straw%20Hat%20Pirates_Sharp%20Shooter%20-%20Usopp%20-%20Medal%20_Usopp_%20-%20Piece%20_Colored_.png?updatedAt=1770076471386")</f>
        <v>https://ik.imagekit.io/alaaalaa6171/004%20Straw%20Hat%20Pirates_Sharp%20Shooter%20-%20Usopp%20-%20Medal%20_Usopp_%20-%20Piece%20_Colored_.png?updatedAt=1770076471386</v>
      </c>
      <c r="AG340" s="114"/>
      <c r="AH340" s="114"/>
      <c r="AI340" s="121" t="s">
        <v>5979</v>
      </c>
      <c r="AJ340" s="121" t="str">
        <f>IFERROR(__xludf.DUMMYFUNCTION("regexreplace(regexreplace(AI340, ""  \["", "" ""), ""\]$"", """")"),"339 - Winner Island ~ Trafalgar Law - Medal - Crafted [Colored] - Winner Island Law")</f>
        <v>339 - Winner Island ~ Trafalgar Law - Medal - Crafted [Colored] - Winner Island Law</v>
      </c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  <c r="AV340" s="114"/>
      <c r="AW340" s="114"/>
      <c r="AX340" s="114"/>
      <c r="AY340" s="114"/>
      <c r="AZ340" s="114"/>
      <c r="BA340" s="114"/>
      <c r="BB340" s="114"/>
      <c r="BC340" s="114"/>
      <c r="BD340" s="114"/>
      <c r="BE340" s="114"/>
    </row>
    <row r="341" ht="37.5" customHeight="1">
      <c r="A341" s="118" t="s">
        <v>5980</v>
      </c>
      <c r="B341" s="117" t="s">
        <v>2010</v>
      </c>
      <c r="C341" s="119">
        <f>IFERROR(__xludf.DUMMYFUNCTION("""COMPUTED_VALUE"""),2.0)</f>
        <v>2</v>
      </c>
      <c r="D341" s="114" t="str">
        <f>IFERROR(__xludf.DUMMYFUNCTION("""COMPUTED_VALUE"""),"Zoro")</f>
        <v>Zoro</v>
      </c>
      <c r="E341" s="114" t="str">
        <f>IFERROR(__xludf.DUMMYFUNCTION("""COMPUTED_VALUE"""),"")</f>
        <v/>
      </c>
      <c r="F341" s="114"/>
      <c r="G341" s="114"/>
      <c r="H341" s="114"/>
      <c r="I341" s="114"/>
      <c r="J341" s="114"/>
      <c r="K341" s="114" t="s">
        <v>5981</v>
      </c>
      <c r="L341" s="114" t="s">
        <v>5982</v>
      </c>
      <c r="M341" s="114" t="s">
        <v>5983</v>
      </c>
      <c r="N341" s="114" t="s">
        <v>5984</v>
      </c>
      <c r="O341" s="114"/>
      <c r="P341" s="120">
        <v>2.0</v>
      </c>
      <c r="Q341" s="117" t="s">
        <v>5985</v>
      </c>
      <c r="R341" s="114"/>
      <c r="S341" s="117" t="s">
        <v>2004</v>
      </c>
      <c r="T341" s="114">
        <f t="shared" si="1"/>
        <v>340</v>
      </c>
      <c r="U341" s="114" t="s">
        <v>19</v>
      </c>
      <c r="V341" s="114" t="str">
        <f>IFERROR(__xludf.DUMMYFUNCTION("REGEXREPLACE(U341, ""\n"", "" "")"),"ASL Ace &amp; Sabo &amp; Luffy")</f>
        <v>ASL Ace &amp; Sabo &amp; Luffy</v>
      </c>
      <c r="W341" s="114"/>
      <c r="X341" s="115" t="str">
        <f t="shared" si="2"/>
        <v>340 ASL - Ace &amp; Sabo &amp; Luffy - Medal [ASL Ace &amp; Sabo &amp; Luffy]</v>
      </c>
      <c r="Y341" s="119"/>
      <c r="Z341" s="117" t="s">
        <v>5986</v>
      </c>
      <c r="AA341" s="117" t="s">
        <v>3090</v>
      </c>
      <c r="AB341" s="114"/>
      <c r="AC341" s="123" t="str">
        <f>IFERROR(__xludf.DUMMYFUNCTION("""COMPUTED_VALUE"""),"https://ik.imagekit.io/alaaalaa6171/003%20Straw%20Hat%20Pirates_Navigator%20-%20Nami%20-%20Medal%20_Nami_.png?updatedAt=1770076471383")</f>
        <v>https://ik.imagekit.io/alaaalaa6171/003%20Straw%20Hat%20Pirates_Navigator%20-%20Nami%20-%20Medal%20_Nami_.png?updatedAt=1770076471383</v>
      </c>
      <c r="AD341" s="123" t="str">
        <f>IFERROR(__xludf.DUMMYFUNCTION("""COMPUTED_VALUE"""),"https://ik.imagekit.io/alaaalaa6171/003%20Straw%20Hat%20Pirates_Navigator%20-%20Nami%20-%20Medal%20_Nami_%20_Colored_.png?updatedAt=1770076471372")</f>
        <v>https://ik.imagekit.io/alaaalaa6171/003%20Straw%20Hat%20Pirates_Navigator%20-%20Nami%20-%20Medal%20_Nami_%20_Colored_.png?updatedAt=1770076471372</v>
      </c>
      <c r="AE341" s="123" t="str">
        <f>IFERROR(__xludf.DUMMYFUNCTION("""COMPUTED_VALUE"""),"https://ik.imagekit.io/alaaalaa6171/003%20Straw%20Hat%20Pirates_Navigator%20-%20Nami%20-%20Medal%20_Nami_%20-%20Piece.png?updatedAt=1770076471325")</f>
        <v>https://ik.imagekit.io/alaaalaa6171/003%20Straw%20Hat%20Pirates_Navigator%20-%20Nami%20-%20Medal%20_Nami_%20-%20Piece.png?updatedAt=1770076471325</v>
      </c>
      <c r="AF341" s="123" t="str">
        <f>IFERROR(__xludf.DUMMYFUNCTION("""COMPUTED_VALUE"""),"https://ik.imagekit.io/alaaalaa6171/003%20Straw%20Hat%20Pirates_Navigator%20-%20Nami%20-%20Medal%20_Nami_%20-%20Piece%20_Colored_.png?updatedAt=1770076471437")</f>
        <v>https://ik.imagekit.io/alaaalaa6171/003%20Straw%20Hat%20Pirates_Navigator%20-%20Nami%20-%20Medal%20_Nami_%20-%20Piece%20_Colored_.png?updatedAt=1770076471437</v>
      </c>
      <c r="AG341" s="114"/>
      <c r="AH341" s="114"/>
      <c r="AI341" s="121" t="s">
        <v>5987</v>
      </c>
      <c r="AJ341" s="121" t="str">
        <f>IFERROR(__xludf.DUMMYFUNCTION("regexreplace(regexreplace(AI341, ""  \["", "" ""), ""\]$"", """")"),"340 - ASL ~ Ace &amp; Sabo &amp; Luffy - Medal - Crafted [Colored] - ASL Ace &amp; Sabo &amp; Luffy")</f>
        <v>340 - ASL ~ Ace &amp; Sabo &amp; Luffy - Medal - Crafted [Colored] - ASL Ace &amp; Sabo &amp; Luffy</v>
      </c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  <c r="AV341" s="114"/>
      <c r="AW341" s="114"/>
      <c r="AX341" s="114"/>
      <c r="AY341" s="114"/>
      <c r="AZ341" s="114"/>
      <c r="BA341" s="114"/>
      <c r="BB341" s="114"/>
      <c r="BC341" s="114"/>
      <c r="BD341" s="114"/>
      <c r="BE341" s="114"/>
    </row>
    <row r="342" ht="37.5" customHeight="1">
      <c r="A342" s="118" t="s">
        <v>5988</v>
      </c>
      <c r="B342" s="117" t="s">
        <v>1998</v>
      </c>
      <c r="C342" s="119">
        <f>IFERROR(__xludf.DUMMYFUNCTION("""COMPUTED_VALUE"""),1.0)</f>
        <v>1</v>
      </c>
      <c r="D342" s="114" t="str">
        <f>IFERROR(__xludf.DUMMYFUNCTION("""COMPUTED_VALUE"""),"Luffy")</f>
        <v>Luffy</v>
      </c>
      <c r="E342" s="114" t="str">
        <f>IFERROR(__xludf.DUMMYFUNCTION("""COMPUTED_VALUE"""),"")</f>
        <v/>
      </c>
      <c r="F342" s="114"/>
      <c r="G342" s="114"/>
      <c r="H342" s="114"/>
      <c r="I342" s="114"/>
      <c r="J342" s="114"/>
      <c r="K342" s="114" t="s">
        <v>5989</v>
      </c>
      <c r="L342" s="114" t="s">
        <v>5990</v>
      </c>
      <c r="M342" s="114" t="s">
        <v>5991</v>
      </c>
      <c r="N342" s="114" t="s">
        <v>5992</v>
      </c>
      <c r="O342" s="114"/>
      <c r="P342" s="120">
        <v>1.0</v>
      </c>
      <c r="Q342" s="117" t="s">
        <v>5993</v>
      </c>
      <c r="R342" s="114"/>
      <c r="S342" s="117" t="s">
        <v>1992</v>
      </c>
      <c r="T342" s="114">
        <f t="shared" si="1"/>
        <v>341</v>
      </c>
      <c r="U342" s="114" t="s">
        <v>11</v>
      </c>
      <c r="V342" s="114" t="str">
        <f>IFERROR(__xludf.DUMMYFUNCTION("REGEXREPLACE(U342, ""\n"", "" "")"),"Black Vortex")</f>
        <v>Black Vortex</v>
      </c>
      <c r="W342" s="114"/>
      <c r="X342" s="115" t="str">
        <f t="shared" si="2"/>
        <v>341 The Four Emperors - Marshall D. Teach - Medal [Black Vortex]</v>
      </c>
      <c r="Y342" s="119"/>
      <c r="Z342" s="117" t="s">
        <v>5994</v>
      </c>
      <c r="AA342" s="117" t="s">
        <v>3088</v>
      </c>
      <c r="AB342" s="114"/>
      <c r="AC342" s="123" t="str">
        <f>IFERROR(__xludf.DUMMYFUNCTION("""COMPUTED_VALUE"""),"https://ik.imagekit.io/alaaalaa6171/002%20Straw%20Hat%20Pirates_Combatant%20-%20Roronoa%20Zoro%20-%20Medal%20_Zoro_.png?updatedAt=1770076471263")</f>
        <v>https://ik.imagekit.io/alaaalaa6171/002%20Straw%20Hat%20Pirates_Combatant%20-%20Roronoa%20Zoro%20-%20Medal%20_Zoro_.png?updatedAt=1770076471263</v>
      </c>
      <c r="AD342" s="123" t="str">
        <f>IFERROR(__xludf.DUMMYFUNCTION("""COMPUTED_VALUE"""),"https://ik.imagekit.io/alaaalaa6171/002%20Straw%20Hat%20Pirates_Combatant%20-%20Roronoa%20Zoro%20-%20Medal%20_Zoro_%20_Colored_.png?updatedAt=1770076471255")</f>
        <v>https://ik.imagekit.io/alaaalaa6171/002%20Straw%20Hat%20Pirates_Combatant%20-%20Roronoa%20Zoro%20-%20Medal%20_Zoro_%20_Colored_.png?updatedAt=1770076471255</v>
      </c>
      <c r="AE342" s="123" t="str">
        <f>IFERROR(__xludf.DUMMYFUNCTION("""COMPUTED_VALUE"""),"https://ik.imagekit.io/alaaalaa6171/002%20Straw%20Hat%20Pirates_Combatant%20-%20Roronoa%20Zoro%20-%20Medal%20_Zoro_%20-%20Piece.png?updatedAt=1770076471404")</f>
        <v>https://ik.imagekit.io/alaaalaa6171/002%20Straw%20Hat%20Pirates_Combatant%20-%20Roronoa%20Zoro%20-%20Medal%20_Zoro_%20-%20Piece.png?updatedAt=1770076471404</v>
      </c>
      <c r="AF342" s="123" t="str">
        <f>IFERROR(__xludf.DUMMYFUNCTION("""COMPUTED_VALUE"""),"https://ik.imagekit.io/alaaalaa6171/002%20Straw%20Hat%20Pirates_Combatant%20-%20Roronoa%20Zoro%20-%20Medal%20_Zoro_%20-%20Piece%20_Colored_.png?updatedAt=1770076471390")</f>
        <v>https://ik.imagekit.io/alaaalaa6171/002%20Straw%20Hat%20Pirates_Combatant%20-%20Roronoa%20Zoro%20-%20Medal%20_Zoro_%20-%20Piece%20_Colored_.png?updatedAt=1770076471390</v>
      </c>
      <c r="AG342" s="114"/>
      <c r="AH342" s="114"/>
      <c r="AI342" s="121" t="s">
        <v>5995</v>
      </c>
      <c r="AJ342" s="121" t="str">
        <f>IFERROR(__xludf.DUMMYFUNCTION("regexreplace(regexreplace(AI342, ""  \["", "" ""), ""\]$"", """")"),"341 - The Four Emperors ~ Marshall D. Teach - Medal - Crafted [Colored] - Black Vortex")</f>
        <v>341 - The Four Emperors ~ Marshall D. Teach - Medal - Crafted [Colored] - Black Vortex</v>
      </c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  <c r="AV342" s="114"/>
      <c r="AW342" s="114"/>
      <c r="AX342" s="114"/>
      <c r="AY342" s="114"/>
      <c r="AZ342" s="114"/>
      <c r="BA342" s="114"/>
      <c r="BB342" s="114"/>
      <c r="BC342" s="114"/>
      <c r="BD342" s="114"/>
      <c r="BE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5"/>
      <c r="Y343" s="119"/>
      <c r="Z343" s="117" t="s">
        <v>5996</v>
      </c>
      <c r="AA343" s="117" t="s">
        <v>3100</v>
      </c>
      <c r="AB343" s="114"/>
      <c r="AC343" s="123" t="str">
        <f>IFERROR(__xludf.DUMMYFUNCTION("""COMPUTED_VALUE"""),"https://ik.imagekit.io/alaaalaa6171/001%20Straw%20Hat%20Pirates_Captain%20-%20Monkey%20D.%20Luffy%20-%20Medal%20_Luffy_.png?updatedAt=1770076471327")</f>
        <v>https://ik.imagekit.io/alaaalaa6171/001%20Straw%20Hat%20Pirates_Captain%20-%20Monkey%20D.%20Luffy%20-%20Medal%20_Luffy_.png?updatedAt=1770076471327</v>
      </c>
      <c r="AD343" s="123" t="str">
        <f>IFERROR(__xludf.DUMMYFUNCTION("""COMPUTED_VALUE"""),"https://ik.imagekit.io/alaaalaa6171/001%20Straw%20Hat%20Pirates_Captain%20-%20Monkey%20D.%20Luffy%20-%20Medal%20_Luffy_%20_Colored_.png?updatedAt=1770076471379")</f>
        <v>https://ik.imagekit.io/alaaalaa6171/001%20Straw%20Hat%20Pirates_Captain%20-%20Monkey%20D.%20Luffy%20-%20Medal%20_Luffy_%20_Colored_.png?updatedAt=1770076471379</v>
      </c>
      <c r="AE343" s="123" t="str">
        <f>IFERROR(__xludf.DUMMYFUNCTION("""COMPUTED_VALUE"""),"https://ik.imagekit.io/alaaalaa6171/001%20Straw%20Hat%20Pirates_Captain%20-%20Monkey%20D.%20Luffy%20-%20Medal%20_Luffy_%20-%20Piece.png?updatedAt=1770076471287")</f>
        <v>https://ik.imagekit.io/alaaalaa6171/001%20Straw%20Hat%20Pirates_Captain%20-%20Monkey%20D.%20Luffy%20-%20Medal%20_Luffy_%20-%20Piece.png?updatedAt=1770076471287</v>
      </c>
      <c r="AF343" s="123" t="str">
        <f>IFERROR(__xludf.DUMMYFUNCTION("""COMPUTED_VALUE"""),"https://ik.imagekit.io/alaaalaa6171/001%20Straw%20Hat%20Pirates_Captain%20-%20Monkey%20D.%20Luffy%20-%20Medal%20_Luffy_%20-%20Piece%20_Colored_.png?updatedAt=1770076471255")</f>
        <v>https://ik.imagekit.io/alaaalaa6171/001%20Straw%20Hat%20Pirates_Captain%20-%20Monkey%20D.%20Luffy%20-%20Medal%20_Luffy_%20-%20Piece%20_Colored_.png?updatedAt=1770076471255</v>
      </c>
      <c r="AG343" s="114"/>
      <c r="AH343" s="114"/>
      <c r="AI343" s="116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  <c r="AV343" s="114"/>
      <c r="AW343" s="114"/>
      <c r="AX343" s="114"/>
      <c r="AY343" s="114"/>
      <c r="AZ343" s="114"/>
      <c r="BA343" s="114"/>
      <c r="BB343" s="114"/>
      <c r="BC343" s="114"/>
      <c r="BD343" s="114"/>
      <c r="BE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5"/>
      <c r="Y344" s="119"/>
      <c r="Z344" s="117" t="s">
        <v>5997</v>
      </c>
      <c r="AA344" s="117" t="s">
        <v>3102</v>
      </c>
      <c r="AB344" s="114"/>
      <c r="AC344" s="114"/>
      <c r="AD344" s="114"/>
      <c r="AE344" s="114"/>
      <c r="AF344" s="114"/>
      <c r="AG344" s="114"/>
      <c r="AH344" s="114"/>
      <c r="AI344" s="116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  <c r="AV344" s="114"/>
      <c r="AW344" s="114"/>
      <c r="AX344" s="114"/>
      <c r="AY344" s="114"/>
      <c r="AZ344" s="114"/>
      <c r="BA344" s="114"/>
      <c r="BB344" s="114"/>
      <c r="BC344" s="114"/>
      <c r="BD344" s="114"/>
      <c r="BE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5"/>
      <c r="Y345" s="119"/>
      <c r="Z345" s="117" t="s">
        <v>5998</v>
      </c>
      <c r="AA345" s="117" t="s">
        <v>3103</v>
      </c>
      <c r="AB345" s="114"/>
      <c r="AC345" s="114"/>
      <c r="AD345" s="114"/>
      <c r="AE345" s="114"/>
      <c r="AF345" s="114"/>
      <c r="AG345" s="114"/>
      <c r="AH345" s="114"/>
      <c r="AI345" s="116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  <c r="AV345" s="114"/>
      <c r="AW345" s="114"/>
      <c r="AX345" s="114"/>
      <c r="AY345" s="114"/>
      <c r="AZ345" s="114"/>
      <c r="BA345" s="114"/>
      <c r="BB345" s="114"/>
      <c r="BC345" s="114"/>
      <c r="BD345" s="114"/>
      <c r="BE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5"/>
      <c r="Y346" s="119"/>
      <c r="Z346" s="117" t="s">
        <v>5999</v>
      </c>
      <c r="AA346" s="117" t="s">
        <v>3101</v>
      </c>
      <c r="AB346" s="114"/>
      <c r="AC346" s="114"/>
      <c r="AD346" s="114"/>
      <c r="AE346" s="114"/>
      <c r="AF346" s="114"/>
      <c r="AG346" s="114"/>
      <c r="AH346" s="114"/>
      <c r="AI346" s="116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  <c r="AV346" s="114"/>
      <c r="AW346" s="114"/>
      <c r="AX346" s="114"/>
      <c r="AY346" s="114"/>
      <c r="AZ346" s="114"/>
      <c r="BA346" s="114"/>
      <c r="BB346" s="114"/>
      <c r="BC346" s="114"/>
      <c r="BD346" s="114"/>
      <c r="BE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5"/>
      <c r="Y347" s="119"/>
      <c r="Z347" s="117" t="s">
        <v>6000</v>
      </c>
      <c r="AA347" s="117" t="s">
        <v>3113</v>
      </c>
      <c r="AB347" s="114"/>
      <c r="AC347" s="114"/>
      <c r="AD347" s="114"/>
      <c r="AE347" s="114"/>
      <c r="AF347" s="114"/>
      <c r="AG347" s="114"/>
      <c r="AH347" s="114"/>
      <c r="AI347" s="116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  <c r="AV347" s="114"/>
      <c r="AW347" s="114"/>
      <c r="AX347" s="114"/>
      <c r="AY347" s="114"/>
      <c r="AZ347" s="114"/>
      <c r="BA347" s="114"/>
      <c r="BB347" s="114"/>
      <c r="BC347" s="114"/>
      <c r="BD347" s="114"/>
      <c r="BE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5"/>
      <c r="Y348" s="119"/>
      <c r="Z348" s="117" t="s">
        <v>6001</v>
      </c>
      <c r="AA348" s="117" t="s">
        <v>3115</v>
      </c>
      <c r="AB348" s="114"/>
      <c r="AC348" s="114"/>
      <c r="AD348" s="114"/>
      <c r="AE348" s="114"/>
      <c r="AF348" s="114"/>
      <c r="AG348" s="114"/>
      <c r="AH348" s="114"/>
      <c r="AI348" s="116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4"/>
      <c r="AZ348" s="114"/>
      <c r="BA348" s="114"/>
      <c r="BB348" s="114"/>
      <c r="BC348" s="114"/>
      <c r="BD348" s="114"/>
      <c r="BE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5"/>
      <c r="Y349" s="119"/>
      <c r="Z349" s="117" t="s">
        <v>6002</v>
      </c>
      <c r="AA349" s="117" t="s">
        <v>3116</v>
      </c>
      <c r="AB349" s="114"/>
      <c r="AC349" s="114"/>
      <c r="AD349" s="114"/>
      <c r="AE349" s="114"/>
      <c r="AF349" s="114"/>
      <c r="AG349" s="114"/>
      <c r="AH349" s="114"/>
      <c r="AI349" s="116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4"/>
      <c r="AZ349" s="114"/>
      <c r="BA349" s="114"/>
      <c r="BB349" s="114"/>
      <c r="BC349" s="114"/>
      <c r="BD349" s="114"/>
      <c r="BE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5"/>
      <c r="Y350" s="119"/>
      <c r="Z350" s="117" t="s">
        <v>6003</v>
      </c>
      <c r="AA350" s="117" t="s">
        <v>3114</v>
      </c>
      <c r="AB350" s="114"/>
      <c r="AC350" s="114"/>
      <c r="AD350" s="114"/>
      <c r="AE350" s="114"/>
      <c r="AF350" s="114"/>
      <c r="AG350" s="114"/>
      <c r="AH350" s="114"/>
      <c r="AI350" s="116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4"/>
      <c r="AZ350" s="114"/>
      <c r="BA350" s="114"/>
      <c r="BB350" s="114"/>
      <c r="BC350" s="114"/>
      <c r="BD350" s="114"/>
      <c r="BE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5"/>
      <c r="Y351" s="119"/>
      <c r="Z351" s="117" t="s">
        <v>6004</v>
      </c>
      <c r="AA351" s="117" t="s">
        <v>3126</v>
      </c>
      <c r="AB351" s="114"/>
      <c r="AC351" s="114"/>
      <c r="AD351" s="114"/>
      <c r="AE351" s="114"/>
      <c r="AF351" s="114"/>
      <c r="AG351" s="114"/>
      <c r="AH351" s="114"/>
      <c r="AI351" s="116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4"/>
      <c r="AZ351" s="114"/>
      <c r="BA351" s="114"/>
      <c r="BB351" s="114"/>
      <c r="BC351" s="114"/>
      <c r="BD351" s="114"/>
      <c r="BE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5"/>
      <c r="Y352" s="119"/>
      <c r="Z352" s="117" t="s">
        <v>6005</v>
      </c>
      <c r="AA352" s="117" t="s">
        <v>3128</v>
      </c>
      <c r="AB352" s="114"/>
      <c r="AC352" s="114"/>
      <c r="AD352" s="114"/>
      <c r="AE352" s="114"/>
      <c r="AF352" s="114"/>
      <c r="AG352" s="114"/>
      <c r="AH352" s="114"/>
      <c r="AI352" s="116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4"/>
      <c r="AZ352" s="114"/>
      <c r="BA352" s="114"/>
      <c r="BB352" s="114"/>
      <c r="BC352" s="114"/>
      <c r="BD352" s="114"/>
      <c r="BE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5"/>
      <c r="Y353" s="119"/>
      <c r="Z353" s="117" t="s">
        <v>6006</v>
      </c>
      <c r="AA353" s="117" t="s">
        <v>3129</v>
      </c>
      <c r="AB353" s="114"/>
      <c r="AC353" s="114"/>
      <c r="AD353" s="114"/>
      <c r="AE353" s="114"/>
      <c r="AF353" s="114"/>
      <c r="AG353" s="114"/>
      <c r="AH353" s="114"/>
      <c r="AI353" s="116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4"/>
      <c r="AZ353" s="114"/>
      <c r="BA353" s="114"/>
      <c r="BB353" s="114"/>
      <c r="BC353" s="114"/>
      <c r="BD353" s="114"/>
      <c r="BE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5"/>
      <c r="Y354" s="119"/>
      <c r="Z354" s="117" t="s">
        <v>6007</v>
      </c>
      <c r="AA354" s="117" t="s">
        <v>3127</v>
      </c>
      <c r="AB354" s="114"/>
      <c r="AC354" s="114"/>
      <c r="AD354" s="114"/>
      <c r="AE354" s="114"/>
      <c r="AF354" s="114"/>
      <c r="AG354" s="114"/>
      <c r="AH354" s="114"/>
      <c r="AI354" s="116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4"/>
      <c r="AZ354" s="114"/>
      <c r="BA354" s="114"/>
      <c r="BB354" s="114"/>
      <c r="BC354" s="114"/>
      <c r="BD354" s="114"/>
      <c r="BE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5"/>
      <c r="Y355" s="119"/>
      <c r="Z355" s="117" t="s">
        <v>6008</v>
      </c>
      <c r="AA355" s="117" t="s">
        <v>3139</v>
      </c>
      <c r="AB355" s="114"/>
      <c r="AC355" s="114"/>
      <c r="AD355" s="114"/>
      <c r="AE355" s="114"/>
      <c r="AF355" s="114"/>
      <c r="AG355" s="114"/>
      <c r="AH355" s="114"/>
      <c r="AI355" s="116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4"/>
      <c r="AZ355" s="114"/>
      <c r="BA355" s="114"/>
      <c r="BB355" s="114"/>
      <c r="BC355" s="114"/>
      <c r="BD355" s="114"/>
      <c r="BE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5"/>
      <c r="Y356" s="119"/>
      <c r="Z356" s="117" t="s">
        <v>6009</v>
      </c>
      <c r="AA356" s="117" t="s">
        <v>3141</v>
      </c>
      <c r="AB356" s="114"/>
      <c r="AC356" s="114"/>
      <c r="AD356" s="114"/>
      <c r="AE356" s="114"/>
      <c r="AF356" s="114"/>
      <c r="AG356" s="114"/>
      <c r="AH356" s="114"/>
      <c r="AI356" s="116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4"/>
      <c r="AZ356" s="114"/>
      <c r="BA356" s="114"/>
      <c r="BB356" s="114"/>
      <c r="BC356" s="114"/>
      <c r="BD356" s="114"/>
      <c r="BE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5"/>
      <c r="Y357" s="114"/>
      <c r="Z357" s="117" t="s">
        <v>6010</v>
      </c>
      <c r="AA357" s="117" t="s">
        <v>3142</v>
      </c>
      <c r="AB357" s="114"/>
      <c r="AC357" s="114"/>
      <c r="AD357" s="114"/>
      <c r="AE357" s="114"/>
      <c r="AF357" s="114"/>
      <c r="AG357" s="114"/>
      <c r="AH357" s="114"/>
      <c r="AI357" s="116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4"/>
      <c r="AZ357" s="114"/>
      <c r="BA357" s="114"/>
      <c r="BB357" s="114"/>
      <c r="BC357" s="114"/>
      <c r="BD357" s="114"/>
      <c r="BE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5"/>
      <c r="Y358" s="114"/>
      <c r="Z358" s="117" t="s">
        <v>6011</v>
      </c>
      <c r="AA358" s="117" t="s">
        <v>3140</v>
      </c>
      <c r="AB358" s="114"/>
      <c r="AC358" s="114"/>
      <c r="AD358" s="114"/>
      <c r="AE358" s="114"/>
      <c r="AF358" s="114"/>
      <c r="AG358" s="114"/>
      <c r="AH358" s="114"/>
      <c r="AI358" s="116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4"/>
      <c r="AZ358" s="114"/>
      <c r="BA358" s="114"/>
      <c r="BB358" s="114"/>
      <c r="BC358" s="114"/>
      <c r="BD358" s="114"/>
      <c r="BE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5"/>
      <c r="Y359" s="114"/>
      <c r="Z359" s="117" t="s">
        <v>6012</v>
      </c>
      <c r="AA359" s="117" t="s">
        <v>3152</v>
      </c>
      <c r="AB359" s="114"/>
      <c r="AC359" s="114"/>
      <c r="AD359" s="114"/>
      <c r="AE359" s="114"/>
      <c r="AF359" s="114"/>
      <c r="AG359" s="114"/>
      <c r="AH359" s="114"/>
      <c r="AI359" s="116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4"/>
      <c r="AZ359" s="114"/>
      <c r="BA359" s="114"/>
      <c r="BB359" s="114"/>
      <c r="BC359" s="114"/>
      <c r="BD359" s="114"/>
      <c r="BE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5"/>
      <c r="Y360" s="114"/>
      <c r="Z360" s="117" t="s">
        <v>6013</v>
      </c>
      <c r="AA360" s="117" t="s">
        <v>3154</v>
      </c>
      <c r="AB360" s="114"/>
      <c r="AC360" s="114"/>
      <c r="AD360" s="114"/>
      <c r="AE360" s="114"/>
      <c r="AF360" s="114"/>
      <c r="AG360" s="114"/>
      <c r="AH360" s="114"/>
      <c r="AI360" s="116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4"/>
      <c r="AZ360" s="114"/>
      <c r="BA360" s="114"/>
      <c r="BB360" s="114"/>
      <c r="BC360" s="114"/>
      <c r="BD360" s="114"/>
      <c r="BE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5"/>
      <c r="Y361" s="114"/>
      <c r="Z361" s="117" t="s">
        <v>6014</v>
      </c>
      <c r="AA361" s="117" t="s">
        <v>3155</v>
      </c>
      <c r="AB361" s="114"/>
      <c r="AC361" s="114"/>
      <c r="AD361" s="114"/>
      <c r="AE361" s="114"/>
      <c r="AF361" s="114"/>
      <c r="AG361" s="114"/>
      <c r="AH361" s="114"/>
      <c r="AI361" s="116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4"/>
      <c r="AZ361" s="114"/>
      <c r="BA361" s="114"/>
      <c r="BB361" s="114"/>
      <c r="BC361" s="114"/>
      <c r="BD361" s="114"/>
      <c r="BE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5"/>
      <c r="Y362" s="114"/>
      <c r="Z362" s="117" t="s">
        <v>6015</v>
      </c>
      <c r="AA362" s="117" t="s">
        <v>3153</v>
      </c>
      <c r="AB362" s="114"/>
      <c r="AC362" s="114"/>
      <c r="AD362" s="114"/>
      <c r="AE362" s="114"/>
      <c r="AF362" s="114"/>
      <c r="AG362" s="114"/>
      <c r="AH362" s="114"/>
      <c r="AI362" s="116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4"/>
      <c r="AZ362" s="114"/>
      <c r="BA362" s="114"/>
      <c r="BB362" s="114"/>
      <c r="BC362" s="114"/>
      <c r="BD362" s="114"/>
      <c r="BE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5"/>
      <c r="Y363" s="114"/>
      <c r="Z363" s="117" t="s">
        <v>6016</v>
      </c>
      <c r="AA363" s="117" t="s">
        <v>3165</v>
      </c>
      <c r="AB363" s="114"/>
      <c r="AC363" s="114"/>
      <c r="AD363" s="114"/>
      <c r="AE363" s="114"/>
      <c r="AF363" s="114"/>
      <c r="AG363" s="114"/>
      <c r="AH363" s="114"/>
      <c r="AI363" s="116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4"/>
      <c r="AZ363" s="114"/>
      <c r="BA363" s="114"/>
      <c r="BB363" s="114"/>
      <c r="BC363" s="114"/>
      <c r="BD363" s="114"/>
      <c r="BE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5"/>
      <c r="Y364" s="114"/>
      <c r="Z364" s="117" t="s">
        <v>6017</v>
      </c>
      <c r="AA364" s="117" t="s">
        <v>3167</v>
      </c>
      <c r="AB364" s="114"/>
      <c r="AC364" s="114"/>
      <c r="AD364" s="114"/>
      <c r="AE364" s="114"/>
      <c r="AF364" s="114"/>
      <c r="AG364" s="114"/>
      <c r="AH364" s="114"/>
      <c r="AI364" s="116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4"/>
      <c r="AZ364" s="114"/>
      <c r="BA364" s="114"/>
      <c r="BB364" s="114"/>
      <c r="BC364" s="114"/>
      <c r="BD364" s="114"/>
      <c r="BE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5"/>
      <c r="Y365" s="114"/>
      <c r="Z365" s="117" t="s">
        <v>6018</v>
      </c>
      <c r="AA365" s="117" t="s">
        <v>3168</v>
      </c>
      <c r="AB365" s="114"/>
      <c r="AC365" s="114"/>
      <c r="AD365" s="114"/>
      <c r="AE365" s="114"/>
      <c r="AF365" s="114"/>
      <c r="AG365" s="114"/>
      <c r="AH365" s="114"/>
      <c r="AI365" s="116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4"/>
      <c r="AZ365" s="114"/>
      <c r="BA365" s="114"/>
      <c r="BB365" s="114"/>
      <c r="BC365" s="114"/>
      <c r="BD365" s="114"/>
      <c r="BE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5"/>
      <c r="Y366" s="114"/>
      <c r="Z366" s="117" t="s">
        <v>6019</v>
      </c>
      <c r="AA366" s="117" t="s">
        <v>3166</v>
      </c>
      <c r="AB366" s="114"/>
      <c r="AC366" s="114"/>
      <c r="AD366" s="114"/>
      <c r="AE366" s="114"/>
      <c r="AF366" s="114"/>
      <c r="AG366" s="114"/>
      <c r="AH366" s="114"/>
      <c r="AI366" s="116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4"/>
      <c r="AZ366" s="114"/>
      <c r="BA366" s="114"/>
      <c r="BB366" s="114"/>
      <c r="BC366" s="114"/>
      <c r="BD366" s="114"/>
      <c r="BE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5"/>
      <c r="Y367" s="114"/>
      <c r="Z367" s="117" t="s">
        <v>6020</v>
      </c>
      <c r="AA367" s="117" t="s">
        <v>3178</v>
      </c>
      <c r="AB367" s="114"/>
      <c r="AC367" s="114"/>
      <c r="AD367" s="114"/>
      <c r="AE367" s="114"/>
      <c r="AF367" s="114"/>
      <c r="AG367" s="114"/>
      <c r="AH367" s="114"/>
      <c r="AI367" s="116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4"/>
      <c r="AZ367" s="114"/>
      <c r="BA367" s="114"/>
      <c r="BB367" s="114"/>
      <c r="BC367" s="114"/>
      <c r="BD367" s="114"/>
      <c r="BE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5"/>
      <c r="Y368" s="114"/>
      <c r="Z368" s="117" t="s">
        <v>6021</v>
      </c>
      <c r="AA368" s="117" t="s">
        <v>3180</v>
      </c>
      <c r="AB368" s="114"/>
      <c r="AC368" s="114"/>
      <c r="AD368" s="114"/>
      <c r="AE368" s="114"/>
      <c r="AF368" s="114"/>
      <c r="AG368" s="114"/>
      <c r="AH368" s="114"/>
      <c r="AI368" s="116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4"/>
      <c r="AZ368" s="114"/>
      <c r="BA368" s="114"/>
      <c r="BB368" s="114"/>
      <c r="BC368" s="114"/>
      <c r="BD368" s="114"/>
      <c r="BE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5"/>
      <c r="Y369" s="114"/>
      <c r="Z369" s="117" t="s">
        <v>6022</v>
      </c>
      <c r="AA369" s="117" t="s">
        <v>3181</v>
      </c>
      <c r="AB369" s="114"/>
      <c r="AC369" s="114"/>
      <c r="AD369" s="114"/>
      <c r="AE369" s="114"/>
      <c r="AF369" s="114"/>
      <c r="AG369" s="114"/>
      <c r="AH369" s="114"/>
      <c r="AI369" s="116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4"/>
      <c r="AZ369" s="114"/>
      <c r="BA369" s="114"/>
      <c r="BB369" s="114"/>
      <c r="BC369" s="114"/>
      <c r="BD369" s="114"/>
      <c r="BE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5"/>
      <c r="Y370" s="114"/>
      <c r="Z370" s="117" t="s">
        <v>6023</v>
      </c>
      <c r="AA370" s="117" t="s">
        <v>3179</v>
      </c>
      <c r="AB370" s="114"/>
      <c r="AC370" s="114"/>
      <c r="AD370" s="114"/>
      <c r="AE370" s="114"/>
      <c r="AF370" s="114"/>
      <c r="AG370" s="114"/>
      <c r="AH370" s="114"/>
      <c r="AI370" s="116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4"/>
      <c r="AZ370" s="114"/>
      <c r="BA370" s="114"/>
      <c r="BB370" s="114"/>
      <c r="BC370" s="114"/>
      <c r="BD370" s="114"/>
      <c r="BE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5"/>
      <c r="Y371" s="114"/>
      <c r="Z371" s="117" t="s">
        <v>6024</v>
      </c>
      <c r="AA371" s="117" t="s">
        <v>3191</v>
      </c>
      <c r="AB371" s="114"/>
      <c r="AC371" s="114"/>
      <c r="AD371" s="114"/>
      <c r="AE371" s="114"/>
      <c r="AF371" s="114"/>
      <c r="AG371" s="114"/>
      <c r="AH371" s="114"/>
      <c r="AI371" s="116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  <c r="BA371" s="114"/>
      <c r="BB371" s="114"/>
      <c r="BC371" s="114"/>
      <c r="BD371" s="114"/>
      <c r="BE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5"/>
      <c r="Y372" s="114"/>
      <c r="Z372" s="117" t="s">
        <v>6025</v>
      </c>
      <c r="AA372" s="117" t="s">
        <v>3193</v>
      </c>
      <c r="AB372" s="114"/>
      <c r="AC372" s="114"/>
      <c r="AD372" s="114"/>
      <c r="AE372" s="114"/>
      <c r="AF372" s="114"/>
      <c r="AG372" s="114"/>
      <c r="AH372" s="114"/>
      <c r="AI372" s="116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4"/>
      <c r="AZ372" s="114"/>
      <c r="BA372" s="114"/>
      <c r="BB372" s="114"/>
      <c r="BC372" s="114"/>
      <c r="BD372" s="114"/>
      <c r="BE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5"/>
      <c r="Y373" s="114"/>
      <c r="Z373" s="117" t="s">
        <v>6026</v>
      </c>
      <c r="AA373" s="117" t="s">
        <v>3194</v>
      </c>
      <c r="AB373" s="114"/>
      <c r="AC373" s="114"/>
      <c r="AD373" s="114"/>
      <c r="AE373" s="114"/>
      <c r="AF373" s="114"/>
      <c r="AG373" s="114"/>
      <c r="AH373" s="114"/>
      <c r="AI373" s="116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4"/>
      <c r="AZ373" s="114"/>
      <c r="BA373" s="114"/>
      <c r="BB373" s="114"/>
      <c r="BC373" s="114"/>
      <c r="BD373" s="114"/>
      <c r="BE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5"/>
      <c r="Y374" s="114"/>
      <c r="Z374" s="117" t="s">
        <v>6027</v>
      </c>
      <c r="AA374" s="117" t="s">
        <v>3192</v>
      </c>
      <c r="AB374" s="114"/>
      <c r="AC374" s="114"/>
      <c r="AD374" s="114"/>
      <c r="AE374" s="114"/>
      <c r="AF374" s="114"/>
      <c r="AG374" s="114"/>
      <c r="AH374" s="114"/>
      <c r="AI374" s="116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4"/>
      <c r="AZ374" s="114"/>
      <c r="BA374" s="114"/>
      <c r="BB374" s="114"/>
      <c r="BC374" s="114"/>
      <c r="BD374" s="114"/>
      <c r="BE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5"/>
      <c r="Y375" s="114"/>
      <c r="Z375" s="117" t="s">
        <v>6028</v>
      </c>
      <c r="AA375" s="117" t="s">
        <v>3204</v>
      </c>
      <c r="AB375" s="114"/>
      <c r="AC375" s="114"/>
      <c r="AD375" s="114"/>
      <c r="AE375" s="114"/>
      <c r="AF375" s="114"/>
      <c r="AG375" s="114"/>
      <c r="AH375" s="114"/>
      <c r="AI375" s="116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4"/>
      <c r="AZ375" s="114"/>
      <c r="BA375" s="114"/>
      <c r="BB375" s="114"/>
      <c r="BC375" s="114"/>
      <c r="BD375" s="114"/>
      <c r="BE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5"/>
      <c r="Y376" s="114"/>
      <c r="Z376" s="117" t="s">
        <v>6029</v>
      </c>
      <c r="AA376" s="117" t="s">
        <v>3206</v>
      </c>
      <c r="AB376" s="114"/>
      <c r="AC376" s="114"/>
      <c r="AD376" s="114"/>
      <c r="AE376" s="114"/>
      <c r="AF376" s="114"/>
      <c r="AG376" s="114"/>
      <c r="AH376" s="114"/>
      <c r="AI376" s="116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4"/>
      <c r="AZ376" s="114"/>
      <c r="BA376" s="114"/>
      <c r="BB376" s="114"/>
      <c r="BC376" s="114"/>
      <c r="BD376" s="114"/>
      <c r="BE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5"/>
      <c r="Y377" s="114"/>
      <c r="Z377" s="117" t="s">
        <v>6030</v>
      </c>
      <c r="AA377" s="117" t="s">
        <v>3207</v>
      </c>
      <c r="AB377" s="114"/>
      <c r="AC377" s="114"/>
      <c r="AD377" s="114"/>
      <c r="AE377" s="114"/>
      <c r="AF377" s="114"/>
      <c r="AG377" s="114"/>
      <c r="AH377" s="114"/>
      <c r="AI377" s="116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4"/>
      <c r="AZ377" s="114"/>
      <c r="BA377" s="114"/>
      <c r="BB377" s="114"/>
      <c r="BC377" s="114"/>
      <c r="BD377" s="114"/>
      <c r="BE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5"/>
      <c r="Y378" s="114"/>
      <c r="Z378" s="117" t="s">
        <v>6031</v>
      </c>
      <c r="AA378" s="117" t="s">
        <v>3205</v>
      </c>
      <c r="AB378" s="114"/>
      <c r="AC378" s="114"/>
      <c r="AD378" s="114"/>
      <c r="AE378" s="114"/>
      <c r="AF378" s="114"/>
      <c r="AG378" s="114"/>
      <c r="AH378" s="114"/>
      <c r="AI378" s="116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4"/>
      <c r="AZ378" s="114"/>
      <c r="BA378" s="114"/>
      <c r="BB378" s="114"/>
      <c r="BC378" s="114"/>
      <c r="BD378" s="114"/>
      <c r="BE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5"/>
      <c r="Y379" s="114"/>
      <c r="Z379" s="117" t="s">
        <v>6032</v>
      </c>
      <c r="AA379" s="117" t="s">
        <v>3217</v>
      </c>
      <c r="AB379" s="114"/>
      <c r="AC379" s="114"/>
      <c r="AD379" s="114"/>
      <c r="AE379" s="114"/>
      <c r="AF379" s="114"/>
      <c r="AG379" s="114"/>
      <c r="AH379" s="114"/>
      <c r="AI379" s="116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4"/>
      <c r="AZ379" s="114"/>
      <c r="BA379" s="114"/>
      <c r="BB379" s="114"/>
      <c r="BC379" s="114"/>
      <c r="BD379" s="114"/>
      <c r="BE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5"/>
      <c r="Y380" s="114"/>
      <c r="Z380" s="117" t="s">
        <v>6033</v>
      </c>
      <c r="AA380" s="117" t="s">
        <v>3219</v>
      </c>
      <c r="AB380" s="114"/>
      <c r="AC380" s="114"/>
      <c r="AD380" s="114"/>
      <c r="AE380" s="114"/>
      <c r="AF380" s="114"/>
      <c r="AG380" s="114"/>
      <c r="AH380" s="114"/>
      <c r="AI380" s="116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4"/>
      <c r="AZ380" s="114"/>
      <c r="BA380" s="114"/>
      <c r="BB380" s="114"/>
      <c r="BC380" s="114"/>
      <c r="BD380" s="114"/>
      <c r="BE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5"/>
      <c r="Y381" s="114"/>
      <c r="Z381" s="117" t="s">
        <v>6034</v>
      </c>
      <c r="AA381" s="117" t="s">
        <v>3220</v>
      </c>
      <c r="AB381" s="114"/>
      <c r="AC381" s="114"/>
      <c r="AD381" s="114"/>
      <c r="AE381" s="114"/>
      <c r="AF381" s="114"/>
      <c r="AG381" s="114"/>
      <c r="AH381" s="114"/>
      <c r="AI381" s="116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4"/>
      <c r="AZ381" s="114"/>
      <c r="BA381" s="114"/>
      <c r="BB381" s="114"/>
      <c r="BC381" s="114"/>
      <c r="BD381" s="114"/>
      <c r="BE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5"/>
      <c r="Y382" s="114"/>
      <c r="Z382" s="117" t="s">
        <v>6035</v>
      </c>
      <c r="AA382" s="117" t="s">
        <v>3218</v>
      </c>
      <c r="AB382" s="114"/>
      <c r="AC382" s="114"/>
      <c r="AD382" s="114"/>
      <c r="AE382" s="114"/>
      <c r="AF382" s="114"/>
      <c r="AG382" s="114"/>
      <c r="AH382" s="114"/>
      <c r="AI382" s="116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4"/>
      <c r="AZ382" s="114"/>
      <c r="BA382" s="114"/>
      <c r="BB382" s="114"/>
      <c r="BC382" s="114"/>
      <c r="BD382" s="114"/>
      <c r="BE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5"/>
      <c r="Y383" s="114"/>
      <c r="Z383" s="117" t="s">
        <v>6036</v>
      </c>
      <c r="AA383" s="117" t="s">
        <v>3230</v>
      </c>
      <c r="AB383" s="114"/>
      <c r="AC383" s="114"/>
      <c r="AD383" s="114"/>
      <c r="AE383" s="114"/>
      <c r="AF383" s="114"/>
      <c r="AG383" s="114"/>
      <c r="AH383" s="114"/>
      <c r="AI383" s="116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4"/>
      <c r="AZ383" s="114"/>
      <c r="BA383" s="114"/>
      <c r="BB383" s="114"/>
      <c r="BC383" s="114"/>
      <c r="BD383" s="114"/>
      <c r="BE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5"/>
      <c r="Y384" s="114"/>
      <c r="Z384" s="117" t="s">
        <v>6037</v>
      </c>
      <c r="AA384" s="117" t="s">
        <v>3232</v>
      </c>
      <c r="AB384" s="114"/>
      <c r="AC384" s="114"/>
      <c r="AD384" s="114"/>
      <c r="AE384" s="114"/>
      <c r="AF384" s="114"/>
      <c r="AG384" s="114"/>
      <c r="AH384" s="114"/>
      <c r="AI384" s="116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4"/>
      <c r="AZ384" s="114"/>
      <c r="BA384" s="114"/>
      <c r="BB384" s="114"/>
      <c r="BC384" s="114"/>
      <c r="BD384" s="114"/>
      <c r="BE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5"/>
      <c r="Y385" s="114"/>
      <c r="Z385" s="117" t="s">
        <v>6038</v>
      </c>
      <c r="AA385" s="117" t="s">
        <v>3233</v>
      </c>
      <c r="AB385" s="114"/>
      <c r="AC385" s="114"/>
      <c r="AD385" s="114"/>
      <c r="AE385" s="114"/>
      <c r="AF385" s="114"/>
      <c r="AG385" s="114"/>
      <c r="AH385" s="114"/>
      <c r="AI385" s="116"/>
      <c r="AJ385" s="114"/>
      <c r="AK385" s="114"/>
      <c r="AL385" s="114"/>
      <c r="AM385" s="114"/>
      <c r="AN385" s="114"/>
      <c r="AO385" s="114"/>
      <c r="AP385" s="114"/>
      <c r="AQ385" s="114"/>
      <c r="AR385" s="114"/>
      <c r="AS385" s="114"/>
      <c r="AT385" s="114"/>
      <c r="AU385" s="114"/>
      <c r="AV385" s="114"/>
      <c r="AW385" s="114"/>
      <c r="AX385" s="114"/>
      <c r="AY385" s="114"/>
      <c r="AZ385" s="114"/>
      <c r="BA385" s="114"/>
      <c r="BB385" s="114"/>
      <c r="BC385" s="114"/>
      <c r="BD385" s="114"/>
      <c r="BE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5"/>
      <c r="Y386" s="114"/>
      <c r="Z386" s="117" t="s">
        <v>6039</v>
      </c>
      <c r="AA386" s="117" t="s">
        <v>3231</v>
      </c>
      <c r="AB386" s="114"/>
      <c r="AC386" s="114"/>
      <c r="AD386" s="114"/>
      <c r="AE386" s="114"/>
      <c r="AF386" s="114"/>
      <c r="AG386" s="114"/>
      <c r="AH386" s="114"/>
      <c r="AI386" s="116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4"/>
      <c r="AZ386" s="114"/>
      <c r="BA386" s="114"/>
      <c r="BB386" s="114"/>
      <c r="BC386" s="114"/>
      <c r="BD386" s="114"/>
      <c r="BE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5"/>
      <c r="Y387" s="114"/>
      <c r="Z387" s="117" t="s">
        <v>6040</v>
      </c>
      <c r="AA387" s="117" t="s">
        <v>3243</v>
      </c>
      <c r="AB387" s="114"/>
      <c r="AC387" s="114"/>
      <c r="AD387" s="114"/>
      <c r="AE387" s="114"/>
      <c r="AF387" s="114"/>
      <c r="AG387" s="114"/>
      <c r="AH387" s="114"/>
      <c r="AI387" s="116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4"/>
      <c r="AZ387" s="114"/>
      <c r="BA387" s="114"/>
      <c r="BB387" s="114"/>
      <c r="BC387" s="114"/>
      <c r="BD387" s="114"/>
      <c r="BE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5"/>
      <c r="Y388" s="114"/>
      <c r="Z388" s="117" t="s">
        <v>6041</v>
      </c>
      <c r="AA388" s="117" t="s">
        <v>3245</v>
      </c>
      <c r="AB388" s="114"/>
      <c r="AC388" s="114"/>
      <c r="AD388" s="114"/>
      <c r="AE388" s="114"/>
      <c r="AF388" s="114"/>
      <c r="AG388" s="114"/>
      <c r="AH388" s="114"/>
      <c r="AI388" s="116"/>
      <c r="AJ388" s="114"/>
      <c r="AK388" s="114"/>
      <c r="AL388" s="114"/>
      <c r="AM388" s="114"/>
      <c r="AN388" s="114"/>
      <c r="AO388" s="114"/>
      <c r="AP388" s="114"/>
      <c r="AQ388" s="114"/>
      <c r="AR388" s="114"/>
      <c r="AS388" s="114"/>
      <c r="AT388" s="114"/>
      <c r="AU388" s="114"/>
      <c r="AV388" s="114"/>
      <c r="AW388" s="114"/>
      <c r="AX388" s="114"/>
      <c r="AY388" s="114"/>
      <c r="AZ388" s="114"/>
      <c r="BA388" s="114"/>
      <c r="BB388" s="114"/>
      <c r="BC388" s="114"/>
      <c r="BD388" s="114"/>
      <c r="BE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5"/>
      <c r="Y389" s="114"/>
      <c r="Z389" s="117" t="s">
        <v>6042</v>
      </c>
      <c r="AA389" s="117" t="s">
        <v>3246</v>
      </c>
      <c r="AB389" s="114"/>
      <c r="AC389" s="114"/>
      <c r="AD389" s="114"/>
      <c r="AE389" s="114"/>
      <c r="AF389" s="114"/>
      <c r="AG389" s="114"/>
      <c r="AH389" s="114"/>
      <c r="AI389" s="116"/>
      <c r="AJ389" s="114"/>
      <c r="AK389" s="114"/>
      <c r="AL389" s="114"/>
      <c r="AM389" s="114"/>
      <c r="AN389" s="114"/>
      <c r="AO389" s="114"/>
      <c r="AP389" s="114"/>
      <c r="AQ389" s="114"/>
      <c r="AR389" s="114"/>
      <c r="AS389" s="114"/>
      <c r="AT389" s="114"/>
      <c r="AU389" s="114"/>
      <c r="AV389" s="114"/>
      <c r="AW389" s="114"/>
      <c r="AX389" s="114"/>
      <c r="AY389" s="114"/>
      <c r="AZ389" s="114"/>
      <c r="BA389" s="114"/>
      <c r="BB389" s="114"/>
      <c r="BC389" s="114"/>
      <c r="BD389" s="114"/>
      <c r="BE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5"/>
      <c r="Y390" s="114"/>
      <c r="Z390" s="117" t="s">
        <v>6043</v>
      </c>
      <c r="AA390" s="117" t="s">
        <v>3244</v>
      </c>
      <c r="AB390" s="114"/>
      <c r="AC390" s="114"/>
      <c r="AD390" s="114"/>
      <c r="AE390" s="114"/>
      <c r="AF390" s="114"/>
      <c r="AG390" s="114"/>
      <c r="AH390" s="114"/>
      <c r="AI390" s="116"/>
      <c r="AJ390" s="114"/>
      <c r="AK390" s="114"/>
      <c r="AL390" s="114"/>
      <c r="AM390" s="114"/>
      <c r="AN390" s="114"/>
      <c r="AO390" s="114"/>
      <c r="AP390" s="114"/>
      <c r="AQ390" s="114"/>
      <c r="AR390" s="114"/>
      <c r="AS390" s="114"/>
      <c r="AT390" s="114"/>
      <c r="AU390" s="114"/>
      <c r="AV390" s="114"/>
      <c r="AW390" s="114"/>
      <c r="AX390" s="114"/>
      <c r="AY390" s="114"/>
      <c r="AZ390" s="114"/>
      <c r="BA390" s="114"/>
      <c r="BB390" s="114"/>
      <c r="BC390" s="114"/>
      <c r="BD390" s="114"/>
      <c r="BE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5"/>
      <c r="Y391" s="114"/>
      <c r="Z391" s="117" t="s">
        <v>6044</v>
      </c>
      <c r="AA391" s="117" t="s">
        <v>3256</v>
      </c>
      <c r="AB391" s="114"/>
      <c r="AC391" s="114"/>
      <c r="AD391" s="114"/>
      <c r="AE391" s="114"/>
      <c r="AF391" s="114"/>
      <c r="AG391" s="114"/>
      <c r="AH391" s="114"/>
      <c r="AI391" s="116"/>
      <c r="AJ391" s="114"/>
      <c r="AK391" s="114"/>
      <c r="AL391" s="114"/>
      <c r="AM391" s="114"/>
      <c r="AN391" s="114"/>
      <c r="AO391" s="114"/>
      <c r="AP391" s="114"/>
      <c r="AQ391" s="114"/>
      <c r="AR391" s="114"/>
      <c r="AS391" s="114"/>
      <c r="AT391" s="114"/>
      <c r="AU391" s="114"/>
      <c r="AV391" s="114"/>
      <c r="AW391" s="114"/>
      <c r="AX391" s="114"/>
      <c r="AY391" s="114"/>
      <c r="AZ391" s="114"/>
      <c r="BA391" s="114"/>
      <c r="BB391" s="114"/>
      <c r="BC391" s="114"/>
      <c r="BD391" s="114"/>
      <c r="BE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5"/>
      <c r="Y392" s="114"/>
      <c r="Z392" s="117" t="s">
        <v>6045</v>
      </c>
      <c r="AA392" s="117" t="s">
        <v>3258</v>
      </c>
      <c r="AB392" s="114"/>
      <c r="AC392" s="114"/>
      <c r="AD392" s="114"/>
      <c r="AE392" s="114"/>
      <c r="AF392" s="114"/>
      <c r="AG392" s="114"/>
      <c r="AH392" s="114"/>
      <c r="AI392" s="116"/>
      <c r="AJ392" s="114"/>
      <c r="AK392" s="114"/>
      <c r="AL392" s="114"/>
      <c r="AM392" s="114"/>
      <c r="AN392" s="114"/>
      <c r="AO392" s="114"/>
      <c r="AP392" s="114"/>
      <c r="AQ392" s="114"/>
      <c r="AR392" s="114"/>
      <c r="AS392" s="114"/>
      <c r="AT392" s="114"/>
      <c r="AU392" s="114"/>
      <c r="AV392" s="114"/>
      <c r="AW392" s="114"/>
      <c r="AX392" s="114"/>
      <c r="AY392" s="114"/>
      <c r="AZ392" s="114"/>
      <c r="BA392" s="114"/>
      <c r="BB392" s="114"/>
      <c r="BC392" s="114"/>
      <c r="BD392" s="114"/>
      <c r="BE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5"/>
      <c r="Y393" s="114"/>
      <c r="Z393" s="117" t="s">
        <v>6046</v>
      </c>
      <c r="AA393" s="117" t="s">
        <v>3259</v>
      </c>
      <c r="AB393" s="114"/>
      <c r="AC393" s="114"/>
      <c r="AD393" s="114"/>
      <c r="AE393" s="114"/>
      <c r="AF393" s="114"/>
      <c r="AG393" s="114"/>
      <c r="AH393" s="114"/>
      <c r="AI393" s="116"/>
      <c r="AJ393" s="114"/>
      <c r="AK393" s="114"/>
      <c r="AL393" s="114"/>
      <c r="AM393" s="114"/>
      <c r="AN393" s="114"/>
      <c r="AO393" s="114"/>
      <c r="AP393" s="114"/>
      <c r="AQ393" s="114"/>
      <c r="AR393" s="114"/>
      <c r="AS393" s="114"/>
      <c r="AT393" s="114"/>
      <c r="AU393" s="114"/>
      <c r="AV393" s="114"/>
      <c r="AW393" s="114"/>
      <c r="AX393" s="114"/>
      <c r="AY393" s="114"/>
      <c r="AZ393" s="114"/>
      <c r="BA393" s="114"/>
      <c r="BB393" s="114"/>
      <c r="BC393" s="114"/>
      <c r="BD393" s="114"/>
      <c r="BE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5"/>
      <c r="Y394" s="114"/>
      <c r="Z394" s="117" t="s">
        <v>6047</v>
      </c>
      <c r="AA394" s="117" t="s">
        <v>3257</v>
      </c>
      <c r="AB394" s="114"/>
      <c r="AC394" s="114"/>
      <c r="AD394" s="114"/>
      <c r="AE394" s="114"/>
      <c r="AF394" s="114"/>
      <c r="AG394" s="114"/>
      <c r="AH394" s="114"/>
      <c r="AI394" s="116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  <c r="AT394" s="114"/>
      <c r="AU394" s="114"/>
      <c r="AV394" s="114"/>
      <c r="AW394" s="114"/>
      <c r="AX394" s="114"/>
      <c r="AY394" s="114"/>
      <c r="AZ394" s="114"/>
      <c r="BA394" s="114"/>
      <c r="BB394" s="114"/>
      <c r="BC394" s="114"/>
      <c r="BD394" s="114"/>
      <c r="BE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5"/>
      <c r="Y395" s="114"/>
      <c r="Z395" s="117" t="s">
        <v>6048</v>
      </c>
      <c r="AA395" s="117" t="s">
        <v>3269</v>
      </c>
      <c r="AB395" s="114"/>
      <c r="AC395" s="114"/>
      <c r="AD395" s="114"/>
      <c r="AE395" s="114"/>
      <c r="AF395" s="114"/>
      <c r="AG395" s="114"/>
      <c r="AH395" s="114"/>
      <c r="AI395" s="116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4"/>
      <c r="BB395" s="114"/>
      <c r="BC395" s="114"/>
      <c r="BD395" s="114"/>
      <c r="BE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5"/>
      <c r="Y396" s="114"/>
      <c r="Z396" s="117" t="s">
        <v>6049</v>
      </c>
      <c r="AA396" s="117" t="s">
        <v>3271</v>
      </c>
      <c r="AB396" s="114"/>
      <c r="AC396" s="114"/>
      <c r="AD396" s="114"/>
      <c r="AE396" s="114"/>
      <c r="AF396" s="114"/>
      <c r="AG396" s="114"/>
      <c r="AH396" s="114"/>
      <c r="AI396" s="116"/>
      <c r="AJ396" s="114"/>
      <c r="AK396" s="114"/>
      <c r="AL396" s="114"/>
      <c r="AM396" s="114"/>
      <c r="AN396" s="114"/>
      <c r="AO396" s="114"/>
      <c r="AP396" s="114"/>
      <c r="AQ396" s="114"/>
      <c r="AR396" s="114"/>
      <c r="AS396" s="114"/>
      <c r="AT396" s="114"/>
      <c r="AU396" s="114"/>
      <c r="AV396" s="114"/>
      <c r="AW396" s="114"/>
      <c r="AX396" s="114"/>
      <c r="AY396" s="114"/>
      <c r="AZ396" s="114"/>
      <c r="BA396" s="114"/>
      <c r="BB396" s="114"/>
      <c r="BC396" s="114"/>
      <c r="BD396" s="114"/>
      <c r="BE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5"/>
      <c r="Y397" s="114"/>
      <c r="Z397" s="117" t="s">
        <v>6050</v>
      </c>
      <c r="AA397" s="117" t="s">
        <v>3272</v>
      </c>
      <c r="AB397" s="114"/>
      <c r="AC397" s="114"/>
      <c r="AD397" s="114"/>
      <c r="AE397" s="114"/>
      <c r="AF397" s="114"/>
      <c r="AG397" s="114"/>
      <c r="AH397" s="114"/>
      <c r="AI397" s="116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4"/>
      <c r="AZ397" s="114"/>
      <c r="BA397" s="114"/>
      <c r="BB397" s="114"/>
      <c r="BC397" s="114"/>
      <c r="BD397" s="114"/>
      <c r="BE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5"/>
      <c r="Y398" s="114"/>
      <c r="Z398" s="117" t="s">
        <v>6051</v>
      </c>
      <c r="AA398" s="117" t="s">
        <v>3270</v>
      </c>
      <c r="AB398" s="114"/>
      <c r="AC398" s="114"/>
      <c r="AD398" s="114"/>
      <c r="AE398" s="114"/>
      <c r="AF398" s="114"/>
      <c r="AG398" s="114"/>
      <c r="AH398" s="114"/>
      <c r="AI398" s="116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  <c r="AT398" s="114"/>
      <c r="AU398" s="114"/>
      <c r="AV398" s="114"/>
      <c r="AW398" s="114"/>
      <c r="AX398" s="114"/>
      <c r="AY398" s="114"/>
      <c r="AZ398" s="114"/>
      <c r="BA398" s="114"/>
      <c r="BB398" s="114"/>
      <c r="BC398" s="114"/>
      <c r="BD398" s="114"/>
      <c r="BE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5"/>
      <c r="Y399" s="114"/>
      <c r="Z399" s="117" t="s">
        <v>6052</v>
      </c>
      <c r="AA399" s="117" t="s">
        <v>3282</v>
      </c>
      <c r="AB399" s="114"/>
      <c r="AC399" s="114"/>
      <c r="AD399" s="114"/>
      <c r="AE399" s="114"/>
      <c r="AF399" s="114"/>
      <c r="AG399" s="114"/>
      <c r="AH399" s="114"/>
      <c r="AI399" s="116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  <c r="AT399" s="114"/>
      <c r="AU399" s="114"/>
      <c r="AV399" s="114"/>
      <c r="AW399" s="114"/>
      <c r="AX399" s="114"/>
      <c r="AY399" s="114"/>
      <c r="AZ399" s="114"/>
      <c r="BA399" s="114"/>
      <c r="BB399" s="114"/>
      <c r="BC399" s="114"/>
      <c r="BD399" s="114"/>
      <c r="BE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5"/>
      <c r="Y400" s="114"/>
      <c r="Z400" s="117" t="s">
        <v>6053</v>
      </c>
      <c r="AA400" s="117" t="s">
        <v>3284</v>
      </c>
      <c r="AB400" s="114"/>
      <c r="AC400" s="114"/>
      <c r="AD400" s="114"/>
      <c r="AE400" s="114"/>
      <c r="AF400" s="114"/>
      <c r="AG400" s="114"/>
      <c r="AH400" s="114"/>
      <c r="AI400" s="116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  <c r="AT400" s="114"/>
      <c r="AU400" s="114"/>
      <c r="AV400" s="114"/>
      <c r="AW400" s="114"/>
      <c r="AX400" s="114"/>
      <c r="AY400" s="114"/>
      <c r="AZ400" s="114"/>
      <c r="BA400" s="114"/>
      <c r="BB400" s="114"/>
      <c r="BC400" s="114"/>
      <c r="BD400" s="114"/>
      <c r="BE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5"/>
      <c r="Y401" s="114"/>
      <c r="Z401" s="117" t="s">
        <v>6054</v>
      </c>
      <c r="AA401" s="117" t="s">
        <v>3285</v>
      </c>
      <c r="AB401" s="114"/>
      <c r="AC401" s="114"/>
      <c r="AD401" s="114"/>
      <c r="AE401" s="114"/>
      <c r="AF401" s="114"/>
      <c r="AG401" s="114"/>
      <c r="AH401" s="114"/>
      <c r="AI401" s="116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  <c r="AT401" s="114"/>
      <c r="AU401" s="114"/>
      <c r="AV401" s="114"/>
      <c r="AW401" s="114"/>
      <c r="AX401" s="114"/>
      <c r="AY401" s="114"/>
      <c r="AZ401" s="114"/>
      <c r="BA401" s="114"/>
      <c r="BB401" s="114"/>
      <c r="BC401" s="114"/>
      <c r="BD401" s="114"/>
      <c r="BE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5"/>
      <c r="Y402" s="114"/>
      <c r="Z402" s="117" t="s">
        <v>6055</v>
      </c>
      <c r="AA402" s="117" t="s">
        <v>3283</v>
      </c>
      <c r="AB402" s="114"/>
      <c r="AC402" s="114"/>
      <c r="AD402" s="114"/>
      <c r="AE402" s="114"/>
      <c r="AF402" s="114"/>
      <c r="AG402" s="114"/>
      <c r="AH402" s="114"/>
      <c r="AI402" s="116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  <c r="AT402" s="114"/>
      <c r="AU402" s="114"/>
      <c r="AV402" s="114"/>
      <c r="AW402" s="114"/>
      <c r="AX402" s="114"/>
      <c r="AY402" s="114"/>
      <c r="AZ402" s="114"/>
      <c r="BA402" s="114"/>
      <c r="BB402" s="114"/>
      <c r="BC402" s="114"/>
      <c r="BD402" s="114"/>
      <c r="BE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5"/>
      <c r="Y403" s="114"/>
      <c r="Z403" s="117" t="s">
        <v>6056</v>
      </c>
      <c r="AA403" s="117" t="s">
        <v>3295</v>
      </c>
      <c r="AB403" s="114"/>
      <c r="AC403" s="114"/>
      <c r="AD403" s="114"/>
      <c r="AE403" s="114"/>
      <c r="AF403" s="114"/>
      <c r="AG403" s="114"/>
      <c r="AH403" s="114"/>
      <c r="AI403" s="116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  <c r="AT403" s="114"/>
      <c r="AU403" s="114"/>
      <c r="AV403" s="114"/>
      <c r="AW403" s="114"/>
      <c r="AX403" s="114"/>
      <c r="AY403" s="114"/>
      <c r="AZ403" s="114"/>
      <c r="BA403" s="114"/>
      <c r="BB403" s="114"/>
      <c r="BC403" s="114"/>
      <c r="BD403" s="114"/>
      <c r="BE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5"/>
      <c r="Y404" s="114"/>
      <c r="Z404" s="117" t="s">
        <v>6057</v>
      </c>
      <c r="AA404" s="117" t="s">
        <v>3297</v>
      </c>
      <c r="AB404" s="114"/>
      <c r="AC404" s="114"/>
      <c r="AD404" s="114"/>
      <c r="AE404" s="114"/>
      <c r="AF404" s="114"/>
      <c r="AG404" s="114"/>
      <c r="AH404" s="114"/>
      <c r="AI404" s="116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  <c r="AT404" s="114"/>
      <c r="AU404" s="114"/>
      <c r="AV404" s="114"/>
      <c r="AW404" s="114"/>
      <c r="AX404" s="114"/>
      <c r="AY404" s="114"/>
      <c r="AZ404" s="114"/>
      <c r="BA404" s="114"/>
      <c r="BB404" s="114"/>
      <c r="BC404" s="114"/>
      <c r="BD404" s="114"/>
      <c r="BE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5"/>
      <c r="Y405" s="114"/>
      <c r="Z405" s="117" t="s">
        <v>6058</v>
      </c>
      <c r="AA405" s="117" t="s">
        <v>3298</v>
      </c>
      <c r="AB405" s="114"/>
      <c r="AC405" s="114"/>
      <c r="AD405" s="114"/>
      <c r="AE405" s="114"/>
      <c r="AF405" s="114"/>
      <c r="AG405" s="114"/>
      <c r="AH405" s="114"/>
      <c r="AI405" s="116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  <c r="AT405" s="114"/>
      <c r="AU405" s="114"/>
      <c r="AV405" s="114"/>
      <c r="AW405" s="114"/>
      <c r="AX405" s="114"/>
      <c r="AY405" s="114"/>
      <c r="AZ405" s="114"/>
      <c r="BA405" s="114"/>
      <c r="BB405" s="114"/>
      <c r="BC405" s="114"/>
      <c r="BD405" s="114"/>
      <c r="BE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5"/>
      <c r="Y406" s="114"/>
      <c r="Z406" s="117" t="s">
        <v>6059</v>
      </c>
      <c r="AA406" s="117" t="s">
        <v>3296</v>
      </c>
      <c r="AB406" s="114"/>
      <c r="AC406" s="114"/>
      <c r="AD406" s="114"/>
      <c r="AE406" s="114"/>
      <c r="AF406" s="114"/>
      <c r="AG406" s="114"/>
      <c r="AH406" s="114"/>
      <c r="AI406" s="116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  <c r="AT406" s="114"/>
      <c r="AU406" s="114"/>
      <c r="AV406" s="114"/>
      <c r="AW406" s="114"/>
      <c r="AX406" s="114"/>
      <c r="AY406" s="114"/>
      <c r="AZ406" s="114"/>
      <c r="BA406" s="114"/>
      <c r="BB406" s="114"/>
      <c r="BC406" s="114"/>
      <c r="BD406" s="114"/>
      <c r="BE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5"/>
      <c r="Y407" s="114"/>
      <c r="Z407" s="117" t="s">
        <v>6060</v>
      </c>
      <c r="AA407" s="117" t="s">
        <v>3308</v>
      </c>
      <c r="AB407" s="114"/>
      <c r="AC407" s="114"/>
      <c r="AD407" s="114"/>
      <c r="AE407" s="114"/>
      <c r="AF407" s="114"/>
      <c r="AG407" s="114"/>
      <c r="AH407" s="114"/>
      <c r="AI407" s="116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  <c r="AT407" s="114"/>
      <c r="AU407" s="114"/>
      <c r="AV407" s="114"/>
      <c r="AW407" s="114"/>
      <c r="AX407" s="114"/>
      <c r="AY407" s="114"/>
      <c r="AZ407" s="114"/>
      <c r="BA407" s="114"/>
      <c r="BB407" s="114"/>
      <c r="BC407" s="114"/>
      <c r="BD407" s="114"/>
      <c r="BE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5"/>
      <c r="Y408" s="114"/>
      <c r="Z408" s="117" t="s">
        <v>6061</v>
      </c>
      <c r="AA408" s="117" t="s">
        <v>3310</v>
      </c>
      <c r="AB408" s="114"/>
      <c r="AC408" s="114"/>
      <c r="AD408" s="114"/>
      <c r="AE408" s="114"/>
      <c r="AF408" s="114"/>
      <c r="AG408" s="114"/>
      <c r="AH408" s="114"/>
      <c r="AI408" s="116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  <c r="AT408" s="114"/>
      <c r="AU408" s="114"/>
      <c r="AV408" s="114"/>
      <c r="AW408" s="114"/>
      <c r="AX408" s="114"/>
      <c r="AY408" s="114"/>
      <c r="AZ408" s="114"/>
      <c r="BA408" s="114"/>
      <c r="BB408" s="114"/>
      <c r="BC408" s="114"/>
      <c r="BD408" s="114"/>
      <c r="BE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5"/>
      <c r="Y409" s="114"/>
      <c r="Z409" s="117" t="s">
        <v>6062</v>
      </c>
      <c r="AA409" s="117" t="s">
        <v>3311</v>
      </c>
      <c r="AB409" s="114"/>
      <c r="AC409" s="114"/>
      <c r="AD409" s="114"/>
      <c r="AE409" s="114"/>
      <c r="AF409" s="114"/>
      <c r="AG409" s="114"/>
      <c r="AH409" s="114"/>
      <c r="AI409" s="116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  <c r="AT409" s="114"/>
      <c r="AU409" s="114"/>
      <c r="AV409" s="114"/>
      <c r="AW409" s="114"/>
      <c r="AX409" s="114"/>
      <c r="AY409" s="114"/>
      <c r="AZ409" s="114"/>
      <c r="BA409" s="114"/>
      <c r="BB409" s="114"/>
      <c r="BC409" s="114"/>
      <c r="BD409" s="114"/>
      <c r="BE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5"/>
      <c r="Y410" s="114"/>
      <c r="Z410" s="117" t="s">
        <v>6063</v>
      </c>
      <c r="AA410" s="117" t="s">
        <v>3309</v>
      </c>
      <c r="AB410" s="114"/>
      <c r="AC410" s="114"/>
      <c r="AD410" s="114"/>
      <c r="AE410" s="114"/>
      <c r="AF410" s="114"/>
      <c r="AG410" s="114"/>
      <c r="AH410" s="114"/>
      <c r="AI410" s="116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  <c r="AT410" s="114"/>
      <c r="AU410" s="114"/>
      <c r="AV410" s="114"/>
      <c r="AW410" s="114"/>
      <c r="AX410" s="114"/>
      <c r="AY410" s="114"/>
      <c r="AZ410" s="114"/>
      <c r="BA410" s="114"/>
      <c r="BB410" s="114"/>
      <c r="BC410" s="114"/>
      <c r="BD410" s="114"/>
      <c r="BE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5"/>
      <c r="Y411" s="114"/>
      <c r="Z411" s="117" t="s">
        <v>6064</v>
      </c>
      <c r="AA411" s="117" t="s">
        <v>3321</v>
      </c>
      <c r="AB411" s="114"/>
      <c r="AC411" s="114"/>
      <c r="AD411" s="114"/>
      <c r="AE411" s="114"/>
      <c r="AF411" s="114"/>
      <c r="AG411" s="114"/>
      <c r="AH411" s="114"/>
      <c r="AI411" s="116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  <c r="AT411" s="114"/>
      <c r="AU411" s="114"/>
      <c r="AV411" s="114"/>
      <c r="AW411" s="114"/>
      <c r="AX411" s="114"/>
      <c r="AY411" s="114"/>
      <c r="AZ411" s="114"/>
      <c r="BA411" s="114"/>
      <c r="BB411" s="114"/>
      <c r="BC411" s="114"/>
      <c r="BD411" s="114"/>
      <c r="BE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5"/>
      <c r="Y412" s="114"/>
      <c r="Z412" s="117" t="s">
        <v>6065</v>
      </c>
      <c r="AA412" s="117" t="s">
        <v>3323</v>
      </c>
      <c r="AB412" s="114"/>
      <c r="AC412" s="114"/>
      <c r="AD412" s="114"/>
      <c r="AE412" s="114"/>
      <c r="AF412" s="114"/>
      <c r="AG412" s="114"/>
      <c r="AH412" s="114"/>
      <c r="AI412" s="116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  <c r="AT412" s="114"/>
      <c r="AU412" s="114"/>
      <c r="AV412" s="114"/>
      <c r="AW412" s="114"/>
      <c r="AX412" s="114"/>
      <c r="AY412" s="114"/>
      <c r="AZ412" s="114"/>
      <c r="BA412" s="114"/>
      <c r="BB412" s="114"/>
      <c r="BC412" s="114"/>
      <c r="BD412" s="114"/>
      <c r="BE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5"/>
      <c r="Y413" s="114"/>
      <c r="Z413" s="117" t="s">
        <v>6066</v>
      </c>
      <c r="AA413" s="117" t="s">
        <v>3324</v>
      </c>
      <c r="AB413" s="114"/>
      <c r="AC413" s="114"/>
      <c r="AD413" s="114"/>
      <c r="AE413" s="114"/>
      <c r="AF413" s="114"/>
      <c r="AG413" s="114"/>
      <c r="AH413" s="114"/>
      <c r="AI413" s="116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  <c r="AT413" s="114"/>
      <c r="AU413" s="114"/>
      <c r="AV413" s="114"/>
      <c r="AW413" s="114"/>
      <c r="AX413" s="114"/>
      <c r="AY413" s="114"/>
      <c r="AZ413" s="114"/>
      <c r="BA413" s="114"/>
      <c r="BB413" s="114"/>
      <c r="BC413" s="114"/>
      <c r="BD413" s="114"/>
      <c r="BE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5"/>
      <c r="Y414" s="114"/>
      <c r="Z414" s="117" t="s">
        <v>6067</v>
      </c>
      <c r="AA414" s="117" t="s">
        <v>3322</v>
      </c>
      <c r="AB414" s="114"/>
      <c r="AC414" s="114"/>
      <c r="AD414" s="114"/>
      <c r="AE414" s="114"/>
      <c r="AF414" s="114"/>
      <c r="AG414" s="114"/>
      <c r="AH414" s="114"/>
      <c r="AI414" s="116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4"/>
      <c r="AZ414" s="114"/>
      <c r="BA414" s="114"/>
      <c r="BB414" s="114"/>
      <c r="BC414" s="114"/>
      <c r="BD414" s="114"/>
      <c r="BE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5"/>
      <c r="Y415" s="114"/>
      <c r="Z415" s="117" t="s">
        <v>6068</v>
      </c>
      <c r="AA415" s="117" t="s">
        <v>3334</v>
      </c>
      <c r="AB415" s="114"/>
      <c r="AC415" s="114"/>
      <c r="AD415" s="114"/>
      <c r="AE415" s="114"/>
      <c r="AF415" s="114"/>
      <c r="AG415" s="114"/>
      <c r="AH415" s="114"/>
      <c r="AI415" s="116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4"/>
      <c r="AZ415" s="114"/>
      <c r="BA415" s="114"/>
      <c r="BB415" s="114"/>
      <c r="BC415" s="114"/>
      <c r="BD415" s="114"/>
      <c r="BE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5"/>
      <c r="Y416" s="114"/>
      <c r="Z416" s="117" t="s">
        <v>6069</v>
      </c>
      <c r="AA416" s="117" t="s">
        <v>3336</v>
      </c>
      <c r="AB416" s="114"/>
      <c r="AC416" s="114"/>
      <c r="AD416" s="114"/>
      <c r="AE416" s="114"/>
      <c r="AF416" s="114"/>
      <c r="AG416" s="114"/>
      <c r="AH416" s="114"/>
      <c r="AI416" s="116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  <c r="AT416" s="114"/>
      <c r="AU416" s="114"/>
      <c r="AV416" s="114"/>
      <c r="AW416" s="114"/>
      <c r="AX416" s="114"/>
      <c r="AY416" s="114"/>
      <c r="AZ416" s="114"/>
      <c r="BA416" s="114"/>
      <c r="BB416" s="114"/>
      <c r="BC416" s="114"/>
      <c r="BD416" s="114"/>
      <c r="BE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5"/>
      <c r="Y417" s="114"/>
      <c r="Z417" s="117" t="s">
        <v>6070</v>
      </c>
      <c r="AA417" s="117" t="s">
        <v>3337</v>
      </c>
      <c r="AB417" s="114"/>
      <c r="AC417" s="114"/>
      <c r="AD417" s="114"/>
      <c r="AE417" s="114"/>
      <c r="AF417" s="114"/>
      <c r="AG417" s="114"/>
      <c r="AH417" s="114"/>
      <c r="AI417" s="116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  <c r="AT417" s="114"/>
      <c r="AU417" s="114"/>
      <c r="AV417" s="114"/>
      <c r="AW417" s="114"/>
      <c r="AX417" s="114"/>
      <c r="AY417" s="114"/>
      <c r="AZ417" s="114"/>
      <c r="BA417" s="114"/>
      <c r="BB417" s="114"/>
      <c r="BC417" s="114"/>
      <c r="BD417" s="114"/>
      <c r="BE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5"/>
      <c r="Y418" s="114"/>
      <c r="Z418" s="117" t="s">
        <v>6071</v>
      </c>
      <c r="AA418" s="117" t="s">
        <v>3335</v>
      </c>
      <c r="AB418" s="114"/>
      <c r="AC418" s="114"/>
      <c r="AD418" s="114"/>
      <c r="AE418" s="114"/>
      <c r="AF418" s="114"/>
      <c r="AG418" s="114"/>
      <c r="AH418" s="114"/>
      <c r="AI418" s="116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  <c r="AT418" s="114"/>
      <c r="AU418" s="114"/>
      <c r="AV418" s="114"/>
      <c r="AW418" s="114"/>
      <c r="AX418" s="114"/>
      <c r="AY418" s="114"/>
      <c r="AZ418" s="114"/>
      <c r="BA418" s="114"/>
      <c r="BB418" s="114"/>
      <c r="BC418" s="114"/>
      <c r="BD418" s="114"/>
      <c r="BE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5"/>
      <c r="Y419" s="114"/>
      <c r="Z419" s="117" t="s">
        <v>6072</v>
      </c>
      <c r="AA419" s="117" t="s">
        <v>3347</v>
      </c>
      <c r="AB419" s="114"/>
      <c r="AC419" s="114"/>
      <c r="AD419" s="114"/>
      <c r="AE419" s="114"/>
      <c r="AF419" s="114"/>
      <c r="AG419" s="114"/>
      <c r="AH419" s="114"/>
      <c r="AI419" s="116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  <c r="AT419" s="114"/>
      <c r="AU419" s="114"/>
      <c r="AV419" s="114"/>
      <c r="AW419" s="114"/>
      <c r="AX419" s="114"/>
      <c r="AY419" s="114"/>
      <c r="AZ419" s="114"/>
      <c r="BA419" s="114"/>
      <c r="BB419" s="114"/>
      <c r="BC419" s="114"/>
      <c r="BD419" s="114"/>
      <c r="BE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5"/>
      <c r="Y420" s="114"/>
      <c r="Z420" s="117" t="s">
        <v>6073</v>
      </c>
      <c r="AA420" s="117" t="s">
        <v>3349</v>
      </c>
      <c r="AB420" s="114"/>
      <c r="AC420" s="114"/>
      <c r="AD420" s="114"/>
      <c r="AE420" s="114"/>
      <c r="AF420" s="114"/>
      <c r="AG420" s="114"/>
      <c r="AH420" s="114"/>
      <c r="AI420" s="116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  <c r="AT420" s="114"/>
      <c r="AU420" s="114"/>
      <c r="AV420" s="114"/>
      <c r="AW420" s="114"/>
      <c r="AX420" s="114"/>
      <c r="AY420" s="114"/>
      <c r="AZ420" s="114"/>
      <c r="BA420" s="114"/>
      <c r="BB420" s="114"/>
      <c r="BC420" s="114"/>
      <c r="BD420" s="114"/>
      <c r="BE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5"/>
      <c r="Y421" s="114"/>
      <c r="Z421" s="117" t="s">
        <v>6074</v>
      </c>
      <c r="AA421" s="117" t="s">
        <v>3350</v>
      </c>
      <c r="AB421" s="114"/>
      <c r="AC421" s="114"/>
      <c r="AD421" s="114"/>
      <c r="AE421" s="114"/>
      <c r="AF421" s="114"/>
      <c r="AG421" s="114"/>
      <c r="AH421" s="114"/>
      <c r="AI421" s="116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  <c r="AT421" s="114"/>
      <c r="AU421" s="114"/>
      <c r="AV421" s="114"/>
      <c r="AW421" s="114"/>
      <c r="AX421" s="114"/>
      <c r="AY421" s="114"/>
      <c r="AZ421" s="114"/>
      <c r="BA421" s="114"/>
      <c r="BB421" s="114"/>
      <c r="BC421" s="114"/>
      <c r="BD421" s="114"/>
      <c r="BE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5"/>
      <c r="Y422" s="114"/>
      <c r="Z422" s="117" t="s">
        <v>6075</v>
      </c>
      <c r="AA422" s="117" t="s">
        <v>3348</v>
      </c>
      <c r="AB422" s="114"/>
      <c r="AC422" s="114"/>
      <c r="AD422" s="114"/>
      <c r="AE422" s="114"/>
      <c r="AF422" s="114"/>
      <c r="AG422" s="114"/>
      <c r="AH422" s="114"/>
      <c r="AI422" s="116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  <c r="AT422" s="114"/>
      <c r="AU422" s="114"/>
      <c r="AV422" s="114"/>
      <c r="AW422" s="114"/>
      <c r="AX422" s="114"/>
      <c r="AY422" s="114"/>
      <c r="AZ422" s="114"/>
      <c r="BA422" s="114"/>
      <c r="BB422" s="114"/>
      <c r="BC422" s="114"/>
      <c r="BD422" s="114"/>
      <c r="BE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5"/>
      <c r="Y423" s="114"/>
      <c r="Z423" s="117" t="s">
        <v>6076</v>
      </c>
      <c r="AA423" s="117" t="s">
        <v>3360</v>
      </c>
      <c r="AB423" s="114"/>
      <c r="AC423" s="114"/>
      <c r="AD423" s="114"/>
      <c r="AE423" s="114"/>
      <c r="AF423" s="114"/>
      <c r="AG423" s="114"/>
      <c r="AH423" s="114"/>
      <c r="AI423" s="116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  <c r="AT423" s="114"/>
      <c r="AU423" s="114"/>
      <c r="AV423" s="114"/>
      <c r="AW423" s="114"/>
      <c r="AX423" s="114"/>
      <c r="AY423" s="114"/>
      <c r="AZ423" s="114"/>
      <c r="BA423" s="114"/>
      <c r="BB423" s="114"/>
      <c r="BC423" s="114"/>
      <c r="BD423" s="114"/>
      <c r="BE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5"/>
      <c r="Y424" s="114"/>
      <c r="Z424" s="117" t="s">
        <v>6077</v>
      </c>
      <c r="AA424" s="117" t="s">
        <v>3362</v>
      </c>
      <c r="AB424" s="114"/>
      <c r="AC424" s="114"/>
      <c r="AD424" s="114"/>
      <c r="AE424" s="114"/>
      <c r="AF424" s="114"/>
      <c r="AG424" s="114"/>
      <c r="AH424" s="114"/>
      <c r="AI424" s="116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  <c r="AT424" s="114"/>
      <c r="AU424" s="114"/>
      <c r="AV424" s="114"/>
      <c r="AW424" s="114"/>
      <c r="AX424" s="114"/>
      <c r="AY424" s="114"/>
      <c r="AZ424" s="114"/>
      <c r="BA424" s="114"/>
      <c r="BB424" s="114"/>
      <c r="BC424" s="114"/>
      <c r="BD424" s="114"/>
      <c r="BE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5"/>
      <c r="Y425" s="114"/>
      <c r="Z425" s="117" t="s">
        <v>6078</v>
      </c>
      <c r="AA425" s="117" t="s">
        <v>3363</v>
      </c>
      <c r="AB425" s="114"/>
      <c r="AC425" s="114"/>
      <c r="AD425" s="114"/>
      <c r="AE425" s="114"/>
      <c r="AF425" s="114"/>
      <c r="AG425" s="114"/>
      <c r="AH425" s="114"/>
      <c r="AI425" s="116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  <c r="AT425" s="114"/>
      <c r="AU425" s="114"/>
      <c r="AV425" s="114"/>
      <c r="AW425" s="114"/>
      <c r="AX425" s="114"/>
      <c r="AY425" s="114"/>
      <c r="AZ425" s="114"/>
      <c r="BA425" s="114"/>
      <c r="BB425" s="114"/>
      <c r="BC425" s="114"/>
      <c r="BD425" s="114"/>
      <c r="BE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5"/>
      <c r="Y426" s="114"/>
      <c r="Z426" s="117" t="s">
        <v>6079</v>
      </c>
      <c r="AA426" s="117" t="s">
        <v>3361</v>
      </c>
      <c r="AB426" s="114"/>
      <c r="AC426" s="114"/>
      <c r="AD426" s="114"/>
      <c r="AE426" s="114"/>
      <c r="AF426" s="114"/>
      <c r="AG426" s="114"/>
      <c r="AH426" s="114"/>
      <c r="AI426" s="116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  <c r="AT426" s="114"/>
      <c r="AU426" s="114"/>
      <c r="AV426" s="114"/>
      <c r="AW426" s="114"/>
      <c r="AX426" s="114"/>
      <c r="AY426" s="114"/>
      <c r="AZ426" s="114"/>
      <c r="BA426" s="114"/>
      <c r="BB426" s="114"/>
      <c r="BC426" s="114"/>
      <c r="BD426" s="114"/>
      <c r="BE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5"/>
      <c r="Y427" s="114"/>
      <c r="Z427" s="117" t="s">
        <v>6080</v>
      </c>
      <c r="AA427" s="117" t="s">
        <v>3373</v>
      </c>
      <c r="AB427" s="114"/>
      <c r="AC427" s="114"/>
      <c r="AD427" s="114"/>
      <c r="AE427" s="114"/>
      <c r="AF427" s="114"/>
      <c r="AG427" s="114"/>
      <c r="AH427" s="114"/>
      <c r="AI427" s="116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  <c r="AT427" s="114"/>
      <c r="AU427" s="114"/>
      <c r="AV427" s="114"/>
      <c r="AW427" s="114"/>
      <c r="AX427" s="114"/>
      <c r="AY427" s="114"/>
      <c r="AZ427" s="114"/>
      <c r="BA427" s="114"/>
      <c r="BB427" s="114"/>
      <c r="BC427" s="114"/>
      <c r="BD427" s="114"/>
      <c r="BE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5"/>
      <c r="Y428" s="114"/>
      <c r="Z428" s="117" t="s">
        <v>6081</v>
      </c>
      <c r="AA428" s="117" t="s">
        <v>3375</v>
      </c>
      <c r="AB428" s="114"/>
      <c r="AC428" s="114"/>
      <c r="AD428" s="114"/>
      <c r="AE428" s="114"/>
      <c r="AF428" s="114"/>
      <c r="AG428" s="114"/>
      <c r="AH428" s="114"/>
      <c r="AI428" s="116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  <c r="AT428" s="114"/>
      <c r="AU428" s="114"/>
      <c r="AV428" s="114"/>
      <c r="AW428" s="114"/>
      <c r="AX428" s="114"/>
      <c r="AY428" s="114"/>
      <c r="AZ428" s="114"/>
      <c r="BA428" s="114"/>
      <c r="BB428" s="114"/>
      <c r="BC428" s="114"/>
      <c r="BD428" s="114"/>
      <c r="BE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5"/>
      <c r="Y429" s="114"/>
      <c r="Z429" s="117" t="s">
        <v>6082</v>
      </c>
      <c r="AA429" s="117" t="s">
        <v>3376</v>
      </c>
      <c r="AB429" s="114"/>
      <c r="AC429" s="114"/>
      <c r="AD429" s="114"/>
      <c r="AE429" s="114"/>
      <c r="AF429" s="114"/>
      <c r="AG429" s="114"/>
      <c r="AH429" s="114"/>
      <c r="AI429" s="116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  <c r="AT429" s="114"/>
      <c r="AU429" s="114"/>
      <c r="AV429" s="114"/>
      <c r="AW429" s="114"/>
      <c r="AX429" s="114"/>
      <c r="AY429" s="114"/>
      <c r="AZ429" s="114"/>
      <c r="BA429" s="114"/>
      <c r="BB429" s="114"/>
      <c r="BC429" s="114"/>
      <c r="BD429" s="114"/>
      <c r="BE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5"/>
      <c r="Y430" s="114"/>
      <c r="Z430" s="117" t="s">
        <v>6083</v>
      </c>
      <c r="AA430" s="117" t="s">
        <v>3374</v>
      </c>
      <c r="AB430" s="114"/>
      <c r="AC430" s="114"/>
      <c r="AD430" s="114"/>
      <c r="AE430" s="114"/>
      <c r="AF430" s="114"/>
      <c r="AG430" s="114"/>
      <c r="AH430" s="114"/>
      <c r="AI430" s="116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4"/>
      <c r="AZ430" s="114"/>
      <c r="BA430" s="114"/>
      <c r="BB430" s="114"/>
      <c r="BC430" s="114"/>
      <c r="BD430" s="114"/>
      <c r="BE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5"/>
      <c r="Y431" s="114"/>
      <c r="Z431" s="117" t="s">
        <v>6084</v>
      </c>
      <c r="AA431" s="117" t="s">
        <v>3386</v>
      </c>
      <c r="AB431" s="114"/>
      <c r="AC431" s="114"/>
      <c r="AD431" s="114"/>
      <c r="AE431" s="114"/>
      <c r="AF431" s="114"/>
      <c r="AG431" s="114"/>
      <c r="AH431" s="114"/>
      <c r="AI431" s="116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  <c r="AT431" s="114"/>
      <c r="AU431" s="114"/>
      <c r="AV431" s="114"/>
      <c r="AW431" s="114"/>
      <c r="AX431" s="114"/>
      <c r="AY431" s="114"/>
      <c r="AZ431" s="114"/>
      <c r="BA431" s="114"/>
      <c r="BB431" s="114"/>
      <c r="BC431" s="114"/>
      <c r="BD431" s="114"/>
      <c r="BE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5"/>
      <c r="Y432" s="114"/>
      <c r="Z432" s="117" t="s">
        <v>6085</v>
      </c>
      <c r="AA432" s="117" t="s">
        <v>3388</v>
      </c>
      <c r="AB432" s="114"/>
      <c r="AC432" s="114"/>
      <c r="AD432" s="114"/>
      <c r="AE432" s="114"/>
      <c r="AF432" s="114"/>
      <c r="AG432" s="114"/>
      <c r="AH432" s="114"/>
      <c r="AI432" s="116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  <c r="AT432" s="114"/>
      <c r="AU432" s="114"/>
      <c r="AV432" s="114"/>
      <c r="AW432" s="114"/>
      <c r="AX432" s="114"/>
      <c r="AY432" s="114"/>
      <c r="AZ432" s="114"/>
      <c r="BA432" s="114"/>
      <c r="BB432" s="114"/>
      <c r="BC432" s="114"/>
      <c r="BD432" s="114"/>
      <c r="BE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5"/>
      <c r="Y433" s="114"/>
      <c r="Z433" s="117" t="s">
        <v>6086</v>
      </c>
      <c r="AA433" s="117" t="s">
        <v>3389</v>
      </c>
      <c r="AB433" s="114"/>
      <c r="AC433" s="114"/>
      <c r="AD433" s="114"/>
      <c r="AE433" s="114"/>
      <c r="AF433" s="114"/>
      <c r="AG433" s="114"/>
      <c r="AH433" s="114"/>
      <c r="AI433" s="116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  <c r="AT433" s="114"/>
      <c r="AU433" s="114"/>
      <c r="AV433" s="114"/>
      <c r="AW433" s="114"/>
      <c r="AX433" s="114"/>
      <c r="AY433" s="114"/>
      <c r="AZ433" s="114"/>
      <c r="BA433" s="114"/>
      <c r="BB433" s="114"/>
      <c r="BC433" s="114"/>
      <c r="BD433" s="114"/>
      <c r="BE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5"/>
      <c r="Y434" s="114"/>
      <c r="Z434" s="117" t="s">
        <v>6087</v>
      </c>
      <c r="AA434" s="117" t="s">
        <v>3387</v>
      </c>
      <c r="AB434" s="114"/>
      <c r="AC434" s="114"/>
      <c r="AD434" s="114"/>
      <c r="AE434" s="114"/>
      <c r="AF434" s="114"/>
      <c r="AG434" s="114"/>
      <c r="AH434" s="114"/>
      <c r="AI434" s="116"/>
      <c r="AJ434" s="114"/>
      <c r="AK434" s="114"/>
      <c r="AL434" s="114"/>
      <c r="AM434" s="114"/>
      <c r="AN434" s="114"/>
      <c r="AO434" s="114"/>
      <c r="AP434" s="114"/>
      <c r="AQ434" s="114"/>
      <c r="AR434" s="114"/>
      <c r="AS434" s="114"/>
      <c r="AT434" s="114"/>
      <c r="AU434" s="114"/>
      <c r="AV434" s="114"/>
      <c r="AW434" s="114"/>
      <c r="AX434" s="114"/>
      <c r="AY434" s="114"/>
      <c r="AZ434" s="114"/>
      <c r="BA434" s="114"/>
      <c r="BB434" s="114"/>
      <c r="BC434" s="114"/>
      <c r="BD434" s="114"/>
      <c r="BE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5"/>
      <c r="Y435" s="114"/>
      <c r="Z435" s="117" t="s">
        <v>6088</v>
      </c>
      <c r="AA435" s="117" t="s">
        <v>3399</v>
      </c>
      <c r="AB435" s="114"/>
      <c r="AC435" s="114"/>
      <c r="AD435" s="114"/>
      <c r="AE435" s="114"/>
      <c r="AF435" s="114"/>
      <c r="AG435" s="114"/>
      <c r="AH435" s="114"/>
      <c r="AI435" s="116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  <c r="AT435" s="114"/>
      <c r="AU435" s="114"/>
      <c r="AV435" s="114"/>
      <c r="AW435" s="114"/>
      <c r="AX435" s="114"/>
      <c r="AY435" s="114"/>
      <c r="AZ435" s="114"/>
      <c r="BA435" s="114"/>
      <c r="BB435" s="114"/>
      <c r="BC435" s="114"/>
      <c r="BD435" s="114"/>
      <c r="BE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5"/>
      <c r="Y436" s="114"/>
      <c r="Z436" s="117" t="s">
        <v>6089</v>
      </c>
      <c r="AA436" s="117" t="s">
        <v>3401</v>
      </c>
      <c r="AB436" s="114"/>
      <c r="AC436" s="114"/>
      <c r="AD436" s="114"/>
      <c r="AE436" s="114"/>
      <c r="AF436" s="114"/>
      <c r="AG436" s="114"/>
      <c r="AH436" s="114"/>
      <c r="AI436" s="116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  <c r="AT436" s="114"/>
      <c r="AU436" s="114"/>
      <c r="AV436" s="114"/>
      <c r="AW436" s="114"/>
      <c r="AX436" s="114"/>
      <c r="AY436" s="114"/>
      <c r="AZ436" s="114"/>
      <c r="BA436" s="114"/>
      <c r="BB436" s="114"/>
      <c r="BC436" s="114"/>
      <c r="BD436" s="114"/>
      <c r="BE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5"/>
      <c r="Y437" s="114"/>
      <c r="Z437" s="117" t="s">
        <v>6090</v>
      </c>
      <c r="AA437" s="117" t="s">
        <v>3402</v>
      </c>
      <c r="AB437" s="114"/>
      <c r="AC437" s="114"/>
      <c r="AD437" s="114"/>
      <c r="AE437" s="114"/>
      <c r="AF437" s="114"/>
      <c r="AG437" s="114"/>
      <c r="AH437" s="114"/>
      <c r="AI437" s="116"/>
      <c r="AJ437" s="114"/>
      <c r="AK437" s="114"/>
      <c r="AL437" s="114"/>
      <c r="AM437" s="114"/>
      <c r="AN437" s="114"/>
      <c r="AO437" s="114"/>
      <c r="AP437" s="114"/>
      <c r="AQ437" s="114"/>
      <c r="AR437" s="114"/>
      <c r="AS437" s="114"/>
      <c r="AT437" s="114"/>
      <c r="AU437" s="114"/>
      <c r="AV437" s="114"/>
      <c r="AW437" s="114"/>
      <c r="AX437" s="114"/>
      <c r="AY437" s="114"/>
      <c r="AZ437" s="114"/>
      <c r="BA437" s="114"/>
      <c r="BB437" s="114"/>
      <c r="BC437" s="114"/>
      <c r="BD437" s="114"/>
      <c r="BE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5"/>
      <c r="Y438" s="114"/>
      <c r="Z438" s="117" t="s">
        <v>6091</v>
      </c>
      <c r="AA438" s="117" t="s">
        <v>3400</v>
      </c>
      <c r="AB438" s="114"/>
      <c r="AC438" s="114"/>
      <c r="AD438" s="114"/>
      <c r="AE438" s="114"/>
      <c r="AF438" s="114"/>
      <c r="AG438" s="114"/>
      <c r="AH438" s="114"/>
      <c r="AI438" s="116"/>
      <c r="AJ438" s="114"/>
      <c r="AK438" s="114"/>
      <c r="AL438" s="114"/>
      <c r="AM438" s="114"/>
      <c r="AN438" s="114"/>
      <c r="AO438" s="114"/>
      <c r="AP438" s="114"/>
      <c r="AQ438" s="114"/>
      <c r="AR438" s="114"/>
      <c r="AS438" s="114"/>
      <c r="AT438" s="114"/>
      <c r="AU438" s="114"/>
      <c r="AV438" s="114"/>
      <c r="AW438" s="114"/>
      <c r="AX438" s="114"/>
      <c r="AY438" s="114"/>
      <c r="AZ438" s="114"/>
      <c r="BA438" s="114"/>
      <c r="BB438" s="114"/>
      <c r="BC438" s="114"/>
      <c r="BD438" s="114"/>
      <c r="BE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5"/>
      <c r="Y439" s="114"/>
      <c r="Z439" s="117" t="s">
        <v>6092</v>
      </c>
      <c r="AA439" s="117" t="s">
        <v>3412</v>
      </c>
      <c r="AB439" s="114"/>
      <c r="AC439" s="114"/>
      <c r="AD439" s="114"/>
      <c r="AE439" s="114"/>
      <c r="AF439" s="114"/>
      <c r="AG439" s="114"/>
      <c r="AH439" s="114"/>
      <c r="AI439" s="116"/>
      <c r="AJ439" s="114"/>
      <c r="AK439" s="114"/>
      <c r="AL439" s="114"/>
      <c r="AM439" s="114"/>
      <c r="AN439" s="114"/>
      <c r="AO439" s="114"/>
      <c r="AP439" s="114"/>
      <c r="AQ439" s="114"/>
      <c r="AR439" s="114"/>
      <c r="AS439" s="114"/>
      <c r="AT439" s="114"/>
      <c r="AU439" s="114"/>
      <c r="AV439" s="114"/>
      <c r="AW439" s="114"/>
      <c r="AX439" s="114"/>
      <c r="AY439" s="114"/>
      <c r="AZ439" s="114"/>
      <c r="BA439" s="114"/>
      <c r="BB439" s="114"/>
      <c r="BC439" s="114"/>
      <c r="BD439" s="114"/>
      <c r="BE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5"/>
      <c r="Y440" s="114"/>
      <c r="Z440" s="117" t="s">
        <v>6093</v>
      </c>
      <c r="AA440" s="117" t="s">
        <v>3414</v>
      </c>
      <c r="AB440" s="114"/>
      <c r="AC440" s="114"/>
      <c r="AD440" s="114"/>
      <c r="AE440" s="114"/>
      <c r="AF440" s="114"/>
      <c r="AG440" s="114"/>
      <c r="AH440" s="114"/>
      <c r="AI440" s="116"/>
      <c r="AJ440" s="114"/>
      <c r="AK440" s="114"/>
      <c r="AL440" s="114"/>
      <c r="AM440" s="114"/>
      <c r="AN440" s="114"/>
      <c r="AO440" s="114"/>
      <c r="AP440" s="114"/>
      <c r="AQ440" s="114"/>
      <c r="AR440" s="114"/>
      <c r="AS440" s="114"/>
      <c r="AT440" s="114"/>
      <c r="AU440" s="114"/>
      <c r="AV440" s="114"/>
      <c r="AW440" s="114"/>
      <c r="AX440" s="114"/>
      <c r="AY440" s="114"/>
      <c r="AZ440" s="114"/>
      <c r="BA440" s="114"/>
      <c r="BB440" s="114"/>
      <c r="BC440" s="114"/>
      <c r="BD440" s="114"/>
      <c r="BE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5"/>
      <c r="Y441" s="114"/>
      <c r="Z441" s="117" t="s">
        <v>6094</v>
      </c>
      <c r="AA441" s="117" t="s">
        <v>3415</v>
      </c>
      <c r="AB441" s="114"/>
      <c r="AC441" s="114"/>
      <c r="AD441" s="114"/>
      <c r="AE441" s="114"/>
      <c r="AF441" s="114"/>
      <c r="AG441" s="114"/>
      <c r="AH441" s="114"/>
      <c r="AI441" s="116"/>
      <c r="AJ441" s="114"/>
      <c r="AK441" s="114"/>
      <c r="AL441" s="114"/>
      <c r="AM441" s="114"/>
      <c r="AN441" s="114"/>
      <c r="AO441" s="114"/>
      <c r="AP441" s="114"/>
      <c r="AQ441" s="114"/>
      <c r="AR441" s="114"/>
      <c r="AS441" s="114"/>
      <c r="AT441" s="114"/>
      <c r="AU441" s="114"/>
      <c r="AV441" s="114"/>
      <c r="AW441" s="114"/>
      <c r="AX441" s="114"/>
      <c r="AY441" s="114"/>
      <c r="AZ441" s="114"/>
      <c r="BA441" s="114"/>
      <c r="BB441" s="114"/>
      <c r="BC441" s="114"/>
      <c r="BD441" s="114"/>
      <c r="BE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5"/>
      <c r="Y442" s="114"/>
      <c r="Z442" s="117" t="s">
        <v>6095</v>
      </c>
      <c r="AA442" s="117" t="s">
        <v>3413</v>
      </c>
      <c r="AB442" s="114"/>
      <c r="AC442" s="114"/>
      <c r="AD442" s="114"/>
      <c r="AE442" s="114"/>
      <c r="AF442" s="114"/>
      <c r="AG442" s="114"/>
      <c r="AH442" s="114"/>
      <c r="AI442" s="116"/>
      <c r="AJ442" s="114"/>
      <c r="AK442" s="114"/>
      <c r="AL442" s="114"/>
      <c r="AM442" s="114"/>
      <c r="AN442" s="114"/>
      <c r="AO442" s="114"/>
      <c r="AP442" s="114"/>
      <c r="AQ442" s="114"/>
      <c r="AR442" s="114"/>
      <c r="AS442" s="114"/>
      <c r="AT442" s="114"/>
      <c r="AU442" s="114"/>
      <c r="AV442" s="114"/>
      <c r="AW442" s="114"/>
      <c r="AX442" s="114"/>
      <c r="AY442" s="114"/>
      <c r="AZ442" s="114"/>
      <c r="BA442" s="114"/>
      <c r="BB442" s="114"/>
      <c r="BC442" s="114"/>
      <c r="BD442" s="114"/>
      <c r="BE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5"/>
      <c r="Y443" s="114"/>
      <c r="Z443" s="117" t="s">
        <v>6096</v>
      </c>
      <c r="AA443" s="117" t="s">
        <v>3425</v>
      </c>
      <c r="AB443" s="114"/>
      <c r="AC443" s="114"/>
      <c r="AD443" s="114"/>
      <c r="AE443" s="114"/>
      <c r="AF443" s="114"/>
      <c r="AG443" s="114"/>
      <c r="AH443" s="114"/>
      <c r="AI443" s="116"/>
      <c r="AJ443" s="114"/>
      <c r="AK443" s="114"/>
      <c r="AL443" s="114"/>
      <c r="AM443" s="114"/>
      <c r="AN443" s="114"/>
      <c r="AO443" s="114"/>
      <c r="AP443" s="114"/>
      <c r="AQ443" s="114"/>
      <c r="AR443" s="114"/>
      <c r="AS443" s="114"/>
      <c r="AT443" s="114"/>
      <c r="AU443" s="114"/>
      <c r="AV443" s="114"/>
      <c r="AW443" s="114"/>
      <c r="AX443" s="114"/>
      <c r="AY443" s="114"/>
      <c r="AZ443" s="114"/>
      <c r="BA443" s="114"/>
      <c r="BB443" s="114"/>
      <c r="BC443" s="114"/>
      <c r="BD443" s="114"/>
      <c r="BE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5"/>
      <c r="Y444" s="114"/>
      <c r="Z444" s="117" t="s">
        <v>6097</v>
      </c>
      <c r="AA444" s="117" t="s">
        <v>3427</v>
      </c>
      <c r="AB444" s="114"/>
      <c r="AC444" s="114"/>
      <c r="AD444" s="114"/>
      <c r="AE444" s="114"/>
      <c r="AF444" s="114"/>
      <c r="AG444" s="114"/>
      <c r="AH444" s="114"/>
      <c r="AI444" s="116"/>
      <c r="AJ444" s="114"/>
      <c r="AK444" s="114"/>
      <c r="AL444" s="114"/>
      <c r="AM444" s="114"/>
      <c r="AN444" s="114"/>
      <c r="AO444" s="114"/>
      <c r="AP444" s="114"/>
      <c r="AQ444" s="114"/>
      <c r="AR444" s="114"/>
      <c r="AS444" s="114"/>
      <c r="AT444" s="114"/>
      <c r="AU444" s="114"/>
      <c r="AV444" s="114"/>
      <c r="AW444" s="114"/>
      <c r="AX444" s="114"/>
      <c r="AY444" s="114"/>
      <c r="AZ444" s="114"/>
      <c r="BA444" s="114"/>
      <c r="BB444" s="114"/>
      <c r="BC444" s="114"/>
      <c r="BD444" s="114"/>
      <c r="BE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5"/>
      <c r="Y445" s="114"/>
      <c r="Z445" s="117" t="s">
        <v>6098</v>
      </c>
      <c r="AA445" s="117" t="s">
        <v>3428</v>
      </c>
      <c r="AB445" s="114"/>
      <c r="AC445" s="114"/>
      <c r="AD445" s="114"/>
      <c r="AE445" s="114"/>
      <c r="AF445" s="114"/>
      <c r="AG445" s="114"/>
      <c r="AH445" s="114"/>
      <c r="AI445" s="116"/>
      <c r="AJ445" s="114"/>
      <c r="AK445" s="114"/>
      <c r="AL445" s="114"/>
      <c r="AM445" s="114"/>
      <c r="AN445" s="114"/>
      <c r="AO445" s="114"/>
      <c r="AP445" s="114"/>
      <c r="AQ445" s="114"/>
      <c r="AR445" s="114"/>
      <c r="AS445" s="114"/>
      <c r="AT445" s="114"/>
      <c r="AU445" s="114"/>
      <c r="AV445" s="114"/>
      <c r="AW445" s="114"/>
      <c r="AX445" s="114"/>
      <c r="AY445" s="114"/>
      <c r="AZ445" s="114"/>
      <c r="BA445" s="114"/>
      <c r="BB445" s="114"/>
      <c r="BC445" s="114"/>
      <c r="BD445" s="114"/>
      <c r="BE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5"/>
      <c r="Y446" s="114"/>
      <c r="Z446" s="117" t="s">
        <v>6099</v>
      </c>
      <c r="AA446" s="117" t="s">
        <v>3426</v>
      </c>
      <c r="AB446" s="114"/>
      <c r="AC446" s="114"/>
      <c r="AD446" s="114"/>
      <c r="AE446" s="114"/>
      <c r="AF446" s="114"/>
      <c r="AG446" s="114"/>
      <c r="AH446" s="114"/>
      <c r="AI446" s="116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  <c r="AT446" s="114"/>
      <c r="AU446" s="114"/>
      <c r="AV446" s="114"/>
      <c r="AW446" s="114"/>
      <c r="AX446" s="114"/>
      <c r="AY446" s="114"/>
      <c r="AZ446" s="114"/>
      <c r="BA446" s="114"/>
      <c r="BB446" s="114"/>
      <c r="BC446" s="114"/>
      <c r="BD446" s="114"/>
      <c r="BE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5"/>
      <c r="Y447" s="114"/>
      <c r="Z447" s="117" t="s">
        <v>6100</v>
      </c>
      <c r="AA447" s="117" t="s">
        <v>3438</v>
      </c>
      <c r="AB447" s="114"/>
      <c r="AC447" s="114"/>
      <c r="AD447" s="114"/>
      <c r="AE447" s="114"/>
      <c r="AF447" s="114"/>
      <c r="AG447" s="114"/>
      <c r="AH447" s="114"/>
      <c r="AI447" s="116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  <c r="AT447" s="114"/>
      <c r="AU447" s="114"/>
      <c r="AV447" s="114"/>
      <c r="AW447" s="114"/>
      <c r="AX447" s="114"/>
      <c r="AY447" s="114"/>
      <c r="AZ447" s="114"/>
      <c r="BA447" s="114"/>
      <c r="BB447" s="114"/>
      <c r="BC447" s="114"/>
      <c r="BD447" s="114"/>
      <c r="BE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5"/>
      <c r="Y448" s="114"/>
      <c r="Z448" s="117" t="s">
        <v>6101</v>
      </c>
      <c r="AA448" s="117" t="s">
        <v>3440</v>
      </c>
      <c r="AB448" s="114"/>
      <c r="AC448" s="114"/>
      <c r="AD448" s="114"/>
      <c r="AE448" s="114"/>
      <c r="AF448" s="114"/>
      <c r="AG448" s="114"/>
      <c r="AH448" s="114"/>
      <c r="AI448" s="116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  <c r="AT448" s="114"/>
      <c r="AU448" s="114"/>
      <c r="AV448" s="114"/>
      <c r="AW448" s="114"/>
      <c r="AX448" s="114"/>
      <c r="AY448" s="114"/>
      <c r="AZ448" s="114"/>
      <c r="BA448" s="114"/>
      <c r="BB448" s="114"/>
      <c r="BC448" s="114"/>
      <c r="BD448" s="114"/>
      <c r="BE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5"/>
      <c r="Y449" s="114"/>
      <c r="Z449" s="117" t="s">
        <v>6102</v>
      </c>
      <c r="AA449" s="117" t="s">
        <v>3441</v>
      </c>
      <c r="AB449" s="114"/>
      <c r="AC449" s="114"/>
      <c r="AD449" s="114"/>
      <c r="AE449" s="114"/>
      <c r="AF449" s="114"/>
      <c r="AG449" s="114"/>
      <c r="AH449" s="114"/>
      <c r="AI449" s="116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  <c r="AT449" s="114"/>
      <c r="AU449" s="114"/>
      <c r="AV449" s="114"/>
      <c r="AW449" s="114"/>
      <c r="AX449" s="114"/>
      <c r="AY449" s="114"/>
      <c r="AZ449" s="114"/>
      <c r="BA449" s="114"/>
      <c r="BB449" s="114"/>
      <c r="BC449" s="114"/>
      <c r="BD449" s="114"/>
      <c r="BE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5"/>
      <c r="Y450" s="114"/>
      <c r="Z450" s="117" t="s">
        <v>6103</v>
      </c>
      <c r="AA450" s="117" t="s">
        <v>3439</v>
      </c>
      <c r="AB450" s="114"/>
      <c r="AC450" s="114"/>
      <c r="AD450" s="114"/>
      <c r="AE450" s="114"/>
      <c r="AF450" s="114"/>
      <c r="AG450" s="114"/>
      <c r="AH450" s="114"/>
      <c r="AI450" s="116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  <c r="AT450" s="114"/>
      <c r="AU450" s="114"/>
      <c r="AV450" s="114"/>
      <c r="AW450" s="114"/>
      <c r="AX450" s="114"/>
      <c r="AY450" s="114"/>
      <c r="AZ450" s="114"/>
      <c r="BA450" s="114"/>
      <c r="BB450" s="114"/>
      <c r="BC450" s="114"/>
      <c r="BD450" s="114"/>
      <c r="BE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5"/>
      <c r="Y451" s="114"/>
      <c r="Z451" s="117" t="s">
        <v>6104</v>
      </c>
      <c r="AA451" s="117" t="s">
        <v>3451</v>
      </c>
      <c r="AB451" s="114"/>
      <c r="AC451" s="114"/>
      <c r="AD451" s="114"/>
      <c r="AE451" s="114"/>
      <c r="AF451" s="114"/>
      <c r="AG451" s="114"/>
      <c r="AH451" s="114"/>
      <c r="AI451" s="116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  <c r="AT451" s="114"/>
      <c r="AU451" s="114"/>
      <c r="AV451" s="114"/>
      <c r="AW451" s="114"/>
      <c r="AX451" s="114"/>
      <c r="AY451" s="114"/>
      <c r="AZ451" s="114"/>
      <c r="BA451" s="114"/>
      <c r="BB451" s="114"/>
      <c r="BC451" s="114"/>
      <c r="BD451" s="114"/>
      <c r="BE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5"/>
      <c r="Y452" s="114"/>
      <c r="Z452" s="117" t="s">
        <v>6105</v>
      </c>
      <c r="AA452" s="117" t="s">
        <v>3453</v>
      </c>
      <c r="AB452" s="114"/>
      <c r="AC452" s="114"/>
      <c r="AD452" s="114"/>
      <c r="AE452" s="114"/>
      <c r="AF452" s="114"/>
      <c r="AG452" s="114"/>
      <c r="AH452" s="114"/>
      <c r="AI452" s="116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  <c r="AT452" s="114"/>
      <c r="AU452" s="114"/>
      <c r="AV452" s="114"/>
      <c r="AW452" s="114"/>
      <c r="AX452" s="114"/>
      <c r="AY452" s="114"/>
      <c r="AZ452" s="114"/>
      <c r="BA452" s="114"/>
      <c r="BB452" s="114"/>
      <c r="BC452" s="114"/>
      <c r="BD452" s="114"/>
      <c r="BE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5"/>
      <c r="Y453" s="114"/>
      <c r="Z453" s="117" t="s">
        <v>6106</v>
      </c>
      <c r="AA453" s="117" t="s">
        <v>3454</v>
      </c>
      <c r="AB453" s="114"/>
      <c r="AC453" s="114"/>
      <c r="AD453" s="114"/>
      <c r="AE453" s="114"/>
      <c r="AF453" s="114"/>
      <c r="AG453" s="114"/>
      <c r="AH453" s="114"/>
      <c r="AI453" s="116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  <c r="AT453" s="114"/>
      <c r="AU453" s="114"/>
      <c r="AV453" s="114"/>
      <c r="AW453" s="114"/>
      <c r="AX453" s="114"/>
      <c r="AY453" s="114"/>
      <c r="AZ453" s="114"/>
      <c r="BA453" s="114"/>
      <c r="BB453" s="114"/>
      <c r="BC453" s="114"/>
      <c r="BD453" s="114"/>
      <c r="BE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5"/>
      <c r="Y454" s="114"/>
      <c r="Z454" s="117" t="s">
        <v>6107</v>
      </c>
      <c r="AA454" s="117" t="s">
        <v>3452</v>
      </c>
      <c r="AB454" s="114"/>
      <c r="AC454" s="114"/>
      <c r="AD454" s="114"/>
      <c r="AE454" s="114"/>
      <c r="AF454" s="114"/>
      <c r="AG454" s="114"/>
      <c r="AH454" s="114"/>
      <c r="AI454" s="116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  <c r="AT454" s="114"/>
      <c r="AU454" s="114"/>
      <c r="AV454" s="114"/>
      <c r="AW454" s="114"/>
      <c r="AX454" s="114"/>
      <c r="AY454" s="114"/>
      <c r="AZ454" s="114"/>
      <c r="BA454" s="114"/>
      <c r="BB454" s="114"/>
      <c r="BC454" s="114"/>
      <c r="BD454" s="114"/>
      <c r="BE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5"/>
      <c r="Y455" s="114"/>
      <c r="Z455" s="117" t="s">
        <v>6108</v>
      </c>
      <c r="AA455" s="117" t="s">
        <v>3464</v>
      </c>
      <c r="AB455" s="114"/>
      <c r="AC455" s="114"/>
      <c r="AD455" s="114"/>
      <c r="AE455" s="114"/>
      <c r="AF455" s="114"/>
      <c r="AG455" s="114"/>
      <c r="AH455" s="114"/>
      <c r="AI455" s="116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  <c r="AT455" s="114"/>
      <c r="AU455" s="114"/>
      <c r="AV455" s="114"/>
      <c r="AW455" s="114"/>
      <c r="AX455" s="114"/>
      <c r="AY455" s="114"/>
      <c r="AZ455" s="114"/>
      <c r="BA455" s="114"/>
      <c r="BB455" s="114"/>
      <c r="BC455" s="114"/>
      <c r="BD455" s="114"/>
      <c r="BE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5"/>
      <c r="Y456" s="114"/>
      <c r="Z456" s="117" t="s">
        <v>6109</v>
      </c>
      <c r="AA456" s="117" t="s">
        <v>3466</v>
      </c>
      <c r="AB456" s="114"/>
      <c r="AC456" s="114"/>
      <c r="AD456" s="114"/>
      <c r="AE456" s="114"/>
      <c r="AF456" s="114"/>
      <c r="AG456" s="114"/>
      <c r="AH456" s="114"/>
      <c r="AI456" s="116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  <c r="AT456" s="114"/>
      <c r="AU456" s="114"/>
      <c r="AV456" s="114"/>
      <c r="AW456" s="114"/>
      <c r="AX456" s="114"/>
      <c r="AY456" s="114"/>
      <c r="AZ456" s="114"/>
      <c r="BA456" s="114"/>
      <c r="BB456" s="114"/>
      <c r="BC456" s="114"/>
      <c r="BD456" s="114"/>
      <c r="BE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5"/>
      <c r="Y457" s="114"/>
      <c r="Z457" s="117" t="s">
        <v>6110</v>
      </c>
      <c r="AA457" s="117" t="s">
        <v>3467</v>
      </c>
      <c r="AB457" s="114"/>
      <c r="AC457" s="114"/>
      <c r="AD457" s="114"/>
      <c r="AE457" s="114"/>
      <c r="AF457" s="114"/>
      <c r="AG457" s="114"/>
      <c r="AH457" s="114"/>
      <c r="AI457" s="116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  <c r="AT457" s="114"/>
      <c r="AU457" s="114"/>
      <c r="AV457" s="114"/>
      <c r="AW457" s="114"/>
      <c r="AX457" s="114"/>
      <c r="AY457" s="114"/>
      <c r="AZ457" s="114"/>
      <c r="BA457" s="114"/>
      <c r="BB457" s="114"/>
      <c r="BC457" s="114"/>
      <c r="BD457" s="114"/>
      <c r="BE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5"/>
      <c r="Y458" s="114"/>
      <c r="Z458" s="117" t="s">
        <v>6111</v>
      </c>
      <c r="AA458" s="117" t="s">
        <v>3465</v>
      </c>
      <c r="AB458" s="114"/>
      <c r="AC458" s="114"/>
      <c r="AD458" s="114"/>
      <c r="AE458" s="114"/>
      <c r="AF458" s="114"/>
      <c r="AG458" s="114"/>
      <c r="AH458" s="114"/>
      <c r="AI458" s="116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  <c r="AT458" s="114"/>
      <c r="AU458" s="114"/>
      <c r="AV458" s="114"/>
      <c r="AW458" s="114"/>
      <c r="AX458" s="114"/>
      <c r="AY458" s="114"/>
      <c r="AZ458" s="114"/>
      <c r="BA458" s="114"/>
      <c r="BB458" s="114"/>
      <c r="BC458" s="114"/>
      <c r="BD458" s="114"/>
      <c r="BE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5"/>
      <c r="Y459" s="114"/>
      <c r="Z459" s="117" t="s">
        <v>6112</v>
      </c>
      <c r="AA459" s="117" t="s">
        <v>3477</v>
      </c>
      <c r="AB459" s="114"/>
      <c r="AC459" s="114"/>
      <c r="AD459" s="114"/>
      <c r="AE459" s="114"/>
      <c r="AF459" s="114"/>
      <c r="AG459" s="114"/>
      <c r="AH459" s="114"/>
      <c r="AI459" s="116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  <c r="AT459" s="114"/>
      <c r="AU459" s="114"/>
      <c r="AV459" s="114"/>
      <c r="AW459" s="114"/>
      <c r="AX459" s="114"/>
      <c r="AY459" s="114"/>
      <c r="AZ459" s="114"/>
      <c r="BA459" s="114"/>
      <c r="BB459" s="114"/>
      <c r="BC459" s="114"/>
      <c r="BD459" s="114"/>
      <c r="BE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5"/>
      <c r="Y460" s="114"/>
      <c r="Z460" s="117" t="s">
        <v>6113</v>
      </c>
      <c r="AA460" s="117" t="s">
        <v>3479</v>
      </c>
      <c r="AB460" s="114"/>
      <c r="AC460" s="114"/>
      <c r="AD460" s="114"/>
      <c r="AE460" s="114"/>
      <c r="AF460" s="114"/>
      <c r="AG460" s="114"/>
      <c r="AH460" s="114"/>
      <c r="AI460" s="116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  <c r="AT460" s="114"/>
      <c r="AU460" s="114"/>
      <c r="AV460" s="114"/>
      <c r="AW460" s="114"/>
      <c r="AX460" s="114"/>
      <c r="AY460" s="114"/>
      <c r="AZ460" s="114"/>
      <c r="BA460" s="114"/>
      <c r="BB460" s="114"/>
      <c r="BC460" s="114"/>
      <c r="BD460" s="114"/>
      <c r="BE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5"/>
      <c r="Y461" s="114"/>
      <c r="Z461" s="117" t="s">
        <v>6114</v>
      </c>
      <c r="AA461" s="117" t="s">
        <v>3480</v>
      </c>
      <c r="AB461" s="114"/>
      <c r="AC461" s="114"/>
      <c r="AD461" s="114"/>
      <c r="AE461" s="114"/>
      <c r="AF461" s="114"/>
      <c r="AG461" s="114"/>
      <c r="AH461" s="114"/>
      <c r="AI461" s="116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  <c r="AT461" s="114"/>
      <c r="AU461" s="114"/>
      <c r="AV461" s="114"/>
      <c r="AW461" s="114"/>
      <c r="AX461" s="114"/>
      <c r="AY461" s="114"/>
      <c r="AZ461" s="114"/>
      <c r="BA461" s="114"/>
      <c r="BB461" s="114"/>
      <c r="BC461" s="114"/>
      <c r="BD461" s="114"/>
      <c r="BE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5"/>
      <c r="Y462" s="114"/>
      <c r="Z462" s="117" t="s">
        <v>6115</v>
      </c>
      <c r="AA462" s="117" t="s">
        <v>3478</v>
      </c>
      <c r="AB462" s="114"/>
      <c r="AC462" s="114"/>
      <c r="AD462" s="114"/>
      <c r="AE462" s="114"/>
      <c r="AF462" s="114"/>
      <c r="AG462" s="114"/>
      <c r="AH462" s="114"/>
      <c r="AI462" s="116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  <c r="AT462" s="114"/>
      <c r="AU462" s="114"/>
      <c r="AV462" s="114"/>
      <c r="AW462" s="114"/>
      <c r="AX462" s="114"/>
      <c r="AY462" s="114"/>
      <c r="AZ462" s="114"/>
      <c r="BA462" s="114"/>
      <c r="BB462" s="114"/>
      <c r="BC462" s="114"/>
      <c r="BD462" s="114"/>
      <c r="BE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5"/>
      <c r="Y463" s="114"/>
      <c r="Z463" s="117" t="s">
        <v>6116</v>
      </c>
      <c r="AA463" s="117" t="s">
        <v>3490</v>
      </c>
      <c r="AB463" s="114"/>
      <c r="AC463" s="114"/>
      <c r="AD463" s="114"/>
      <c r="AE463" s="114"/>
      <c r="AF463" s="114"/>
      <c r="AG463" s="114"/>
      <c r="AH463" s="114"/>
      <c r="AI463" s="116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  <c r="AT463" s="114"/>
      <c r="AU463" s="114"/>
      <c r="AV463" s="114"/>
      <c r="AW463" s="114"/>
      <c r="AX463" s="114"/>
      <c r="AY463" s="114"/>
      <c r="AZ463" s="114"/>
      <c r="BA463" s="114"/>
      <c r="BB463" s="114"/>
      <c r="BC463" s="114"/>
      <c r="BD463" s="114"/>
      <c r="BE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5"/>
      <c r="Y464" s="114"/>
      <c r="Z464" s="117" t="s">
        <v>6117</v>
      </c>
      <c r="AA464" s="117" t="s">
        <v>3492</v>
      </c>
      <c r="AB464" s="114"/>
      <c r="AC464" s="114"/>
      <c r="AD464" s="114"/>
      <c r="AE464" s="114"/>
      <c r="AF464" s="114"/>
      <c r="AG464" s="114"/>
      <c r="AH464" s="114"/>
      <c r="AI464" s="116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  <c r="AT464" s="114"/>
      <c r="AU464" s="114"/>
      <c r="AV464" s="114"/>
      <c r="AW464" s="114"/>
      <c r="AX464" s="114"/>
      <c r="AY464" s="114"/>
      <c r="AZ464" s="114"/>
      <c r="BA464" s="114"/>
      <c r="BB464" s="114"/>
      <c r="BC464" s="114"/>
      <c r="BD464" s="114"/>
      <c r="BE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5"/>
      <c r="Y465" s="114"/>
      <c r="Z465" s="117" t="s">
        <v>6118</v>
      </c>
      <c r="AA465" s="117" t="s">
        <v>3493</v>
      </c>
      <c r="AB465" s="114"/>
      <c r="AC465" s="114"/>
      <c r="AD465" s="114"/>
      <c r="AE465" s="114"/>
      <c r="AF465" s="114"/>
      <c r="AG465" s="114"/>
      <c r="AH465" s="114"/>
      <c r="AI465" s="116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  <c r="AT465" s="114"/>
      <c r="AU465" s="114"/>
      <c r="AV465" s="114"/>
      <c r="AW465" s="114"/>
      <c r="AX465" s="114"/>
      <c r="AY465" s="114"/>
      <c r="AZ465" s="114"/>
      <c r="BA465" s="114"/>
      <c r="BB465" s="114"/>
      <c r="BC465" s="114"/>
      <c r="BD465" s="114"/>
      <c r="BE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5"/>
      <c r="Y466" s="114"/>
      <c r="Z466" s="117" t="s">
        <v>6119</v>
      </c>
      <c r="AA466" s="117" t="s">
        <v>3491</v>
      </c>
      <c r="AB466" s="114"/>
      <c r="AC466" s="114"/>
      <c r="AD466" s="114"/>
      <c r="AE466" s="114"/>
      <c r="AF466" s="114"/>
      <c r="AG466" s="114"/>
      <c r="AH466" s="114"/>
      <c r="AI466" s="116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4"/>
      <c r="AZ466" s="114"/>
      <c r="BA466" s="114"/>
      <c r="BB466" s="114"/>
      <c r="BC466" s="114"/>
      <c r="BD466" s="114"/>
      <c r="BE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5"/>
      <c r="Y467" s="114"/>
      <c r="Z467" s="117" t="s">
        <v>6120</v>
      </c>
      <c r="AA467" s="117" t="s">
        <v>3503</v>
      </c>
      <c r="AB467" s="114"/>
      <c r="AC467" s="114"/>
      <c r="AD467" s="114"/>
      <c r="AE467" s="114"/>
      <c r="AF467" s="114"/>
      <c r="AG467" s="114"/>
      <c r="AH467" s="114"/>
      <c r="AI467" s="116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  <c r="AT467" s="114"/>
      <c r="AU467" s="114"/>
      <c r="AV467" s="114"/>
      <c r="AW467" s="114"/>
      <c r="AX467" s="114"/>
      <c r="AY467" s="114"/>
      <c r="AZ467" s="114"/>
      <c r="BA467" s="114"/>
      <c r="BB467" s="114"/>
      <c r="BC467" s="114"/>
      <c r="BD467" s="114"/>
      <c r="BE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5"/>
      <c r="Y468" s="114"/>
      <c r="Z468" s="117" t="s">
        <v>6121</v>
      </c>
      <c r="AA468" s="117" t="s">
        <v>3505</v>
      </c>
      <c r="AB468" s="114"/>
      <c r="AC468" s="114"/>
      <c r="AD468" s="114"/>
      <c r="AE468" s="114"/>
      <c r="AF468" s="114"/>
      <c r="AG468" s="114"/>
      <c r="AH468" s="114"/>
      <c r="AI468" s="116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  <c r="AT468" s="114"/>
      <c r="AU468" s="114"/>
      <c r="AV468" s="114"/>
      <c r="AW468" s="114"/>
      <c r="AX468" s="114"/>
      <c r="AY468" s="114"/>
      <c r="AZ468" s="114"/>
      <c r="BA468" s="114"/>
      <c r="BB468" s="114"/>
      <c r="BC468" s="114"/>
      <c r="BD468" s="114"/>
      <c r="BE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5"/>
      <c r="Y469" s="114"/>
      <c r="Z469" s="117" t="s">
        <v>6122</v>
      </c>
      <c r="AA469" s="117" t="s">
        <v>3506</v>
      </c>
      <c r="AB469" s="114"/>
      <c r="AC469" s="114"/>
      <c r="AD469" s="114"/>
      <c r="AE469" s="114"/>
      <c r="AF469" s="114"/>
      <c r="AG469" s="114"/>
      <c r="AH469" s="114"/>
      <c r="AI469" s="116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  <c r="AT469" s="114"/>
      <c r="AU469" s="114"/>
      <c r="AV469" s="114"/>
      <c r="AW469" s="114"/>
      <c r="AX469" s="114"/>
      <c r="AY469" s="114"/>
      <c r="AZ469" s="114"/>
      <c r="BA469" s="114"/>
      <c r="BB469" s="114"/>
      <c r="BC469" s="114"/>
      <c r="BD469" s="114"/>
      <c r="BE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5"/>
      <c r="Y470" s="114"/>
      <c r="Z470" s="117" t="s">
        <v>6123</v>
      </c>
      <c r="AA470" s="117" t="s">
        <v>3504</v>
      </c>
      <c r="AB470" s="114"/>
      <c r="AC470" s="114"/>
      <c r="AD470" s="114"/>
      <c r="AE470" s="114"/>
      <c r="AF470" s="114"/>
      <c r="AG470" s="114"/>
      <c r="AH470" s="114"/>
      <c r="AI470" s="116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  <c r="AT470" s="114"/>
      <c r="AU470" s="114"/>
      <c r="AV470" s="114"/>
      <c r="AW470" s="114"/>
      <c r="AX470" s="114"/>
      <c r="AY470" s="114"/>
      <c r="AZ470" s="114"/>
      <c r="BA470" s="114"/>
      <c r="BB470" s="114"/>
      <c r="BC470" s="114"/>
      <c r="BD470" s="114"/>
      <c r="BE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5"/>
      <c r="Y471" s="114"/>
      <c r="Z471" s="117" t="s">
        <v>6124</v>
      </c>
      <c r="AA471" s="117" t="s">
        <v>3516</v>
      </c>
      <c r="AB471" s="114"/>
      <c r="AC471" s="114"/>
      <c r="AD471" s="114"/>
      <c r="AE471" s="114"/>
      <c r="AF471" s="114"/>
      <c r="AG471" s="114"/>
      <c r="AH471" s="114"/>
      <c r="AI471" s="116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  <c r="AT471" s="114"/>
      <c r="AU471" s="114"/>
      <c r="AV471" s="114"/>
      <c r="AW471" s="114"/>
      <c r="AX471" s="114"/>
      <c r="AY471" s="114"/>
      <c r="AZ471" s="114"/>
      <c r="BA471" s="114"/>
      <c r="BB471" s="114"/>
      <c r="BC471" s="114"/>
      <c r="BD471" s="114"/>
      <c r="BE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5"/>
      <c r="Y472" s="114"/>
      <c r="Z472" s="117" t="s">
        <v>6125</v>
      </c>
      <c r="AA472" s="117" t="s">
        <v>3518</v>
      </c>
      <c r="AB472" s="114"/>
      <c r="AC472" s="114"/>
      <c r="AD472" s="114"/>
      <c r="AE472" s="114"/>
      <c r="AF472" s="114"/>
      <c r="AG472" s="114"/>
      <c r="AH472" s="114"/>
      <c r="AI472" s="116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  <c r="AT472" s="114"/>
      <c r="AU472" s="114"/>
      <c r="AV472" s="114"/>
      <c r="AW472" s="114"/>
      <c r="AX472" s="114"/>
      <c r="AY472" s="114"/>
      <c r="AZ472" s="114"/>
      <c r="BA472" s="114"/>
      <c r="BB472" s="114"/>
      <c r="BC472" s="114"/>
      <c r="BD472" s="114"/>
      <c r="BE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5"/>
      <c r="Y473" s="114"/>
      <c r="Z473" s="117" t="s">
        <v>6126</v>
      </c>
      <c r="AA473" s="117" t="s">
        <v>3519</v>
      </c>
      <c r="AB473" s="114"/>
      <c r="AC473" s="114"/>
      <c r="AD473" s="114"/>
      <c r="AE473" s="114"/>
      <c r="AF473" s="114"/>
      <c r="AG473" s="114"/>
      <c r="AH473" s="114"/>
      <c r="AI473" s="116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  <c r="AT473" s="114"/>
      <c r="AU473" s="114"/>
      <c r="AV473" s="114"/>
      <c r="AW473" s="114"/>
      <c r="AX473" s="114"/>
      <c r="AY473" s="114"/>
      <c r="AZ473" s="114"/>
      <c r="BA473" s="114"/>
      <c r="BB473" s="114"/>
      <c r="BC473" s="114"/>
      <c r="BD473" s="114"/>
      <c r="BE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5"/>
      <c r="Y474" s="114"/>
      <c r="Z474" s="117" t="s">
        <v>6127</v>
      </c>
      <c r="AA474" s="117" t="s">
        <v>3517</v>
      </c>
      <c r="AB474" s="114"/>
      <c r="AC474" s="114"/>
      <c r="AD474" s="114"/>
      <c r="AE474" s="114"/>
      <c r="AF474" s="114"/>
      <c r="AG474" s="114"/>
      <c r="AH474" s="114"/>
      <c r="AI474" s="116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  <c r="AT474" s="114"/>
      <c r="AU474" s="114"/>
      <c r="AV474" s="114"/>
      <c r="AW474" s="114"/>
      <c r="AX474" s="114"/>
      <c r="AY474" s="114"/>
      <c r="AZ474" s="114"/>
      <c r="BA474" s="114"/>
      <c r="BB474" s="114"/>
      <c r="BC474" s="114"/>
      <c r="BD474" s="114"/>
      <c r="BE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5"/>
      <c r="Y475" s="114"/>
      <c r="Z475" s="117" t="s">
        <v>6128</v>
      </c>
      <c r="AA475" s="117" t="s">
        <v>3529</v>
      </c>
      <c r="AB475" s="114"/>
      <c r="AC475" s="114"/>
      <c r="AD475" s="114"/>
      <c r="AE475" s="114"/>
      <c r="AF475" s="114"/>
      <c r="AG475" s="114"/>
      <c r="AH475" s="114"/>
      <c r="AI475" s="116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  <c r="AT475" s="114"/>
      <c r="AU475" s="114"/>
      <c r="AV475" s="114"/>
      <c r="AW475" s="114"/>
      <c r="AX475" s="114"/>
      <c r="AY475" s="114"/>
      <c r="AZ475" s="114"/>
      <c r="BA475" s="114"/>
      <c r="BB475" s="114"/>
      <c r="BC475" s="114"/>
      <c r="BD475" s="114"/>
      <c r="BE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5"/>
      <c r="Y476" s="114"/>
      <c r="Z476" s="117" t="s">
        <v>6129</v>
      </c>
      <c r="AA476" s="117" t="s">
        <v>3531</v>
      </c>
      <c r="AB476" s="114"/>
      <c r="AC476" s="114"/>
      <c r="AD476" s="114"/>
      <c r="AE476" s="114"/>
      <c r="AF476" s="114"/>
      <c r="AG476" s="114"/>
      <c r="AH476" s="114"/>
      <c r="AI476" s="116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  <c r="AT476" s="114"/>
      <c r="AU476" s="114"/>
      <c r="AV476" s="114"/>
      <c r="AW476" s="114"/>
      <c r="AX476" s="114"/>
      <c r="AY476" s="114"/>
      <c r="AZ476" s="114"/>
      <c r="BA476" s="114"/>
      <c r="BB476" s="114"/>
      <c r="BC476" s="114"/>
      <c r="BD476" s="114"/>
      <c r="BE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5"/>
      <c r="Y477" s="114"/>
      <c r="Z477" s="117" t="s">
        <v>6130</v>
      </c>
      <c r="AA477" s="117" t="s">
        <v>3532</v>
      </c>
      <c r="AB477" s="114"/>
      <c r="AC477" s="114"/>
      <c r="AD477" s="114"/>
      <c r="AE477" s="114"/>
      <c r="AF477" s="114"/>
      <c r="AG477" s="114"/>
      <c r="AH477" s="114"/>
      <c r="AI477" s="116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  <c r="AT477" s="114"/>
      <c r="AU477" s="114"/>
      <c r="AV477" s="114"/>
      <c r="AW477" s="114"/>
      <c r="AX477" s="114"/>
      <c r="AY477" s="114"/>
      <c r="AZ477" s="114"/>
      <c r="BA477" s="114"/>
      <c r="BB477" s="114"/>
      <c r="BC477" s="114"/>
      <c r="BD477" s="114"/>
      <c r="BE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5"/>
      <c r="Y478" s="114"/>
      <c r="Z478" s="117" t="s">
        <v>6131</v>
      </c>
      <c r="AA478" s="117" t="s">
        <v>3530</v>
      </c>
      <c r="AB478" s="114"/>
      <c r="AC478" s="114"/>
      <c r="AD478" s="114"/>
      <c r="AE478" s="114"/>
      <c r="AF478" s="114"/>
      <c r="AG478" s="114"/>
      <c r="AH478" s="114"/>
      <c r="AI478" s="116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  <c r="AY478" s="114"/>
      <c r="AZ478" s="114"/>
      <c r="BA478" s="114"/>
      <c r="BB478" s="114"/>
      <c r="BC478" s="114"/>
      <c r="BD478" s="114"/>
      <c r="BE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5"/>
      <c r="Y479" s="114"/>
      <c r="Z479" s="117" t="s">
        <v>6132</v>
      </c>
      <c r="AA479" s="117" t="s">
        <v>3542</v>
      </c>
      <c r="AB479" s="114"/>
      <c r="AC479" s="114"/>
      <c r="AD479" s="114"/>
      <c r="AE479" s="114"/>
      <c r="AF479" s="114"/>
      <c r="AG479" s="114"/>
      <c r="AH479" s="114"/>
      <c r="AI479" s="116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  <c r="AY479" s="114"/>
      <c r="AZ479" s="114"/>
      <c r="BA479" s="114"/>
      <c r="BB479" s="114"/>
      <c r="BC479" s="114"/>
      <c r="BD479" s="114"/>
      <c r="BE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5"/>
      <c r="Y480" s="114"/>
      <c r="Z480" s="117" t="s">
        <v>6133</v>
      </c>
      <c r="AA480" s="117" t="s">
        <v>3544</v>
      </c>
      <c r="AB480" s="114"/>
      <c r="AC480" s="114"/>
      <c r="AD480" s="114"/>
      <c r="AE480" s="114"/>
      <c r="AF480" s="114"/>
      <c r="AG480" s="114"/>
      <c r="AH480" s="114"/>
      <c r="AI480" s="116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  <c r="AT480" s="114"/>
      <c r="AU480" s="114"/>
      <c r="AV480" s="114"/>
      <c r="AW480" s="114"/>
      <c r="AX480" s="114"/>
      <c r="AY480" s="114"/>
      <c r="AZ480" s="114"/>
      <c r="BA480" s="114"/>
      <c r="BB480" s="114"/>
      <c r="BC480" s="114"/>
      <c r="BD480" s="114"/>
      <c r="BE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5"/>
      <c r="Y481" s="114"/>
      <c r="Z481" s="117" t="s">
        <v>6134</v>
      </c>
      <c r="AA481" s="117" t="s">
        <v>3545</v>
      </c>
      <c r="AB481" s="114"/>
      <c r="AC481" s="114"/>
      <c r="AD481" s="114"/>
      <c r="AE481" s="114"/>
      <c r="AF481" s="114"/>
      <c r="AG481" s="114"/>
      <c r="AH481" s="114"/>
      <c r="AI481" s="116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  <c r="AT481" s="114"/>
      <c r="AU481" s="114"/>
      <c r="AV481" s="114"/>
      <c r="AW481" s="114"/>
      <c r="AX481" s="114"/>
      <c r="AY481" s="114"/>
      <c r="AZ481" s="114"/>
      <c r="BA481" s="114"/>
      <c r="BB481" s="114"/>
      <c r="BC481" s="114"/>
      <c r="BD481" s="114"/>
      <c r="BE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5"/>
      <c r="Y482" s="114"/>
      <c r="Z482" s="117" t="s">
        <v>6135</v>
      </c>
      <c r="AA482" s="117" t="s">
        <v>3543</v>
      </c>
      <c r="AB482" s="114"/>
      <c r="AC482" s="114"/>
      <c r="AD482" s="114"/>
      <c r="AE482" s="114"/>
      <c r="AF482" s="114"/>
      <c r="AG482" s="114"/>
      <c r="AH482" s="114"/>
      <c r="AI482" s="116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  <c r="AT482" s="114"/>
      <c r="AU482" s="114"/>
      <c r="AV482" s="114"/>
      <c r="AW482" s="114"/>
      <c r="AX482" s="114"/>
      <c r="AY482" s="114"/>
      <c r="AZ482" s="114"/>
      <c r="BA482" s="114"/>
      <c r="BB482" s="114"/>
      <c r="BC482" s="114"/>
      <c r="BD482" s="114"/>
      <c r="BE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5"/>
      <c r="Y483" s="114"/>
      <c r="Z483" s="117" t="s">
        <v>6136</v>
      </c>
      <c r="AA483" s="117" t="s">
        <v>3555</v>
      </c>
      <c r="AB483" s="114"/>
      <c r="AC483" s="114"/>
      <c r="AD483" s="114"/>
      <c r="AE483" s="114"/>
      <c r="AF483" s="114"/>
      <c r="AG483" s="114"/>
      <c r="AH483" s="114"/>
      <c r="AI483" s="116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  <c r="BA483" s="114"/>
      <c r="BB483" s="114"/>
      <c r="BC483" s="114"/>
      <c r="BD483" s="114"/>
      <c r="BE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5"/>
      <c r="Y484" s="114"/>
      <c r="Z484" s="117" t="s">
        <v>6137</v>
      </c>
      <c r="AA484" s="117" t="s">
        <v>3557</v>
      </c>
      <c r="AB484" s="114"/>
      <c r="AC484" s="114"/>
      <c r="AD484" s="114"/>
      <c r="AE484" s="114"/>
      <c r="AF484" s="114"/>
      <c r="AG484" s="114"/>
      <c r="AH484" s="114"/>
      <c r="AI484" s="116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  <c r="AT484" s="114"/>
      <c r="AU484" s="114"/>
      <c r="AV484" s="114"/>
      <c r="AW484" s="114"/>
      <c r="AX484" s="114"/>
      <c r="AY484" s="114"/>
      <c r="AZ484" s="114"/>
      <c r="BA484" s="114"/>
      <c r="BB484" s="114"/>
      <c r="BC484" s="114"/>
      <c r="BD484" s="114"/>
      <c r="BE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5"/>
      <c r="Y485" s="114"/>
      <c r="Z485" s="117" t="s">
        <v>6138</v>
      </c>
      <c r="AA485" s="117" t="s">
        <v>3558</v>
      </c>
      <c r="AB485" s="114"/>
      <c r="AC485" s="114"/>
      <c r="AD485" s="114"/>
      <c r="AE485" s="114"/>
      <c r="AF485" s="114"/>
      <c r="AG485" s="114"/>
      <c r="AH485" s="114"/>
      <c r="AI485" s="116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  <c r="AT485" s="114"/>
      <c r="AU485" s="114"/>
      <c r="AV485" s="114"/>
      <c r="AW485" s="114"/>
      <c r="AX485" s="114"/>
      <c r="AY485" s="114"/>
      <c r="AZ485" s="114"/>
      <c r="BA485" s="114"/>
      <c r="BB485" s="114"/>
      <c r="BC485" s="114"/>
      <c r="BD485" s="114"/>
      <c r="BE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5"/>
      <c r="Y486" s="114"/>
      <c r="Z486" s="117" t="s">
        <v>6139</v>
      </c>
      <c r="AA486" s="117" t="s">
        <v>3556</v>
      </c>
      <c r="AB486" s="114"/>
      <c r="AC486" s="114"/>
      <c r="AD486" s="114"/>
      <c r="AE486" s="114"/>
      <c r="AF486" s="114"/>
      <c r="AG486" s="114"/>
      <c r="AH486" s="114"/>
      <c r="AI486" s="116"/>
      <c r="AJ486" s="114"/>
      <c r="AK486" s="114"/>
      <c r="AL486" s="114"/>
      <c r="AM486" s="114"/>
      <c r="AN486" s="114"/>
      <c r="AO486" s="114"/>
      <c r="AP486" s="114"/>
      <c r="AQ486" s="114"/>
      <c r="AR486" s="114"/>
      <c r="AS486" s="114"/>
      <c r="AT486" s="114"/>
      <c r="AU486" s="114"/>
      <c r="AV486" s="114"/>
      <c r="AW486" s="114"/>
      <c r="AX486" s="114"/>
      <c r="AY486" s="114"/>
      <c r="AZ486" s="114"/>
      <c r="BA486" s="114"/>
      <c r="BB486" s="114"/>
      <c r="BC486" s="114"/>
      <c r="BD486" s="114"/>
      <c r="BE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5"/>
      <c r="Y487" s="114"/>
      <c r="Z487" s="117" t="s">
        <v>6140</v>
      </c>
      <c r="AA487" s="117" t="s">
        <v>3568</v>
      </c>
      <c r="AB487" s="114"/>
      <c r="AC487" s="114"/>
      <c r="AD487" s="114"/>
      <c r="AE487" s="114"/>
      <c r="AF487" s="114"/>
      <c r="AG487" s="114"/>
      <c r="AH487" s="114"/>
      <c r="AI487" s="116"/>
      <c r="AJ487" s="114"/>
      <c r="AK487" s="114"/>
      <c r="AL487" s="114"/>
      <c r="AM487" s="114"/>
      <c r="AN487" s="114"/>
      <c r="AO487" s="114"/>
      <c r="AP487" s="114"/>
      <c r="AQ487" s="114"/>
      <c r="AR487" s="114"/>
      <c r="AS487" s="114"/>
      <c r="AT487" s="114"/>
      <c r="AU487" s="114"/>
      <c r="AV487" s="114"/>
      <c r="AW487" s="114"/>
      <c r="AX487" s="114"/>
      <c r="AY487" s="114"/>
      <c r="AZ487" s="114"/>
      <c r="BA487" s="114"/>
      <c r="BB487" s="114"/>
      <c r="BC487" s="114"/>
      <c r="BD487" s="114"/>
      <c r="BE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5"/>
      <c r="Y488" s="114"/>
      <c r="Z488" s="117" t="s">
        <v>6141</v>
      </c>
      <c r="AA488" s="117" t="s">
        <v>3570</v>
      </c>
      <c r="AB488" s="114"/>
      <c r="AC488" s="114"/>
      <c r="AD488" s="114"/>
      <c r="AE488" s="114"/>
      <c r="AF488" s="114"/>
      <c r="AG488" s="114"/>
      <c r="AH488" s="114"/>
      <c r="AI488" s="116"/>
      <c r="AJ488" s="114"/>
      <c r="AK488" s="114"/>
      <c r="AL488" s="114"/>
      <c r="AM488" s="114"/>
      <c r="AN488" s="114"/>
      <c r="AO488" s="114"/>
      <c r="AP488" s="114"/>
      <c r="AQ488" s="114"/>
      <c r="AR488" s="114"/>
      <c r="AS488" s="114"/>
      <c r="AT488" s="114"/>
      <c r="AU488" s="114"/>
      <c r="AV488" s="114"/>
      <c r="AW488" s="114"/>
      <c r="AX488" s="114"/>
      <c r="AY488" s="114"/>
      <c r="AZ488" s="114"/>
      <c r="BA488" s="114"/>
      <c r="BB488" s="114"/>
      <c r="BC488" s="114"/>
      <c r="BD488" s="114"/>
      <c r="BE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5"/>
      <c r="Y489" s="114"/>
      <c r="Z489" s="117" t="s">
        <v>6142</v>
      </c>
      <c r="AA489" s="117" t="s">
        <v>3571</v>
      </c>
      <c r="AB489" s="114"/>
      <c r="AC489" s="114"/>
      <c r="AD489" s="114"/>
      <c r="AE489" s="114"/>
      <c r="AF489" s="114"/>
      <c r="AG489" s="114"/>
      <c r="AH489" s="114"/>
      <c r="AI489" s="116"/>
      <c r="AJ489" s="114"/>
      <c r="AK489" s="114"/>
      <c r="AL489" s="114"/>
      <c r="AM489" s="114"/>
      <c r="AN489" s="114"/>
      <c r="AO489" s="114"/>
      <c r="AP489" s="114"/>
      <c r="AQ489" s="114"/>
      <c r="AR489" s="114"/>
      <c r="AS489" s="114"/>
      <c r="AT489" s="114"/>
      <c r="AU489" s="114"/>
      <c r="AV489" s="114"/>
      <c r="AW489" s="114"/>
      <c r="AX489" s="114"/>
      <c r="AY489" s="114"/>
      <c r="AZ489" s="114"/>
      <c r="BA489" s="114"/>
      <c r="BB489" s="114"/>
      <c r="BC489" s="114"/>
      <c r="BD489" s="114"/>
      <c r="BE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5"/>
      <c r="Y490" s="114"/>
      <c r="Z490" s="117" t="s">
        <v>6143</v>
      </c>
      <c r="AA490" s="117" t="s">
        <v>3569</v>
      </c>
      <c r="AB490" s="114"/>
      <c r="AC490" s="114"/>
      <c r="AD490" s="114"/>
      <c r="AE490" s="114"/>
      <c r="AF490" s="114"/>
      <c r="AG490" s="114"/>
      <c r="AH490" s="114"/>
      <c r="AI490" s="116"/>
      <c r="AJ490" s="114"/>
      <c r="AK490" s="114"/>
      <c r="AL490" s="114"/>
      <c r="AM490" s="114"/>
      <c r="AN490" s="114"/>
      <c r="AO490" s="114"/>
      <c r="AP490" s="114"/>
      <c r="AQ490" s="114"/>
      <c r="AR490" s="114"/>
      <c r="AS490" s="114"/>
      <c r="AT490" s="114"/>
      <c r="AU490" s="114"/>
      <c r="AV490" s="114"/>
      <c r="AW490" s="114"/>
      <c r="AX490" s="114"/>
      <c r="AY490" s="114"/>
      <c r="AZ490" s="114"/>
      <c r="BA490" s="114"/>
      <c r="BB490" s="114"/>
      <c r="BC490" s="114"/>
      <c r="BD490" s="114"/>
      <c r="BE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5"/>
      <c r="Y491" s="114"/>
      <c r="Z491" s="117" t="s">
        <v>6144</v>
      </c>
      <c r="AA491" s="117" t="s">
        <v>3581</v>
      </c>
      <c r="AB491" s="114"/>
      <c r="AC491" s="114"/>
      <c r="AD491" s="114"/>
      <c r="AE491" s="114"/>
      <c r="AF491" s="114"/>
      <c r="AG491" s="114"/>
      <c r="AH491" s="114"/>
      <c r="AI491" s="116"/>
      <c r="AJ491" s="114"/>
      <c r="AK491" s="114"/>
      <c r="AL491" s="114"/>
      <c r="AM491" s="114"/>
      <c r="AN491" s="114"/>
      <c r="AO491" s="114"/>
      <c r="AP491" s="114"/>
      <c r="AQ491" s="114"/>
      <c r="AR491" s="114"/>
      <c r="AS491" s="114"/>
      <c r="AT491" s="114"/>
      <c r="AU491" s="114"/>
      <c r="AV491" s="114"/>
      <c r="AW491" s="114"/>
      <c r="AX491" s="114"/>
      <c r="AY491" s="114"/>
      <c r="AZ491" s="114"/>
      <c r="BA491" s="114"/>
      <c r="BB491" s="114"/>
      <c r="BC491" s="114"/>
      <c r="BD491" s="114"/>
      <c r="BE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5"/>
      <c r="Y492" s="114"/>
      <c r="Z492" s="117" t="s">
        <v>6145</v>
      </c>
      <c r="AA492" s="117" t="s">
        <v>3583</v>
      </c>
      <c r="AB492" s="114"/>
      <c r="AC492" s="114"/>
      <c r="AD492" s="114"/>
      <c r="AE492" s="114"/>
      <c r="AF492" s="114"/>
      <c r="AG492" s="114"/>
      <c r="AH492" s="114"/>
      <c r="AI492" s="116"/>
      <c r="AJ492" s="114"/>
      <c r="AK492" s="114"/>
      <c r="AL492" s="114"/>
      <c r="AM492" s="114"/>
      <c r="AN492" s="114"/>
      <c r="AO492" s="114"/>
      <c r="AP492" s="114"/>
      <c r="AQ492" s="114"/>
      <c r="AR492" s="114"/>
      <c r="AS492" s="114"/>
      <c r="AT492" s="114"/>
      <c r="AU492" s="114"/>
      <c r="AV492" s="114"/>
      <c r="AW492" s="114"/>
      <c r="AX492" s="114"/>
      <c r="AY492" s="114"/>
      <c r="AZ492" s="114"/>
      <c r="BA492" s="114"/>
      <c r="BB492" s="114"/>
      <c r="BC492" s="114"/>
      <c r="BD492" s="114"/>
      <c r="BE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5"/>
      <c r="Y493" s="114"/>
      <c r="Z493" s="117" t="s">
        <v>6146</v>
      </c>
      <c r="AA493" s="117" t="s">
        <v>3584</v>
      </c>
      <c r="AB493" s="114"/>
      <c r="AC493" s="114"/>
      <c r="AD493" s="114"/>
      <c r="AE493" s="114"/>
      <c r="AF493" s="114"/>
      <c r="AG493" s="114"/>
      <c r="AH493" s="114"/>
      <c r="AI493" s="116"/>
      <c r="AJ493" s="114"/>
      <c r="AK493" s="114"/>
      <c r="AL493" s="114"/>
      <c r="AM493" s="114"/>
      <c r="AN493" s="114"/>
      <c r="AO493" s="114"/>
      <c r="AP493" s="114"/>
      <c r="AQ493" s="114"/>
      <c r="AR493" s="114"/>
      <c r="AS493" s="114"/>
      <c r="AT493" s="114"/>
      <c r="AU493" s="114"/>
      <c r="AV493" s="114"/>
      <c r="AW493" s="114"/>
      <c r="AX493" s="114"/>
      <c r="AY493" s="114"/>
      <c r="AZ493" s="114"/>
      <c r="BA493" s="114"/>
      <c r="BB493" s="114"/>
      <c r="BC493" s="114"/>
      <c r="BD493" s="114"/>
      <c r="BE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5"/>
      <c r="Y494" s="114"/>
      <c r="Z494" s="117" t="s">
        <v>6147</v>
      </c>
      <c r="AA494" s="117" t="s">
        <v>3582</v>
      </c>
      <c r="AB494" s="114"/>
      <c r="AC494" s="114"/>
      <c r="AD494" s="114"/>
      <c r="AE494" s="114"/>
      <c r="AF494" s="114"/>
      <c r="AG494" s="114"/>
      <c r="AH494" s="114"/>
      <c r="AI494" s="116"/>
      <c r="AJ494" s="114"/>
      <c r="AK494" s="114"/>
      <c r="AL494" s="114"/>
      <c r="AM494" s="114"/>
      <c r="AN494" s="114"/>
      <c r="AO494" s="114"/>
      <c r="AP494" s="114"/>
      <c r="AQ494" s="114"/>
      <c r="AR494" s="114"/>
      <c r="AS494" s="114"/>
      <c r="AT494" s="114"/>
      <c r="AU494" s="114"/>
      <c r="AV494" s="114"/>
      <c r="AW494" s="114"/>
      <c r="AX494" s="114"/>
      <c r="AY494" s="114"/>
      <c r="AZ494" s="114"/>
      <c r="BA494" s="114"/>
      <c r="BB494" s="114"/>
      <c r="BC494" s="114"/>
      <c r="BD494" s="114"/>
      <c r="BE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5"/>
      <c r="Y495" s="114"/>
      <c r="Z495" s="117" t="s">
        <v>6148</v>
      </c>
      <c r="AA495" s="117" t="s">
        <v>3594</v>
      </c>
      <c r="AB495" s="114"/>
      <c r="AC495" s="114"/>
      <c r="AD495" s="114"/>
      <c r="AE495" s="114"/>
      <c r="AF495" s="114"/>
      <c r="AG495" s="114"/>
      <c r="AH495" s="114"/>
      <c r="AI495" s="116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  <c r="AT495" s="114"/>
      <c r="AU495" s="114"/>
      <c r="AV495" s="114"/>
      <c r="AW495" s="114"/>
      <c r="AX495" s="114"/>
      <c r="AY495" s="114"/>
      <c r="AZ495" s="114"/>
      <c r="BA495" s="114"/>
      <c r="BB495" s="114"/>
      <c r="BC495" s="114"/>
      <c r="BD495" s="114"/>
      <c r="BE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5"/>
      <c r="Y496" s="114"/>
      <c r="Z496" s="117" t="s">
        <v>6149</v>
      </c>
      <c r="AA496" s="117" t="s">
        <v>3596</v>
      </c>
      <c r="AB496" s="114"/>
      <c r="AC496" s="114"/>
      <c r="AD496" s="114"/>
      <c r="AE496" s="114"/>
      <c r="AF496" s="114"/>
      <c r="AG496" s="114"/>
      <c r="AH496" s="114"/>
      <c r="AI496" s="116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  <c r="AT496" s="114"/>
      <c r="AU496" s="114"/>
      <c r="AV496" s="114"/>
      <c r="AW496" s="114"/>
      <c r="AX496" s="114"/>
      <c r="AY496" s="114"/>
      <c r="AZ496" s="114"/>
      <c r="BA496" s="114"/>
      <c r="BB496" s="114"/>
      <c r="BC496" s="114"/>
      <c r="BD496" s="114"/>
      <c r="BE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5"/>
      <c r="Y497" s="114"/>
      <c r="Z497" s="117" t="s">
        <v>6150</v>
      </c>
      <c r="AA497" s="117" t="s">
        <v>3597</v>
      </c>
      <c r="AB497" s="114"/>
      <c r="AC497" s="114"/>
      <c r="AD497" s="114"/>
      <c r="AE497" s="114"/>
      <c r="AF497" s="114"/>
      <c r="AG497" s="114"/>
      <c r="AH497" s="114"/>
      <c r="AI497" s="116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  <c r="AT497" s="114"/>
      <c r="AU497" s="114"/>
      <c r="AV497" s="114"/>
      <c r="AW497" s="114"/>
      <c r="AX497" s="114"/>
      <c r="AY497" s="114"/>
      <c r="AZ497" s="114"/>
      <c r="BA497" s="114"/>
      <c r="BB497" s="114"/>
      <c r="BC497" s="114"/>
      <c r="BD497" s="114"/>
      <c r="BE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5"/>
      <c r="Y498" s="114"/>
      <c r="Z498" s="117" t="s">
        <v>6151</v>
      </c>
      <c r="AA498" s="117" t="s">
        <v>3595</v>
      </c>
      <c r="AB498" s="114"/>
      <c r="AC498" s="114"/>
      <c r="AD498" s="114"/>
      <c r="AE498" s="114"/>
      <c r="AF498" s="114"/>
      <c r="AG498" s="114"/>
      <c r="AH498" s="114"/>
      <c r="AI498" s="116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  <c r="AT498" s="114"/>
      <c r="AU498" s="114"/>
      <c r="AV498" s="114"/>
      <c r="AW498" s="114"/>
      <c r="AX498" s="114"/>
      <c r="AY498" s="114"/>
      <c r="AZ498" s="114"/>
      <c r="BA498" s="114"/>
      <c r="BB498" s="114"/>
      <c r="BC498" s="114"/>
      <c r="BD498" s="114"/>
      <c r="BE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5"/>
      <c r="Y499" s="114"/>
      <c r="Z499" s="117" t="s">
        <v>6152</v>
      </c>
      <c r="AA499" s="117" t="s">
        <v>3607</v>
      </c>
      <c r="AB499" s="114"/>
      <c r="AC499" s="114"/>
      <c r="AD499" s="114"/>
      <c r="AE499" s="114"/>
      <c r="AF499" s="114"/>
      <c r="AG499" s="114"/>
      <c r="AH499" s="114"/>
      <c r="AI499" s="116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  <c r="AT499" s="114"/>
      <c r="AU499" s="114"/>
      <c r="AV499" s="114"/>
      <c r="AW499" s="114"/>
      <c r="AX499" s="114"/>
      <c r="AY499" s="114"/>
      <c r="AZ499" s="114"/>
      <c r="BA499" s="114"/>
      <c r="BB499" s="114"/>
      <c r="BC499" s="114"/>
      <c r="BD499" s="114"/>
      <c r="BE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5"/>
      <c r="Y500" s="114"/>
      <c r="Z500" s="117" t="s">
        <v>6153</v>
      </c>
      <c r="AA500" s="117" t="s">
        <v>3609</v>
      </c>
      <c r="AB500" s="114"/>
      <c r="AC500" s="114"/>
      <c r="AD500" s="114"/>
      <c r="AE500" s="114"/>
      <c r="AF500" s="114"/>
      <c r="AG500" s="114"/>
      <c r="AH500" s="114"/>
      <c r="AI500" s="116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4"/>
      <c r="AZ500" s="114"/>
      <c r="BA500" s="114"/>
      <c r="BB500" s="114"/>
      <c r="BC500" s="114"/>
      <c r="BD500" s="114"/>
      <c r="BE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5"/>
      <c r="Y501" s="114"/>
      <c r="Z501" s="117" t="s">
        <v>6154</v>
      </c>
      <c r="AA501" s="117" t="s">
        <v>3610</v>
      </c>
      <c r="AB501" s="114"/>
      <c r="AC501" s="114"/>
      <c r="AD501" s="114"/>
      <c r="AE501" s="114"/>
      <c r="AF501" s="114"/>
      <c r="AG501" s="114"/>
      <c r="AH501" s="114"/>
      <c r="AI501" s="116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  <c r="AT501" s="114"/>
      <c r="AU501" s="114"/>
      <c r="AV501" s="114"/>
      <c r="AW501" s="114"/>
      <c r="AX501" s="114"/>
      <c r="AY501" s="114"/>
      <c r="AZ501" s="114"/>
      <c r="BA501" s="114"/>
      <c r="BB501" s="114"/>
      <c r="BC501" s="114"/>
      <c r="BD501" s="114"/>
      <c r="BE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5"/>
      <c r="Y502" s="114"/>
      <c r="Z502" s="117" t="s">
        <v>6155</v>
      </c>
      <c r="AA502" s="117" t="s">
        <v>3608</v>
      </c>
      <c r="AB502" s="114"/>
      <c r="AC502" s="114"/>
      <c r="AD502" s="114"/>
      <c r="AE502" s="114"/>
      <c r="AF502" s="114"/>
      <c r="AG502" s="114"/>
      <c r="AH502" s="114"/>
      <c r="AI502" s="116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  <c r="AT502" s="114"/>
      <c r="AU502" s="114"/>
      <c r="AV502" s="114"/>
      <c r="AW502" s="114"/>
      <c r="AX502" s="114"/>
      <c r="AY502" s="114"/>
      <c r="AZ502" s="114"/>
      <c r="BA502" s="114"/>
      <c r="BB502" s="114"/>
      <c r="BC502" s="114"/>
      <c r="BD502" s="114"/>
      <c r="BE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5"/>
      <c r="Y503" s="114"/>
      <c r="Z503" s="117" t="s">
        <v>6156</v>
      </c>
      <c r="AA503" s="117" t="s">
        <v>3620</v>
      </c>
      <c r="AB503" s="114"/>
      <c r="AC503" s="114"/>
      <c r="AD503" s="114"/>
      <c r="AE503" s="114"/>
      <c r="AF503" s="114"/>
      <c r="AG503" s="114"/>
      <c r="AH503" s="114"/>
      <c r="AI503" s="116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  <c r="AT503" s="114"/>
      <c r="AU503" s="114"/>
      <c r="AV503" s="114"/>
      <c r="AW503" s="114"/>
      <c r="AX503" s="114"/>
      <c r="AY503" s="114"/>
      <c r="AZ503" s="114"/>
      <c r="BA503" s="114"/>
      <c r="BB503" s="114"/>
      <c r="BC503" s="114"/>
      <c r="BD503" s="114"/>
      <c r="BE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5"/>
      <c r="Y504" s="114"/>
      <c r="Z504" s="117" t="s">
        <v>6157</v>
      </c>
      <c r="AA504" s="117" t="s">
        <v>3622</v>
      </c>
      <c r="AB504" s="114"/>
      <c r="AC504" s="114"/>
      <c r="AD504" s="114"/>
      <c r="AE504" s="114"/>
      <c r="AF504" s="114"/>
      <c r="AG504" s="114"/>
      <c r="AH504" s="114"/>
      <c r="AI504" s="116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  <c r="AT504" s="114"/>
      <c r="AU504" s="114"/>
      <c r="AV504" s="114"/>
      <c r="AW504" s="114"/>
      <c r="AX504" s="114"/>
      <c r="AY504" s="114"/>
      <c r="AZ504" s="114"/>
      <c r="BA504" s="114"/>
      <c r="BB504" s="114"/>
      <c r="BC504" s="114"/>
      <c r="BD504" s="114"/>
      <c r="BE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5"/>
      <c r="Y505" s="114"/>
      <c r="Z505" s="117" t="s">
        <v>6158</v>
      </c>
      <c r="AA505" s="117" t="s">
        <v>3623</v>
      </c>
      <c r="AB505" s="114"/>
      <c r="AC505" s="114"/>
      <c r="AD505" s="114"/>
      <c r="AE505" s="114"/>
      <c r="AF505" s="114"/>
      <c r="AG505" s="114"/>
      <c r="AH505" s="114"/>
      <c r="AI505" s="116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  <c r="AT505" s="114"/>
      <c r="AU505" s="114"/>
      <c r="AV505" s="114"/>
      <c r="AW505" s="114"/>
      <c r="AX505" s="114"/>
      <c r="AY505" s="114"/>
      <c r="AZ505" s="114"/>
      <c r="BA505" s="114"/>
      <c r="BB505" s="114"/>
      <c r="BC505" s="114"/>
      <c r="BD505" s="114"/>
      <c r="BE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5"/>
      <c r="Y506" s="114"/>
      <c r="Z506" s="117" t="s">
        <v>6159</v>
      </c>
      <c r="AA506" s="117" t="s">
        <v>3621</v>
      </c>
      <c r="AB506" s="114"/>
      <c r="AC506" s="114"/>
      <c r="AD506" s="114"/>
      <c r="AE506" s="114"/>
      <c r="AF506" s="114"/>
      <c r="AG506" s="114"/>
      <c r="AH506" s="114"/>
      <c r="AI506" s="116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  <c r="AT506" s="114"/>
      <c r="AU506" s="114"/>
      <c r="AV506" s="114"/>
      <c r="AW506" s="114"/>
      <c r="AX506" s="114"/>
      <c r="AY506" s="114"/>
      <c r="AZ506" s="114"/>
      <c r="BA506" s="114"/>
      <c r="BB506" s="114"/>
      <c r="BC506" s="114"/>
      <c r="BD506" s="114"/>
      <c r="BE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5"/>
      <c r="Y507" s="114"/>
      <c r="Z507" s="117" t="s">
        <v>6160</v>
      </c>
      <c r="AA507" s="117" t="s">
        <v>3633</v>
      </c>
      <c r="AB507" s="114"/>
      <c r="AC507" s="114"/>
      <c r="AD507" s="114"/>
      <c r="AE507" s="114"/>
      <c r="AF507" s="114"/>
      <c r="AG507" s="114"/>
      <c r="AH507" s="114"/>
      <c r="AI507" s="116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  <c r="AT507" s="114"/>
      <c r="AU507" s="114"/>
      <c r="AV507" s="114"/>
      <c r="AW507" s="114"/>
      <c r="AX507" s="114"/>
      <c r="AY507" s="114"/>
      <c r="AZ507" s="114"/>
      <c r="BA507" s="114"/>
      <c r="BB507" s="114"/>
      <c r="BC507" s="114"/>
      <c r="BD507" s="114"/>
      <c r="BE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5"/>
      <c r="Y508" s="114"/>
      <c r="Z508" s="117" t="s">
        <v>6161</v>
      </c>
      <c r="AA508" s="117" t="s">
        <v>3635</v>
      </c>
      <c r="AB508" s="114"/>
      <c r="AC508" s="114"/>
      <c r="AD508" s="114"/>
      <c r="AE508" s="114"/>
      <c r="AF508" s="114"/>
      <c r="AG508" s="114"/>
      <c r="AH508" s="114"/>
      <c r="AI508" s="116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  <c r="AT508" s="114"/>
      <c r="AU508" s="114"/>
      <c r="AV508" s="114"/>
      <c r="AW508" s="114"/>
      <c r="AX508" s="114"/>
      <c r="AY508" s="114"/>
      <c r="AZ508" s="114"/>
      <c r="BA508" s="114"/>
      <c r="BB508" s="114"/>
      <c r="BC508" s="114"/>
      <c r="BD508" s="114"/>
      <c r="BE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5"/>
      <c r="Y509" s="114"/>
      <c r="Z509" s="117" t="s">
        <v>6162</v>
      </c>
      <c r="AA509" s="117" t="s">
        <v>3636</v>
      </c>
      <c r="AB509" s="114"/>
      <c r="AC509" s="114"/>
      <c r="AD509" s="114"/>
      <c r="AE509" s="114"/>
      <c r="AF509" s="114"/>
      <c r="AG509" s="114"/>
      <c r="AH509" s="114"/>
      <c r="AI509" s="116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  <c r="AT509" s="114"/>
      <c r="AU509" s="114"/>
      <c r="AV509" s="114"/>
      <c r="AW509" s="114"/>
      <c r="AX509" s="114"/>
      <c r="AY509" s="114"/>
      <c r="AZ509" s="114"/>
      <c r="BA509" s="114"/>
      <c r="BB509" s="114"/>
      <c r="BC509" s="114"/>
      <c r="BD509" s="114"/>
      <c r="BE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5"/>
      <c r="Y510" s="114"/>
      <c r="Z510" s="117" t="s">
        <v>6163</v>
      </c>
      <c r="AA510" s="117" t="s">
        <v>3634</v>
      </c>
      <c r="AB510" s="114"/>
      <c r="AC510" s="114"/>
      <c r="AD510" s="114"/>
      <c r="AE510" s="114"/>
      <c r="AF510" s="114"/>
      <c r="AG510" s="114"/>
      <c r="AH510" s="114"/>
      <c r="AI510" s="116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  <c r="AT510" s="114"/>
      <c r="AU510" s="114"/>
      <c r="AV510" s="114"/>
      <c r="AW510" s="114"/>
      <c r="AX510" s="114"/>
      <c r="AY510" s="114"/>
      <c r="AZ510" s="114"/>
      <c r="BA510" s="114"/>
      <c r="BB510" s="114"/>
      <c r="BC510" s="114"/>
      <c r="BD510" s="114"/>
      <c r="BE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5"/>
      <c r="Y511" s="114"/>
      <c r="Z511" s="117" t="s">
        <v>6164</v>
      </c>
      <c r="AA511" s="117" t="s">
        <v>3646</v>
      </c>
      <c r="AB511" s="114"/>
      <c r="AC511" s="114"/>
      <c r="AD511" s="114"/>
      <c r="AE511" s="114"/>
      <c r="AF511" s="114"/>
      <c r="AG511" s="114"/>
      <c r="AH511" s="114"/>
      <c r="AI511" s="116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  <c r="AT511" s="114"/>
      <c r="AU511" s="114"/>
      <c r="AV511" s="114"/>
      <c r="AW511" s="114"/>
      <c r="AX511" s="114"/>
      <c r="AY511" s="114"/>
      <c r="AZ511" s="114"/>
      <c r="BA511" s="114"/>
      <c r="BB511" s="114"/>
      <c r="BC511" s="114"/>
      <c r="BD511" s="114"/>
      <c r="BE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5"/>
      <c r="Y512" s="114"/>
      <c r="Z512" s="117" t="s">
        <v>6165</v>
      </c>
      <c r="AA512" s="117" t="s">
        <v>3648</v>
      </c>
      <c r="AB512" s="114"/>
      <c r="AC512" s="114"/>
      <c r="AD512" s="114"/>
      <c r="AE512" s="114"/>
      <c r="AF512" s="114"/>
      <c r="AG512" s="114"/>
      <c r="AH512" s="114"/>
      <c r="AI512" s="116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  <c r="AT512" s="114"/>
      <c r="AU512" s="114"/>
      <c r="AV512" s="114"/>
      <c r="AW512" s="114"/>
      <c r="AX512" s="114"/>
      <c r="AY512" s="114"/>
      <c r="AZ512" s="114"/>
      <c r="BA512" s="114"/>
      <c r="BB512" s="114"/>
      <c r="BC512" s="114"/>
      <c r="BD512" s="114"/>
      <c r="BE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5"/>
      <c r="Y513" s="114"/>
      <c r="Z513" s="117" t="s">
        <v>6166</v>
      </c>
      <c r="AA513" s="117" t="s">
        <v>3649</v>
      </c>
      <c r="AB513" s="114"/>
      <c r="AC513" s="114"/>
      <c r="AD513" s="114"/>
      <c r="AE513" s="114"/>
      <c r="AF513" s="114"/>
      <c r="AG513" s="114"/>
      <c r="AH513" s="114"/>
      <c r="AI513" s="116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  <c r="AT513" s="114"/>
      <c r="AU513" s="114"/>
      <c r="AV513" s="114"/>
      <c r="AW513" s="114"/>
      <c r="AX513" s="114"/>
      <c r="AY513" s="114"/>
      <c r="AZ513" s="114"/>
      <c r="BA513" s="114"/>
      <c r="BB513" s="114"/>
      <c r="BC513" s="114"/>
      <c r="BD513" s="114"/>
      <c r="BE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5"/>
      <c r="Y514" s="114"/>
      <c r="Z514" s="117" t="s">
        <v>6167</v>
      </c>
      <c r="AA514" s="117" t="s">
        <v>3647</v>
      </c>
      <c r="AB514" s="114"/>
      <c r="AC514" s="114"/>
      <c r="AD514" s="114"/>
      <c r="AE514" s="114"/>
      <c r="AF514" s="114"/>
      <c r="AG514" s="114"/>
      <c r="AH514" s="114"/>
      <c r="AI514" s="116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  <c r="AT514" s="114"/>
      <c r="AU514" s="114"/>
      <c r="AV514" s="114"/>
      <c r="AW514" s="114"/>
      <c r="AX514" s="114"/>
      <c r="AY514" s="114"/>
      <c r="AZ514" s="114"/>
      <c r="BA514" s="114"/>
      <c r="BB514" s="114"/>
      <c r="BC514" s="114"/>
      <c r="BD514" s="114"/>
      <c r="BE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5"/>
      <c r="Y515" s="114"/>
      <c r="Z515" s="117" t="s">
        <v>6168</v>
      </c>
      <c r="AA515" s="117" t="s">
        <v>3659</v>
      </c>
      <c r="AB515" s="114"/>
      <c r="AC515" s="114"/>
      <c r="AD515" s="114"/>
      <c r="AE515" s="114"/>
      <c r="AF515" s="114"/>
      <c r="AG515" s="114"/>
      <c r="AH515" s="114"/>
      <c r="AI515" s="116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  <c r="AT515" s="114"/>
      <c r="AU515" s="114"/>
      <c r="AV515" s="114"/>
      <c r="AW515" s="114"/>
      <c r="AX515" s="114"/>
      <c r="AY515" s="114"/>
      <c r="AZ515" s="114"/>
      <c r="BA515" s="114"/>
      <c r="BB515" s="114"/>
      <c r="BC515" s="114"/>
      <c r="BD515" s="114"/>
      <c r="BE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5"/>
      <c r="Y516" s="114"/>
      <c r="Z516" s="117" t="s">
        <v>6169</v>
      </c>
      <c r="AA516" s="117" t="s">
        <v>3661</v>
      </c>
      <c r="AB516" s="114"/>
      <c r="AC516" s="114"/>
      <c r="AD516" s="114"/>
      <c r="AE516" s="114"/>
      <c r="AF516" s="114"/>
      <c r="AG516" s="114"/>
      <c r="AH516" s="114"/>
      <c r="AI516" s="116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  <c r="AT516" s="114"/>
      <c r="AU516" s="114"/>
      <c r="AV516" s="114"/>
      <c r="AW516" s="114"/>
      <c r="AX516" s="114"/>
      <c r="AY516" s="114"/>
      <c r="AZ516" s="114"/>
      <c r="BA516" s="114"/>
      <c r="BB516" s="114"/>
      <c r="BC516" s="114"/>
      <c r="BD516" s="114"/>
      <c r="BE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5"/>
      <c r="Y517" s="114"/>
      <c r="Z517" s="117" t="s">
        <v>6170</v>
      </c>
      <c r="AA517" s="117" t="s">
        <v>3662</v>
      </c>
      <c r="AB517" s="114"/>
      <c r="AC517" s="114"/>
      <c r="AD517" s="114"/>
      <c r="AE517" s="114"/>
      <c r="AF517" s="114"/>
      <c r="AG517" s="114"/>
      <c r="AH517" s="114"/>
      <c r="AI517" s="116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  <c r="AT517" s="114"/>
      <c r="AU517" s="114"/>
      <c r="AV517" s="114"/>
      <c r="AW517" s="114"/>
      <c r="AX517" s="114"/>
      <c r="AY517" s="114"/>
      <c r="AZ517" s="114"/>
      <c r="BA517" s="114"/>
      <c r="BB517" s="114"/>
      <c r="BC517" s="114"/>
      <c r="BD517" s="114"/>
      <c r="BE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5"/>
      <c r="Y518" s="114"/>
      <c r="Z518" s="117" t="s">
        <v>6171</v>
      </c>
      <c r="AA518" s="117" t="s">
        <v>3660</v>
      </c>
      <c r="AB518" s="114"/>
      <c r="AC518" s="114"/>
      <c r="AD518" s="114"/>
      <c r="AE518" s="114"/>
      <c r="AF518" s="114"/>
      <c r="AG518" s="114"/>
      <c r="AH518" s="114"/>
      <c r="AI518" s="116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  <c r="AT518" s="114"/>
      <c r="AU518" s="114"/>
      <c r="AV518" s="114"/>
      <c r="AW518" s="114"/>
      <c r="AX518" s="114"/>
      <c r="AY518" s="114"/>
      <c r="AZ518" s="114"/>
      <c r="BA518" s="114"/>
      <c r="BB518" s="114"/>
      <c r="BC518" s="114"/>
      <c r="BD518" s="114"/>
      <c r="BE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5"/>
      <c r="Y519" s="114"/>
      <c r="Z519" s="117" t="s">
        <v>6172</v>
      </c>
      <c r="AA519" s="117" t="s">
        <v>3672</v>
      </c>
      <c r="AB519" s="114"/>
      <c r="AC519" s="114"/>
      <c r="AD519" s="114"/>
      <c r="AE519" s="114"/>
      <c r="AF519" s="114"/>
      <c r="AG519" s="114"/>
      <c r="AH519" s="114"/>
      <c r="AI519" s="116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  <c r="AT519" s="114"/>
      <c r="AU519" s="114"/>
      <c r="AV519" s="114"/>
      <c r="AW519" s="114"/>
      <c r="AX519" s="114"/>
      <c r="AY519" s="114"/>
      <c r="AZ519" s="114"/>
      <c r="BA519" s="114"/>
      <c r="BB519" s="114"/>
      <c r="BC519" s="114"/>
      <c r="BD519" s="114"/>
      <c r="BE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5"/>
      <c r="Y520" s="114"/>
      <c r="Z520" s="117" t="s">
        <v>6173</v>
      </c>
      <c r="AA520" s="117" t="s">
        <v>3674</v>
      </c>
      <c r="AB520" s="114"/>
      <c r="AC520" s="114"/>
      <c r="AD520" s="114"/>
      <c r="AE520" s="114"/>
      <c r="AF520" s="114"/>
      <c r="AG520" s="114"/>
      <c r="AH520" s="114"/>
      <c r="AI520" s="116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  <c r="AT520" s="114"/>
      <c r="AU520" s="114"/>
      <c r="AV520" s="114"/>
      <c r="AW520" s="114"/>
      <c r="AX520" s="114"/>
      <c r="AY520" s="114"/>
      <c r="AZ520" s="114"/>
      <c r="BA520" s="114"/>
      <c r="BB520" s="114"/>
      <c r="BC520" s="114"/>
      <c r="BD520" s="114"/>
      <c r="BE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5"/>
      <c r="Y521" s="114"/>
      <c r="Z521" s="117" t="s">
        <v>6174</v>
      </c>
      <c r="AA521" s="117" t="s">
        <v>3675</v>
      </c>
      <c r="AB521" s="114"/>
      <c r="AC521" s="114"/>
      <c r="AD521" s="114"/>
      <c r="AE521" s="114"/>
      <c r="AF521" s="114"/>
      <c r="AG521" s="114"/>
      <c r="AH521" s="114"/>
      <c r="AI521" s="116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  <c r="AT521" s="114"/>
      <c r="AU521" s="114"/>
      <c r="AV521" s="114"/>
      <c r="AW521" s="114"/>
      <c r="AX521" s="114"/>
      <c r="AY521" s="114"/>
      <c r="AZ521" s="114"/>
      <c r="BA521" s="114"/>
      <c r="BB521" s="114"/>
      <c r="BC521" s="114"/>
      <c r="BD521" s="114"/>
      <c r="BE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5"/>
      <c r="Y522" s="114"/>
      <c r="Z522" s="117" t="s">
        <v>6175</v>
      </c>
      <c r="AA522" s="117" t="s">
        <v>3673</v>
      </c>
      <c r="AB522" s="114"/>
      <c r="AC522" s="114"/>
      <c r="AD522" s="114"/>
      <c r="AE522" s="114"/>
      <c r="AF522" s="114"/>
      <c r="AG522" s="114"/>
      <c r="AH522" s="114"/>
      <c r="AI522" s="116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  <c r="AT522" s="114"/>
      <c r="AU522" s="114"/>
      <c r="AV522" s="114"/>
      <c r="AW522" s="114"/>
      <c r="AX522" s="114"/>
      <c r="AY522" s="114"/>
      <c r="AZ522" s="114"/>
      <c r="BA522" s="114"/>
      <c r="BB522" s="114"/>
      <c r="BC522" s="114"/>
      <c r="BD522" s="114"/>
      <c r="BE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5"/>
      <c r="Y523" s="114"/>
      <c r="Z523" s="117" t="s">
        <v>6176</v>
      </c>
      <c r="AA523" s="117" t="s">
        <v>3685</v>
      </c>
      <c r="AB523" s="114"/>
      <c r="AC523" s="114"/>
      <c r="AD523" s="114"/>
      <c r="AE523" s="114"/>
      <c r="AF523" s="114"/>
      <c r="AG523" s="114"/>
      <c r="AH523" s="114"/>
      <c r="AI523" s="116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  <c r="AT523" s="114"/>
      <c r="AU523" s="114"/>
      <c r="AV523" s="114"/>
      <c r="AW523" s="114"/>
      <c r="AX523" s="114"/>
      <c r="AY523" s="114"/>
      <c r="AZ523" s="114"/>
      <c r="BA523" s="114"/>
      <c r="BB523" s="114"/>
      <c r="BC523" s="114"/>
      <c r="BD523" s="114"/>
      <c r="BE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5"/>
      <c r="Y524" s="114"/>
      <c r="Z524" s="117" t="s">
        <v>6177</v>
      </c>
      <c r="AA524" s="117" t="s">
        <v>3687</v>
      </c>
      <c r="AB524" s="114"/>
      <c r="AC524" s="114"/>
      <c r="AD524" s="114"/>
      <c r="AE524" s="114"/>
      <c r="AF524" s="114"/>
      <c r="AG524" s="114"/>
      <c r="AH524" s="114"/>
      <c r="AI524" s="116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  <c r="AT524" s="114"/>
      <c r="AU524" s="114"/>
      <c r="AV524" s="114"/>
      <c r="AW524" s="114"/>
      <c r="AX524" s="114"/>
      <c r="AY524" s="114"/>
      <c r="AZ524" s="114"/>
      <c r="BA524" s="114"/>
      <c r="BB524" s="114"/>
      <c r="BC524" s="114"/>
      <c r="BD524" s="114"/>
      <c r="BE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5"/>
      <c r="Y525" s="114"/>
      <c r="Z525" s="117" t="s">
        <v>6178</v>
      </c>
      <c r="AA525" s="117" t="s">
        <v>3688</v>
      </c>
      <c r="AB525" s="114"/>
      <c r="AC525" s="114"/>
      <c r="AD525" s="114"/>
      <c r="AE525" s="114"/>
      <c r="AF525" s="114"/>
      <c r="AG525" s="114"/>
      <c r="AH525" s="114"/>
      <c r="AI525" s="116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  <c r="AT525" s="114"/>
      <c r="AU525" s="114"/>
      <c r="AV525" s="114"/>
      <c r="AW525" s="114"/>
      <c r="AX525" s="114"/>
      <c r="AY525" s="114"/>
      <c r="AZ525" s="114"/>
      <c r="BA525" s="114"/>
      <c r="BB525" s="114"/>
      <c r="BC525" s="114"/>
      <c r="BD525" s="114"/>
      <c r="BE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5"/>
      <c r="Y526" s="114"/>
      <c r="Z526" s="117" t="s">
        <v>6179</v>
      </c>
      <c r="AA526" s="117" t="s">
        <v>3686</v>
      </c>
      <c r="AB526" s="114"/>
      <c r="AC526" s="114"/>
      <c r="AD526" s="114"/>
      <c r="AE526" s="114"/>
      <c r="AF526" s="114"/>
      <c r="AG526" s="114"/>
      <c r="AH526" s="114"/>
      <c r="AI526" s="116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  <c r="AT526" s="114"/>
      <c r="AU526" s="114"/>
      <c r="AV526" s="114"/>
      <c r="AW526" s="114"/>
      <c r="AX526" s="114"/>
      <c r="AY526" s="114"/>
      <c r="AZ526" s="114"/>
      <c r="BA526" s="114"/>
      <c r="BB526" s="114"/>
      <c r="BC526" s="114"/>
      <c r="BD526" s="114"/>
      <c r="BE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5"/>
      <c r="Y527" s="114"/>
      <c r="Z527" s="117" t="s">
        <v>6180</v>
      </c>
      <c r="AA527" s="117" t="s">
        <v>3698</v>
      </c>
      <c r="AB527" s="114"/>
      <c r="AC527" s="114"/>
      <c r="AD527" s="114"/>
      <c r="AE527" s="114"/>
      <c r="AF527" s="114"/>
      <c r="AG527" s="114"/>
      <c r="AH527" s="114"/>
      <c r="AI527" s="116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  <c r="AT527" s="114"/>
      <c r="AU527" s="114"/>
      <c r="AV527" s="114"/>
      <c r="AW527" s="114"/>
      <c r="AX527" s="114"/>
      <c r="AY527" s="114"/>
      <c r="AZ527" s="114"/>
      <c r="BA527" s="114"/>
      <c r="BB527" s="114"/>
      <c r="BC527" s="114"/>
      <c r="BD527" s="114"/>
      <c r="BE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5"/>
      <c r="Y528" s="114"/>
      <c r="Z528" s="117" t="s">
        <v>6181</v>
      </c>
      <c r="AA528" s="117" t="s">
        <v>3700</v>
      </c>
      <c r="AB528" s="114"/>
      <c r="AC528" s="114"/>
      <c r="AD528" s="114"/>
      <c r="AE528" s="114"/>
      <c r="AF528" s="114"/>
      <c r="AG528" s="114"/>
      <c r="AH528" s="114"/>
      <c r="AI528" s="116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  <c r="AT528" s="114"/>
      <c r="AU528" s="114"/>
      <c r="AV528" s="114"/>
      <c r="AW528" s="114"/>
      <c r="AX528" s="114"/>
      <c r="AY528" s="114"/>
      <c r="AZ528" s="114"/>
      <c r="BA528" s="114"/>
      <c r="BB528" s="114"/>
      <c r="BC528" s="114"/>
      <c r="BD528" s="114"/>
      <c r="BE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5"/>
      <c r="Y529" s="114"/>
      <c r="Z529" s="117" t="s">
        <v>6182</v>
      </c>
      <c r="AA529" s="117" t="s">
        <v>3701</v>
      </c>
      <c r="AB529" s="114"/>
      <c r="AC529" s="114"/>
      <c r="AD529" s="114"/>
      <c r="AE529" s="114"/>
      <c r="AF529" s="114"/>
      <c r="AG529" s="114"/>
      <c r="AH529" s="114"/>
      <c r="AI529" s="116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  <c r="AT529" s="114"/>
      <c r="AU529" s="114"/>
      <c r="AV529" s="114"/>
      <c r="AW529" s="114"/>
      <c r="AX529" s="114"/>
      <c r="AY529" s="114"/>
      <c r="AZ529" s="114"/>
      <c r="BA529" s="114"/>
      <c r="BB529" s="114"/>
      <c r="BC529" s="114"/>
      <c r="BD529" s="114"/>
      <c r="BE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5"/>
      <c r="Y530" s="114"/>
      <c r="Z530" s="117" t="s">
        <v>6183</v>
      </c>
      <c r="AA530" s="117" t="s">
        <v>3699</v>
      </c>
      <c r="AB530" s="114"/>
      <c r="AC530" s="114"/>
      <c r="AD530" s="114"/>
      <c r="AE530" s="114"/>
      <c r="AF530" s="114"/>
      <c r="AG530" s="114"/>
      <c r="AH530" s="114"/>
      <c r="AI530" s="116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  <c r="AT530" s="114"/>
      <c r="AU530" s="114"/>
      <c r="AV530" s="114"/>
      <c r="AW530" s="114"/>
      <c r="AX530" s="114"/>
      <c r="AY530" s="114"/>
      <c r="AZ530" s="114"/>
      <c r="BA530" s="114"/>
      <c r="BB530" s="114"/>
      <c r="BC530" s="114"/>
      <c r="BD530" s="114"/>
      <c r="BE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5"/>
      <c r="Y531" s="114"/>
      <c r="Z531" s="117" t="s">
        <v>6184</v>
      </c>
      <c r="AA531" s="117" t="s">
        <v>3711</v>
      </c>
      <c r="AB531" s="114"/>
      <c r="AC531" s="114"/>
      <c r="AD531" s="114"/>
      <c r="AE531" s="114"/>
      <c r="AF531" s="114"/>
      <c r="AG531" s="114"/>
      <c r="AH531" s="114"/>
      <c r="AI531" s="116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  <c r="AT531" s="114"/>
      <c r="AU531" s="114"/>
      <c r="AV531" s="114"/>
      <c r="AW531" s="114"/>
      <c r="AX531" s="114"/>
      <c r="AY531" s="114"/>
      <c r="AZ531" s="114"/>
      <c r="BA531" s="114"/>
      <c r="BB531" s="114"/>
      <c r="BC531" s="114"/>
      <c r="BD531" s="114"/>
      <c r="BE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5"/>
      <c r="Y532" s="114"/>
      <c r="Z532" s="117" t="s">
        <v>6185</v>
      </c>
      <c r="AA532" s="117" t="s">
        <v>3713</v>
      </c>
      <c r="AB532" s="114"/>
      <c r="AC532" s="114"/>
      <c r="AD532" s="114"/>
      <c r="AE532" s="114"/>
      <c r="AF532" s="114"/>
      <c r="AG532" s="114"/>
      <c r="AH532" s="114"/>
      <c r="AI532" s="116"/>
      <c r="AJ532" s="114"/>
      <c r="AK532" s="114"/>
      <c r="AL532" s="114"/>
      <c r="AM532" s="114"/>
      <c r="AN532" s="114"/>
      <c r="AO532" s="114"/>
      <c r="AP532" s="114"/>
      <c r="AQ532" s="114"/>
      <c r="AR532" s="114"/>
      <c r="AS532" s="114"/>
      <c r="AT532" s="114"/>
      <c r="AU532" s="114"/>
      <c r="AV532" s="114"/>
      <c r="AW532" s="114"/>
      <c r="AX532" s="114"/>
      <c r="AY532" s="114"/>
      <c r="AZ532" s="114"/>
      <c r="BA532" s="114"/>
      <c r="BB532" s="114"/>
      <c r="BC532" s="114"/>
      <c r="BD532" s="114"/>
      <c r="BE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5"/>
      <c r="Y533" s="114"/>
      <c r="Z533" s="117" t="s">
        <v>6186</v>
      </c>
      <c r="AA533" s="117" t="s">
        <v>3714</v>
      </c>
      <c r="AB533" s="114"/>
      <c r="AC533" s="114"/>
      <c r="AD533" s="114"/>
      <c r="AE533" s="114"/>
      <c r="AF533" s="114"/>
      <c r="AG533" s="114"/>
      <c r="AH533" s="114"/>
      <c r="AI533" s="116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  <c r="AT533" s="114"/>
      <c r="AU533" s="114"/>
      <c r="AV533" s="114"/>
      <c r="AW533" s="114"/>
      <c r="AX533" s="114"/>
      <c r="AY533" s="114"/>
      <c r="AZ533" s="114"/>
      <c r="BA533" s="114"/>
      <c r="BB533" s="114"/>
      <c r="BC533" s="114"/>
      <c r="BD533" s="114"/>
      <c r="BE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5"/>
      <c r="Y534" s="114"/>
      <c r="Z534" s="117" t="s">
        <v>6187</v>
      </c>
      <c r="AA534" s="117" t="s">
        <v>3712</v>
      </c>
      <c r="AB534" s="114"/>
      <c r="AC534" s="114"/>
      <c r="AD534" s="114"/>
      <c r="AE534" s="114"/>
      <c r="AF534" s="114"/>
      <c r="AG534" s="114"/>
      <c r="AH534" s="114"/>
      <c r="AI534" s="116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  <c r="AT534" s="114"/>
      <c r="AU534" s="114"/>
      <c r="AV534" s="114"/>
      <c r="AW534" s="114"/>
      <c r="AX534" s="114"/>
      <c r="AY534" s="114"/>
      <c r="AZ534" s="114"/>
      <c r="BA534" s="114"/>
      <c r="BB534" s="114"/>
      <c r="BC534" s="114"/>
      <c r="BD534" s="114"/>
      <c r="BE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5"/>
      <c r="Y535" s="114"/>
      <c r="Z535" s="117" t="s">
        <v>6188</v>
      </c>
      <c r="AA535" s="117" t="s">
        <v>3724</v>
      </c>
      <c r="AB535" s="114"/>
      <c r="AC535" s="114"/>
      <c r="AD535" s="114"/>
      <c r="AE535" s="114"/>
      <c r="AF535" s="114"/>
      <c r="AG535" s="114"/>
      <c r="AH535" s="114"/>
      <c r="AI535" s="116"/>
      <c r="AJ535" s="114"/>
      <c r="AK535" s="114"/>
      <c r="AL535" s="114"/>
      <c r="AM535" s="114"/>
      <c r="AN535" s="114"/>
      <c r="AO535" s="114"/>
      <c r="AP535" s="114"/>
      <c r="AQ535" s="114"/>
      <c r="AR535" s="114"/>
      <c r="AS535" s="114"/>
      <c r="AT535" s="114"/>
      <c r="AU535" s="114"/>
      <c r="AV535" s="114"/>
      <c r="AW535" s="114"/>
      <c r="AX535" s="114"/>
      <c r="AY535" s="114"/>
      <c r="AZ535" s="114"/>
      <c r="BA535" s="114"/>
      <c r="BB535" s="114"/>
      <c r="BC535" s="114"/>
      <c r="BD535" s="114"/>
      <c r="BE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5"/>
      <c r="Y536" s="114"/>
      <c r="Z536" s="117" t="s">
        <v>6189</v>
      </c>
      <c r="AA536" s="117" t="s">
        <v>3726</v>
      </c>
      <c r="AB536" s="114"/>
      <c r="AC536" s="114"/>
      <c r="AD536" s="114"/>
      <c r="AE536" s="114"/>
      <c r="AF536" s="114"/>
      <c r="AG536" s="114"/>
      <c r="AH536" s="114"/>
      <c r="AI536" s="116"/>
      <c r="AJ536" s="114"/>
      <c r="AK536" s="114"/>
      <c r="AL536" s="114"/>
      <c r="AM536" s="114"/>
      <c r="AN536" s="114"/>
      <c r="AO536" s="114"/>
      <c r="AP536" s="114"/>
      <c r="AQ536" s="114"/>
      <c r="AR536" s="114"/>
      <c r="AS536" s="114"/>
      <c r="AT536" s="114"/>
      <c r="AU536" s="114"/>
      <c r="AV536" s="114"/>
      <c r="AW536" s="114"/>
      <c r="AX536" s="114"/>
      <c r="AY536" s="114"/>
      <c r="AZ536" s="114"/>
      <c r="BA536" s="114"/>
      <c r="BB536" s="114"/>
      <c r="BC536" s="114"/>
      <c r="BD536" s="114"/>
      <c r="BE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5"/>
      <c r="Y537" s="114"/>
      <c r="Z537" s="117" t="s">
        <v>6190</v>
      </c>
      <c r="AA537" s="117" t="s">
        <v>3727</v>
      </c>
      <c r="AB537" s="114"/>
      <c r="AC537" s="114"/>
      <c r="AD537" s="114"/>
      <c r="AE537" s="114"/>
      <c r="AF537" s="114"/>
      <c r="AG537" s="114"/>
      <c r="AH537" s="114"/>
      <c r="AI537" s="116"/>
      <c r="AJ537" s="114"/>
      <c r="AK537" s="114"/>
      <c r="AL537" s="114"/>
      <c r="AM537" s="114"/>
      <c r="AN537" s="114"/>
      <c r="AO537" s="114"/>
      <c r="AP537" s="114"/>
      <c r="AQ537" s="114"/>
      <c r="AR537" s="114"/>
      <c r="AS537" s="114"/>
      <c r="AT537" s="114"/>
      <c r="AU537" s="114"/>
      <c r="AV537" s="114"/>
      <c r="AW537" s="114"/>
      <c r="AX537" s="114"/>
      <c r="AY537" s="114"/>
      <c r="AZ537" s="114"/>
      <c r="BA537" s="114"/>
      <c r="BB537" s="114"/>
      <c r="BC537" s="114"/>
      <c r="BD537" s="114"/>
      <c r="BE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5"/>
      <c r="Y538" s="114"/>
      <c r="Z538" s="117" t="s">
        <v>6191</v>
      </c>
      <c r="AA538" s="117" t="s">
        <v>3725</v>
      </c>
      <c r="AB538" s="114"/>
      <c r="AC538" s="114"/>
      <c r="AD538" s="114"/>
      <c r="AE538" s="114"/>
      <c r="AF538" s="114"/>
      <c r="AG538" s="114"/>
      <c r="AH538" s="114"/>
      <c r="AI538" s="116"/>
      <c r="AJ538" s="114"/>
      <c r="AK538" s="114"/>
      <c r="AL538" s="114"/>
      <c r="AM538" s="114"/>
      <c r="AN538" s="114"/>
      <c r="AO538" s="114"/>
      <c r="AP538" s="114"/>
      <c r="AQ538" s="114"/>
      <c r="AR538" s="114"/>
      <c r="AS538" s="114"/>
      <c r="AT538" s="114"/>
      <c r="AU538" s="114"/>
      <c r="AV538" s="114"/>
      <c r="AW538" s="114"/>
      <c r="AX538" s="114"/>
      <c r="AY538" s="114"/>
      <c r="AZ538" s="114"/>
      <c r="BA538" s="114"/>
      <c r="BB538" s="114"/>
      <c r="BC538" s="114"/>
      <c r="BD538" s="114"/>
      <c r="BE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5"/>
      <c r="Y539" s="114"/>
      <c r="Z539" s="117" t="s">
        <v>6192</v>
      </c>
      <c r="AA539" s="117" t="s">
        <v>3737</v>
      </c>
      <c r="AB539" s="114"/>
      <c r="AC539" s="114"/>
      <c r="AD539" s="114"/>
      <c r="AE539" s="114"/>
      <c r="AF539" s="114"/>
      <c r="AG539" s="114"/>
      <c r="AH539" s="114"/>
      <c r="AI539" s="116"/>
      <c r="AJ539" s="114"/>
      <c r="AK539" s="114"/>
      <c r="AL539" s="114"/>
      <c r="AM539" s="114"/>
      <c r="AN539" s="114"/>
      <c r="AO539" s="114"/>
      <c r="AP539" s="114"/>
      <c r="AQ539" s="114"/>
      <c r="AR539" s="114"/>
      <c r="AS539" s="114"/>
      <c r="AT539" s="114"/>
      <c r="AU539" s="114"/>
      <c r="AV539" s="114"/>
      <c r="AW539" s="114"/>
      <c r="AX539" s="114"/>
      <c r="AY539" s="114"/>
      <c r="AZ539" s="114"/>
      <c r="BA539" s="114"/>
      <c r="BB539" s="114"/>
      <c r="BC539" s="114"/>
      <c r="BD539" s="114"/>
      <c r="BE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5"/>
      <c r="Y540" s="114"/>
      <c r="Z540" s="117" t="s">
        <v>6193</v>
      </c>
      <c r="AA540" s="117" t="s">
        <v>3739</v>
      </c>
      <c r="AB540" s="114"/>
      <c r="AC540" s="114"/>
      <c r="AD540" s="114"/>
      <c r="AE540" s="114"/>
      <c r="AF540" s="114"/>
      <c r="AG540" s="114"/>
      <c r="AH540" s="114"/>
      <c r="AI540" s="116"/>
      <c r="AJ540" s="114"/>
      <c r="AK540" s="114"/>
      <c r="AL540" s="114"/>
      <c r="AM540" s="114"/>
      <c r="AN540" s="114"/>
      <c r="AO540" s="114"/>
      <c r="AP540" s="114"/>
      <c r="AQ540" s="114"/>
      <c r="AR540" s="114"/>
      <c r="AS540" s="114"/>
      <c r="AT540" s="114"/>
      <c r="AU540" s="114"/>
      <c r="AV540" s="114"/>
      <c r="AW540" s="114"/>
      <c r="AX540" s="114"/>
      <c r="AY540" s="114"/>
      <c r="AZ540" s="114"/>
      <c r="BA540" s="114"/>
      <c r="BB540" s="114"/>
      <c r="BC540" s="114"/>
      <c r="BD540" s="114"/>
      <c r="BE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5"/>
      <c r="Y541" s="114"/>
      <c r="Z541" s="117" t="s">
        <v>6194</v>
      </c>
      <c r="AA541" s="117" t="s">
        <v>3740</v>
      </c>
      <c r="AB541" s="114"/>
      <c r="AC541" s="114"/>
      <c r="AD541" s="114"/>
      <c r="AE541" s="114"/>
      <c r="AF541" s="114"/>
      <c r="AG541" s="114"/>
      <c r="AH541" s="114"/>
      <c r="AI541" s="116"/>
      <c r="AJ541" s="114"/>
      <c r="AK541" s="114"/>
      <c r="AL541" s="114"/>
      <c r="AM541" s="114"/>
      <c r="AN541" s="114"/>
      <c r="AO541" s="114"/>
      <c r="AP541" s="114"/>
      <c r="AQ541" s="11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5"/>
      <c r="Y542" s="114"/>
      <c r="Z542" s="117" t="s">
        <v>6195</v>
      </c>
      <c r="AA542" s="117" t="s">
        <v>3738</v>
      </c>
      <c r="AB542" s="114"/>
      <c r="AC542" s="114"/>
      <c r="AD542" s="114"/>
      <c r="AE542" s="114"/>
      <c r="AF542" s="114"/>
      <c r="AG542" s="114"/>
      <c r="AH542" s="114"/>
      <c r="AI542" s="116"/>
      <c r="AJ542" s="114"/>
      <c r="AK542" s="114"/>
      <c r="AL542" s="114"/>
      <c r="AM542" s="114"/>
      <c r="AN542" s="114"/>
      <c r="AO542" s="114"/>
      <c r="AP542" s="114"/>
      <c r="AQ542" s="11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5"/>
      <c r="Y543" s="114"/>
      <c r="Z543" s="117" t="s">
        <v>6196</v>
      </c>
      <c r="AA543" s="117" t="s">
        <v>3750</v>
      </c>
      <c r="AB543" s="114"/>
      <c r="AC543" s="114"/>
      <c r="AD543" s="114"/>
      <c r="AE543" s="114"/>
      <c r="AF543" s="114"/>
      <c r="AG543" s="114"/>
      <c r="AH543" s="114"/>
      <c r="AI543" s="116"/>
      <c r="AJ543" s="114"/>
      <c r="AK543" s="114"/>
      <c r="AL543" s="114"/>
      <c r="AM543" s="114"/>
      <c r="AN543" s="114"/>
      <c r="AO543" s="114"/>
      <c r="AP543" s="114"/>
      <c r="AQ543" s="114"/>
      <c r="AR543" s="114"/>
      <c r="AS543" s="114"/>
      <c r="AT543" s="114"/>
      <c r="AU543" s="114"/>
      <c r="AV543" s="114"/>
      <c r="AW543" s="114"/>
      <c r="AX543" s="114"/>
      <c r="AY543" s="114"/>
      <c r="AZ543" s="114"/>
      <c r="BA543" s="114"/>
      <c r="BB543" s="114"/>
      <c r="BC543" s="114"/>
      <c r="BD543" s="114"/>
      <c r="BE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5"/>
      <c r="Y544" s="114"/>
      <c r="Z544" s="117" t="s">
        <v>6197</v>
      </c>
      <c r="AA544" s="117" t="s">
        <v>3752</v>
      </c>
      <c r="AB544" s="114"/>
      <c r="AC544" s="114"/>
      <c r="AD544" s="114"/>
      <c r="AE544" s="114"/>
      <c r="AF544" s="114"/>
      <c r="AG544" s="114"/>
      <c r="AH544" s="114"/>
      <c r="AI544" s="116"/>
      <c r="AJ544" s="114"/>
      <c r="AK544" s="114"/>
      <c r="AL544" s="114"/>
      <c r="AM544" s="114"/>
      <c r="AN544" s="114"/>
      <c r="AO544" s="114"/>
      <c r="AP544" s="114"/>
      <c r="AQ544" s="114"/>
      <c r="AR544" s="114"/>
      <c r="AS544" s="114"/>
      <c r="AT544" s="114"/>
      <c r="AU544" s="114"/>
      <c r="AV544" s="114"/>
      <c r="AW544" s="114"/>
      <c r="AX544" s="114"/>
      <c r="AY544" s="114"/>
      <c r="AZ544" s="114"/>
      <c r="BA544" s="114"/>
      <c r="BB544" s="114"/>
      <c r="BC544" s="114"/>
      <c r="BD544" s="114"/>
      <c r="BE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5"/>
      <c r="Y545" s="114"/>
      <c r="Z545" s="117" t="s">
        <v>6198</v>
      </c>
      <c r="AA545" s="117" t="s">
        <v>3753</v>
      </c>
      <c r="AB545" s="114"/>
      <c r="AC545" s="114"/>
      <c r="AD545" s="114"/>
      <c r="AE545" s="114"/>
      <c r="AF545" s="114"/>
      <c r="AG545" s="114"/>
      <c r="AH545" s="114"/>
      <c r="AI545" s="116"/>
      <c r="AJ545" s="114"/>
      <c r="AK545" s="114"/>
      <c r="AL545" s="114"/>
      <c r="AM545" s="114"/>
      <c r="AN545" s="114"/>
      <c r="AO545" s="114"/>
      <c r="AP545" s="114"/>
      <c r="AQ545" s="114"/>
      <c r="AR545" s="114"/>
      <c r="AS545" s="114"/>
      <c r="AT545" s="114"/>
      <c r="AU545" s="114"/>
      <c r="AV545" s="114"/>
      <c r="AW545" s="114"/>
      <c r="AX545" s="114"/>
      <c r="AY545" s="114"/>
      <c r="AZ545" s="114"/>
      <c r="BA545" s="114"/>
      <c r="BB545" s="114"/>
      <c r="BC545" s="114"/>
      <c r="BD545" s="114"/>
      <c r="BE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5"/>
      <c r="Y546" s="114"/>
      <c r="Z546" s="117" t="s">
        <v>6199</v>
      </c>
      <c r="AA546" s="117" t="s">
        <v>3751</v>
      </c>
      <c r="AB546" s="114"/>
      <c r="AC546" s="114"/>
      <c r="AD546" s="114"/>
      <c r="AE546" s="114"/>
      <c r="AF546" s="114"/>
      <c r="AG546" s="114"/>
      <c r="AH546" s="114"/>
      <c r="AI546" s="116"/>
      <c r="AJ546" s="114"/>
      <c r="AK546" s="114"/>
      <c r="AL546" s="114"/>
      <c r="AM546" s="114"/>
      <c r="AN546" s="114"/>
      <c r="AO546" s="114"/>
      <c r="AP546" s="114"/>
      <c r="AQ546" s="114"/>
      <c r="AR546" s="114"/>
      <c r="AS546" s="114"/>
      <c r="AT546" s="114"/>
      <c r="AU546" s="114"/>
      <c r="AV546" s="114"/>
      <c r="AW546" s="114"/>
      <c r="AX546" s="114"/>
      <c r="AY546" s="114"/>
      <c r="AZ546" s="114"/>
      <c r="BA546" s="114"/>
      <c r="BB546" s="114"/>
      <c r="BC546" s="114"/>
      <c r="BD546" s="114"/>
      <c r="BE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5"/>
      <c r="Y547" s="114"/>
      <c r="Z547" s="117" t="s">
        <v>6200</v>
      </c>
      <c r="AA547" s="117" t="s">
        <v>3763</v>
      </c>
      <c r="AB547" s="114"/>
      <c r="AC547" s="114"/>
      <c r="AD547" s="114"/>
      <c r="AE547" s="114"/>
      <c r="AF547" s="114"/>
      <c r="AG547" s="114"/>
      <c r="AH547" s="114"/>
      <c r="AI547" s="116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4"/>
      <c r="AZ547" s="114"/>
      <c r="BA547" s="114"/>
      <c r="BB547" s="114"/>
      <c r="BC547" s="114"/>
      <c r="BD547" s="114"/>
      <c r="BE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5"/>
      <c r="Y548" s="114"/>
      <c r="Z548" s="117" t="s">
        <v>6201</v>
      </c>
      <c r="AA548" s="117" t="s">
        <v>3765</v>
      </c>
      <c r="AB548" s="114"/>
      <c r="AC548" s="114"/>
      <c r="AD548" s="114"/>
      <c r="AE548" s="114"/>
      <c r="AF548" s="114"/>
      <c r="AG548" s="114"/>
      <c r="AH548" s="114"/>
      <c r="AI548" s="116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4"/>
      <c r="AZ548" s="114"/>
      <c r="BA548" s="114"/>
      <c r="BB548" s="114"/>
      <c r="BC548" s="114"/>
      <c r="BD548" s="114"/>
      <c r="BE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5"/>
      <c r="Y549" s="114"/>
      <c r="Z549" s="117" t="s">
        <v>6202</v>
      </c>
      <c r="AA549" s="117" t="s">
        <v>3766</v>
      </c>
      <c r="AB549" s="114"/>
      <c r="AC549" s="114"/>
      <c r="AD549" s="114"/>
      <c r="AE549" s="114"/>
      <c r="AF549" s="114"/>
      <c r="AG549" s="114"/>
      <c r="AH549" s="114"/>
      <c r="AI549" s="116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4"/>
      <c r="AZ549" s="114"/>
      <c r="BA549" s="114"/>
      <c r="BB549" s="114"/>
      <c r="BC549" s="114"/>
      <c r="BD549" s="114"/>
      <c r="BE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5"/>
      <c r="Y550" s="114"/>
      <c r="Z550" s="117" t="s">
        <v>6203</v>
      </c>
      <c r="AA550" s="117" t="s">
        <v>3764</v>
      </c>
      <c r="AB550" s="114"/>
      <c r="AC550" s="114"/>
      <c r="AD550" s="114"/>
      <c r="AE550" s="114"/>
      <c r="AF550" s="114"/>
      <c r="AG550" s="114"/>
      <c r="AH550" s="114"/>
      <c r="AI550" s="116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  <c r="AT550" s="114"/>
      <c r="AU550" s="114"/>
      <c r="AV550" s="114"/>
      <c r="AW550" s="114"/>
      <c r="AX550" s="114"/>
      <c r="AY550" s="114"/>
      <c r="AZ550" s="114"/>
      <c r="BA550" s="114"/>
      <c r="BB550" s="114"/>
      <c r="BC550" s="114"/>
      <c r="BD550" s="114"/>
      <c r="BE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5"/>
      <c r="Y551" s="114"/>
      <c r="Z551" s="117" t="s">
        <v>6204</v>
      </c>
      <c r="AA551" s="117" t="s">
        <v>3776</v>
      </c>
      <c r="AB551" s="114"/>
      <c r="AC551" s="114"/>
      <c r="AD551" s="114"/>
      <c r="AE551" s="114"/>
      <c r="AF551" s="114"/>
      <c r="AG551" s="114"/>
      <c r="AH551" s="114"/>
      <c r="AI551" s="116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  <c r="AT551" s="114"/>
      <c r="AU551" s="114"/>
      <c r="AV551" s="114"/>
      <c r="AW551" s="114"/>
      <c r="AX551" s="114"/>
      <c r="AY551" s="114"/>
      <c r="AZ551" s="114"/>
      <c r="BA551" s="114"/>
      <c r="BB551" s="114"/>
      <c r="BC551" s="114"/>
      <c r="BD551" s="114"/>
      <c r="BE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5"/>
      <c r="Y552" s="114"/>
      <c r="Z552" s="117" t="s">
        <v>6205</v>
      </c>
      <c r="AA552" s="117" t="s">
        <v>3778</v>
      </c>
      <c r="AB552" s="114"/>
      <c r="AC552" s="114"/>
      <c r="AD552" s="114"/>
      <c r="AE552" s="114"/>
      <c r="AF552" s="114"/>
      <c r="AG552" s="114"/>
      <c r="AH552" s="114"/>
      <c r="AI552" s="116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  <c r="AT552" s="114"/>
      <c r="AU552" s="114"/>
      <c r="AV552" s="114"/>
      <c r="AW552" s="114"/>
      <c r="AX552" s="114"/>
      <c r="AY552" s="114"/>
      <c r="AZ552" s="114"/>
      <c r="BA552" s="114"/>
      <c r="BB552" s="114"/>
      <c r="BC552" s="114"/>
      <c r="BD552" s="114"/>
      <c r="BE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5"/>
      <c r="Y553" s="114"/>
      <c r="Z553" s="117" t="s">
        <v>6206</v>
      </c>
      <c r="AA553" s="117" t="s">
        <v>3779</v>
      </c>
      <c r="AB553" s="114"/>
      <c r="AC553" s="114"/>
      <c r="AD553" s="114"/>
      <c r="AE553" s="114"/>
      <c r="AF553" s="114"/>
      <c r="AG553" s="114"/>
      <c r="AH553" s="114"/>
      <c r="AI553" s="116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4"/>
      <c r="AZ553" s="114"/>
      <c r="BA553" s="114"/>
      <c r="BB553" s="114"/>
      <c r="BC553" s="114"/>
      <c r="BD553" s="114"/>
      <c r="BE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5"/>
      <c r="Y554" s="114"/>
      <c r="Z554" s="117" t="s">
        <v>6207</v>
      </c>
      <c r="AA554" s="117" t="s">
        <v>3777</v>
      </c>
      <c r="AB554" s="114"/>
      <c r="AC554" s="114"/>
      <c r="AD554" s="114"/>
      <c r="AE554" s="114"/>
      <c r="AF554" s="114"/>
      <c r="AG554" s="114"/>
      <c r="AH554" s="114"/>
      <c r="AI554" s="116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  <c r="AT554" s="114"/>
      <c r="AU554" s="114"/>
      <c r="AV554" s="114"/>
      <c r="AW554" s="114"/>
      <c r="AX554" s="114"/>
      <c r="AY554" s="114"/>
      <c r="AZ554" s="114"/>
      <c r="BA554" s="114"/>
      <c r="BB554" s="114"/>
      <c r="BC554" s="114"/>
      <c r="BD554" s="114"/>
      <c r="BE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5"/>
      <c r="Y555" s="114"/>
      <c r="Z555" s="117" t="s">
        <v>6208</v>
      </c>
      <c r="AA555" s="117" t="s">
        <v>3789</v>
      </c>
      <c r="AB555" s="114"/>
      <c r="AC555" s="114"/>
      <c r="AD555" s="114"/>
      <c r="AE555" s="114"/>
      <c r="AF555" s="114"/>
      <c r="AG555" s="114"/>
      <c r="AH555" s="114"/>
      <c r="AI555" s="116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  <c r="AT555" s="114"/>
      <c r="AU555" s="114"/>
      <c r="AV555" s="114"/>
      <c r="AW555" s="114"/>
      <c r="AX555" s="114"/>
      <c r="AY555" s="114"/>
      <c r="AZ555" s="114"/>
      <c r="BA555" s="114"/>
      <c r="BB555" s="114"/>
      <c r="BC555" s="114"/>
      <c r="BD555" s="114"/>
      <c r="BE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5"/>
      <c r="Y556" s="114"/>
      <c r="Z556" s="117" t="s">
        <v>6209</v>
      </c>
      <c r="AA556" s="117" t="s">
        <v>3791</v>
      </c>
      <c r="AB556" s="114"/>
      <c r="AC556" s="114"/>
      <c r="AD556" s="114"/>
      <c r="AE556" s="114"/>
      <c r="AF556" s="114"/>
      <c r="AG556" s="114"/>
      <c r="AH556" s="114"/>
      <c r="AI556" s="116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  <c r="AT556" s="114"/>
      <c r="AU556" s="114"/>
      <c r="AV556" s="114"/>
      <c r="AW556" s="114"/>
      <c r="AX556" s="114"/>
      <c r="AY556" s="114"/>
      <c r="AZ556" s="114"/>
      <c r="BA556" s="114"/>
      <c r="BB556" s="114"/>
      <c r="BC556" s="114"/>
      <c r="BD556" s="114"/>
      <c r="BE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5"/>
      <c r="Y557" s="114"/>
      <c r="Z557" s="117" t="s">
        <v>6210</v>
      </c>
      <c r="AA557" s="117" t="s">
        <v>3792</v>
      </c>
      <c r="AB557" s="114"/>
      <c r="AC557" s="114"/>
      <c r="AD557" s="114"/>
      <c r="AE557" s="114"/>
      <c r="AF557" s="114"/>
      <c r="AG557" s="114"/>
      <c r="AH557" s="114"/>
      <c r="AI557" s="116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  <c r="AT557" s="114"/>
      <c r="AU557" s="114"/>
      <c r="AV557" s="114"/>
      <c r="AW557" s="114"/>
      <c r="AX557" s="114"/>
      <c r="AY557" s="114"/>
      <c r="AZ557" s="114"/>
      <c r="BA557" s="114"/>
      <c r="BB557" s="114"/>
      <c r="BC557" s="114"/>
      <c r="BD557" s="114"/>
      <c r="BE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5"/>
      <c r="Y558" s="114"/>
      <c r="Z558" s="117" t="s">
        <v>6211</v>
      </c>
      <c r="AA558" s="117" t="s">
        <v>3790</v>
      </c>
      <c r="AB558" s="114"/>
      <c r="AC558" s="114"/>
      <c r="AD558" s="114"/>
      <c r="AE558" s="114"/>
      <c r="AF558" s="114"/>
      <c r="AG558" s="114"/>
      <c r="AH558" s="114"/>
      <c r="AI558" s="116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  <c r="AT558" s="114"/>
      <c r="AU558" s="114"/>
      <c r="AV558" s="114"/>
      <c r="AW558" s="114"/>
      <c r="AX558" s="114"/>
      <c r="AY558" s="114"/>
      <c r="AZ558" s="114"/>
      <c r="BA558" s="114"/>
      <c r="BB558" s="114"/>
      <c r="BC558" s="114"/>
      <c r="BD558" s="114"/>
      <c r="BE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5"/>
      <c r="Y559" s="114"/>
      <c r="Z559" s="117" t="s">
        <v>6212</v>
      </c>
      <c r="AA559" s="117" t="s">
        <v>3802</v>
      </c>
      <c r="AB559" s="114"/>
      <c r="AC559" s="114"/>
      <c r="AD559" s="114"/>
      <c r="AE559" s="114"/>
      <c r="AF559" s="114"/>
      <c r="AG559" s="114"/>
      <c r="AH559" s="114"/>
      <c r="AI559" s="116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  <c r="AT559" s="114"/>
      <c r="AU559" s="114"/>
      <c r="AV559" s="114"/>
      <c r="AW559" s="114"/>
      <c r="AX559" s="114"/>
      <c r="AY559" s="114"/>
      <c r="AZ559" s="114"/>
      <c r="BA559" s="114"/>
      <c r="BB559" s="114"/>
      <c r="BC559" s="114"/>
      <c r="BD559" s="114"/>
      <c r="BE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5"/>
      <c r="Y560" s="114"/>
      <c r="Z560" s="117" t="s">
        <v>6213</v>
      </c>
      <c r="AA560" s="117" t="s">
        <v>3804</v>
      </c>
      <c r="AB560" s="114"/>
      <c r="AC560" s="114"/>
      <c r="AD560" s="114"/>
      <c r="AE560" s="114"/>
      <c r="AF560" s="114"/>
      <c r="AG560" s="114"/>
      <c r="AH560" s="114"/>
      <c r="AI560" s="116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  <c r="AT560" s="114"/>
      <c r="AU560" s="114"/>
      <c r="AV560" s="114"/>
      <c r="AW560" s="114"/>
      <c r="AX560" s="114"/>
      <c r="AY560" s="114"/>
      <c r="AZ560" s="114"/>
      <c r="BA560" s="114"/>
      <c r="BB560" s="114"/>
      <c r="BC560" s="114"/>
      <c r="BD560" s="114"/>
      <c r="BE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5"/>
      <c r="Y561" s="114"/>
      <c r="Z561" s="117" t="s">
        <v>6214</v>
      </c>
      <c r="AA561" s="117" t="s">
        <v>3805</v>
      </c>
      <c r="AB561" s="114"/>
      <c r="AC561" s="114"/>
      <c r="AD561" s="114"/>
      <c r="AE561" s="114"/>
      <c r="AF561" s="114"/>
      <c r="AG561" s="114"/>
      <c r="AH561" s="114"/>
      <c r="AI561" s="116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  <c r="AT561" s="114"/>
      <c r="AU561" s="114"/>
      <c r="AV561" s="114"/>
      <c r="AW561" s="114"/>
      <c r="AX561" s="114"/>
      <c r="AY561" s="114"/>
      <c r="AZ561" s="114"/>
      <c r="BA561" s="114"/>
      <c r="BB561" s="114"/>
      <c r="BC561" s="114"/>
      <c r="BD561" s="114"/>
      <c r="BE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5"/>
      <c r="Y562" s="114"/>
      <c r="Z562" s="117" t="s">
        <v>6215</v>
      </c>
      <c r="AA562" s="117" t="s">
        <v>3803</v>
      </c>
      <c r="AB562" s="114"/>
      <c r="AC562" s="114"/>
      <c r="AD562" s="114"/>
      <c r="AE562" s="114"/>
      <c r="AF562" s="114"/>
      <c r="AG562" s="114"/>
      <c r="AH562" s="114"/>
      <c r="AI562" s="116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4"/>
      <c r="AZ562" s="114"/>
      <c r="BA562" s="114"/>
      <c r="BB562" s="114"/>
      <c r="BC562" s="114"/>
      <c r="BD562" s="114"/>
      <c r="BE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5"/>
      <c r="Y563" s="114"/>
      <c r="Z563" s="117" t="s">
        <v>6216</v>
      </c>
      <c r="AA563" s="117" t="s">
        <v>3815</v>
      </c>
      <c r="AB563" s="114"/>
      <c r="AC563" s="114"/>
      <c r="AD563" s="114"/>
      <c r="AE563" s="114"/>
      <c r="AF563" s="114"/>
      <c r="AG563" s="114"/>
      <c r="AH563" s="114"/>
      <c r="AI563" s="116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4"/>
      <c r="AZ563" s="114"/>
      <c r="BA563" s="114"/>
      <c r="BB563" s="114"/>
      <c r="BC563" s="114"/>
      <c r="BD563" s="114"/>
      <c r="BE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5"/>
      <c r="Y564" s="114"/>
      <c r="Z564" s="117" t="s">
        <v>6217</v>
      </c>
      <c r="AA564" s="117" t="s">
        <v>3817</v>
      </c>
      <c r="AB564" s="114"/>
      <c r="AC564" s="114"/>
      <c r="AD564" s="114"/>
      <c r="AE564" s="114"/>
      <c r="AF564" s="114"/>
      <c r="AG564" s="114"/>
      <c r="AH564" s="114"/>
      <c r="AI564" s="116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  <c r="AT564" s="114"/>
      <c r="AU564" s="114"/>
      <c r="AV564" s="114"/>
      <c r="AW564" s="114"/>
      <c r="AX564" s="114"/>
      <c r="AY564" s="114"/>
      <c r="AZ564" s="114"/>
      <c r="BA564" s="114"/>
      <c r="BB564" s="114"/>
      <c r="BC564" s="114"/>
      <c r="BD564" s="114"/>
      <c r="BE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5"/>
      <c r="Y565" s="114"/>
      <c r="Z565" s="117" t="s">
        <v>6218</v>
      </c>
      <c r="AA565" s="117" t="s">
        <v>3818</v>
      </c>
      <c r="AB565" s="114"/>
      <c r="AC565" s="114"/>
      <c r="AD565" s="114"/>
      <c r="AE565" s="114"/>
      <c r="AF565" s="114"/>
      <c r="AG565" s="114"/>
      <c r="AH565" s="114"/>
      <c r="AI565" s="116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  <c r="AT565" s="114"/>
      <c r="AU565" s="114"/>
      <c r="AV565" s="114"/>
      <c r="AW565" s="114"/>
      <c r="AX565" s="114"/>
      <c r="AY565" s="114"/>
      <c r="AZ565" s="114"/>
      <c r="BA565" s="114"/>
      <c r="BB565" s="114"/>
      <c r="BC565" s="114"/>
      <c r="BD565" s="114"/>
      <c r="BE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5"/>
      <c r="Y566" s="114"/>
      <c r="Z566" s="117" t="s">
        <v>6219</v>
      </c>
      <c r="AA566" s="117" t="s">
        <v>3816</v>
      </c>
      <c r="AB566" s="114"/>
      <c r="AC566" s="114"/>
      <c r="AD566" s="114"/>
      <c r="AE566" s="114"/>
      <c r="AF566" s="114"/>
      <c r="AG566" s="114"/>
      <c r="AH566" s="114"/>
      <c r="AI566" s="116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  <c r="AT566" s="114"/>
      <c r="AU566" s="114"/>
      <c r="AV566" s="114"/>
      <c r="AW566" s="114"/>
      <c r="AX566" s="114"/>
      <c r="AY566" s="114"/>
      <c r="AZ566" s="114"/>
      <c r="BA566" s="114"/>
      <c r="BB566" s="114"/>
      <c r="BC566" s="114"/>
      <c r="BD566" s="114"/>
      <c r="BE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5"/>
      <c r="Y567" s="114"/>
      <c r="Z567" s="117" t="s">
        <v>6220</v>
      </c>
      <c r="AA567" s="117" t="s">
        <v>3828</v>
      </c>
      <c r="AB567" s="114"/>
      <c r="AC567" s="114"/>
      <c r="AD567" s="114"/>
      <c r="AE567" s="114"/>
      <c r="AF567" s="114"/>
      <c r="AG567" s="114"/>
      <c r="AH567" s="114"/>
      <c r="AI567" s="116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  <c r="AT567" s="114"/>
      <c r="AU567" s="114"/>
      <c r="AV567" s="114"/>
      <c r="AW567" s="114"/>
      <c r="AX567" s="114"/>
      <c r="AY567" s="114"/>
      <c r="AZ567" s="114"/>
      <c r="BA567" s="114"/>
      <c r="BB567" s="114"/>
      <c r="BC567" s="114"/>
      <c r="BD567" s="114"/>
      <c r="BE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5"/>
      <c r="Y568" s="114"/>
      <c r="Z568" s="117" t="s">
        <v>6221</v>
      </c>
      <c r="AA568" s="117" t="s">
        <v>3830</v>
      </c>
      <c r="AB568" s="114"/>
      <c r="AC568" s="114"/>
      <c r="AD568" s="114"/>
      <c r="AE568" s="114"/>
      <c r="AF568" s="114"/>
      <c r="AG568" s="114"/>
      <c r="AH568" s="114"/>
      <c r="AI568" s="116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  <c r="AT568" s="114"/>
      <c r="AU568" s="114"/>
      <c r="AV568" s="114"/>
      <c r="AW568" s="114"/>
      <c r="AX568" s="114"/>
      <c r="AY568" s="114"/>
      <c r="AZ568" s="114"/>
      <c r="BA568" s="114"/>
      <c r="BB568" s="114"/>
      <c r="BC568" s="114"/>
      <c r="BD568" s="114"/>
      <c r="BE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5"/>
      <c r="Y569" s="114"/>
      <c r="Z569" s="117" t="s">
        <v>6222</v>
      </c>
      <c r="AA569" s="117" t="s">
        <v>3831</v>
      </c>
      <c r="AB569" s="114"/>
      <c r="AC569" s="114"/>
      <c r="AD569" s="114"/>
      <c r="AE569" s="114"/>
      <c r="AF569" s="114"/>
      <c r="AG569" s="114"/>
      <c r="AH569" s="114"/>
      <c r="AI569" s="116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  <c r="AT569" s="114"/>
      <c r="AU569" s="114"/>
      <c r="AV569" s="114"/>
      <c r="AW569" s="114"/>
      <c r="AX569" s="114"/>
      <c r="AY569" s="114"/>
      <c r="AZ569" s="114"/>
      <c r="BA569" s="114"/>
      <c r="BB569" s="114"/>
      <c r="BC569" s="114"/>
      <c r="BD569" s="114"/>
      <c r="BE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5"/>
      <c r="Y570" s="114"/>
      <c r="Z570" s="117" t="s">
        <v>6223</v>
      </c>
      <c r="AA570" s="117" t="s">
        <v>3829</v>
      </c>
      <c r="AB570" s="114"/>
      <c r="AC570" s="114"/>
      <c r="AD570" s="114"/>
      <c r="AE570" s="114"/>
      <c r="AF570" s="114"/>
      <c r="AG570" s="114"/>
      <c r="AH570" s="114"/>
      <c r="AI570" s="116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  <c r="AT570" s="114"/>
      <c r="AU570" s="114"/>
      <c r="AV570" s="114"/>
      <c r="AW570" s="114"/>
      <c r="AX570" s="114"/>
      <c r="AY570" s="114"/>
      <c r="AZ570" s="114"/>
      <c r="BA570" s="114"/>
      <c r="BB570" s="114"/>
      <c r="BC570" s="114"/>
      <c r="BD570" s="114"/>
      <c r="BE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5"/>
      <c r="Y571" s="114"/>
      <c r="Z571" s="117" t="s">
        <v>6224</v>
      </c>
      <c r="AA571" s="117" t="s">
        <v>3841</v>
      </c>
      <c r="AB571" s="114"/>
      <c r="AC571" s="114"/>
      <c r="AD571" s="114"/>
      <c r="AE571" s="114"/>
      <c r="AF571" s="114"/>
      <c r="AG571" s="114"/>
      <c r="AH571" s="114"/>
      <c r="AI571" s="116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  <c r="AT571" s="114"/>
      <c r="AU571" s="114"/>
      <c r="AV571" s="114"/>
      <c r="AW571" s="114"/>
      <c r="AX571" s="114"/>
      <c r="AY571" s="114"/>
      <c r="AZ571" s="114"/>
      <c r="BA571" s="114"/>
      <c r="BB571" s="114"/>
      <c r="BC571" s="114"/>
      <c r="BD571" s="114"/>
      <c r="BE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5"/>
      <c r="Y572" s="114"/>
      <c r="Z572" s="117" t="s">
        <v>6225</v>
      </c>
      <c r="AA572" s="117" t="s">
        <v>3843</v>
      </c>
      <c r="AB572" s="114"/>
      <c r="AC572" s="114"/>
      <c r="AD572" s="114"/>
      <c r="AE572" s="114"/>
      <c r="AF572" s="114"/>
      <c r="AG572" s="114"/>
      <c r="AH572" s="114"/>
      <c r="AI572" s="116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  <c r="AT572" s="114"/>
      <c r="AU572" s="114"/>
      <c r="AV572" s="114"/>
      <c r="AW572" s="114"/>
      <c r="AX572" s="114"/>
      <c r="AY572" s="114"/>
      <c r="AZ572" s="114"/>
      <c r="BA572" s="114"/>
      <c r="BB572" s="114"/>
      <c r="BC572" s="114"/>
      <c r="BD572" s="114"/>
      <c r="BE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5"/>
      <c r="Y573" s="114"/>
      <c r="Z573" s="117" t="s">
        <v>6226</v>
      </c>
      <c r="AA573" s="117" t="s">
        <v>3844</v>
      </c>
      <c r="AB573" s="114"/>
      <c r="AC573" s="114"/>
      <c r="AD573" s="114"/>
      <c r="AE573" s="114"/>
      <c r="AF573" s="114"/>
      <c r="AG573" s="114"/>
      <c r="AH573" s="114"/>
      <c r="AI573" s="116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  <c r="AT573" s="114"/>
      <c r="AU573" s="114"/>
      <c r="AV573" s="114"/>
      <c r="AW573" s="114"/>
      <c r="AX573" s="114"/>
      <c r="AY573" s="114"/>
      <c r="AZ573" s="114"/>
      <c r="BA573" s="114"/>
      <c r="BB573" s="114"/>
      <c r="BC573" s="114"/>
      <c r="BD573" s="114"/>
      <c r="BE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5"/>
      <c r="Y574" s="114"/>
      <c r="Z574" s="117" t="s">
        <v>6227</v>
      </c>
      <c r="AA574" s="117" t="s">
        <v>3842</v>
      </c>
      <c r="AB574" s="114"/>
      <c r="AC574" s="114"/>
      <c r="AD574" s="114"/>
      <c r="AE574" s="114"/>
      <c r="AF574" s="114"/>
      <c r="AG574" s="114"/>
      <c r="AH574" s="114"/>
      <c r="AI574" s="116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  <c r="BA574" s="114"/>
      <c r="BB574" s="114"/>
      <c r="BC574" s="114"/>
      <c r="BD574" s="114"/>
      <c r="BE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5"/>
      <c r="Y575" s="114"/>
      <c r="Z575" s="117" t="s">
        <v>6228</v>
      </c>
      <c r="AA575" s="117" t="s">
        <v>3855</v>
      </c>
      <c r="AB575" s="114"/>
      <c r="AC575" s="114"/>
      <c r="AD575" s="114"/>
      <c r="AE575" s="114"/>
      <c r="AF575" s="114"/>
      <c r="AG575" s="114"/>
      <c r="AH575" s="114"/>
      <c r="AI575" s="116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  <c r="AT575" s="114"/>
      <c r="AU575" s="114"/>
      <c r="AV575" s="114"/>
      <c r="AW575" s="114"/>
      <c r="AX575" s="114"/>
      <c r="AY575" s="114"/>
      <c r="AZ575" s="114"/>
      <c r="BA575" s="114"/>
      <c r="BB575" s="114"/>
      <c r="BC575" s="114"/>
      <c r="BD575" s="114"/>
      <c r="BE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5"/>
      <c r="Y576" s="114"/>
      <c r="Z576" s="117" t="s">
        <v>6229</v>
      </c>
      <c r="AA576" s="117" t="s">
        <v>3857</v>
      </c>
      <c r="AB576" s="114"/>
      <c r="AC576" s="114"/>
      <c r="AD576" s="114"/>
      <c r="AE576" s="114"/>
      <c r="AF576" s="114"/>
      <c r="AG576" s="114"/>
      <c r="AH576" s="114"/>
      <c r="AI576" s="116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  <c r="AT576" s="114"/>
      <c r="AU576" s="114"/>
      <c r="AV576" s="114"/>
      <c r="AW576" s="114"/>
      <c r="AX576" s="114"/>
      <c r="AY576" s="114"/>
      <c r="AZ576" s="114"/>
      <c r="BA576" s="114"/>
      <c r="BB576" s="114"/>
      <c r="BC576" s="114"/>
      <c r="BD576" s="114"/>
      <c r="BE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5"/>
      <c r="Y577" s="114"/>
      <c r="Z577" s="117" t="s">
        <v>6230</v>
      </c>
      <c r="AA577" s="117" t="s">
        <v>3858</v>
      </c>
      <c r="AB577" s="114"/>
      <c r="AC577" s="114"/>
      <c r="AD577" s="114"/>
      <c r="AE577" s="114"/>
      <c r="AF577" s="114"/>
      <c r="AG577" s="114"/>
      <c r="AH577" s="114"/>
      <c r="AI577" s="116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  <c r="AT577" s="114"/>
      <c r="AU577" s="114"/>
      <c r="AV577" s="114"/>
      <c r="AW577" s="114"/>
      <c r="AX577" s="114"/>
      <c r="AY577" s="114"/>
      <c r="AZ577" s="114"/>
      <c r="BA577" s="114"/>
      <c r="BB577" s="114"/>
      <c r="BC577" s="114"/>
      <c r="BD577" s="114"/>
      <c r="BE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5"/>
      <c r="Y578" s="114"/>
      <c r="Z578" s="117" t="s">
        <v>6231</v>
      </c>
      <c r="AA578" s="117" t="s">
        <v>3856</v>
      </c>
      <c r="AB578" s="114"/>
      <c r="AC578" s="114"/>
      <c r="AD578" s="114"/>
      <c r="AE578" s="114"/>
      <c r="AF578" s="114"/>
      <c r="AG578" s="114"/>
      <c r="AH578" s="114"/>
      <c r="AI578" s="116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  <c r="AT578" s="114"/>
      <c r="AU578" s="114"/>
      <c r="AV578" s="114"/>
      <c r="AW578" s="114"/>
      <c r="AX578" s="114"/>
      <c r="AY578" s="114"/>
      <c r="AZ578" s="114"/>
      <c r="BA578" s="114"/>
      <c r="BB578" s="114"/>
      <c r="BC578" s="114"/>
      <c r="BD578" s="114"/>
      <c r="BE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5"/>
      <c r="Y579" s="114"/>
      <c r="Z579" s="117" t="s">
        <v>6232</v>
      </c>
      <c r="AA579" s="117" t="s">
        <v>3868</v>
      </c>
      <c r="AB579" s="114"/>
      <c r="AC579" s="114"/>
      <c r="AD579" s="114"/>
      <c r="AE579" s="114"/>
      <c r="AF579" s="114"/>
      <c r="AG579" s="114"/>
      <c r="AH579" s="114"/>
      <c r="AI579" s="116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  <c r="AT579" s="114"/>
      <c r="AU579" s="114"/>
      <c r="AV579" s="114"/>
      <c r="AW579" s="114"/>
      <c r="AX579" s="114"/>
      <c r="AY579" s="114"/>
      <c r="AZ579" s="114"/>
      <c r="BA579" s="114"/>
      <c r="BB579" s="114"/>
      <c r="BC579" s="114"/>
      <c r="BD579" s="114"/>
      <c r="BE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5"/>
      <c r="Y580" s="114"/>
      <c r="Z580" s="117" t="s">
        <v>6233</v>
      </c>
      <c r="AA580" s="117" t="s">
        <v>3870</v>
      </c>
      <c r="AB580" s="114"/>
      <c r="AC580" s="114"/>
      <c r="AD580" s="114"/>
      <c r="AE580" s="114"/>
      <c r="AF580" s="114"/>
      <c r="AG580" s="114"/>
      <c r="AH580" s="114"/>
      <c r="AI580" s="116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  <c r="AT580" s="114"/>
      <c r="AU580" s="114"/>
      <c r="AV580" s="114"/>
      <c r="AW580" s="114"/>
      <c r="AX580" s="114"/>
      <c r="AY580" s="114"/>
      <c r="AZ580" s="114"/>
      <c r="BA580" s="114"/>
      <c r="BB580" s="114"/>
      <c r="BC580" s="114"/>
      <c r="BD580" s="114"/>
      <c r="BE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5"/>
      <c r="Y581" s="114"/>
      <c r="Z581" s="117" t="s">
        <v>6234</v>
      </c>
      <c r="AA581" s="117" t="s">
        <v>3871</v>
      </c>
      <c r="AB581" s="114"/>
      <c r="AC581" s="114"/>
      <c r="AD581" s="114"/>
      <c r="AE581" s="114"/>
      <c r="AF581" s="114"/>
      <c r="AG581" s="114"/>
      <c r="AH581" s="114"/>
      <c r="AI581" s="116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  <c r="AT581" s="114"/>
      <c r="AU581" s="114"/>
      <c r="AV581" s="114"/>
      <c r="AW581" s="114"/>
      <c r="AX581" s="114"/>
      <c r="AY581" s="114"/>
      <c r="AZ581" s="114"/>
      <c r="BA581" s="114"/>
      <c r="BB581" s="114"/>
      <c r="BC581" s="114"/>
      <c r="BD581" s="114"/>
      <c r="BE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5"/>
      <c r="Y582" s="114"/>
      <c r="Z582" s="117" t="s">
        <v>6235</v>
      </c>
      <c r="AA582" s="117" t="s">
        <v>3869</v>
      </c>
      <c r="AB582" s="114"/>
      <c r="AC582" s="114"/>
      <c r="AD582" s="114"/>
      <c r="AE582" s="114"/>
      <c r="AF582" s="114"/>
      <c r="AG582" s="114"/>
      <c r="AH582" s="114"/>
      <c r="AI582" s="116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  <c r="AT582" s="114"/>
      <c r="AU582" s="114"/>
      <c r="AV582" s="114"/>
      <c r="AW582" s="114"/>
      <c r="AX582" s="114"/>
      <c r="AY582" s="114"/>
      <c r="AZ582" s="114"/>
      <c r="BA582" s="114"/>
      <c r="BB582" s="114"/>
      <c r="BC582" s="114"/>
      <c r="BD582" s="114"/>
      <c r="BE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5"/>
      <c r="Y583" s="114"/>
      <c r="Z583" s="117" t="s">
        <v>6236</v>
      </c>
      <c r="AA583" s="117" t="s">
        <v>3881</v>
      </c>
      <c r="AB583" s="114"/>
      <c r="AC583" s="114"/>
      <c r="AD583" s="114"/>
      <c r="AE583" s="114"/>
      <c r="AF583" s="114"/>
      <c r="AG583" s="114"/>
      <c r="AH583" s="114"/>
      <c r="AI583" s="116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  <c r="AT583" s="114"/>
      <c r="AU583" s="114"/>
      <c r="AV583" s="114"/>
      <c r="AW583" s="114"/>
      <c r="AX583" s="114"/>
      <c r="AY583" s="114"/>
      <c r="AZ583" s="114"/>
      <c r="BA583" s="114"/>
      <c r="BB583" s="114"/>
      <c r="BC583" s="114"/>
      <c r="BD583" s="114"/>
      <c r="BE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5"/>
      <c r="Y584" s="114"/>
      <c r="Z584" s="117" t="s">
        <v>6237</v>
      </c>
      <c r="AA584" s="117" t="s">
        <v>3883</v>
      </c>
      <c r="AB584" s="114"/>
      <c r="AC584" s="114"/>
      <c r="AD584" s="114"/>
      <c r="AE584" s="114"/>
      <c r="AF584" s="114"/>
      <c r="AG584" s="114"/>
      <c r="AH584" s="114"/>
      <c r="AI584" s="116"/>
      <c r="AJ584" s="114"/>
      <c r="AK584" s="114"/>
      <c r="AL584" s="114"/>
      <c r="AM584" s="114"/>
      <c r="AN584" s="114"/>
      <c r="AO584" s="114"/>
      <c r="AP584" s="114"/>
      <c r="AQ584" s="114"/>
      <c r="AR584" s="114"/>
      <c r="AS584" s="114"/>
      <c r="AT584" s="114"/>
      <c r="AU584" s="114"/>
      <c r="AV584" s="114"/>
      <c r="AW584" s="114"/>
      <c r="AX584" s="114"/>
      <c r="AY584" s="114"/>
      <c r="AZ584" s="114"/>
      <c r="BA584" s="114"/>
      <c r="BB584" s="114"/>
      <c r="BC584" s="114"/>
      <c r="BD584" s="114"/>
      <c r="BE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5"/>
      <c r="Y585" s="114"/>
      <c r="Z585" s="117" t="s">
        <v>6238</v>
      </c>
      <c r="AA585" s="117" t="s">
        <v>3884</v>
      </c>
      <c r="AB585" s="114"/>
      <c r="AC585" s="114"/>
      <c r="AD585" s="114"/>
      <c r="AE585" s="114"/>
      <c r="AF585" s="114"/>
      <c r="AG585" s="114"/>
      <c r="AH585" s="114"/>
      <c r="AI585" s="116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  <c r="AT585" s="114"/>
      <c r="AU585" s="114"/>
      <c r="AV585" s="114"/>
      <c r="AW585" s="114"/>
      <c r="AX585" s="114"/>
      <c r="AY585" s="114"/>
      <c r="AZ585" s="114"/>
      <c r="BA585" s="114"/>
      <c r="BB585" s="114"/>
      <c r="BC585" s="114"/>
      <c r="BD585" s="114"/>
      <c r="BE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5"/>
      <c r="Y586" s="114"/>
      <c r="Z586" s="117" t="s">
        <v>6239</v>
      </c>
      <c r="AA586" s="117" t="s">
        <v>3882</v>
      </c>
      <c r="AB586" s="114"/>
      <c r="AC586" s="114"/>
      <c r="AD586" s="114"/>
      <c r="AE586" s="114"/>
      <c r="AF586" s="114"/>
      <c r="AG586" s="114"/>
      <c r="AH586" s="114"/>
      <c r="AI586" s="116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  <c r="AT586" s="114"/>
      <c r="AU586" s="114"/>
      <c r="AV586" s="114"/>
      <c r="AW586" s="114"/>
      <c r="AX586" s="114"/>
      <c r="AY586" s="114"/>
      <c r="AZ586" s="114"/>
      <c r="BA586" s="114"/>
      <c r="BB586" s="114"/>
      <c r="BC586" s="114"/>
      <c r="BD586" s="114"/>
      <c r="BE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5"/>
      <c r="Y587" s="114"/>
      <c r="Z587" s="117" t="s">
        <v>6240</v>
      </c>
      <c r="AA587" s="117" t="s">
        <v>3894</v>
      </c>
      <c r="AB587" s="114"/>
      <c r="AC587" s="114"/>
      <c r="AD587" s="114"/>
      <c r="AE587" s="114"/>
      <c r="AF587" s="114"/>
      <c r="AG587" s="114"/>
      <c r="AH587" s="114"/>
      <c r="AI587" s="116"/>
      <c r="AJ587" s="114"/>
      <c r="AK587" s="114"/>
      <c r="AL587" s="114"/>
      <c r="AM587" s="114"/>
      <c r="AN587" s="114"/>
      <c r="AO587" s="114"/>
      <c r="AP587" s="114"/>
      <c r="AQ587" s="114"/>
      <c r="AR587" s="114"/>
      <c r="AS587" s="114"/>
      <c r="AT587" s="114"/>
      <c r="AU587" s="114"/>
      <c r="AV587" s="114"/>
      <c r="AW587" s="114"/>
      <c r="AX587" s="114"/>
      <c r="AY587" s="114"/>
      <c r="AZ587" s="114"/>
      <c r="BA587" s="114"/>
      <c r="BB587" s="114"/>
      <c r="BC587" s="114"/>
      <c r="BD587" s="114"/>
      <c r="BE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5"/>
      <c r="Y588" s="114"/>
      <c r="Z588" s="117" t="s">
        <v>6241</v>
      </c>
      <c r="AA588" s="117" t="s">
        <v>3896</v>
      </c>
      <c r="AB588" s="114"/>
      <c r="AC588" s="114"/>
      <c r="AD588" s="114"/>
      <c r="AE588" s="114"/>
      <c r="AF588" s="114"/>
      <c r="AG588" s="114"/>
      <c r="AH588" s="114"/>
      <c r="AI588" s="116"/>
      <c r="AJ588" s="114"/>
      <c r="AK588" s="114"/>
      <c r="AL588" s="114"/>
      <c r="AM588" s="114"/>
      <c r="AN588" s="114"/>
      <c r="AO588" s="114"/>
      <c r="AP588" s="114"/>
      <c r="AQ588" s="114"/>
      <c r="AR588" s="114"/>
      <c r="AS588" s="114"/>
      <c r="AT588" s="114"/>
      <c r="AU588" s="114"/>
      <c r="AV588" s="114"/>
      <c r="AW588" s="114"/>
      <c r="AX588" s="114"/>
      <c r="AY588" s="114"/>
      <c r="AZ588" s="114"/>
      <c r="BA588" s="114"/>
      <c r="BB588" s="114"/>
      <c r="BC588" s="114"/>
      <c r="BD588" s="114"/>
      <c r="BE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5"/>
      <c r="Y589" s="114"/>
      <c r="Z589" s="117" t="s">
        <v>6242</v>
      </c>
      <c r="AA589" s="117" t="s">
        <v>3897</v>
      </c>
      <c r="AB589" s="114"/>
      <c r="AC589" s="114"/>
      <c r="AD589" s="114"/>
      <c r="AE589" s="114"/>
      <c r="AF589" s="114"/>
      <c r="AG589" s="114"/>
      <c r="AH589" s="114"/>
      <c r="AI589" s="116"/>
      <c r="AJ589" s="114"/>
      <c r="AK589" s="114"/>
      <c r="AL589" s="114"/>
      <c r="AM589" s="114"/>
      <c r="AN589" s="114"/>
      <c r="AO589" s="114"/>
      <c r="AP589" s="114"/>
      <c r="AQ589" s="114"/>
      <c r="AR589" s="114"/>
      <c r="AS589" s="114"/>
      <c r="AT589" s="114"/>
      <c r="AU589" s="114"/>
      <c r="AV589" s="114"/>
      <c r="AW589" s="114"/>
      <c r="AX589" s="114"/>
      <c r="AY589" s="114"/>
      <c r="AZ589" s="114"/>
      <c r="BA589" s="114"/>
      <c r="BB589" s="114"/>
      <c r="BC589" s="114"/>
      <c r="BD589" s="114"/>
      <c r="BE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5"/>
      <c r="Y590" s="114"/>
      <c r="Z590" s="117" t="s">
        <v>6243</v>
      </c>
      <c r="AA590" s="117" t="s">
        <v>3895</v>
      </c>
      <c r="AB590" s="114"/>
      <c r="AC590" s="114"/>
      <c r="AD590" s="114"/>
      <c r="AE590" s="114"/>
      <c r="AF590" s="114"/>
      <c r="AG590" s="114"/>
      <c r="AH590" s="114"/>
      <c r="AI590" s="116"/>
      <c r="AJ590" s="114"/>
      <c r="AK590" s="114"/>
      <c r="AL590" s="114"/>
      <c r="AM590" s="114"/>
      <c r="AN590" s="114"/>
      <c r="AO590" s="114"/>
      <c r="AP590" s="114"/>
      <c r="AQ590" s="114"/>
      <c r="AR590" s="114"/>
      <c r="AS590" s="114"/>
      <c r="AT590" s="114"/>
      <c r="AU590" s="114"/>
      <c r="AV590" s="114"/>
      <c r="AW590" s="114"/>
      <c r="AX590" s="114"/>
      <c r="AY590" s="114"/>
      <c r="AZ590" s="114"/>
      <c r="BA590" s="114"/>
      <c r="BB590" s="114"/>
      <c r="BC590" s="114"/>
      <c r="BD590" s="114"/>
      <c r="BE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5"/>
      <c r="Y591" s="114"/>
      <c r="Z591" s="117" t="s">
        <v>6244</v>
      </c>
      <c r="AA591" s="117" t="s">
        <v>3907</v>
      </c>
      <c r="AB591" s="114"/>
      <c r="AC591" s="114"/>
      <c r="AD591" s="114"/>
      <c r="AE591" s="114"/>
      <c r="AF591" s="114"/>
      <c r="AG591" s="114"/>
      <c r="AH591" s="114"/>
      <c r="AI591" s="116"/>
      <c r="AJ591" s="114"/>
      <c r="AK591" s="114"/>
      <c r="AL591" s="114"/>
      <c r="AM591" s="114"/>
      <c r="AN591" s="114"/>
      <c r="AO591" s="114"/>
      <c r="AP591" s="114"/>
      <c r="AQ591" s="114"/>
      <c r="AR591" s="114"/>
      <c r="AS591" s="114"/>
      <c r="AT591" s="114"/>
      <c r="AU591" s="114"/>
      <c r="AV591" s="114"/>
      <c r="AW591" s="114"/>
      <c r="AX591" s="114"/>
      <c r="AY591" s="114"/>
      <c r="AZ591" s="114"/>
      <c r="BA591" s="114"/>
      <c r="BB591" s="114"/>
      <c r="BC591" s="114"/>
      <c r="BD591" s="114"/>
      <c r="BE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5"/>
      <c r="Y592" s="114"/>
      <c r="Z592" s="117" t="s">
        <v>6245</v>
      </c>
      <c r="AA592" s="117" t="s">
        <v>3909</v>
      </c>
      <c r="AB592" s="114"/>
      <c r="AC592" s="114"/>
      <c r="AD592" s="114"/>
      <c r="AE592" s="114"/>
      <c r="AF592" s="114"/>
      <c r="AG592" s="114"/>
      <c r="AH592" s="114"/>
      <c r="AI592" s="116"/>
      <c r="AJ592" s="114"/>
      <c r="AK592" s="114"/>
      <c r="AL592" s="114"/>
      <c r="AM592" s="114"/>
      <c r="AN592" s="114"/>
      <c r="AO592" s="114"/>
      <c r="AP592" s="114"/>
      <c r="AQ592" s="114"/>
      <c r="AR592" s="114"/>
      <c r="AS592" s="114"/>
      <c r="AT592" s="114"/>
      <c r="AU592" s="114"/>
      <c r="AV592" s="114"/>
      <c r="AW592" s="114"/>
      <c r="AX592" s="114"/>
      <c r="AY592" s="114"/>
      <c r="AZ592" s="114"/>
      <c r="BA592" s="114"/>
      <c r="BB592" s="114"/>
      <c r="BC592" s="114"/>
      <c r="BD592" s="114"/>
      <c r="BE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5"/>
      <c r="Y593" s="114"/>
      <c r="Z593" s="117" t="s">
        <v>6246</v>
      </c>
      <c r="AA593" s="117" t="s">
        <v>3910</v>
      </c>
      <c r="AB593" s="114"/>
      <c r="AC593" s="114"/>
      <c r="AD593" s="114"/>
      <c r="AE593" s="114"/>
      <c r="AF593" s="114"/>
      <c r="AG593" s="114"/>
      <c r="AH593" s="114"/>
      <c r="AI593" s="116"/>
      <c r="AJ593" s="114"/>
      <c r="AK593" s="114"/>
      <c r="AL593" s="114"/>
      <c r="AM593" s="114"/>
      <c r="AN593" s="114"/>
      <c r="AO593" s="114"/>
      <c r="AP593" s="114"/>
      <c r="AQ593" s="114"/>
      <c r="AR593" s="114"/>
      <c r="AS593" s="114"/>
      <c r="AT593" s="114"/>
      <c r="AU593" s="114"/>
      <c r="AV593" s="114"/>
      <c r="AW593" s="114"/>
      <c r="AX593" s="114"/>
      <c r="AY593" s="114"/>
      <c r="AZ593" s="114"/>
      <c r="BA593" s="114"/>
      <c r="BB593" s="114"/>
      <c r="BC593" s="114"/>
      <c r="BD593" s="114"/>
      <c r="BE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5"/>
      <c r="Y594" s="114"/>
      <c r="Z594" s="117" t="s">
        <v>6247</v>
      </c>
      <c r="AA594" s="117" t="s">
        <v>3908</v>
      </c>
      <c r="AB594" s="114"/>
      <c r="AC594" s="114"/>
      <c r="AD594" s="114"/>
      <c r="AE594" s="114"/>
      <c r="AF594" s="114"/>
      <c r="AG594" s="114"/>
      <c r="AH594" s="114"/>
      <c r="AI594" s="116"/>
      <c r="AJ594" s="114"/>
      <c r="AK594" s="114"/>
      <c r="AL594" s="114"/>
      <c r="AM594" s="114"/>
      <c r="AN594" s="114"/>
      <c r="AO594" s="114"/>
      <c r="AP594" s="114"/>
      <c r="AQ594" s="114"/>
      <c r="AR594" s="114"/>
      <c r="AS594" s="114"/>
      <c r="AT594" s="114"/>
      <c r="AU594" s="114"/>
      <c r="AV594" s="114"/>
      <c r="AW594" s="114"/>
      <c r="AX594" s="114"/>
      <c r="AY594" s="114"/>
      <c r="AZ594" s="114"/>
      <c r="BA594" s="114"/>
      <c r="BB594" s="114"/>
      <c r="BC594" s="114"/>
      <c r="BD594" s="114"/>
      <c r="BE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5"/>
      <c r="Y595" s="114"/>
      <c r="Z595" s="117" t="s">
        <v>6248</v>
      </c>
      <c r="AA595" s="117" t="s">
        <v>3920</v>
      </c>
      <c r="AB595" s="114"/>
      <c r="AC595" s="114"/>
      <c r="AD595" s="114"/>
      <c r="AE595" s="114"/>
      <c r="AF595" s="114"/>
      <c r="AG595" s="114"/>
      <c r="AH595" s="114"/>
      <c r="AI595" s="116"/>
      <c r="AJ595" s="114"/>
      <c r="AK595" s="114"/>
      <c r="AL595" s="114"/>
      <c r="AM595" s="114"/>
      <c r="AN595" s="114"/>
      <c r="AO595" s="114"/>
      <c r="AP595" s="114"/>
      <c r="AQ595" s="114"/>
      <c r="AR595" s="114"/>
      <c r="AS595" s="114"/>
      <c r="AT595" s="114"/>
      <c r="AU595" s="114"/>
      <c r="AV595" s="114"/>
      <c r="AW595" s="114"/>
      <c r="AX595" s="114"/>
      <c r="AY595" s="114"/>
      <c r="AZ595" s="114"/>
      <c r="BA595" s="114"/>
      <c r="BB595" s="114"/>
      <c r="BC595" s="114"/>
      <c r="BD595" s="114"/>
      <c r="BE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5"/>
      <c r="Y596" s="114"/>
      <c r="Z596" s="117" t="s">
        <v>6249</v>
      </c>
      <c r="AA596" s="117" t="s">
        <v>3922</v>
      </c>
      <c r="AB596" s="114"/>
      <c r="AC596" s="114"/>
      <c r="AD596" s="114"/>
      <c r="AE596" s="114"/>
      <c r="AF596" s="114"/>
      <c r="AG596" s="114"/>
      <c r="AH596" s="114"/>
      <c r="AI596" s="116"/>
      <c r="AJ596" s="114"/>
      <c r="AK596" s="114"/>
      <c r="AL596" s="114"/>
      <c r="AM596" s="114"/>
      <c r="AN596" s="114"/>
      <c r="AO596" s="114"/>
      <c r="AP596" s="114"/>
      <c r="AQ596" s="114"/>
      <c r="AR596" s="114"/>
      <c r="AS596" s="114"/>
      <c r="AT596" s="114"/>
      <c r="AU596" s="114"/>
      <c r="AV596" s="114"/>
      <c r="AW596" s="114"/>
      <c r="AX596" s="114"/>
      <c r="AY596" s="114"/>
      <c r="AZ596" s="114"/>
      <c r="BA596" s="114"/>
      <c r="BB596" s="114"/>
      <c r="BC596" s="114"/>
      <c r="BD596" s="114"/>
      <c r="BE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5"/>
      <c r="Y597" s="114"/>
      <c r="Z597" s="117" t="s">
        <v>6250</v>
      </c>
      <c r="AA597" s="117" t="s">
        <v>3923</v>
      </c>
      <c r="AB597" s="114"/>
      <c r="AC597" s="114"/>
      <c r="AD597" s="114"/>
      <c r="AE597" s="114"/>
      <c r="AF597" s="114"/>
      <c r="AG597" s="114"/>
      <c r="AH597" s="114"/>
      <c r="AI597" s="116"/>
      <c r="AJ597" s="114"/>
      <c r="AK597" s="114"/>
      <c r="AL597" s="114"/>
      <c r="AM597" s="114"/>
      <c r="AN597" s="114"/>
      <c r="AO597" s="114"/>
      <c r="AP597" s="114"/>
      <c r="AQ597" s="114"/>
      <c r="AR597" s="114"/>
      <c r="AS597" s="114"/>
      <c r="AT597" s="114"/>
      <c r="AU597" s="114"/>
      <c r="AV597" s="114"/>
      <c r="AW597" s="114"/>
      <c r="AX597" s="114"/>
      <c r="AY597" s="114"/>
      <c r="AZ597" s="114"/>
      <c r="BA597" s="114"/>
      <c r="BB597" s="114"/>
      <c r="BC597" s="114"/>
      <c r="BD597" s="114"/>
      <c r="BE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5"/>
      <c r="Y598" s="114"/>
      <c r="Z598" s="117" t="s">
        <v>6251</v>
      </c>
      <c r="AA598" s="117" t="s">
        <v>3921</v>
      </c>
      <c r="AB598" s="114"/>
      <c r="AC598" s="114"/>
      <c r="AD598" s="114"/>
      <c r="AE598" s="114"/>
      <c r="AF598" s="114"/>
      <c r="AG598" s="114"/>
      <c r="AH598" s="114"/>
      <c r="AI598" s="116"/>
      <c r="AJ598" s="114"/>
      <c r="AK598" s="114"/>
      <c r="AL598" s="114"/>
      <c r="AM598" s="114"/>
      <c r="AN598" s="114"/>
      <c r="AO598" s="114"/>
      <c r="AP598" s="114"/>
      <c r="AQ598" s="114"/>
      <c r="AR598" s="114"/>
      <c r="AS598" s="114"/>
      <c r="AT598" s="114"/>
      <c r="AU598" s="114"/>
      <c r="AV598" s="114"/>
      <c r="AW598" s="114"/>
      <c r="AX598" s="114"/>
      <c r="AY598" s="114"/>
      <c r="AZ598" s="114"/>
      <c r="BA598" s="114"/>
      <c r="BB598" s="114"/>
      <c r="BC598" s="114"/>
      <c r="BD598" s="114"/>
      <c r="BE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5"/>
      <c r="Y599" s="114"/>
      <c r="Z599" s="117" t="s">
        <v>6252</v>
      </c>
      <c r="AA599" s="117" t="s">
        <v>3933</v>
      </c>
      <c r="AB599" s="114"/>
      <c r="AC599" s="114"/>
      <c r="AD599" s="114"/>
      <c r="AE599" s="114"/>
      <c r="AF599" s="114"/>
      <c r="AG599" s="114"/>
      <c r="AH599" s="114"/>
      <c r="AI599" s="116"/>
      <c r="AJ599" s="114"/>
      <c r="AK599" s="114"/>
      <c r="AL599" s="114"/>
      <c r="AM599" s="114"/>
      <c r="AN599" s="114"/>
      <c r="AO599" s="114"/>
      <c r="AP599" s="114"/>
      <c r="AQ599" s="114"/>
      <c r="AR599" s="114"/>
      <c r="AS599" s="114"/>
      <c r="AT599" s="114"/>
      <c r="AU599" s="114"/>
      <c r="AV599" s="114"/>
      <c r="AW599" s="114"/>
      <c r="AX599" s="114"/>
      <c r="AY599" s="114"/>
      <c r="AZ599" s="114"/>
      <c r="BA599" s="114"/>
      <c r="BB599" s="114"/>
      <c r="BC599" s="114"/>
      <c r="BD599" s="114"/>
      <c r="BE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5"/>
      <c r="Y600" s="114"/>
      <c r="Z600" s="117" t="s">
        <v>6253</v>
      </c>
      <c r="AA600" s="117" t="s">
        <v>3935</v>
      </c>
      <c r="AB600" s="114"/>
      <c r="AC600" s="114"/>
      <c r="AD600" s="114"/>
      <c r="AE600" s="114"/>
      <c r="AF600" s="114"/>
      <c r="AG600" s="114"/>
      <c r="AH600" s="114"/>
      <c r="AI600" s="116"/>
      <c r="AJ600" s="114"/>
      <c r="AK600" s="114"/>
      <c r="AL600" s="114"/>
      <c r="AM600" s="114"/>
      <c r="AN600" s="114"/>
      <c r="AO600" s="114"/>
      <c r="AP600" s="114"/>
      <c r="AQ600" s="114"/>
      <c r="AR600" s="114"/>
      <c r="AS600" s="114"/>
      <c r="AT600" s="114"/>
      <c r="AU600" s="114"/>
      <c r="AV600" s="114"/>
      <c r="AW600" s="114"/>
      <c r="AX600" s="114"/>
      <c r="AY600" s="114"/>
      <c r="AZ600" s="114"/>
      <c r="BA600" s="114"/>
      <c r="BB600" s="114"/>
      <c r="BC600" s="114"/>
      <c r="BD600" s="114"/>
      <c r="BE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5"/>
      <c r="Y601" s="114"/>
      <c r="Z601" s="117" t="s">
        <v>6254</v>
      </c>
      <c r="AA601" s="117" t="s">
        <v>3936</v>
      </c>
      <c r="AB601" s="114"/>
      <c r="AC601" s="114"/>
      <c r="AD601" s="114"/>
      <c r="AE601" s="114"/>
      <c r="AF601" s="114"/>
      <c r="AG601" s="114"/>
      <c r="AH601" s="114"/>
      <c r="AI601" s="116"/>
      <c r="AJ601" s="114"/>
      <c r="AK601" s="114"/>
      <c r="AL601" s="114"/>
      <c r="AM601" s="114"/>
      <c r="AN601" s="114"/>
      <c r="AO601" s="114"/>
      <c r="AP601" s="114"/>
      <c r="AQ601" s="114"/>
      <c r="AR601" s="114"/>
      <c r="AS601" s="114"/>
      <c r="AT601" s="114"/>
      <c r="AU601" s="114"/>
      <c r="AV601" s="114"/>
      <c r="AW601" s="114"/>
      <c r="AX601" s="114"/>
      <c r="AY601" s="114"/>
      <c r="AZ601" s="114"/>
      <c r="BA601" s="114"/>
      <c r="BB601" s="114"/>
      <c r="BC601" s="114"/>
      <c r="BD601" s="114"/>
      <c r="BE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5"/>
      <c r="Y602" s="114"/>
      <c r="Z602" s="117" t="s">
        <v>6255</v>
      </c>
      <c r="AA602" s="117" t="s">
        <v>3934</v>
      </c>
      <c r="AB602" s="114"/>
      <c r="AC602" s="114"/>
      <c r="AD602" s="114"/>
      <c r="AE602" s="114"/>
      <c r="AF602" s="114"/>
      <c r="AG602" s="114"/>
      <c r="AH602" s="114"/>
      <c r="AI602" s="116"/>
      <c r="AJ602" s="114"/>
      <c r="AK602" s="114"/>
      <c r="AL602" s="114"/>
      <c r="AM602" s="114"/>
      <c r="AN602" s="114"/>
      <c r="AO602" s="114"/>
      <c r="AP602" s="114"/>
      <c r="AQ602" s="11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5"/>
      <c r="Y603" s="114"/>
      <c r="Z603" s="117" t="s">
        <v>6256</v>
      </c>
      <c r="AA603" s="117" t="s">
        <v>3946</v>
      </c>
      <c r="AB603" s="114"/>
      <c r="AC603" s="114"/>
      <c r="AD603" s="114"/>
      <c r="AE603" s="114"/>
      <c r="AF603" s="114"/>
      <c r="AG603" s="114"/>
      <c r="AH603" s="114"/>
      <c r="AI603" s="116"/>
      <c r="AJ603" s="114"/>
      <c r="AK603" s="114"/>
      <c r="AL603" s="114"/>
      <c r="AM603" s="114"/>
      <c r="AN603" s="114"/>
      <c r="AO603" s="114"/>
      <c r="AP603" s="114"/>
      <c r="AQ603" s="114"/>
      <c r="AR603" s="114"/>
      <c r="AS603" s="114"/>
      <c r="AT603" s="114"/>
      <c r="AU603" s="114"/>
      <c r="AV603" s="114"/>
      <c r="AW603" s="114"/>
      <c r="AX603" s="114"/>
      <c r="AY603" s="114"/>
      <c r="AZ603" s="114"/>
      <c r="BA603" s="114"/>
      <c r="BB603" s="114"/>
      <c r="BC603" s="114"/>
      <c r="BD603" s="114"/>
      <c r="BE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5"/>
      <c r="Y604" s="114"/>
      <c r="Z604" s="117" t="s">
        <v>6257</v>
      </c>
      <c r="AA604" s="117" t="s">
        <v>3948</v>
      </c>
      <c r="AB604" s="114"/>
      <c r="AC604" s="114"/>
      <c r="AD604" s="114"/>
      <c r="AE604" s="114"/>
      <c r="AF604" s="114"/>
      <c r="AG604" s="114"/>
      <c r="AH604" s="114"/>
      <c r="AI604" s="116"/>
      <c r="AJ604" s="114"/>
      <c r="AK604" s="114"/>
      <c r="AL604" s="114"/>
      <c r="AM604" s="114"/>
      <c r="AN604" s="114"/>
      <c r="AO604" s="114"/>
      <c r="AP604" s="114"/>
      <c r="AQ604" s="114"/>
      <c r="AR604" s="114"/>
      <c r="AS604" s="114"/>
      <c r="AT604" s="114"/>
      <c r="AU604" s="114"/>
      <c r="AV604" s="114"/>
      <c r="AW604" s="114"/>
      <c r="AX604" s="114"/>
      <c r="AY604" s="114"/>
      <c r="AZ604" s="114"/>
      <c r="BA604" s="114"/>
      <c r="BB604" s="114"/>
      <c r="BC604" s="114"/>
      <c r="BD604" s="114"/>
      <c r="BE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5"/>
      <c r="Y605" s="114"/>
      <c r="Z605" s="117" t="s">
        <v>6258</v>
      </c>
      <c r="AA605" s="117" t="s">
        <v>3949</v>
      </c>
      <c r="AB605" s="114"/>
      <c r="AC605" s="114"/>
      <c r="AD605" s="114"/>
      <c r="AE605" s="114"/>
      <c r="AF605" s="114"/>
      <c r="AG605" s="114"/>
      <c r="AH605" s="114"/>
      <c r="AI605" s="116"/>
      <c r="AJ605" s="114"/>
      <c r="AK605" s="114"/>
      <c r="AL605" s="114"/>
      <c r="AM605" s="114"/>
      <c r="AN605" s="114"/>
      <c r="AO605" s="114"/>
      <c r="AP605" s="114"/>
      <c r="AQ605" s="114"/>
      <c r="AR605" s="114"/>
      <c r="AS605" s="114"/>
      <c r="AT605" s="114"/>
      <c r="AU605" s="114"/>
      <c r="AV605" s="114"/>
      <c r="AW605" s="114"/>
      <c r="AX605" s="114"/>
      <c r="AY605" s="114"/>
      <c r="AZ605" s="114"/>
      <c r="BA605" s="114"/>
      <c r="BB605" s="114"/>
      <c r="BC605" s="114"/>
      <c r="BD605" s="114"/>
      <c r="BE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5"/>
      <c r="Y606" s="114"/>
      <c r="Z606" s="117" t="s">
        <v>6259</v>
      </c>
      <c r="AA606" s="117" t="s">
        <v>3947</v>
      </c>
      <c r="AB606" s="114"/>
      <c r="AC606" s="114"/>
      <c r="AD606" s="114"/>
      <c r="AE606" s="114"/>
      <c r="AF606" s="114"/>
      <c r="AG606" s="114"/>
      <c r="AH606" s="114"/>
      <c r="AI606" s="116"/>
      <c r="AJ606" s="114"/>
      <c r="AK606" s="114"/>
      <c r="AL606" s="114"/>
      <c r="AM606" s="114"/>
      <c r="AN606" s="114"/>
      <c r="AO606" s="114"/>
      <c r="AP606" s="114"/>
      <c r="AQ606" s="114"/>
      <c r="AR606" s="114"/>
      <c r="AS606" s="114"/>
      <c r="AT606" s="114"/>
      <c r="AU606" s="114"/>
      <c r="AV606" s="114"/>
      <c r="AW606" s="114"/>
      <c r="AX606" s="114"/>
      <c r="AY606" s="114"/>
      <c r="AZ606" s="114"/>
      <c r="BA606" s="114"/>
      <c r="BB606" s="114"/>
      <c r="BC606" s="114"/>
      <c r="BD606" s="114"/>
      <c r="BE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5"/>
      <c r="Y607" s="114"/>
      <c r="Z607" s="117" t="s">
        <v>6260</v>
      </c>
      <c r="AA607" s="117" t="s">
        <v>3959</v>
      </c>
      <c r="AB607" s="114"/>
      <c r="AC607" s="114"/>
      <c r="AD607" s="114"/>
      <c r="AE607" s="114"/>
      <c r="AF607" s="114"/>
      <c r="AG607" s="114"/>
      <c r="AH607" s="114"/>
      <c r="AI607" s="116"/>
      <c r="AJ607" s="114"/>
      <c r="AK607" s="114"/>
      <c r="AL607" s="114"/>
      <c r="AM607" s="114"/>
      <c r="AN607" s="114"/>
      <c r="AO607" s="114"/>
      <c r="AP607" s="114"/>
      <c r="AQ607" s="114"/>
      <c r="AR607" s="114"/>
      <c r="AS607" s="114"/>
      <c r="AT607" s="114"/>
      <c r="AU607" s="114"/>
      <c r="AV607" s="114"/>
      <c r="AW607" s="114"/>
      <c r="AX607" s="114"/>
      <c r="AY607" s="114"/>
      <c r="AZ607" s="114"/>
      <c r="BA607" s="114"/>
      <c r="BB607" s="114"/>
      <c r="BC607" s="114"/>
      <c r="BD607" s="114"/>
      <c r="BE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5"/>
      <c r="Y608" s="114"/>
      <c r="Z608" s="117" t="s">
        <v>6261</v>
      </c>
      <c r="AA608" s="117" t="s">
        <v>3961</v>
      </c>
      <c r="AB608" s="114"/>
      <c r="AC608" s="114"/>
      <c r="AD608" s="114"/>
      <c r="AE608" s="114"/>
      <c r="AF608" s="114"/>
      <c r="AG608" s="114"/>
      <c r="AH608" s="114"/>
      <c r="AI608" s="116"/>
      <c r="AJ608" s="114"/>
      <c r="AK608" s="114"/>
      <c r="AL608" s="114"/>
      <c r="AM608" s="114"/>
      <c r="AN608" s="114"/>
      <c r="AO608" s="114"/>
      <c r="AP608" s="114"/>
      <c r="AQ608" s="114"/>
      <c r="AR608" s="114"/>
      <c r="AS608" s="114"/>
      <c r="AT608" s="114"/>
      <c r="AU608" s="114"/>
      <c r="AV608" s="114"/>
      <c r="AW608" s="114"/>
      <c r="AX608" s="114"/>
      <c r="AY608" s="114"/>
      <c r="AZ608" s="114"/>
      <c r="BA608" s="114"/>
      <c r="BB608" s="114"/>
      <c r="BC608" s="114"/>
      <c r="BD608" s="114"/>
      <c r="BE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5"/>
      <c r="Y609" s="114"/>
      <c r="Z609" s="117" t="s">
        <v>6262</v>
      </c>
      <c r="AA609" s="117" t="s">
        <v>3962</v>
      </c>
      <c r="AB609" s="114"/>
      <c r="AC609" s="114"/>
      <c r="AD609" s="114"/>
      <c r="AE609" s="114"/>
      <c r="AF609" s="114"/>
      <c r="AG609" s="114"/>
      <c r="AH609" s="114"/>
      <c r="AI609" s="116"/>
      <c r="AJ609" s="114"/>
      <c r="AK609" s="114"/>
      <c r="AL609" s="114"/>
      <c r="AM609" s="114"/>
      <c r="AN609" s="114"/>
      <c r="AO609" s="114"/>
      <c r="AP609" s="114"/>
      <c r="AQ609" s="114"/>
      <c r="AR609" s="114"/>
      <c r="AS609" s="114"/>
      <c r="AT609" s="114"/>
      <c r="AU609" s="114"/>
      <c r="AV609" s="114"/>
      <c r="AW609" s="114"/>
      <c r="AX609" s="114"/>
      <c r="AY609" s="114"/>
      <c r="AZ609" s="114"/>
      <c r="BA609" s="114"/>
      <c r="BB609" s="114"/>
      <c r="BC609" s="114"/>
      <c r="BD609" s="114"/>
      <c r="BE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5"/>
      <c r="Y610" s="114"/>
      <c r="Z610" s="117" t="s">
        <v>6263</v>
      </c>
      <c r="AA610" s="117" t="s">
        <v>3960</v>
      </c>
      <c r="AB610" s="114"/>
      <c r="AC610" s="114"/>
      <c r="AD610" s="114"/>
      <c r="AE610" s="114"/>
      <c r="AF610" s="114"/>
      <c r="AG610" s="114"/>
      <c r="AH610" s="114"/>
      <c r="AI610" s="116"/>
      <c r="AJ610" s="114"/>
      <c r="AK610" s="114"/>
      <c r="AL610" s="114"/>
      <c r="AM610" s="114"/>
      <c r="AN610" s="114"/>
      <c r="AO610" s="114"/>
      <c r="AP610" s="114"/>
      <c r="AQ610" s="114"/>
      <c r="AR610" s="114"/>
      <c r="AS610" s="114"/>
      <c r="AT610" s="114"/>
      <c r="AU610" s="114"/>
      <c r="AV610" s="114"/>
      <c r="AW610" s="114"/>
      <c r="AX610" s="114"/>
      <c r="AY610" s="114"/>
      <c r="AZ610" s="114"/>
      <c r="BA610" s="114"/>
      <c r="BB610" s="114"/>
      <c r="BC610" s="114"/>
      <c r="BD610" s="114"/>
      <c r="BE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5"/>
      <c r="Y611" s="114"/>
      <c r="Z611" s="117" t="s">
        <v>6264</v>
      </c>
      <c r="AA611" s="117" t="s">
        <v>3972</v>
      </c>
      <c r="AB611" s="114"/>
      <c r="AC611" s="114"/>
      <c r="AD611" s="114"/>
      <c r="AE611" s="114"/>
      <c r="AF611" s="114"/>
      <c r="AG611" s="114"/>
      <c r="AH611" s="114"/>
      <c r="AI611" s="116"/>
      <c r="AJ611" s="114"/>
      <c r="AK611" s="114"/>
      <c r="AL611" s="114"/>
      <c r="AM611" s="114"/>
      <c r="AN611" s="114"/>
      <c r="AO611" s="114"/>
      <c r="AP611" s="114"/>
      <c r="AQ611" s="114"/>
      <c r="AR611" s="114"/>
      <c r="AS611" s="114"/>
      <c r="AT611" s="114"/>
      <c r="AU611" s="114"/>
      <c r="AV611" s="114"/>
      <c r="AW611" s="114"/>
      <c r="AX611" s="114"/>
      <c r="AY611" s="114"/>
      <c r="AZ611" s="114"/>
      <c r="BA611" s="114"/>
      <c r="BB611" s="114"/>
      <c r="BC611" s="114"/>
      <c r="BD611" s="114"/>
      <c r="BE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5"/>
      <c r="Y612" s="114"/>
      <c r="Z612" s="117" t="s">
        <v>6265</v>
      </c>
      <c r="AA612" s="117" t="s">
        <v>3974</v>
      </c>
      <c r="AB612" s="114"/>
      <c r="AC612" s="114"/>
      <c r="AD612" s="114"/>
      <c r="AE612" s="114"/>
      <c r="AF612" s="114"/>
      <c r="AG612" s="114"/>
      <c r="AH612" s="114"/>
      <c r="AI612" s="116"/>
      <c r="AJ612" s="114"/>
      <c r="AK612" s="114"/>
      <c r="AL612" s="114"/>
      <c r="AM612" s="114"/>
      <c r="AN612" s="114"/>
      <c r="AO612" s="114"/>
      <c r="AP612" s="114"/>
      <c r="AQ612" s="114"/>
      <c r="AR612" s="114"/>
      <c r="AS612" s="114"/>
      <c r="AT612" s="114"/>
      <c r="AU612" s="114"/>
      <c r="AV612" s="114"/>
      <c r="AW612" s="114"/>
      <c r="AX612" s="114"/>
      <c r="AY612" s="114"/>
      <c r="AZ612" s="114"/>
      <c r="BA612" s="114"/>
      <c r="BB612" s="114"/>
      <c r="BC612" s="114"/>
      <c r="BD612" s="114"/>
      <c r="BE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5"/>
      <c r="Y613" s="114"/>
      <c r="Z613" s="117" t="s">
        <v>6266</v>
      </c>
      <c r="AA613" s="117" t="s">
        <v>3975</v>
      </c>
      <c r="AB613" s="114"/>
      <c r="AC613" s="114"/>
      <c r="AD613" s="114"/>
      <c r="AE613" s="114"/>
      <c r="AF613" s="114"/>
      <c r="AG613" s="114"/>
      <c r="AH613" s="114"/>
      <c r="AI613" s="116"/>
      <c r="AJ613" s="114"/>
      <c r="AK613" s="114"/>
      <c r="AL613" s="114"/>
      <c r="AM613" s="114"/>
      <c r="AN613" s="114"/>
      <c r="AO613" s="114"/>
      <c r="AP613" s="114"/>
      <c r="AQ613" s="114"/>
      <c r="AR613" s="114"/>
      <c r="AS613" s="114"/>
      <c r="AT613" s="114"/>
      <c r="AU613" s="114"/>
      <c r="AV613" s="114"/>
      <c r="AW613" s="114"/>
      <c r="AX613" s="114"/>
      <c r="AY613" s="114"/>
      <c r="AZ613" s="114"/>
      <c r="BA613" s="114"/>
      <c r="BB613" s="114"/>
      <c r="BC613" s="114"/>
      <c r="BD613" s="114"/>
      <c r="BE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5"/>
      <c r="Y614" s="114"/>
      <c r="Z614" s="117" t="s">
        <v>6267</v>
      </c>
      <c r="AA614" s="117" t="s">
        <v>3973</v>
      </c>
      <c r="AB614" s="114"/>
      <c r="AC614" s="114"/>
      <c r="AD614" s="114"/>
      <c r="AE614" s="114"/>
      <c r="AF614" s="114"/>
      <c r="AG614" s="114"/>
      <c r="AH614" s="114"/>
      <c r="AI614" s="116"/>
      <c r="AJ614" s="114"/>
      <c r="AK614" s="114"/>
      <c r="AL614" s="114"/>
      <c r="AM614" s="114"/>
      <c r="AN614" s="114"/>
      <c r="AO614" s="114"/>
      <c r="AP614" s="114"/>
      <c r="AQ614" s="114"/>
      <c r="AR614" s="114"/>
      <c r="AS614" s="114"/>
      <c r="AT614" s="114"/>
      <c r="AU614" s="114"/>
      <c r="AV614" s="114"/>
      <c r="AW614" s="114"/>
      <c r="AX614" s="114"/>
      <c r="AY614" s="114"/>
      <c r="AZ614" s="114"/>
      <c r="BA614" s="114"/>
      <c r="BB614" s="114"/>
      <c r="BC614" s="114"/>
      <c r="BD614" s="114"/>
      <c r="BE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5"/>
      <c r="Y615" s="114"/>
      <c r="Z615" s="117" t="s">
        <v>6268</v>
      </c>
      <c r="AA615" s="117" t="s">
        <v>3985</v>
      </c>
      <c r="AB615" s="114"/>
      <c r="AC615" s="114"/>
      <c r="AD615" s="114"/>
      <c r="AE615" s="114"/>
      <c r="AF615" s="114"/>
      <c r="AG615" s="114"/>
      <c r="AH615" s="114"/>
      <c r="AI615" s="116"/>
      <c r="AJ615" s="114"/>
      <c r="AK615" s="114"/>
      <c r="AL615" s="114"/>
      <c r="AM615" s="114"/>
      <c r="AN615" s="114"/>
      <c r="AO615" s="114"/>
      <c r="AP615" s="114"/>
      <c r="AQ615" s="114"/>
      <c r="AR615" s="114"/>
      <c r="AS615" s="114"/>
      <c r="AT615" s="114"/>
      <c r="AU615" s="114"/>
      <c r="AV615" s="114"/>
      <c r="AW615" s="114"/>
      <c r="AX615" s="114"/>
      <c r="AY615" s="114"/>
      <c r="AZ615" s="114"/>
      <c r="BA615" s="114"/>
      <c r="BB615" s="114"/>
      <c r="BC615" s="114"/>
      <c r="BD615" s="114"/>
      <c r="BE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5"/>
      <c r="Y616" s="114"/>
      <c r="Z616" s="117" t="s">
        <v>6269</v>
      </c>
      <c r="AA616" s="117" t="s">
        <v>3987</v>
      </c>
      <c r="AB616" s="114"/>
      <c r="AC616" s="114"/>
      <c r="AD616" s="114"/>
      <c r="AE616" s="114"/>
      <c r="AF616" s="114"/>
      <c r="AG616" s="114"/>
      <c r="AH616" s="114"/>
      <c r="AI616" s="116"/>
      <c r="AJ616" s="114"/>
      <c r="AK616" s="114"/>
      <c r="AL616" s="114"/>
      <c r="AM616" s="114"/>
      <c r="AN616" s="114"/>
      <c r="AO616" s="114"/>
      <c r="AP616" s="114"/>
      <c r="AQ616" s="114"/>
      <c r="AR616" s="114"/>
      <c r="AS616" s="114"/>
      <c r="AT616" s="114"/>
      <c r="AU616" s="114"/>
      <c r="AV616" s="114"/>
      <c r="AW616" s="114"/>
      <c r="AX616" s="114"/>
      <c r="AY616" s="114"/>
      <c r="AZ616" s="114"/>
      <c r="BA616" s="114"/>
      <c r="BB616" s="114"/>
      <c r="BC616" s="114"/>
      <c r="BD616" s="114"/>
      <c r="BE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5"/>
      <c r="Y617" s="114"/>
      <c r="Z617" s="117" t="s">
        <v>6270</v>
      </c>
      <c r="AA617" s="117" t="s">
        <v>3988</v>
      </c>
      <c r="AB617" s="114"/>
      <c r="AC617" s="114"/>
      <c r="AD617" s="114"/>
      <c r="AE617" s="114"/>
      <c r="AF617" s="114"/>
      <c r="AG617" s="114"/>
      <c r="AH617" s="114"/>
      <c r="AI617" s="116"/>
      <c r="AJ617" s="114"/>
      <c r="AK617" s="114"/>
      <c r="AL617" s="114"/>
      <c r="AM617" s="114"/>
      <c r="AN617" s="114"/>
      <c r="AO617" s="114"/>
      <c r="AP617" s="114"/>
      <c r="AQ617" s="114"/>
      <c r="AR617" s="114"/>
      <c r="AS617" s="114"/>
      <c r="AT617" s="114"/>
      <c r="AU617" s="114"/>
      <c r="AV617" s="114"/>
      <c r="AW617" s="114"/>
      <c r="AX617" s="114"/>
      <c r="AY617" s="114"/>
      <c r="AZ617" s="114"/>
      <c r="BA617" s="114"/>
      <c r="BB617" s="114"/>
      <c r="BC617" s="114"/>
      <c r="BD617" s="114"/>
      <c r="BE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5"/>
      <c r="Y618" s="114"/>
      <c r="Z618" s="117" t="s">
        <v>6271</v>
      </c>
      <c r="AA618" s="117" t="s">
        <v>3986</v>
      </c>
      <c r="AB618" s="114"/>
      <c r="AC618" s="114"/>
      <c r="AD618" s="114"/>
      <c r="AE618" s="114"/>
      <c r="AF618" s="114"/>
      <c r="AG618" s="114"/>
      <c r="AH618" s="114"/>
      <c r="AI618" s="116"/>
      <c r="AJ618" s="114"/>
      <c r="AK618" s="114"/>
      <c r="AL618" s="114"/>
      <c r="AM618" s="114"/>
      <c r="AN618" s="114"/>
      <c r="AO618" s="114"/>
      <c r="AP618" s="114"/>
      <c r="AQ618" s="114"/>
      <c r="AR618" s="114"/>
      <c r="AS618" s="114"/>
      <c r="AT618" s="114"/>
      <c r="AU618" s="114"/>
      <c r="AV618" s="114"/>
      <c r="AW618" s="114"/>
      <c r="AX618" s="114"/>
      <c r="AY618" s="114"/>
      <c r="AZ618" s="114"/>
      <c r="BA618" s="114"/>
      <c r="BB618" s="114"/>
      <c r="BC618" s="114"/>
      <c r="BD618" s="114"/>
      <c r="BE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5"/>
      <c r="Y619" s="114"/>
      <c r="Z619" s="117" t="s">
        <v>6272</v>
      </c>
      <c r="AA619" s="117" t="s">
        <v>3998</v>
      </c>
      <c r="AB619" s="114"/>
      <c r="AC619" s="114"/>
      <c r="AD619" s="114"/>
      <c r="AE619" s="114"/>
      <c r="AF619" s="114"/>
      <c r="AG619" s="114"/>
      <c r="AH619" s="114"/>
      <c r="AI619" s="116"/>
      <c r="AJ619" s="114"/>
      <c r="AK619" s="114"/>
      <c r="AL619" s="114"/>
      <c r="AM619" s="114"/>
      <c r="AN619" s="114"/>
      <c r="AO619" s="114"/>
      <c r="AP619" s="114"/>
      <c r="AQ619" s="114"/>
      <c r="AR619" s="114"/>
      <c r="AS619" s="114"/>
      <c r="AT619" s="114"/>
      <c r="AU619" s="114"/>
      <c r="AV619" s="114"/>
      <c r="AW619" s="114"/>
      <c r="AX619" s="114"/>
      <c r="AY619" s="114"/>
      <c r="AZ619" s="114"/>
      <c r="BA619" s="114"/>
      <c r="BB619" s="114"/>
      <c r="BC619" s="114"/>
      <c r="BD619" s="114"/>
      <c r="BE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5"/>
      <c r="Y620" s="114"/>
      <c r="Z620" s="117" t="s">
        <v>6273</v>
      </c>
      <c r="AA620" s="117" t="s">
        <v>4000</v>
      </c>
      <c r="AB620" s="114"/>
      <c r="AC620" s="114"/>
      <c r="AD620" s="114"/>
      <c r="AE620" s="114"/>
      <c r="AF620" s="114"/>
      <c r="AG620" s="114"/>
      <c r="AH620" s="114"/>
      <c r="AI620" s="116"/>
      <c r="AJ620" s="114"/>
      <c r="AK620" s="114"/>
      <c r="AL620" s="114"/>
      <c r="AM620" s="114"/>
      <c r="AN620" s="114"/>
      <c r="AO620" s="114"/>
      <c r="AP620" s="114"/>
      <c r="AQ620" s="114"/>
      <c r="AR620" s="114"/>
      <c r="AS620" s="114"/>
      <c r="AT620" s="114"/>
      <c r="AU620" s="114"/>
      <c r="AV620" s="114"/>
      <c r="AW620" s="114"/>
      <c r="AX620" s="114"/>
      <c r="AY620" s="114"/>
      <c r="AZ620" s="114"/>
      <c r="BA620" s="114"/>
      <c r="BB620" s="114"/>
      <c r="BC620" s="114"/>
      <c r="BD620" s="114"/>
      <c r="BE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5"/>
      <c r="Y621" s="114"/>
      <c r="Z621" s="117" t="s">
        <v>6274</v>
      </c>
      <c r="AA621" s="117" t="s">
        <v>4001</v>
      </c>
      <c r="AB621" s="114"/>
      <c r="AC621" s="114"/>
      <c r="AD621" s="114"/>
      <c r="AE621" s="114"/>
      <c r="AF621" s="114"/>
      <c r="AG621" s="114"/>
      <c r="AH621" s="114"/>
      <c r="AI621" s="116"/>
      <c r="AJ621" s="114"/>
      <c r="AK621" s="114"/>
      <c r="AL621" s="114"/>
      <c r="AM621" s="114"/>
      <c r="AN621" s="114"/>
      <c r="AO621" s="114"/>
      <c r="AP621" s="114"/>
      <c r="AQ621" s="114"/>
      <c r="AR621" s="114"/>
      <c r="AS621" s="114"/>
      <c r="AT621" s="114"/>
      <c r="AU621" s="114"/>
      <c r="AV621" s="114"/>
      <c r="AW621" s="114"/>
      <c r="AX621" s="114"/>
      <c r="AY621" s="114"/>
      <c r="AZ621" s="114"/>
      <c r="BA621" s="114"/>
      <c r="BB621" s="114"/>
      <c r="BC621" s="114"/>
      <c r="BD621" s="114"/>
      <c r="BE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5"/>
      <c r="Y622" s="114"/>
      <c r="Z622" s="117" t="s">
        <v>6275</v>
      </c>
      <c r="AA622" s="117" t="s">
        <v>3999</v>
      </c>
      <c r="AB622" s="114"/>
      <c r="AC622" s="114"/>
      <c r="AD622" s="114"/>
      <c r="AE622" s="114"/>
      <c r="AF622" s="114"/>
      <c r="AG622" s="114"/>
      <c r="AH622" s="114"/>
      <c r="AI622" s="116"/>
      <c r="AJ622" s="114"/>
      <c r="AK622" s="114"/>
      <c r="AL622" s="114"/>
      <c r="AM622" s="114"/>
      <c r="AN622" s="114"/>
      <c r="AO622" s="114"/>
      <c r="AP622" s="114"/>
      <c r="AQ622" s="114"/>
      <c r="AR622" s="114"/>
      <c r="AS622" s="114"/>
      <c r="AT622" s="114"/>
      <c r="AU622" s="114"/>
      <c r="AV622" s="114"/>
      <c r="AW622" s="114"/>
      <c r="AX622" s="114"/>
      <c r="AY622" s="114"/>
      <c r="AZ622" s="114"/>
      <c r="BA622" s="114"/>
      <c r="BB622" s="114"/>
      <c r="BC622" s="114"/>
      <c r="BD622" s="114"/>
      <c r="BE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5"/>
      <c r="Y623" s="114"/>
      <c r="Z623" s="117" t="s">
        <v>6276</v>
      </c>
      <c r="AA623" s="117" t="s">
        <v>4011</v>
      </c>
      <c r="AB623" s="114"/>
      <c r="AC623" s="114"/>
      <c r="AD623" s="114"/>
      <c r="AE623" s="114"/>
      <c r="AF623" s="114"/>
      <c r="AG623" s="114"/>
      <c r="AH623" s="114"/>
      <c r="AI623" s="116"/>
      <c r="AJ623" s="114"/>
      <c r="AK623" s="114"/>
      <c r="AL623" s="114"/>
      <c r="AM623" s="114"/>
      <c r="AN623" s="114"/>
      <c r="AO623" s="114"/>
      <c r="AP623" s="114"/>
      <c r="AQ623" s="114"/>
      <c r="AR623" s="114"/>
      <c r="AS623" s="114"/>
      <c r="AT623" s="114"/>
      <c r="AU623" s="114"/>
      <c r="AV623" s="114"/>
      <c r="AW623" s="114"/>
      <c r="AX623" s="114"/>
      <c r="AY623" s="114"/>
      <c r="AZ623" s="114"/>
      <c r="BA623" s="114"/>
      <c r="BB623" s="114"/>
      <c r="BC623" s="114"/>
      <c r="BD623" s="114"/>
      <c r="BE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5"/>
      <c r="Y624" s="114"/>
      <c r="Z624" s="117" t="s">
        <v>6277</v>
      </c>
      <c r="AA624" s="117" t="s">
        <v>4013</v>
      </c>
      <c r="AB624" s="114"/>
      <c r="AC624" s="114"/>
      <c r="AD624" s="114"/>
      <c r="AE624" s="114"/>
      <c r="AF624" s="114"/>
      <c r="AG624" s="114"/>
      <c r="AH624" s="114"/>
      <c r="AI624" s="116"/>
      <c r="AJ624" s="114"/>
      <c r="AK624" s="114"/>
      <c r="AL624" s="114"/>
      <c r="AM624" s="114"/>
      <c r="AN624" s="114"/>
      <c r="AO624" s="114"/>
      <c r="AP624" s="114"/>
      <c r="AQ624" s="114"/>
      <c r="AR624" s="114"/>
      <c r="AS624" s="114"/>
      <c r="AT624" s="114"/>
      <c r="AU624" s="114"/>
      <c r="AV624" s="114"/>
      <c r="AW624" s="114"/>
      <c r="AX624" s="114"/>
      <c r="AY624" s="114"/>
      <c r="AZ624" s="114"/>
      <c r="BA624" s="114"/>
      <c r="BB624" s="114"/>
      <c r="BC624" s="114"/>
      <c r="BD624" s="114"/>
      <c r="BE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5"/>
      <c r="Y625" s="114"/>
      <c r="Z625" s="117" t="s">
        <v>6278</v>
      </c>
      <c r="AA625" s="117" t="s">
        <v>4014</v>
      </c>
      <c r="AB625" s="114"/>
      <c r="AC625" s="114"/>
      <c r="AD625" s="114"/>
      <c r="AE625" s="114"/>
      <c r="AF625" s="114"/>
      <c r="AG625" s="114"/>
      <c r="AH625" s="114"/>
      <c r="AI625" s="116"/>
      <c r="AJ625" s="114"/>
      <c r="AK625" s="114"/>
      <c r="AL625" s="114"/>
      <c r="AM625" s="114"/>
      <c r="AN625" s="114"/>
      <c r="AO625" s="114"/>
      <c r="AP625" s="114"/>
      <c r="AQ625" s="114"/>
      <c r="AR625" s="114"/>
      <c r="AS625" s="114"/>
      <c r="AT625" s="114"/>
      <c r="AU625" s="114"/>
      <c r="AV625" s="114"/>
      <c r="AW625" s="114"/>
      <c r="AX625" s="114"/>
      <c r="AY625" s="114"/>
      <c r="AZ625" s="114"/>
      <c r="BA625" s="114"/>
      <c r="BB625" s="114"/>
      <c r="BC625" s="114"/>
      <c r="BD625" s="114"/>
      <c r="BE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5"/>
      <c r="Y626" s="114"/>
      <c r="Z626" s="117" t="s">
        <v>6279</v>
      </c>
      <c r="AA626" s="117" t="s">
        <v>4012</v>
      </c>
      <c r="AB626" s="114"/>
      <c r="AC626" s="114"/>
      <c r="AD626" s="114"/>
      <c r="AE626" s="114"/>
      <c r="AF626" s="114"/>
      <c r="AG626" s="114"/>
      <c r="AH626" s="114"/>
      <c r="AI626" s="116"/>
      <c r="AJ626" s="114"/>
      <c r="AK626" s="114"/>
      <c r="AL626" s="114"/>
      <c r="AM626" s="114"/>
      <c r="AN626" s="114"/>
      <c r="AO626" s="114"/>
      <c r="AP626" s="114"/>
      <c r="AQ626" s="114"/>
      <c r="AR626" s="114"/>
      <c r="AS626" s="114"/>
      <c r="AT626" s="114"/>
      <c r="AU626" s="114"/>
      <c r="AV626" s="114"/>
      <c r="AW626" s="114"/>
      <c r="AX626" s="114"/>
      <c r="AY626" s="114"/>
      <c r="AZ626" s="114"/>
      <c r="BA626" s="114"/>
      <c r="BB626" s="114"/>
      <c r="BC626" s="114"/>
      <c r="BD626" s="114"/>
      <c r="BE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5"/>
      <c r="Y627" s="114"/>
      <c r="Z627" s="117" t="s">
        <v>6280</v>
      </c>
      <c r="AA627" s="117" t="s">
        <v>4024</v>
      </c>
      <c r="AB627" s="114"/>
      <c r="AC627" s="114"/>
      <c r="AD627" s="114"/>
      <c r="AE627" s="114"/>
      <c r="AF627" s="114"/>
      <c r="AG627" s="114"/>
      <c r="AH627" s="114"/>
      <c r="AI627" s="116"/>
      <c r="AJ627" s="114"/>
      <c r="AK627" s="114"/>
      <c r="AL627" s="114"/>
      <c r="AM627" s="114"/>
      <c r="AN627" s="114"/>
      <c r="AO627" s="114"/>
      <c r="AP627" s="114"/>
      <c r="AQ627" s="114"/>
      <c r="AR627" s="114"/>
      <c r="AS627" s="114"/>
      <c r="AT627" s="114"/>
      <c r="AU627" s="114"/>
      <c r="AV627" s="114"/>
      <c r="AW627" s="114"/>
      <c r="AX627" s="114"/>
      <c r="AY627" s="114"/>
      <c r="AZ627" s="114"/>
      <c r="BA627" s="114"/>
      <c r="BB627" s="114"/>
      <c r="BC627" s="114"/>
      <c r="BD627" s="114"/>
      <c r="BE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5"/>
      <c r="Y628" s="114"/>
      <c r="Z628" s="117" t="s">
        <v>6281</v>
      </c>
      <c r="AA628" s="117" t="s">
        <v>4026</v>
      </c>
      <c r="AB628" s="114"/>
      <c r="AC628" s="114"/>
      <c r="AD628" s="114"/>
      <c r="AE628" s="114"/>
      <c r="AF628" s="114"/>
      <c r="AG628" s="114"/>
      <c r="AH628" s="114"/>
      <c r="AI628" s="116"/>
      <c r="AJ628" s="114"/>
      <c r="AK628" s="114"/>
      <c r="AL628" s="114"/>
      <c r="AM628" s="114"/>
      <c r="AN628" s="114"/>
      <c r="AO628" s="114"/>
      <c r="AP628" s="114"/>
      <c r="AQ628" s="114"/>
      <c r="AR628" s="114"/>
      <c r="AS628" s="114"/>
      <c r="AT628" s="114"/>
      <c r="AU628" s="114"/>
      <c r="AV628" s="114"/>
      <c r="AW628" s="114"/>
      <c r="AX628" s="114"/>
      <c r="AY628" s="114"/>
      <c r="AZ628" s="114"/>
      <c r="BA628" s="114"/>
      <c r="BB628" s="114"/>
      <c r="BC628" s="114"/>
      <c r="BD628" s="114"/>
      <c r="BE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5"/>
      <c r="Y629" s="114"/>
      <c r="Z629" s="117" t="s">
        <v>6282</v>
      </c>
      <c r="AA629" s="117" t="s">
        <v>4027</v>
      </c>
      <c r="AB629" s="114"/>
      <c r="AC629" s="114"/>
      <c r="AD629" s="114"/>
      <c r="AE629" s="114"/>
      <c r="AF629" s="114"/>
      <c r="AG629" s="114"/>
      <c r="AH629" s="114"/>
      <c r="AI629" s="116"/>
      <c r="AJ629" s="114"/>
      <c r="AK629" s="114"/>
      <c r="AL629" s="114"/>
      <c r="AM629" s="114"/>
      <c r="AN629" s="114"/>
      <c r="AO629" s="114"/>
      <c r="AP629" s="114"/>
      <c r="AQ629" s="114"/>
      <c r="AR629" s="114"/>
      <c r="AS629" s="114"/>
      <c r="AT629" s="114"/>
      <c r="AU629" s="114"/>
      <c r="AV629" s="114"/>
      <c r="AW629" s="114"/>
      <c r="AX629" s="114"/>
      <c r="AY629" s="114"/>
      <c r="AZ629" s="114"/>
      <c r="BA629" s="114"/>
      <c r="BB629" s="114"/>
      <c r="BC629" s="114"/>
      <c r="BD629" s="114"/>
      <c r="BE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5"/>
      <c r="Y630" s="114"/>
      <c r="Z630" s="117" t="s">
        <v>6283</v>
      </c>
      <c r="AA630" s="117" t="s">
        <v>4025</v>
      </c>
      <c r="AB630" s="114"/>
      <c r="AC630" s="114"/>
      <c r="AD630" s="114"/>
      <c r="AE630" s="114"/>
      <c r="AF630" s="114"/>
      <c r="AG630" s="114"/>
      <c r="AH630" s="114"/>
      <c r="AI630" s="116"/>
      <c r="AJ630" s="114"/>
      <c r="AK630" s="114"/>
      <c r="AL630" s="114"/>
      <c r="AM630" s="114"/>
      <c r="AN630" s="114"/>
      <c r="AO630" s="114"/>
      <c r="AP630" s="114"/>
      <c r="AQ630" s="114"/>
      <c r="AR630" s="114"/>
      <c r="AS630" s="114"/>
      <c r="AT630" s="114"/>
      <c r="AU630" s="114"/>
      <c r="AV630" s="114"/>
      <c r="AW630" s="114"/>
      <c r="AX630" s="114"/>
      <c r="AY630" s="114"/>
      <c r="AZ630" s="114"/>
      <c r="BA630" s="114"/>
      <c r="BB630" s="114"/>
      <c r="BC630" s="114"/>
      <c r="BD630" s="114"/>
      <c r="BE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5"/>
      <c r="Y631" s="114"/>
      <c r="Z631" s="117" t="s">
        <v>6284</v>
      </c>
      <c r="AA631" s="117" t="s">
        <v>4037</v>
      </c>
      <c r="AB631" s="114"/>
      <c r="AC631" s="114"/>
      <c r="AD631" s="114"/>
      <c r="AE631" s="114"/>
      <c r="AF631" s="114"/>
      <c r="AG631" s="114"/>
      <c r="AH631" s="114"/>
      <c r="AI631" s="116"/>
      <c r="AJ631" s="114"/>
      <c r="AK631" s="114"/>
      <c r="AL631" s="114"/>
      <c r="AM631" s="114"/>
      <c r="AN631" s="114"/>
      <c r="AO631" s="114"/>
      <c r="AP631" s="114"/>
      <c r="AQ631" s="114"/>
      <c r="AR631" s="114"/>
      <c r="AS631" s="114"/>
      <c r="AT631" s="114"/>
      <c r="AU631" s="114"/>
      <c r="AV631" s="114"/>
      <c r="AW631" s="114"/>
      <c r="AX631" s="114"/>
      <c r="AY631" s="114"/>
      <c r="AZ631" s="114"/>
      <c r="BA631" s="114"/>
      <c r="BB631" s="114"/>
      <c r="BC631" s="114"/>
      <c r="BD631" s="114"/>
      <c r="BE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5"/>
      <c r="Y632" s="114"/>
      <c r="Z632" s="117" t="s">
        <v>6285</v>
      </c>
      <c r="AA632" s="117" t="s">
        <v>4039</v>
      </c>
      <c r="AB632" s="114"/>
      <c r="AC632" s="114"/>
      <c r="AD632" s="114"/>
      <c r="AE632" s="114"/>
      <c r="AF632" s="114"/>
      <c r="AG632" s="114"/>
      <c r="AH632" s="114"/>
      <c r="AI632" s="116"/>
      <c r="AJ632" s="114"/>
      <c r="AK632" s="114"/>
      <c r="AL632" s="114"/>
      <c r="AM632" s="114"/>
      <c r="AN632" s="114"/>
      <c r="AO632" s="114"/>
      <c r="AP632" s="114"/>
      <c r="AQ632" s="114"/>
      <c r="AR632" s="114"/>
      <c r="AS632" s="114"/>
      <c r="AT632" s="114"/>
      <c r="AU632" s="114"/>
      <c r="AV632" s="114"/>
      <c r="AW632" s="114"/>
      <c r="AX632" s="114"/>
      <c r="AY632" s="114"/>
      <c r="AZ632" s="114"/>
      <c r="BA632" s="114"/>
      <c r="BB632" s="114"/>
      <c r="BC632" s="114"/>
      <c r="BD632" s="114"/>
      <c r="BE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5"/>
      <c r="Y633" s="114"/>
      <c r="Z633" s="117" t="s">
        <v>6286</v>
      </c>
      <c r="AA633" s="117" t="s">
        <v>4040</v>
      </c>
      <c r="AB633" s="114"/>
      <c r="AC633" s="114"/>
      <c r="AD633" s="114"/>
      <c r="AE633" s="114"/>
      <c r="AF633" s="114"/>
      <c r="AG633" s="114"/>
      <c r="AH633" s="114"/>
      <c r="AI633" s="116"/>
      <c r="AJ633" s="114"/>
      <c r="AK633" s="114"/>
      <c r="AL633" s="114"/>
      <c r="AM633" s="114"/>
      <c r="AN633" s="114"/>
      <c r="AO633" s="114"/>
      <c r="AP633" s="114"/>
      <c r="AQ633" s="114"/>
      <c r="AR633" s="114"/>
      <c r="AS633" s="114"/>
      <c r="AT633" s="114"/>
      <c r="AU633" s="114"/>
      <c r="AV633" s="114"/>
      <c r="AW633" s="114"/>
      <c r="AX633" s="114"/>
      <c r="AY633" s="114"/>
      <c r="AZ633" s="114"/>
      <c r="BA633" s="114"/>
      <c r="BB633" s="114"/>
      <c r="BC633" s="114"/>
      <c r="BD633" s="114"/>
      <c r="BE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5"/>
      <c r="Y634" s="114"/>
      <c r="Z634" s="117" t="s">
        <v>6287</v>
      </c>
      <c r="AA634" s="117" t="s">
        <v>4038</v>
      </c>
      <c r="AB634" s="114"/>
      <c r="AC634" s="114"/>
      <c r="AD634" s="114"/>
      <c r="AE634" s="114"/>
      <c r="AF634" s="114"/>
      <c r="AG634" s="114"/>
      <c r="AH634" s="114"/>
      <c r="AI634" s="116"/>
      <c r="AJ634" s="114"/>
      <c r="AK634" s="114"/>
      <c r="AL634" s="114"/>
      <c r="AM634" s="114"/>
      <c r="AN634" s="114"/>
      <c r="AO634" s="114"/>
      <c r="AP634" s="114"/>
      <c r="AQ634" s="114"/>
      <c r="AR634" s="114"/>
      <c r="AS634" s="114"/>
      <c r="AT634" s="114"/>
      <c r="AU634" s="114"/>
      <c r="AV634" s="114"/>
      <c r="AW634" s="114"/>
      <c r="AX634" s="114"/>
      <c r="AY634" s="114"/>
      <c r="AZ634" s="114"/>
      <c r="BA634" s="114"/>
      <c r="BB634" s="114"/>
      <c r="BC634" s="114"/>
      <c r="BD634" s="114"/>
      <c r="BE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5"/>
      <c r="Y635" s="114"/>
      <c r="Z635" s="117" t="s">
        <v>6288</v>
      </c>
      <c r="AA635" s="117" t="s">
        <v>4050</v>
      </c>
      <c r="AB635" s="114"/>
      <c r="AC635" s="114"/>
      <c r="AD635" s="114"/>
      <c r="AE635" s="114"/>
      <c r="AF635" s="114"/>
      <c r="AG635" s="114"/>
      <c r="AH635" s="114"/>
      <c r="AI635" s="116"/>
      <c r="AJ635" s="114"/>
      <c r="AK635" s="114"/>
      <c r="AL635" s="114"/>
      <c r="AM635" s="114"/>
      <c r="AN635" s="114"/>
      <c r="AO635" s="114"/>
      <c r="AP635" s="114"/>
      <c r="AQ635" s="114"/>
      <c r="AR635" s="114"/>
      <c r="AS635" s="114"/>
      <c r="AT635" s="114"/>
      <c r="AU635" s="114"/>
      <c r="AV635" s="114"/>
      <c r="AW635" s="114"/>
      <c r="AX635" s="114"/>
      <c r="AY635" s="114"/>
      <c r="AZ635" s="114"/>
      <c r="BA635" s="114"/>
      <c r="BB635" s="114"/>
      <c r="BC635" s="114"/>
      <c r="BD635" s="114"/>
      <c r="BE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5"/>
      <c r="Y636" s="114"/>
      <c r="Z636" s="117" t="s">
        <v>6289</v>
      </c>
      <c r="AA636" s="117" t="s">
        <v>4052</v>
      </c>
      <c r="AB636" s="114"/>
      <c r="AC636" s="114"/>
      <c r="AD636" s="114"/>
      <c r="AE636" s="114"/>
      <c r="AF636" s="114"/>
      <c r="AG636" s="114"/>
      <c r="AH636" s="114"/>
      <c r="AI636" s="116"/>
      <c r="AJ636" s="114"/>
      <c r="AK636" s="114"/>
      <c r="AL636" s="114"/>
      <c r="AM636" s="114"/>
      <c r="AN636" s="114"/>
      <c r="AO636" s="114"/>
      <c r="AP636" s="114"/>
      <c r="AQ636" s="114"/>
      <c r="AR636" s="114"/>
      <c r="AS636" s="114"/>
      <c r="AT636" s="114"/>
      <c r="AU636" s="114"/>
      <c r="AV636" s="114"/>
      <c r="AW636" s="114"/>
      <c r="AX636" s="114"/>
      <c r="AY636" s="114"/>
      <c r="AZ636" s="114"/>
      <c r="BA636" s="114"/>
      <c r="BB636" s="114"/>
      <c r="BC636" s="114"/>
      <c r="BD636" s="114"/>
      <c r="BE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5"/>
      <c r="Y637" s="114"/>
      <c r="Z637" s="117" t="s">
        <v>6290</v>
      </c>
      <c r="AA637" s="117" t="s">
        <v>4053</v>
      </c>
      <c r="AB637" s="114"/>
      <c r="AC637" s="114"/>
      <c r="AD637" s="114"/>
      <c r="AE637" s="114"/>
      <c r="AF637" s="114"/>
      <c r="AG637" s="114"/>
      <c r="AH637" s="114"/>
      <c r="AI637" s="116"/>
      <c r="AJ637" s="114"/>
      <c r="AK637" s="114"/>
      <c r="AL637" s="114"/>
      <c r="AM637" s="114"/>
      <c r="AN637" s="114"/>
      <c r="AO637" s="114"/>
      <c r="AP637" s="114"/>
      <c r="AQ637" s="114"/>
      <c r="AR637" s="114"/>
      <c r="AS637" s="114"/>
      <c r="AT637" s="114"/>
      <c r="AU637" s="114"/>
      <c r="AV637" s="114"/>
      <c r="AW637" s="114"/>
      <c r="AX637" s="114"/>
      <c r="AY637" s="114"/>
      <c r="AZ637" s="114"/>
      <c r="BA637" s="114"/>
      <c r="BB637" s="114"/>
      <c r="BC637" s="114"/>
      <c r="BD637" s="114"/>
      <c r="BE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5"/>
      <c r="Y638" s="114"/>
      <c r="Z638" s="117" t="s">
        <v>6291</v>
      </c>
      <c r="AA638" s="117" t="s">
        <v>4051</v>
      </c>
      <c r="AB638" s="114"/>
      <c r="AC638" s="114"/>
      <c r="AD638" s="114"/>
      <c r="AE638" s="114"/>
      <c r="AF638" s="114"/>
      <c r="AG638" s="114"/>
      <c r="AH638" s="114"/>
      <c r="AI638" s="116"/>
      <c r="AJ638" s="114"/>
      <c r="AK638" s="114"/>
      <c r="AL638" s="114"/>
      <c r="AM638" s="114"/>
      <c r="AN638" s="114"/>
      <c r="AO638" s="114"/>
      <c r="AP638" s="114"/>
      <c r="AQ638" s="114"/>
      <c r="AR638" s="114"/>
      <c r="AS638" s="114"/>
      <c r="AT638" s="114"/>
      <c r="AU638" s="114"/>
      <c r="AV638" s="114"/>
      <c r="AW638" s="114"/>
      <c r="AX638" s="114"/>
      <c r="AY638" s="114"/>
      <c r="AZ638" s="114"/>
      <c r="BA638" s="114"/>
      <c r="BB638" s="114"/>
      <c r="BC638" s="114"/>
      <c r="BD638" s="114"/>
      <c r="BE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5"/>
      <c r="Y639" s="114"/>
      <c r="Z639" s="117" t="s">
        <v>6292</v>
      </c>
      <c r="AA639" s="117" t="s">
        <v>4063</v>
      </c>
      <c r="AB639" s="114"/>
      <c r="AC639" s="114"/>
      <c r="AD639" s="114"/>
      <c r="AE639" s="114"/>
      <c r="AF639" s="114"/>
      <c r="AG639" s="114"/>
      <c r="AH639" s="114"/>
      <c r="AI639" s="116"/>
      <c r="AJ639" s="114"/>
      <c r="AK639" s="114"/>
      <c r="AL639" s="114"/>
      <c r="AM639" s="114"/>
      <c r="AN639" s="114"/>
      <c r="AO639" s="114"/>
      <c r="AP639" s="114"/>
      <c r="AQ639" s="114"/>
      <c r="AR639" s="114"/>
      <c r="AS639" s="114"/>
      <c r="AT639" s="114"/>
      <c r="AU639" s="114"/>
      <c r="AV639" s="114"/>
      <c r="AW639" s="114"/>
      <c r="AX639" s="114"/>
      <c r="AY639" s="114"/>
      <c r="AZ639" s="114"/>
      <c r="BA639" s="114"/>
      <c r="BB639" s="114"/>
      <c r="BC639" s="114"/>
      <c r="BD639" s="114"/>
      <c r="BE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5"/>
      <c r="Y640" s="114"/>
      <c r="Z640" s="117" t="s">
        <v>6293</v>
      </c>
      <c r="AA640" s="117" t="s">
        <v>4065</v>
      </c>
      <c r="AB640" s="114"/>
      <c r="AC640" s="114"/>
      <c r="AD640" s="114"/>
      <c r="AE640" s="114"/>
      <c r="AF640" s="114"/>
      <c r="AG640" s="114"/>
      <c r="AH640" s="114"/>
      <c r="AI640" s="116"/>
      <c r="AJ640" s="114"/>
      <c r="AK640" s="114"/>
      <c r="AL640" s="114"/>
      <c r="AM640" s="114"/>
      <c r="AN640" s="114"/>
      <c r="AO640" s="114"/>
      <c r="AP640" s="114"/>
      <c r="AQ640" s="114"/>
      <c r="AR640" s="114"/>
      <c r="AS640" s="114"/>
      <c r="AT640" s="114"/>
      <c r="AU640" s="114"/>
      <c r="AV640" s="114"/>
      <c r="AW640" s="114"/>
      <c r="AX640" s="114"/>
      <c r="AY640" s="114"/>
      <c r="AZ640" s="114"/>
      <c r="BA640" s="114"/>
      <c r="BB640" s="114"/>
      <c r="BC640" s="114"/>
      <c r="BD640" s="114"/>
      <c r="BE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5"/>
      <c r="Y641" s="114"/>
      <c r="Z641" s="117" t="s">
        <v>6294</v>
      </c>
      <c r="AA641" s="117" t="s">
        <v>4066</v>
      </c>
      <c r="AB641" s="114"/>
      <c r="AC641" s="114"/>
      <c r="AD641" s="114"/>
      <c r="AE641" s="114"/>
      <c r="AF641" s="114"/>
      <c r="AG641" s="114"/>
      <c r="AH641" s="114"/>
      <c r="AI641" s="116"/>
      <c r="AJ641" s="114"/>
      <c r="AK641" s="114"/>
      <c r="AL641" s="114"/>
      <c r="AM641" s="114"/>
      <c r="AN641" s="114"/>
      <c r="AO641" s="114"/>
      <c r="AP641" s="114"/>
      <c r="AQ641" s="114"/>
      <c r="AR641" s="114"/>
      <c r="AS641" s="114"/>
      <c r="AT641" s="114"/>
      <c r="AU641" s="114"/>
      <c r="AV641" s="114"/>
      <c r="AW641" s="114"/>
      <c r="AX641" s="114"/>
      <c r="AY641" s="114"/>
      <c r="AZ641" s="114"/>
      <c r="BA641" s="114"/>
      <c r="BB641" s="114"/>
      <c r="BC641" s="114"/>
      <c r="BD641" s="114"/>
      <c r="BE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5"/>
      <c r="Y642" s="114"/>
      <c r="Z642" s="117" t="s">
        <v>6295</v>
      </c>
      <c r="AA642" s="117" t="s">
        <v>4064</v>
      </c>
      <c r="AB642" s="114"/>
      <c r="AC642" s="114"/>
      <c r="AD642" s="114"/>
      <c r="AE642" s="114"/>
      <c r="AF642" s="114"/>
      <c r="AG642" s="114"/>
      <c r="AH642" s="114"/>
      <c r="AI642" s="116"/>
      <c r="AJ642" s="114"/>
      <c r="AK642" s="114"/>
      <c r="AL642" s="114"/>
      <c r="AM642" s="114"/>
      <c r="AN642" s="114"/>
      <c r="AO642" s="114"/>
      <c r="AP642" s="114"/>
      <c r="AQ642" s="114"/>
      <c r="AR642" s="114"/>
      <c r="AS642" s="114"/>
      <c r="AT642" s="114"/>
      <c r="AU642" s="114"/>
      <c r="AV642" s="114"/>
      <c r="AW642" s="114"/>
      <c r="AX642" s="114"/>
      <c r="AY642" s="114"/>
      <c r="AZ642" s="114"/>
      <c r="BA642" s="114"/>
      <c r="BB642" s="114"/>
      <c r="BC642" s="114"/>
      <c r="BD642" s="114"/>
      <c r="BE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5"/>
      <c r="Y643" s="114"/>
      <c r="Z643" s="117" t="s">
        <v>6296</v>
      </c>
      <c r="AA643" s="117" t="s">
        <v>4077</v>
      </c>
      <c r="AB643" s="114"/>
      <c r="AC643" s="114"/>
      <c r="AD643" s="114"/>
      <c r="AE643" s="114"/>
      <c r="AF643" s="114"/>
      <c r="AG643" s="114"/>
      <c r="AH643" s="114"/>
      <c r="AI643" s="116"/>
      <c r="AJ643" s="114"/>
      <c r="AK643" s="114"/>
      <c r="AL643" s="114"/>
      <c r="AM643" s="114"/>
      <c r="AN643" s="114"/>
      <c r="AO643" s="114"/>
      <c r="AP643" s="114"/>
      <c r="AQ643" s="114"/>
      <c r="AR643" s="114"/>
      <c r="AS643" s="114"/>
      <c r="AT643" s="114"/>
      <c r="AU643" s="114"/>
      <c r="AV643" s="114"/>
      <c r="AW643" s="114"/>
      <c r="AX643" s="114"/>
      <c r="AY643" s="114"/>
      <c r="AZ643" s="114"/>
      <c r="BA643" s="114"/>
      <c r="BB643" s="114"/>
      <c r="BC643" s="114"/>
      <c r="BD643" s="114"/>
      <c r="BE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5"/>
      <c r="Y644" s="114"/>
      <c r="Z644" s="117" t="s">
        <v>6297</v>
      </c>
      <c r="AA644" s="117" t="s">
        <v>4079</v>
      </c>
      <c r="AB644" s="114"/>
      <c r="AC644" s="114"/>
      <c r="AD644" s="114"/>
      <c r="AE644" s="114"/>
      <c r="AF644" s="114"/>
      <c r="AG644" s="114"/>
      <c r="AH644" s="114"/>
      <c r="AI644" s="116"/>
      <c r="AJ644" s="114"/>
      <c r="AK644" s="114"/>
      <c r="AL644" s="114"/>
      <c r="AM644" s="114"/>
      <c r="AN644" s="114"/>
      <c r="AO644" s="114"/>
      <c r="AP644" s="114"/>
      <c r="AQ644" s="114"/>
      <c r="AR644" s="114"/>
      <c r="AS644" s="114"/>
      <c r="AT644" s="114"/>
      <c r="AU644" s="114"/>
      <c r="AV644" s="114"/>
      <c r="AW644" s="114"/>
      <c r="AX644" s="114"/>
      <c r="AY644" s="114"/>
      <c r="AZ644" s="114"/>
      <c r="BA644" s="114"/>
      <c r="BB644" s="114"/>
      <c r="BC644" s="114"/>
      <c r="BD644" s="114"/>
      <c r="BE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5"/>
      <c r="Y645" s="114"/>
      <c r="Z645" s="117" t="s">
        <v>6298</v>
      </c>
      <c r="AA645" s="117" t="s">
        <v>4080</v>
      </c>
      <c r="AB645" s="114"/>
      <c r="AC645" s="114"/>
      <c r="AD645" s="114"/>
      <c r="AE645" s="114"/>
      <c r="AF645" s="114"/>
      <c r="AG645" s="114"/>
      <c r="AH645" s="114"/>
      <c r="AI645" s="116"/>
      <c r="AJ645" s="114"/>
      <c r="AK645" s="114"/>
      <c r="AL645" s="114"/>
      <c r="AM645" s="114"/>
      <c r="AN645" s="114"/>
      <c r="AO645" s="114"/>
      <c r="AP645" s="114"/>
      <c r="AQ645" s="114"/>
      <c r="AR645" s="114"/>
      <c r="AS645" s="114"/>
      <c r="AT645" s="114"/>
      <c r="AU645" s="114"/>
      <c r="AV645" s="114"/>
      <c r="AW645" s="114"/>
      <c r="AX645" s="114"/>
      <c r="AY645" s="114"/>
      <c r="AZ645" s="114"/>
      <c r="BA645" s="114"/>
      <c r="BB645" s="114"/>
      <c r="BC645" s="114"/>
      <c r="BD645" s="114"/>
      <c r="BE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5"/>
      <c r="Y646" s="114"/>
      <c r="Z646" s="117" t="s">
        <v>6299</v>
      </c>
      <c r="AA646" s="117" t="s">
        <v>4078</v>
      </c>
      <c r="AB646" s="114"/>
      <c r="AC646" s="114"/>
      <c r="AD646" s="114"/>
      <c r="AE646" s="114"/>
      <c r="AF646" s="114"/>
      <c r="AG646" s="114"/>
      <c r="AH646" s="114"/>
      <c r="AI646" s="116"/>
      <c r="AJ646" s="114"/>
      <c r="AK646" s="114"/>
      <c r="AL646" s="114"/>
      <c r="AM646" s="114"/>
      <c r="AN646" s="114"/>
      <c r="AO646" s="114"/>
      <c r="AP646" s="114"/>
      <c r="AQ646" s="114"/>
      <c r="AR646" s="114"/>
      <c r="AS646" s="114"/>
      <c r="AT646" s="114"/>
      <c r="AU646" s="114"/>
      <c r="AV646" s="114"/>
      <c r="AW646" s="114"/>
      <c r="AX646" s="114"/>
      <c r="AY646" s="114"/>
      <c r="AZ646" s="114"/>
      <c r="BA646" s="114"/>
      <c r="BB646" s="114"/>
      <c r="BC646" s="114"/>
      <c r="BD646" s="114"/>
      <c r="BE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5"/>
      <c r="Y647" s="114"/>
      <c r="Z647" s="117" t="s">
        <v>6300</v>
      </c>
      <c r="AA647" s="117" t="s">
        <v>4090</v>
      </c>
      <c r="AB647" s="114"/>
      <c r="AC647" s="114"/>
      <c r="AD647" s="114"/>
      <c r="AE647" s="114"/>
      <c r="AF647" s="114"/>
      <c r="AG647" s="114"/>
      <c r="AH647" s="114"/>
      <c r="AI647" s="116"/>
      <c r="AJ647" s="114"/>
      <c r="AK647" s="114"/>
      <c r="AL647" s="114"/>
      <c r="AM647" s="114"/>
      <c r="AN647" s="114"/>
      <c r="AO647" s="114"/>
      <c r="AP647" s="114"/>
      <c r="AQ647" s="114"/>
      <c r="AR647" s="114"/>
      <c r="AS647" s="114"/>
      <c r="AT647" s="114"/>
      <c r="AU647" s="114"/>
      <c r="AV647" s="114"/>
      <c r="AW647" s="114"/>
      <c r="AX647" s="114"/>
      <c r="AY647" s="114"/>
      <c r="AZ647" s="114"/>
      <c r="BA647" s="114"/>
      <c r="BB647" s="114"/>
      <c r="BC647" s="114"/>
      <c r="BD647" s="114"/>
      <c r="BE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5"/>
      <c r="Y648" s="114"/>
      <c r="Z648" s="117" t="s">
        <v>6301</v>
      </c>
      <c r="AA648" s="117" t="s">
        <v>4092</v>
      </c>
      <c r="AB648" s="114"/>
      <c r="AC648" s="114"/>
      <c r="AD648" s="114"/>
      <c r="AE648" s="114"/>
      <c r="AF648" s="114"/>
      <c r="AG648" s="114"/>
      <c r="AH648" s="114"/>
      <c r="AI648" s="116"/>
      <c r="AJ648" s="114"/>
      <c r="AK648" s="114"/>
      <c r="AL648" s="114"/>
      <c r="AM648" s="114"/>
      <c r="AN648" s="114"/>
      <c r="AO648" s="114"/>
      <c r="AP648" s="114"/>
      <c r="AQ648" s="114"/>
      <c r="AR648" s="114"/>
      <c r="AS648" s="114"/>
      <c r="AT648" s="114"/>
      <c r="AU648" s="114"/>
      <c r="AV648" s="114"/>
      <c r="AW648" s="114"/>
      <c r="AX648" s="114"/>
      <c r="AY648" s="114"/>
      <c r="AZ648" s="114"/>
      <c r="BA648" s="114"/>
      <c r="BB648" s="114"/>
      <c r="BC648" s="114"/>
      <c r="BD648" s="114"/>
      <c r="BE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5"/>
      <c r="Y649" s="114"/>
      <c r="Z649" s="117" t="s">
        <v>6302</v>
      </c>
      <c r="AA649" s="117" t="s">
        <v>4093</v>
      </c>
      <c r="AB649" s="114"/>
      <c r="AC649" s="114"/>
      <c r="AD649" s="114"/>
      <c r="AE649" s="114"/>
      <c r="AF649" s="114"/>
      <c r="AG649" s="114"/>
      <c r="AH649" s="114"/>
      <c r="AI649" s="116"/>
      <c r="AJ649" s="114"/>
      <c r="AK649" s="114"/>
      <c r="AL649" s="114"/>
      <c r="AM649" s="114"/>
      <c r="AN649" s="114"/>
      <c r="AO649" s="114"/>
      <c r="AP649" s="114"/>
      <c r="AQ649" s="114"/>
      <c r="AR649" s="114"/>
      <c r="AS649" s="114"/>
      <c r="AT649" s="114"/>
      <c r="AU649" s="114"/>
      <c r="AV649" s="114"/>
      <c r="AW649" s="114"/>
      <c r="AX649" s="114"/>
      <c r="AY649" s="114"/>
      <c r="AZ649" s="114"/>
      <c r="BA649" s="114"/>
      <c r="BB649" s="114"/>
      <c r="BC649" s="114"/>
      <c r="BD649" s="114"/>
      <c r="BE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5"/>
      <c r="Y650" s="114"/>
      <c r="Z650" s="117" t="s">
        <v>6303</v>
      </c>
      <c r="AA650" s="117" t="s">
        <v>4091</v>
      </c>
      <c r="AB650" s="114"/>
      <c r="AC650" s="114"/>
      <c r="AD650" s="114"/>
      <c r="AE650" s="114"/>
      <c r="AF650" s="114"/>
      <c r="AG650" s="114"/>
      <c r="AH650" s="114"/>
      <c r="AI650" s="116"/>
      <c r="AJ650" s="114"/>
      <c r="AK650" s="114"/>
      <c r="AL650" s="114"/>
      <c r="AM650" s="114"/>
      <c r="AN650" s="114"/>
      <c r="AO650" s="114"/>
      <c r="AP650" s="114"/>
      <c r="AQ650" s="114"/>
      <c r="AR650" s="114"/>
      <c r="AS650" s="114"/>
      <c r="AT650" s="114"/>
      <c r="AU650" s="114"/>
      <c r="AV650" s="114"/>
      <c r="AW650" s="114"/>
      <c r="AX650" s="114"/>
      <c r="AY650" s="114"/>
      <c r="AZ650" s="114"/>
      <c r="BA650" s="114"/>
      <c r="BB650" s="114"/>
      <c r="BC650" s="114"/>
      <c r="BD650" s="114"/>
      <c r="BE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5"/>
      <c r="Y651" s="114"/>
      <c r="Z651" s="117" t="s">
        <v>6304</v>
      </c>
      <c r="AA651" s="117" t="s">
        <v>4103</v>
      </c>
      <c r="AB651" s="114"/>
      <c r="AC651" s="114"/>
      <c r="AD651" s="114"/>
      <c r="AE651" s="114"/>
      <c r="AF651" s="114"/>
      <c r="AG651" s="114"/>
      <c r="AH651" s="114"/>
      <c r="AI651" s="116"/>
      <c r="AJ651" s="114"/>
      <c r="AK651" s="114"/>
      <c r="AL651" s="114"/>
      <c r="AM651" s="114"/>
      <c r="AN651" s="114"/>
      <c r="AO651" s="114"/>
      <c r="AP651" s="114"/>
      <c r="AQ651" s="114"/>
      <c r="AR651" s="114"/>
      <c r="AS651" s="114"/>
      <c r="AT651" s="114"/>
      <c r="AU651" s="114"/>
      <c r="AV651" s="114"/>
      <c r="AW651" s="114"/>
      <c r="AX651" s="114"/>
      <c r="AY651" s="114"/>
      <c r="AZ651" s="114"/>
      <c r="BA651" s="114"/>
      <c r="BB651" s="114"/>
      <c r="BC651" s="114"/>
      <c r="BD651" s="114"/>
      <c r="BE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5"/>
      <c r="Y652" s="114"/>
      <c r="Z652" s="117" t="s">
        <v>6305</v>
      </c>
      <c r="AA652" s="117" t="s">
        <v>4105</v>
      </c>
      <c r="AB652" s="114"/>
      <c r="AC652" s="114"/>
      <c r="AD652" s="114"/>
      <c r="AE652" s="114"/>
      <c r="AF652" s="114"/>
      <c r="AG652" s="114"/>
      <c r="AH652" s="114"/>
      <c r="AI652" s="116"/>
      <c r="AJ652" s="114"/>
      <c r="AK652" s="114"/>
      <c r="AL652" s="114"/>
      <c r="AM652" s="114"/>
      <c r="AN652" s="114"/>
      <c r="AO652" s="114"/>
      <c r="AP652" s="114"/>
      <c r="AQ652" s="114"/>
      <c r="AR652" s="114"/>
      <c r="AS652" s="114"/>
      <c r="AT652" s="114"/>
      <c r="AU652" s="114"/>
      <c r="AV652" s="114"/>
      <c r="AW652" s="114"/>
      <c r="AX652" s="114"/>
      <c r="AY652" s="114"/>
      <c r="AZ652" s="114"/>
      <c r="BA652" s="114"/>
      <c r="BB652" s="114"/>
      <c r="BC652" s="114"/>
      <c r="BD652" s="114"/>
      <c r="BE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5"/>
      <c r="Y653" s="114"/>
      <c r="Z653" s="117" t="s">
        <v>6306</v>
      </c>
      <c r="AA653" s="117" t="s">
        <v>4106</v>
      </c>
      <c r="AB653" s="114"/>
      <c r="AC653" s="114"/>
      <c r="AD653" s="114"/>
      <c r="AE653" s="114"/>
      <c r="AF653" s="114"/>
      <c r="AG653" s="114"/>
      <c r="AH653" s="114"/>
      <c r="AI653" s="116"/>
      <c r="AJ653" s="114"/>
      <c r="AK653" s="114"/>
      <c r="AL653" s="114"/>
      <c r="AM653" s="114"/>
      <c r="AN653" s="114"/>
      <c r="AO653" s="114"/>
      <c r="AP653" s="114"/>
      <c r="AQ653" s="114"/>
      <c r="AR653" s="114"/>
      <c r="AS653" s="114"/>
      <c r="AT653" s="114"/>
      <c r="AU653" s="114"/>
      <c r="AV653" s="114"/>
      <c r="AW653" s="114"/>
      <c r="AX653" s="114"/>
      <c r="AY653" s="114"/>
      <c r="AZ653" s="114"/>
      <c r="BA653" s="114"/>
      <c r="BB653" s="114"/>
      <c r="BC653" s="114"/>
      <c r="BD653" s="114"/>
      <c r="BE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5"/>
      <c r="Y654" s="114"/>
      <c r="Z654" s="117" t="s">
        <v>6307</v>
      </c>
      <c r="AA654" s="117" t="s">
        <v>4104</v>
      </c>
      <c r="AB654" s="114"/>
      <c r="AC654" s="114"/>
      <c r="AD654" s="114"/>
      <c r="AE654" s="114"/>
      <c r="AF654" s="114"/>
      <c r="AG654" s="114"/>
      <c r="AH654" s="114"/>
      <c r="AI654" s="116"/>
      <c r="AJ654" s="114"/>
      <c r="AK654" s="114"/>
      <c r="AL654" s="114"/>
      <c r="AM654" s="114"/>
      <c r="AN654" s="114"/>
      <c r="AO654" s="114"/>
      <c r="AP654" s="114"/>
      <c r="AQ654" s="114"/>
      <c r="AR654" s="114"/>
      <c r="AS654" s="114"/>
      <c r="AT654" s="114"/>
      <c r="AU654" s="114"/>
      <c r="AV654" s="114"/>
      <c r="AW654" s="114"/>
      <c r="AX654" s="114"/>
      <c r="AY654" s="114"/>
      <c r="AZ654" s="114"/>
      <c r="BA654" s="114"/>
      <c r="BB654" s="114"/>
      <c r="BC654" s="114"/>
      <c r="BD654" s="114"/>
      <c r="BE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5"/>
      <c r="Y655" s="114"/>
      <c r="Z655" s="117" t="s">
        <v>6308</v>
      </c>
      <c r="AA655" s="117" t="s">
        <v>4116</v>
      </c>
      <c r="AB655" s="114"/>
      <c r="AC655" s="114"/>
      <c r="AD655" s="114"/>
      <c r="AE655" s="114"/>
      <c r="AF655" s="114"/>
      <c r="AG655" s="114"/>
      <c r="AH655" s="114"/>
      <c r="AI655" s="116"/>
      <c r="AJ655" s="114"/>
      <c r="AK655" s="114"/>
      <c r="AL655" s="114"/>
      <c r="AM655" s="114"/>
      <c r="AN655" s="114"/>
      <c r="AO655" s="114"/>
      <c r="AP655" s="114"/>
      <c r="AQ655" s="114"/>
      <c r="AR655" s="114"/>
      <c r="AS655" s="114"/>
      <c r="AT655" s="114"/>
      <c r="AU655" s="114"/>
      <c r="AV655" s="114"/>
      <c r="AW655" s="114"/>
      <c r="AX655" s="114"/>
      <c r="AY655" s="114"/>
      <c r="AZ655" s="114"/>
      <c r="BA655" s="114"/>
      <c r="BB655" s="114"/>
      <c r="BC655" s="114"/>
      <c r="BD655" s="114"/>
      <c r="BE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5"/>
      <c r="Y656" s="114"/>
      <c r="Z656" s="117" t="s">
        <v>6309</v>
      </c>
      <c r="AA656" s="117" t="s">
        <v>4118</v>
      </c>
      <c r="AB656" s="114"/>
      <c r="AC656" s="114"/>
      <c r="AD656" s="114"/>
      <c r="AE656" s="114"/>
      <c r="AF656" s="114"/>
      <c r="AG656" s="114"/>
      <c r="AH656" s="114"/>
      <c r="AI656" s="116"/>
      <c r="AJ656" s="114"/>
      <c r="AK656" s="114"/>
      <c r="AL656" s="114"/>
      <c r="AM656" s="114"/>
      <c r="AN656" s="114"/>
      <c r="AO656" s="114"/>
      <c r="AP656" s="114"/>
      <c r="AQ656" s="114"/>
      <c r="AR656" s="114"/>
      <c r="AS656" s="114"/>
      <c r="AT656" s="114"/>
      <c r="AU656" s="114"/>
      <c r="AV656" s="114"/>
      <c r="AW656" s="114"/>
      <c r="AX656" s="114"/>
      <c r="AY656" s="114"/>
      <c r="AZ656" s="114"/>
      <c r="BA656" s="114"/>
      <c r="BB656" s="114"/>
      <c r="BC656" s="114"/>
      <c r="BD656" s="114"/>
      <c r="BE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5"/>
      <c r="Y657" s="114"/>
      <c r="Z657" s="117" t="s">
        <v>6310</v>
      </c>
      <c r="AA657" s="117" t="s">
        <v>4119</v>
      </c>
      <c r="AB657" s="114"/>
      <c r="AC657" s="114"/>
      <c r="AD657" s="114"/>
      <c r="AE657" s="114"/>
      <c r="AF657" s="114"/>
      <c r="AG657" s="114"/>
      <c r="AH657" s="114"/>
      <c r="AI657" s="116"/>
      <c r="AJ657" s="114"/>
      <c r="AK657" s="114"/>
      <c r="AL657" s="114"/>
      <c r="AM657" s="114"/>
      <c r="AN657" s="114"/>
      <c r="AO657" s="114"/>
      <c r="AP657" s="114"/>
      <c r="AQ657" s="114"/>
      <c r="AR657" s="114"/>
      <c r="AS657" s="114"/>
      <c r="AT657" s="114"/>
      <c r="AU657" s="114"/>
      <c r="AV657" s="114"/>
      <c r="AW657" s="114"/>
      <c r="AX657" s="114"/>
      <c r="AY657" s="114"/>
      <c r="AZ657" s="114"/>
      <c r="BA657" s="114"/>
      <c r="BB657" s="114"/>
      <c r="BC657" s="114"/>
      <c r="BD657" s="114"/>
      <c r="BE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5"/>
      <c r="Y658" s="114"/>
      <c r="Z658" s="117" t="s">
        <v>6311</v>
      </c>
      <c r="AA658" s="117" t="s">
        <v>4117</v>
      </c>
      <c r="AB658" s="114"/>
      <c r="AC658" s="114"/>
      <c r="AD658" s="114"/>
      <c r="AE658" s="114"/>
      <c r="AF658" s="114"/>
      <c r="AG658" s="114"/>
      <c r="AH658" s="114"/>
      <c r="AI658" s="116"/>
      <c r="AJ658" s="114"/>
      <c r="AK658" s="114"/>
      <c r="AL658" s="114"/>
      <c r="AM658" s="114"/>
      <c r="AN658" s="114"/>
      <c r="AO658" s="114"/>
      <c r="AP658" s="114"/>
      <c r="AQ658" s="114"/>
      <c r="AR658" s="114"/>
      <c r="AS658" s="114"/>
      <c r="AT658" s="114"/>
      <c r="AU658" s="114"/>
      <c r="AV658" s="114"/>
      <c r="AW658" s="114"/>
      <c r="AX658" s="114"/>
      <c r="AY658" s="114"/>
      <c r="AZ658" s="114"/>
      <c r="BA658" s="114"/>
      <c r="BB658" s="114"/>
      <c r="BC658" s="114"/>
      <c r="BD658" s="114"/>
      <c r="BE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5"/>
      <c r="Y659" s="114"/>
      <c r="Z659" s="117" t="s">
        <v>6312</v>
      </c>
      <c r="AA659" s="117" t="s">
        <v>4129</v>
      </c>
      <c r="AB659" s="114"/>
      <c r="AC659" s="114"/>
      <c r="AD659" s="114"/>
      <c r="AE659" s="114"/>
      <c r="AF659" s="114"/>
      <c r="AG659" s="114"/>
      <c r="AH659" s="114"/>
      <c r="AI659" s="116"/>
      <c r="AJ659" s="114"/>
      <c r="AK659" s="114"/>
      <c r="AL659" s="114"/>
      <c r="AM659" s="114"/>
      <c r="AN659" s="114"/>
      <c r="AO659" s="114"/>
      <c r="AP659" s="114"/>
      <c r="AQ659" s="114"/>
      <c r="AR659" s="114"/>
      <c r="AS659" s="114"/>
      <c r="AT659" s="114"/>
      <c r="AU659" s="114"/>
      <c r="AV659" s="114"/>
      <c r="AW659" s="114"/>
      <c r="AX659" s="114"/>
      <c r="AY659" s="114"/>
      <c r="AZ659" s="114"/>
      <c r="BA659" s="114"/>
      <c r="BB659" s="114"/>
      <c r="BC659" s="114"/>
      <c r="BD659" s="114"/>
      <c r="BE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5"/>
      <c r="Y660" s="114"/>
      <c r="Z660" s="117" t="s">
        <v>6313</v>
      </c>
      <c r="AA660" s="117" t="s">
        <v>4131</v>
      </c>
      <c r="AB660" s="114"/>
      <c r="AC660" s="114"/>
      <c r="AD660" s="114"/>
      <c r="AE660" s="114"/>
      <c r="AF660" s="114"/>
      <c r="AG660" s="114"/>
      <c r="AH660" s="114"/>
      <c r="AI660" s="116"/>
      <c r="AJ660" s="114"/>
      <c r="AK660" s="114"/>
      <c r="AL660" s="114"/>
      <c r="AM660" s="114"/>
      <c r="AN660" s="114"/>
      <c r="AO660" s="114"/>
      <c r="AP660" s="114"/>
      <c r="AQ660" s="114"/>
      <c r="AR660" s="114"/>
      <c r="AS660" s="114"/>
      <c r="AT660" s="114"/>
      <c r="AU660" s="114"/>
      <c r="AV660" s="114"/>
      <c r="AW660" s="114"/>
      <c r="AX660" s="114"/>
      <c r="AY660" s="114"/>
      <c r="AZ660" s="114"/>
      <c r="BA660" s="114"/>
      <c r="BB660" s="114"/>
      <c r="BC660" s="114"/>
      <c r="BD660" s="114"/>
      <c r="BE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5"/>
      <c r="Y661" s="114"/>
      <c r="Z661" s="117" t="s">
        <v>6314</v>
      </c>
      <c r="AA661" s="117" t="s">
        <v>4132</v>
      </c>
      <c r="AB661" s="114"/>
      <c r="AC661" s="114"/>
      <c r="AD661" s="114"/>
      <c r="AE661" s="114"/>
      <c r="AF661" s="114"/>
      <c r="AG661" s="114"/>
      <c r="AH661" s="114"/>
      <c r="AI661" s="116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  <c r="BA661" s="114"/>
      <c r="BB661" s="114"/>
      <c r="BC661" s="114"/>
      <c r="BD661" s="114"/>
      <c r="BE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5"/>
      <c r="Y662" s="114"/>
      <c r="Z662" s="117" t="s">
        <v>6315</v>
      </c>
      <c r="AA662" s="117" t="s">
        <v>4130</v>
      </c>
      <c r="AB662" s="114"/>
      <c r="AC662" s="114"/>
      <c r="AD662" s="114"/>
      <c r="AE662" s="114"/>
      <c r="AF662" s="114"/>
      <c r="AG662" s="114"/>
      <c r="AH662" s="114"/>
      <c r="AI662" s="116"/>
      <c r="AJ662" s="114"/>
      <c r="AK662" s="114"/>
      <c r="AL662" s="114"/>
      <c r="AM662" s="114"/>
      <c r="AN662" s="114"/>
      <c r="AO662" s="114"/>
      <c r="AP662" s="114"/>
      <c r="AQ662" s="114"/>
      <c r="AR662" s="114"/>
      <c r="AS662" s="114"/>
      <c r="AT662" s="114"/>
      <c r="AU662" s="114"/>
      <c r="AV662" s="114"/>
      <c r="AW662" s="114"/>
      <c r="AX662" s="114"/>
      <c r="AY662" s="114"/>
      <c r="AZ662" s="114"/>
      <c r="BA662" s="114"/>
      <c r="BB662" s="114"/>
      <c r="BC662" s="114"/>
      <c r="BD662" s="114"/>
      <c r="BE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5"/>
      <c r="Y663" s="114"/>
      <c r="Z663" s="117" t="s">
        <v>6316</v>
      </c>
      <c r="AA663" s="117" t="s">
        <v>4142</v>
      </c>
      <c r="AB663" s="114"/>
      <c r="AC663" s="114"/>
      <c r="AD663" s="114"/>
      <c r="AE663" s="114"/>
      <c r="AF663" s="114"/>
      <c r="AG663" s="114"/>
      <c r="AH663" s="114"/>
      <c r="AI663" s="116"/>
      <c r="AJ663" s="114"/>
      <c r="AK663" s="114"/>
      <c r="AL663" s="114"/>
      <c r="AM663" s="114"/>
      <c r="AN663" s="114"/>
      <c r="AO663" s="114"/>
      <c r="AP663" s="114"/>
      <c r="AQ663" s="114"/>
      <c r="AR663" s="114"/>
      <c r="AS663" s="114"/>
      <c r="AT663" s="114"/>
      <c r="AU663" s="114"/>
      <c r="AV663" s="114"/>
      <c r="AW663" s="114"/>
      <c r="AX663" s="114"/>
      <c r="AY663" s="114"/>
      <c r="AZ663" s="114"/>
      <c r="BA663" s="114"/>
      <c r="BB663" s="114"/>
      <c r="BC663" s="114"/>
      <c r="BD663" s="114"/>
      <c r="BE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5"/>
      <c r="Y664" s="114"/>
      <c r="Z664" s="117" t="s">
        <v>6317</v>
      </c>
      <c r="AA664" s="117" t="s">
        <v>4144</v>
      </c>
      <c r="AB664" s="114"/>
      <c r="AC664" s="114"/>
      <c r="AD664" s="114"/>
      <c r="AE664" s="114"/>
      <c r="AF664" s="114"/>
      <c r="AG664" s="114"/>
      <c r="AH664" s="114"/>
      <c r="AI664" s="116"/>
      <c r="AJ664" s="114"/>
      <c r="AK664" s="114"/>
      <c r="AL664" s="114"/>
      <c r="AM664" s="114"/>
      <c r="AN664" s="114"/>
      <c r="AO664" s="114"/>
      <c r="AP664" s="114"/>
      <c r="AQ664" s="114"/>
      <c r="AR664" s="114"/>
      <c r="AS664" s="114"/>
      <c r="AT664" s="114"/>
      <c r="AU664" s="114"/>
      <c r="AV664" s="114"/>
      <c r="AW664" s="114"/>
      <c r="AX664" s="114"/>
      <c r="AY664" s="114"/>
      <c r="AZ664" s="114"/>
      <c r="BA664" s="114"/>
      <c r="BB664" s="114"/>
      <c r="BC664" s="114"/>
      <c r="BD664" s="114"/>
      <c r="BE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5"/>
      <c r="Y665" s="114"/>
      <c r="Z665" s="117" t="s">
        <v>6318</v>
      </c>
      <c r="AA665" s="117" t="s">
        <v>4145</v>
      </c>
      <c r="AB665" s="114"/>
      <c r="AC665" s="114"/>
      <c r="AD665" s="114"/>
      <c r="AE665" s="114"/>
      <c r="AF665" s="114"/>
      <c r="AG665" s="114"/>
      <c r="AH665" s="114"/>
      <c r="AI665" s="116"/>
      <c r="AJ665" s="114"/>
      <c r="AK665" s="114"/>
      <c r="AL665" s="114"/>
      <c r="AM665" s="114"/>
      <c r="AN665" s="114"/>
      <c r="AO665" s="114"/>
      <c r="AP665" s="114"/>
      <c r="AQ665" s="114"/>
      <c r="AR665" s="114"/>
      <c r="AS665" s="114"/>
      <c r="AT665" s="114"/>
      <c r="AU665" s="114"/>
      <c r="AV665" s="114"/>
      <c r="AW665" s="114"/>
      <c r="AX665" s="114"/>
      <c r="AY665" s="114"/>
      <c r="AZ665" s="114"/>
      <c r="BA665" s="114"/>
      <c r="BB665" s="114"/>
      <c r="BC665" s="114"/>
      <c r="BD665" s="114"/>
      <c r="BE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5"/>
      <c r="Y666" s="114"/>
      <c r="Z666" s="117" t="s">
        <v>6319</v>
      </c>
      <c r="AA666" s="117" t="s">
        <v>4143</v>
      </c>
      <c r="AB666" s="114"/>
      <c r="AC666" s="114"/>
      <c r="AD666" s="114"/>
      <c r="AE666" s="114"/>
      <c r="AF666" s="114"/>
      <c r="AG666" s="114"/>
      <c r="AH666" s="114"/>
      <c r="AI666" s="116"/>
      <c r="AJ666" s="114"/>
      <c r="AK666" s="114"/>
      <c r="AL666" s="114"/>
      <c r="AM666" s="114"/>
      <c r="AN666" s="114"/>
      <c r="AO666" s="114"/>
      <c r="AP666" s="114"/>
      <c r="AQ666" s="114"/>
      <c r="AR666" s="114"/>
      <c r="AS666" s="114"/>
      <c r="AT666" s="114"/>
      <c r="AU666" s="114"/>
      <c r="AV666" s="114"/>
      <c r="AW666" s="114"/>
      <c r="AX666" s="114"/>
      <c r="AY666" s="114"/>
      <c r="AZ666" s="114"/>
      <c r="BA666" s="114"/>
      <c r="BB666" s="114"/>
      <c r="BC666" s="114"/>
      <c r="BD666" s="114"/>
      <c r="BE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5"/>
      <c r="Y667" s="114"/>
      <c r="Z667" s="117" t="s">
        <v>6320</v>
      </c>
      <c r="AA667" s="117" t="s">
        <v>4155</v>
      </c>
      <c r="AB667" s="114"/>
      <c r="AC667" s="114"/>
      <c r="AD667" s="114"/>
      <c r="AE667" s="114"/>
      <c r="AF667" s="114"/>
      <c r="AG667" s="114"/>
      <c r="AH667" s="114"/>
      <c r="AI667" s="116"/>
      <c r="AJ667" s="114"/>
      <c r="AK667" s="114"/>
      <c r="AL667" s="114"/>
      <c r="AM667" s="114"/>
      <c r="AN667" s="114"/>
      <c r="AO667" s="114"/>
      <c r="AP667" s="114"/>
      <c r="AQ667" s="114"/>
      <c r="AR667" s="114"/>
      <c r="AS667" s="114"/>
      <c r="AT667" s="114"/>
      <c r="AU667" s="114"/>
      <c r="AV667" s="114"/>
      <c r="AW667" s="114"/>
      <c r="AX667" s="114"/>
      <c r="AY667" s="114"/>
      <c r="AZ667" s="114"/>
      <c r="BA667" s="114"/>
      <c r="BB667" s="114"/>
      <c r="BC667" s="114"/>
      <c r="BD667" s="114"/>
      <c r="BE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5"/>
      <c r="Y668" s="114"/>
      <c r="Z668" s="117" t="s">
        <v>6321</v>
      </c>
      <c r="AA668" s="117" t="s">
        <v>4157</v>
      </c>
      <c r="AB668" s="114"/>
      <c r="AC668" s="114"/>
      <c r="AD668" s="114"/>
      <c r="AE668" s="114"/>
      <c r="AF668" s="114"/>
      <c r="AG668" s="114"/>
      <c r="AH668" s="114"/>
      <c r="AI668" s="116"/>
      <c r="AJ668" s="114"/>
      <c r="AK668" s="114"/>
      <c r="AL668" s="114"/>
      <c r="AM668" s="114"/>
      <c r="AN668" s="114"/>
      <c r="AO668" s="114"/>
      <c r="AP668" s="114"/>
      <c r="AQ668" s="114"/>
      <c r="AR668" s="114"/>
      <c r="AS668" s="114"/>
      <c r="AT668" s="114"/>
      <c r="AU668" s="114"/>
      <c r="AV668" s="114"/>
      <c r="AW668" s="114"/>
      <c r="AX668" s="114"/>
      <c r="AY668" s="114"/>
      <c r="AZ668" s="114"/>
      <c r="BA668" s="114"/>
      <c r="BB668" s="114"/>
      <c r="BC668" s="114"/>
      <c r="BD668" s="114"/>
      <c r="BE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5"/>
      <c r="Y669" s="114"/>
      <c r="Z669" s="117" t="s">
        <v>6322</v>
      </c>
      <c r="AA669" s="117" t="s">
        <v>4158</v>
      </c>
      <c r="AB669" s="114"/>
      <c r="AC669" s="114"/>
      <c r="AD669" s="114"/>
      <c r="AE669" s="114"/>
      <c r="AF669" s="114"/>
      <c r="AG669" s="114"/>
      <c r="AH669" s="114"/>
      <c r="AI669" s="116"/>
      <c r="AJ669" s="114"/>
      <c r="AK669" s="114"/>
      <c r="AL669" s="114"/>
      <c r="AM669" s="114"/>
      <c r="AN669" s="114"/>
      <c r="AO669" s="114"/>
      <c r="AP669" s="114"/>
      <c r="AQ669" s="114"/>
      <c r="AR669" s="114"/>
      <c r="AS669" s="114"/>
      <c r="AT669" s="114"/>
      <c r="AU669" s="114"/>
      <c r="AV669" s="114"/>
      <c r="AW669" s="114"/>
      <c r="AX669" s="114"/>
      <c r="AY669" s="114"/>
      <c r="AZ669" s="114"/>
      <c r="BA669" s="114"/>
      <c r="BB669" s="114"/>
      <c r="BC669" s="114"/>
      <c r="BD669" s="114"/>
      <c r="BE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5"/>
      <c r="Y670" s="114"/>
      <c r="Z670" s="117" t="s">
        <v>6323</v>
      </c>
      <c r="AA670" s="117" t="s">
        <v>4156</v>
      </c>
      <c r="AB670" s="114"/>
      <c r="AC670" s="114"/>
      <c r="AD670" s="114"/>
      <c r="AE670" s="114"/>
      <c r="AF670" s="114"/>
      <c r="AG670" s="114"/>
      <c r="AH670" s="114"/>
      <c r="AI670" s="116"/>
      <c r="AJ670" s="114"/>
      <c r="AK670" s="114"/>
      <c r="AL670" s="114"/>
      <c r="AM670" s="114"/>
      <c r="AN670" s="114"/>
      <c r="AO670" s="114"/>
      <c r="AP670" s="114"/>
      <c r="AQ670" s="114"/>
      <c r="AR670" s="114"/>
      <c r="AS670" s="114"/>
      <c r="AT670" s="114"/>
      <c r="AU670" s="114"/>
      <c r="AV670" s="114"/>
      <c r="AW670" s="114"/>
      <c r="AX670" s="114"/>
      <c r="AY670" s="114"/>
      <c r="AZ670" s="114"/>
      <c r="BA670" s="114"/>
      <c r="BB670" s="114"/>
      <c r="BC670" s="114"/>
      <c r="BD670" s="114"/>
      <c r="BE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5"/>
      <c r="Y671" s="114"/>
      <c r="Z671" s="117" t="s">
        <v>6324</v>
      </c>
      <c r="AA671" s="117" t="s">
        <v>4168</v>
      </c>
      <c r="AB671" s="114"/>
      <c r="AC671" s="114"/>
      <c r="AD671" s="114"/>
      <c r="AE671" s="114"/>
      <c r="AF671" s="114"/>
      <c r="AG671" s="114"/>
      <c r="AH671" s="114"/>
      <c r="AI671" s="116"/>
      <c r="AJ671" s="114"/>
      <c r="AK671" s="114"/>
      <c r="AL671" s="114"/>
      <c r="AM671" s="114"/>
      <c r="AN671" s="114"/>
      <c r="AO671" s="114"/>
      <c r="AP671" s="114"/>
      <c r="AQ671" s="114"/>
      <c r="AR671" s="114"/>
      <c r="AS671" s="114"/>
      <c r="AT671" s="114"/>
      <c r="AU671" s="114"/>
      <c r="AV671" s="114"/>
      <c r="AW671" s="114"/>
      <c r="AX671" s="114"/>
      <c r="AY671" s="114"/>
      <c r="AZ671" s="114"/>
      <c r="BA671" s="114"/>
      <c r="BB671" s="114"/>
      <c r="BC671" s="114"/>
      <c r="BD671" s="114"/>
      <c r="BE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5"/>
      <c r="Y672" s="114"/>
      <c r="Z672" s="117" t="s">
        <v>6325</v>
      </c>
      <c r="AA672" s="117" t="s">
        <v>4170</v>
      </c>
      <c r="AB672" s="114"/>
      <c r="AC672" s="114"/>
      <c r="AD672" s="114"/>
      <c r="AE672" s="114"/>
      <c r="AF672" s="114"/>
      <c r="AG672" s="114"/>
      <c r="AH672" s="114"/>
      <c r="AI672" s="116"/>
      <c r="AJ672" s="114"/>
      <c r="AK672" s="114"/>
      <c r="AL672" s="114"/>
      <c r="AM672" s="114"/>
      <c r="AN672" s="114"/>
      <c r="AO672" s="114"/>
      <c r="AP672" s="114"/>
      <c r="AQ672" s="114"/>
      <c r="AR672" s="114"/>
      <c r="AS672" s="114"/>
      <c r="AT672" s="114"/>
      <c r="AU672" s="114"/>
      <c r="AV672" s="114"/>
      <c r="AW672" s="114"/>
      <c r="AX672" s="114"/>
      <c r="AY672" s="114"/>
      <c r="AZ672" s="114"/>
      <c r="BA672" s="114"/>
      <c r="BB672" s="114"/>
      <c r="BC672" s="114"/>
      <c r="BD672" s="114"/>
      <c r="BE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5"/>
      <c r="Y673" s="114"/>
      <c r="Z673" s="117" t="s">
        <v>6326</v>
      </c>
      <c r="AA673" s="117" t="s">
        <v>4171</v>
      </c>
      <c r="AB673" s="114"/>
      <c r="AC673" s="114"/>
      <c r="AD673" s="114"/>
      <c r="AE673" s="114"/>
      <c r="AF673" s="114"/>
      <c r="AG673" s="114"/>
      <c r="AH673" s="114"/>
      <c r="AI673" s="116"/>
      <c r="AJ673" s="114"/>
      <c r="AK673" s="114"/>
      <c r="AL673" s="114"/>
      <c r="AM673" s="114"/>
      <c r="AN673" s="114"/>
      <c r="AO673" s="114"/>
      <c r="AP673" s="114"/>
      <c r="AQ673" s="114"/>
      <c r="AR673" s="114"/>
      <c r="AS673" s="114"/>
      <c r="AT673" s="114"/>
      <c r="AU673" s="114"/>
      <c r="AV673" s="114"/>
      <c r="AW673" s="114"/>
      <c r="AX673" s="114"/>
      <c r="AY673" s="114"/>
      <c r="AZ673" s="114"/>
      <c r="BA673" s="114"/>
      <c r="BB673" s="114"/>
      <c r="BC673" s="114"/>
      <c r="BD673" s="114"/>
      <c r="BE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5"/>
      <c r="Y674" s="114"/>
      <c r="Z674" s="117" t="s">
        <v>6327</v>
      </c>
      <c r="AA674" s="117" t="s">
        <v>4169</v>
      </c>
      <c r="AB674" s="114"/>
      <c r="AC674" s="114"/>
      <c r="AD674" s="114"/>
      <c r="AE674" s="114"/>
      <c r="AF674" s="114"/>
      <c r="AG674" s="114"/>
      <c r="AH674" s="114"/>
      <c r="AI674" s="116"/>
      <c r="AJ674" s="114"/>
      <c r="AK674" s="114"/>
      <c r="AL674" s="114"/>
      <c r="AM674" s="114"/>
      <c r="AN674" s="114"/>
      <c r="AO674" s="114"/>
      <c r="AP674" s="114"/>
      <c r="AQ674" s="114"/>
      <c r="AR674" s="114"/>
      <c r="AS674" s="114"/>
      <c r="AT674" s="114"/>
      <c r="AU674" s="114"/>
      <c r="AV674" s="114"/>
      <c r="AW674" s="114"/>
      <c r="AX674" s="114"/>
      <c r="AY674" s="114"/>
      <c r="AZ674" s="114"/>
      <c r="BA674" s="114"/>
      <c r="BB674" s="114"/>
      <c r="BC674" s="114"/>
      <c r="BD674" s="114"/>
      <c r="BE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5"/>
      <c r="Y675" s="114"/>
      <c r="Z675" s="117" t="s">
        <v>6328</v>
      </c>
      <c r="AA675" s="117" t="s">
        <v>4181</v>
      </c>
      <c r="AB675" s="114"/>
      <c r="AC675" s="114"/>
      <c r="AD675" s="114"/>
      <c r="AE675" s="114"/>
      <c r="AF675" s="114"/>
      <c r="AG675" s="114"/>
      <c r="AH675" s="114"/>
      <c r="AI675" s="116"/>
      <c r="AJ675" s="114"/>
      <c r="AK675" s="114"/>
      <c r="AL675" s="114"/>
      <c r="AM675" s="114"/>
      <c r="AN675" s="114"/>
      <c r="AO675" s="114"/>
      <c r="AP675" s="114"/>
      <c r="AQ675" s="114"/>
      <c r="AR675" s="114"/>
      <c r="AS675" s="114"/>
      <c r="AT675" s="114"/>
      <c r="AU675" s="114"/>
      <c r="AV675" s="114"/>
      <c r="AW675" s="114"/>
      <c r="AX675" s="114"/>
      <c r="AY675" s="114"/>
      <c r="AZ675" s="114"/>
      <c r="BA675" s="114"/>
      <c r="BB675" s="114"/>
      <c r="BC675" s="114"/>
      <c r="BD675" s="114"/>
      <c r="BE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5"/>
      <c r="Y676" s="114"/>
      <c r="Z676" s="117" t="s">
        <v>6329</v>
      </c>
      <c r="AA676" s="117" t="s">
        <v>4183</v>
      </c>
      <c r="AB676" s="114"/>
      <c r="AC676" s="114"/>
      <c r="AD676" s="114"/>
      <c r="AE676" s="114"/>
      <c r="AF676" s="114"/>
      <c r="AG676" s="114"/>
      <c r="AH676" s="114"/>
      <c r="AI676" s="116"/>
      <c r="AJ676" s="114"/>
      <c r="AK676" s="114"/>
      <c r="AL676" s="114"/>
      <c r="AM676" s="114"/>
      <c r="AN676" s="114"/>
      <c r="AO676" s="114"/>
      <c r="AP676" s="114"/>
      <c r="AQ676" s="114"/>
      <c r="AR676" s="114"/>
      <c r="AS676" s="114"/>
      <c r="AT676" s="114"/>
      <c r="AU676" s="114"/>
      <c r="AV676" s="114"/>
      <c r="AW676" s="114"/>
      <c r="AX676" s="114"/>
      <c r="AY676" s="114"/>
      <c r="AZ676" s="114"/>
      <c r="BA676" s="114"/>
      <c r="BB676" s="114"/>
      <c r="BC676" s="114"/>
      <c r="BD676" s="114"/>
      <c r="BE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5"/>
      <c r="Y677" s="114"/>
      <c r="Z677" s="117" t="s">
        <v>6330</v>
      </c>
      <c r="AA677" s="117" t="s">
        <v>4184</v>
      </c>
      <c r="AB677" s="114"/>
      <c r="AC677" s="114"/>
      <c r="AD677" s="114"/>
      <c r="AE677" s="114"/>
      <c r="AF677" s="114"/>
      <c r="AG677" s="114"/>
      <c r="AH677" s="114"/>
      <c r="AI677" s="116"/>
      <c r="AJ677" s="114"/>
      <c r="AK677" s="114"/>
      <c r="AL677" s="114"/>
      <c r="AM677" s="114"/>
      <c r="AN677" s="114"/>
      <c r="AO677" s="114"/>
      <c r="AP677" s="114"/>
      <c r="AQ677" s="114"/>
      <c r="AR677" s="114"/>
      <c r="AS677" s="114"/>
      <c r="AT677" s="114"/>
      <c r="AU677" s="114"/>
      <c r="AV677" s="114"/>
      <c r="AW677" s="114"/>
      <c r="AX677" s="114"/>
      <c r="AY677" s="114"/>
      <c r="AZ677" s="114"/>
      <c r="BA677" s="114"/>
      <c r="BB677" s="114"/>
      <c r="BC677" s="114"/>
      <c r="BD677" s="114"/>
      <c r="BE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5"/>
      <c r="Y678" s="114"/>
      <c r="Z678" s="117" t="s">
        <v>6331</v>
      </c>
      <c r="AA678" s="117" t="s">
        <v>4182</v>
      </c>
      <c r="AB678" s="114"/>
      <c r="AC678" s="114"/>
      <c r="AD678" s="114"/>
      <c r="AE678" s="114"/>
      <c r="AF678" s="114"/>
      <c r="AG678" s="114"/>
      <c r="AH678" s="114"/>
      <c r="AI678" s="116"/>
      <c r="AJ678" s="114"/>
      <c r="AK678" s="114"/>
      <c r="AL678" s="114"/>
      <c r="AM678" s="114"/>
      <c r="AN678" s="114"/>
      <c r="AO678" s="114"/>
      <c r="AP678" s="114"/>
      <c r="AQ678" s="114"/>
      <c r="AR678" s="114"/>
      <c r="AS678" s="114"/>
      <c r="AT678" s="114"/>
      <c r="AU678" s="114"/>
      <c r="AV678" s="114"/>
      <c r="AW678" s="114"/>
      <c r="AX678" s="114"/>
      <c r="AY678" s="114"/>
      <c r="AZ678" s="114"/>
      <c r="BA678" s="114"/>
      <c r="BB678" s="114"/>
      <c r="BC678" s="114"/>
      <c r="BD678" s="114"/>
      <c r="BE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5"/>
      <c r="Y679" s="114"/>
      <c r="Z679" s="117" t="s">
        <v>6332</v>
      </c>
      <c r="AA679" s="117" t="s">
        <v>4194</v>
      </c>
      <c r="AB679" s="114"/>
      <c r="AC679" s="114"/>
      <c r="AD679" s="114"/>
      <c r="AE679" s="114"/>
      <c r="AF679" s="114"/>
      <c r="AG679" s="114"/>
      <c r="AH679" s="114"/>
      <c r="AI679" s="116"/>
      <c r="AJ679" s="114"/>
      <c r="AK679" s="114"/>
      <c r="AL679" s="114"/>
      <c r="AM679" s="114"/>
      <c r="AN679" s="114"/>
      <c r="AO679" s="114"/>
      <c r="AP679" s="114"/>
      <c r="AQ679" s="114"/>
      <c r="AR679" s="114"/>
      <c r="AS679" s="114"/>
      <c r="AT679" s="114"/>
      <c r="AU679" s="114"/>
      <c r="AV679" s="114"/>
      <c r="AW679" s="114"/>
      <c r="AX679" s="114"/>
      <c r="AY679" s="114"/>
      <c r="AZ679" s="114"/>
      <c r="BA679" s="114"/>
      <c r="BB679" s="114"/>
      <c r="BC679" s="114"/>
      <c r="BD679" s="114"/>
      <c r="BE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5"/>
      <c r="Y680" s="114"/>
      <c r="Z680" s="117" t="s">
        <v>6333</v>
      </c>
      <c r="AA680" s="117" t="s">
        <v>4196</v>
      </c>
      <c r="AB680" s="114"/>
      <c r="AC680" s="114"/>
      <c r="AD680" s="114"/>
      <c r="AE680" s="114"/>
      <c r="AF680" s="114"/>
      <c r="AG680" s="114"/>
      <c r="AH680" s="114"/>
      <c r="AI680" s="116"/>
      <c r="AJ680" s="114"/>
      <c r="AK680" s="114"/>
      <c r="AL680" s="114"/>
      <c r="AM680" s="114"/>
      <c r="AN680" s="114"/>
      <c r="AO680" s="114"/>
      <c r="AP680" s="114"/>
      <c r="AQ680" s="114"/>
      <c r="AR680" s="114"/>
      <c r="AS680" s="114"/>
      <c r="AT680" s="114"/>
      <c r="AU680" s="114"/>
      <c r="AV680" s="114"/>
      <c r="AW680" s="114"/>
      <c r="AX680" s="114"/>
      <c r="AY680" s="114"/>
      <c r="AZ680" s="114"/>
      <c r="BA680" s="114"/>
      <c r="BB680" s="114"/>
      <c r="BC680" s="114"/>
      <c r="BD680" s="114"/>
      <c r="BE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5"/>
      <c r="Y681" s="114"/>
      <c r="Z681" s="117" t="s">
        <v>6334</v>
      </c>
      <c r="AA681" s="117" t="s">
        <v>4197</v>
      </c>
      <c r="AB681" s="114"/>
      <c r="AC681" s="114"/>
      <c r="AD681" s="114"/>
      <c r="AE681" s="114"/>
      <c r="AF681" s="114"/>
      <c r="AG681" s="114"/>
      <c r="AH681" s="114"/>
      <c r="AI681" s="116"/>
      <c r="AJ681" s="114"/>
      <c r="AK681" s="114"/>
      <c r="AL681" s="114"/>
      <c r="AM681" s="114"/>
      <c r="AN681" s="114"/>
      <c r="AO681" s="114"/>
      <c r="AP681" s="114"/>
      <c r="AQ681" s="114"/>
      <c r="AR681" s="114"/>
      <c r="AS681" s="114"/>
      <c r="AT681" s="114"/>
      <c r="AU681" s="114"/>
      <c r="AV681" s="114"/>
      <c r="AW681" s="114"/>
      <c r="AX681" s="114"/>
      <c r="AY681" s="114"/>
      <c r="AZ681" s="114"/>
      <c r="BA681" s="114"/>
      <c r="BB681" s="114"/>
      <c r="BC681" s="114"/>
      <c r="BD681" s="114"/>
      <c r="BE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5"/>
      <c r="Y682" s="114"/>
      <c r="Z682" s="117" t="s">
        <v>6335</v>
      </c>
      <c r="AA682" s="117" t="s">
        <v>4195</v>
      </c>
      <c r="AB682" s="114"/>
      <c r="AC682" s="114"/>
      <c r="AD682" s="114"/>
      <c r="AE682" s="114"/>
      <c r="AF682" s="114"/>
      <c r="AG682" s="114"/>
      <c r="AH682" s="114"/>
      <c r="AI682" s="116"/>
      <c r="AJ682" s="114"/>
      <c r="AK682" s="114"/>
      <c r="AL682" s="114"/>
      <c r="AM682" s="114"/>
      <c r="AN682" s="114"/>
      <c r="AO682" s="114"/>
      <c r="AP682" s="114"/>
      <c r="AQ682" s="114"/>
      <c r="AR682" s="114"/>
      <c r="AS682" s="114"/>
      <c r="AT682" s="114"/>
      <c r="AU682" s="114"/>
      <c r="AV682" s="114"/>
      <c r="AW682" s="114"/>
      <c r="AX682" s="114"/>
      <c r="AY682" s="114"/>
      <c r="AZ682" s="114"/>
      <c r="BA682" s="114"/>
      <c r="BB682" s="114"/>
      <c r="BC682" s="114"/>
      <c r="BD682" s="114"/>
      <c r="BE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5"/>
      <c r="Y683" s="114"/>
      <c r="Z683" s="117" t="s">
        <v>6336</v>
      </c>
      <c r="AA683" s="117" t="s">
        <v>4207</v>
      </c>
      <c r="AB683" s="114"/>
      <c r="AC683" s="114"/>
      <c r="AD683" s="114"/>
      <c r="AE683" s="114"/>
      <c r="AF683" s="114"/>
      <c r="AG683" s="114"/>
      <c r="AH683" s="114"/>
      <c r="AI683" s="116"/>
      <c r="AJ683" s="114"/>
      <c r="AK683" s="114"/>
      <c r="AL683" s="114"/>
      <c r="AM683" s="114"/>
      <c r="AN683" s="114"/>
      <c r="AO683" s="114"/>
      <c r="AP683" s="114"/>
      <c r="AQ683" s="114"/>
      <c r="AR683" s="114"/>
      <c r="AS683" s="114"/>
      <c r="AT683" s="114"/>
      <c r="AU683" s="114"/>
      <c r="AV683" s="114"/>
      <c r="AW683" s="114"/>
      <c r="AX683" s="114"/>
      <c r="AY683" s="114"/>
      <c r="AZ683" s="114"/>
      <c r="BA683" s="114"/>
      <c r="BB683" s="114"/>
      <c r="BC683" s="114"/>
      <c r="BD683" s="114"/>
      <c r="BE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5"/>
      <c r="Y684" s="114"/>
      <c r="Z684" s="117" t="s">
        <v>6337</v>
      </c>
      <c r="AA684" s="117" t="s">
        <v>4209</v>
      </c>
      <c r="AB684" s="114"/>
      <c r="AC684" s="114"/>
      <c r="AD684" s="114"/>
      <c r="AE684" s="114"/>
      <c r="AF684" s="114"/>
      <c r="AG684" s="114"/>
      <c r="AH684" s="114"/>
      <c r="AI684" s="116"/>
      <c r="AJ684" s="114"/>
      <c r="AK684" s="114"/>
      <c r="AL684" s="114"/>
      <c r="AM684" s="114"/>
      <c r="AN684" s="114"/>
      <c r="AO684" s="114"/>
      <c r="AP684" s="114"/>
      <c r="AQ684" s="114"/>
      <c r="AR684" s="114"/>
      <c r="AS684" s="114"/>
      <c r="AT684" s="114"/>
      <c r="AU684" s="114"/>
      <c r="AV684" s="114"/>
      <c r="AW684" s="114"/>
      <c r="AX684" s="114"/>
      <c r="AY684" s="114"/>
      <c r="AZ684" s="114"/>
      <c r="BA684" s="114"/>
      <c r="BB684" s="114"/>
      <c r="BC684" s="114"/>
      <c r="BD684" s="114"/>
      <c r="BE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5"/>
      <c r="Y685" s="114"/>
      <c r="Z685" s="117" t="s">
        <v>6338</v>
      </c>
      <c r="AA685" s="117" t="s">
        <v>4210</v>
      </c>
      <c r="AB685" s="114"/>
      <c r="AC685" s="114"/>
      <c r="AD685" s="114"/>
      <c r="AE685" s="114"/>
      <c r="AF685" s="114"/>
      <c r="AG685" s="114"/>
      <c r="AH685" s="114"/>
      <c r="AI685" s="116"/>
      <c r="AJ685" s="114"/>
      <c r="AK685" s="114"/>
      <c r="AL685" s="114"/>
      <c r="AM685" s="114"/>
      <c r="AN685" s="114"/>
      <c r="AO685" s="114"/>
      <c r="AP685" s="114"/>
      <c r="AQ685" s="114"/>
      <c r="AR685" s="114"/>
      <c r="AS685" s="114"/>
      <c r="AT685" s="114"/>
      <c r="AU685" s="114"/>
      <c r="AV685" s="114"/>
      <c r="AW685" s="114"/>
      <c r="AX685" s="114"/>
      <c r="AY685" s="114"/>
      <c r="AZ685" s="114"/>
      <c r="BA685" s="114"/>
      <c r="BB685" s="114"/>
      <c r="BC685" s="114"/>
      <c r="BD685" s="114"/>
      <c r="BE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5"/>
      <c r="Y686" s="114"/>
      <c r="Z686" s="117" t="s">
        <v>6339</v>
      </c>
      <c r="AA686" s="117" t="s">
        <v>4208</v>
      </c>
      <c r="AB686" s="114"/>
      <c r="AC686" s="114"/>
      <c r="AD686" s="114"/>
      <c r="AE686" s="114"/>
      <c r="AF686" s="114"/>
      <c r="AG686" s="114"/>
      <c r="AH686" s="114"/>
      <c r="AI686" s="116"/>
      <c r="AJ686" s="114"/>
      <c r="AK686" s="114"/>
      <c r="AL686" s="114"/>
      <c r="AM686" s="114"/>
      <c r="AN686" s="114"/>
      <c r="AO686" s="114"/>
      <c r="AP686" s="114"/>
      <c r="AQ686" s="114"/>
      <c r="AR686" s="114"/>
      <c r="AS686" s="114"/>
      <c r="AT686" s="114"/>
      <c r="AU686" s="114"/>
      <c r="AV686" s="114"/>
      <c r="AW686" s="114"/>
      <c r="AX686" s="114"/>
      <c r="AY686" s="114"/>
      <c r="AZ686" s="114"/>
      <c r="BA686" s="114"/>
      <c r="BB686" s="114"/>
      <c r="BC686" s="114"/>
      <c r="BD686" s="114"/>
      <c r="BE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5"/>
      <c r="Y687" s="114"/>
      <c r="Z687" s="117" t="s">
        <v>6340</v>
      </c>
      <c r="AA687" s="117" t="s">
        <v>4218</v>
      </c>
      <c r="AB687" s="114"/>
      <c r="AC687" s="114"/>
      <c r="AD687" s="114"/>
      <c r="AE687" s="114"/>
      <c r="AF687" s="114"/>
      <c r="AG687" s="114"/>
      <c r="AH687" s="114"/>
      <c r="AI687" s="116"/>
      <c r="AJ687" s="114"/>
      <c r="AK687" s="114"/>
      <c r="AL687" s="114"/>
      <c r="AM687" s="114"/>
      <c r="AN687" s="114"/>
      <c r="AO687" s="114"/>
      <c r="AP687" s="114"/>
      <c r="AQ687" s="114"/>
      <c r="AR687" s="114"/>
      <c r="AS687" s="114"/>
      <c r="AT687" s="114"/>
      <c r="AU687" s="114"/>
      <c r="AV687" s="114"/>
      <c r="AW687" s="114"/>
      <c r="AX687" s="114"/>
      <c r="AY687" s="114"/>
      <c r="AZ687" s="114"/>
      <c r="BA687" s="114"/>
      <c r="BB687" s="114"/>
      <c r="BC687" s="114"/>
      <c r="BD687" s="114"/>
      <c r="BE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5"/>
      <c r="Y688" s="114"/>
      <c r="Z688" s="117" t="s">
        <v>6341</v>
      </c>
      <c r="AA688" s="117" t="s">
        <v>4220</v>
      </c>
      <c r="AB688" s="114"/>
      <c r="AC688" s="114"/>
      <c r="AD688" s="114"/>
      <c r="AE688" s="114"/>
      <c r="AF688" s="114"/>
      <c r="AG688" s="114"/>
      <c r="AH688" s="114"/>
      <c r="AI688" s="116"/>
      <c r="AJ688" s="114"/>
      <c r="AK688" s="114"/>
      <c r="AL688" s="114"/>
      <c r="AM688" s="114"/>
      <c r="AN688" s="114"/>
      <c r="AO688" s="114"/>
      <c r="AP688" s="114"/>
      <c r="AQ688" s="114"/>
      <c r="AR688" s="114"/>
      <c r="AS688" s="114"/>
      <c r="AT688" s="114"/>
      <c r="AU688" s="114"/>
      <c r="AV688" s="114"/>
      <c r="AW688" s="114"/>
      <c r="AX688" s="114"/>
      <c r="AY688" s="114"/>
      <c r="AZ688" s="114"/>
      <c r="BA688" s="114"/>
      <c r="BB688" s="114"/>
      <c r="BC688" s="114"/>
      <c r="BD688" s="114"/>
      <c r="BE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5"/>
      <c r="Y689" s="114"/>
      <c r="Z689" s="117" t="s">
        <v>6342</v>
      </c>
      <c r="AA689" s="117" t="s">
        <v>4221</v>
      </c>
      <c r="AB689" s="114"/>
      <c r="AC689" s="114"/>
      <c r="AD689" s="114"/>
      <c r="AE689" s="114"/>
      <c r="AF689" s="114"/>
      <c r="AG689" s="114"/>
      <c r="AH689" s="114"/>
      <c r="AI689" s="116"/>
      <c r="AJ689" s="114"/>
      <c r="AK689" s="114"/>
      <c r="AL689" s="114"/>
      <c r="AM689" s="114"/>
      <c r="AN689" s="114"/>
      <c r="AO689" s="114"/>
      <c r="AP689" s="114"/>
      <c r="AQ689" s="114"/>
      <c r="AR689" s="114"/>
      <c r="AS689" s="114"/>
      <c r="AT689" s="114"/>
      <c r="AU689" s="114"/>
      <c r="AV689" s="114"/>
      <c r="AW689" s="114"/>
      <c r="AX689" s="114"/>
      <c r="AY689" s="114"/>
      <c r="AZ689" s="114"/>
      <c r="BA689" s="114"/>
      <c r="BB689" s="114"/>
      <c r="BC689" s="114"/>
      <c r="BD689" s="114"/>
      <c r="BE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5"/>
      <c r="Y690" s="114"/>
      <c r="Z690" s="117" t="s">
        <v>6343</v>
      </c>
      <c r="AA690" s="117" t="s">
        <v>4219</v>
      </c>
      <c r="AB690" s="114"/>
      <c r="AC690" s="114"/>
      <c r="AD690" s="114"/>
      <c r="AE690" s="114"/>
      <c r="AF690" s="114"/>
      <c r="AG690" s="114"/>
      <c r="AH690" s="114"/>
      <c r="AI690" s="116"/>
      <c r="AJ690" s="114"/>
      <c r="AK690" s="114"/>
      <c r="AL690" s="114"/>
      <c r="AM690" s="114"/>
      <c r="AN690" s="114"/>
      <c r="AO690" s="114"/>
      <c r="AP690" s="114"/>
      <c r="AQ690" s="114"/>
      <c r="AR690" s="114"/>
      <c r="AS690" s="114"/>
      <c r="AT690" s="114"/>
      <c r="AU690" s="114"/>
      <c r="AV690" s="114"/>
      <c r="AW690" s="114"/>
      <c r="AX690" s="114"/>
      <c r="AY690" s="114"/>
      <c r="AZ690" s="114"/>
      <c r="BA690" s="114"/>
      <c r="BB690" s="114"/>
      <c r="BC690" s="114"/>
      <c r="BD690" s="114"/>
      <c r="BE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5"/>
      <c r="Y691" s="114"/>
      <c r="Z691" s="117" t="s">
        <v>6344</v>
      </c>
      <c r="AA691" s="117" t="s">
        <v>4229</v>
      </c>
      <c r="AB691" s="114"/>
      <c r="AC691" s="114"/>
      <c r="AD691" s="114"/>
      <c r="AE691" s="114"/>
      <c r="AF691" s="114"/>
      <c r="AG691" s="114"/>
      <c r="AH691" s="114"/>
      <c r="AI691" s="116"/>
      <c r="AJ691" s="114"/>
      <c r="AK691" s="114"/>
      <c r="AL691" s="114"/>
      <c r="AM691" s="114"/>
      <c r="AN691" s="114"/>
      <c r="AO691" s="114"/>
      <c r="AP691" s="114"/>
      <c r="AQ691" s="114"/>
      <c r="AR691" s="114"/>
      <c r="AS691" s="114"/>
      <c r="AT691" s="114"/>
      <c r="AU691" s="114"/>
      <c r="AV691" s="114"/>
      <c r="AW691" s="114"/>
      <c r="AX691" s="114"/>
      <c r="AY691" s="114"/>
      <c r="AZ691" s="114"/>
      <c r="BA691" s="114"/>
      <c r="BB691" s="114"/>
      <c r="BC691" s="114"/>
      <c r="BD691" s="114"/>
      <c r="BE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5"/>
      <c r="Y692" s="114"/>
      <c r="Z692" s="117" t="s">
        <v>6345</v>
      </c>
      <c r="AA692" s="117" t="s">
        <v>4231</v>
      </c>
      <c r="AB692" s="114"/>
      <c r="AC692" s="114"/>
      <c r="AD692" s="114"/>
      <c r="AE692" s="114"/>
      <c r="AF692" s="114"/>
      <c r="AG692" s="114"/>
      <c r="AH692" s="114"/>
      <c r="AI692" s="116"/>
      <c r="AJ692" s="114"/>
      <c r="AK692" s="114"/>
      <c r="AL692" s="114"/>
      <c r="AM692" s="114"/>
      <c r="AN692" s="114"/>
      <c r="AO692" s="114"/>
      <c r="AP692" s="114"/>
      <c r="AQ692" s="114"/>
      <c r="AR692" s="114"/>
      <c r="AS692" s="114"/>
      <c r="AT692" s="114"/>
      <c r="AU692" s="114"/>
      <c r="AV692" s="114"/>
      <c r="AW692" s="114"/>
      <c r="AX692" s="114"/>
      <c r="AY692" s="114"/>
      <c r="AZ692" s="114"/>
      <c r="BA692" s="114"/>
      <c r="BB692" s="114"/>
      <c r="BC692" s="114"/>
      <c r="BD692" s="114"/>
      <c r="BE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5"/>
      <c r="Y693" s="114"/>
      <c r="Z693" s="117" t="s">
        <v>6346</v>
      </c>
      <c r="AA693" s="117" t="s">
        <v>4232</v>
      </c>
      <c r="AB693" s="114"/>
      <c r="AC693" s="114"/>
      <c r="AD693" s="114"/>
      <c r="AE693" s="114"/>
      <c r="AF693" s="114"/>
      <c r="AG693" s="114"/>
      <c r="AH693" s="114"/>
      <c r="AI693" s="116"/>
      <c r="AJ693" s="114"/>
      <c r="AK693" s="114"/>
      <c r="AL693" s="114"/>
      <c r="AM693" s="114"/>
      <c r="AN693" s="114"/>
      <c r="AO693" s="114"/>
      <c r="AP693" s="114"/>
      <c r="AQ693" s="114"/>
      <c r="AR693" s="114"/>
      <c r="AS693" s="114"/>
      <c r="AT693" s="114"/>
      <c r="AU693" s="114"/>
      <c r="AV693" s="114"/>
      <c r="AW693" s="114"/>
      <c r="AX693" s="114"/>
      <c r="AY693" s="114"/>
      <c r="AZ693" s="114"/>
      <c r="BA693" s="114"/>
      <c r="BB693" s="114"/>
      <c r="BC693" s="114"/>
      <c r="BD693" s="114"/>
      <c r="BE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5"/>
      <c r="Y694" s="114"/>
      <c r="Z694" s="117" t="s">
        <v>6347</v>
      </c>
      <c r="AA694" s="117" t="s">
        <v>4230</v>
      </c>
      <c r="AB694" s="114"/>
      <c r="AC694" s="114"/>
      <c r="AD694" s="114"/>
      <c r="AE694" s="114"/>
      <c r="AF694" s="114"/>
      <c r="AG694" s="114"/>
      <c r="AH694" s="114"/>
      <c r="AI694" s="116"/>
      <c r="AJ694" s="114"/>
      <c r="AK694" s="114"/>
      <c r="AL694" s="114"/>
      <c r="AM694" s="114"/>
      <c r="AN694" s="114"/>
      <c r="AO694" s="114"/>
      <c r="AP694" s="114"/>
      <c r="AQ694" s="114"/>
      <c r="AR694" s="114"/>
      <c r="AS694" s="114"/>
      <c r="AT694" s="114"/>
      <c r="AU694" s="114"/>
      <c r="AV694" s="114"/>
      <c r="AW694" s="114"/>
      <c r="AX694" s="114"/>
      <c r="AY694" s="114"/>
      <c r="AZ694" s="114"/>
      <c r="BA694" s="114"/>
      <c r="BB694" s="114"/>
      <c r="BC694" s="114"/>
      <c r="BD694" s="114"/>
      <c r="BE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5"/>
      <c r="Y695" s="114"/>
      <c r="Z695" s="117" t="s">
        <v>6348</v>
      </c>
      <c r="AA695" s="117" t="s">
        <v>4240</v>
      </c>
      <c r="AB695" s="114"/>
      <c r="AC695" s="114"/>
      <c r="AD695" s="114"/>
      <c r="AE695" s="114"/>
      <c r="AF695" s="114"/>
      <c r="AG695" s="114"/>
      <c r="AH695" s="114"/>
      <c r="AI695" s="116"/>
      <c r="AJ695" s="114"/>
      <c r="AK695" s="114"/>
      <c r="AL695" s="114"/>
      <c r="AM695" s="114"/>
      <c r="AN695" s="114"/>
      <c r="AO695" s="114"/>
      <c r="AP695" s="114"/>
      <c r="AQ695" s="114"/>
      <c r="AR695" s="114"/>
      <c r="AS695" s="114"/>
      <c r="AT695" s="114"/>
      <c r="AU695" s="114"/>
      <c r="AV695" s="114"/>
      <c r="AW695" s="114"/>
      <c r="AX695" s="114"/>
      <c r="AY695" s="114"/>
      <c r="AZ695" s="114"/>
      <c r="BA695" s="114"/>
      <c r="BB695" s="114"/>
      <c r="BC695" s="114"/>
      <c r="BD695" s="114"/>
      <c r="BE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5"/>
      <c r="Y696" s="114"/>
      <c r="Z696" s="117" t="s">
        <v>6349</v>
      </c>
      <c r="AA696" s="117" t="s">
        <v>4242</v>
      </c>
      <c r="AB696" s="114"/>
      <c r="AC696" s="114"/>
      <c r="AD696" s="114"/>
      <c r="AE696" s="114"/>
      <c r="AF696" s="114"/>
      <c r="AG696" s="114"/>
      <c r="AH696" s="114"/>
      <c r="AI696" s="116"/>
      <c r="AJ696" s="114"/>
      <c r="AK696" s="114"/>
      <c r="AL696" s="114"/>
      <c r="AM696" s="114"/>
      <c r="AN696" s="114"/>
      <c r="AO696" s="114"/>
      <c r="AP696" s="114"/>
      <c r="AQ696" s="114"/>
      <c r="AR696" s="114"/>
      <c r="AS696" s="114"/>
      <c r="AT696" s="114"/>
      <c r="AU696" s="114"/>
      <c r="AV696" s="114"/>
      <c r="AW696" s="114"/>
      <c r="AX696" s="114"/>
      <c r="AY696" s="114"/>
      <c r="AZ696" s="114"/>
      <c r="BA696" s="114"/>
      <c r="BB696" s="114"/>
      <c r="BC696" s="114"/>
      <c r="BD696" s="114"/>
      <c r="BE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5"/>
      <c r="Y697" s="114"/>
      <c r="Z697" s="117" t="s">
        <v>6350</v>
      </c>
      <c r="AA697" s="117" t="s">
        <v>4243</v>
      </c>
      <c r="AB697" s="114"/>
      <c r="AC697" s="114"/>
      <c r="AD697" s="114"/>
      <c r="AE697" s="114"/>
      <c r="AF697" s="114"/>
      <c r="AG697" s="114"/>
      <c r="AH697" s="114"/>
      <c r="AI697" s="116"/>
      <c r="AJ697" s="114"/>
      <c r="AK697" s="114"/>
      <c r="AL697" s="114"/>
      <c r="AM697" s="114"/>
      <c r="AN697" s="114"/>
      <c r="AO697" s="114"/>
      <c r="AP697" s="114"/>
      <c r="AQ697" s="114"/>
      <c r="AR697" s="114"/>
      <c r="AS697" s="114"/>
      <c r="AT697" s="114"/>
      <c r="AU697" s="114"/>
      <c r="AV697" s="114"/>
      <c r="AW697" s="114"/>
      <c r="AX697" s="114"/>
      <c r="AY697" s="114"/>
      <c r="AZ697" s="114"/>
      <c r="BA697" s="114"/>
      <c r="BB697" s="114"/>
      <c r="BC697" s="114"/>
      <c r="BD697" s="114"/>
      <c r="BE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5"/>
      <c r="Y698" s="114"/>
      <c r="Z698" s="117" t="s">
        <v>6351</v>
      </c>
      <c r="AA698" s="117" t="s">
        <v>4241</v>
      </c>
      <c r="AB698" s="114"/>
      <c r="AC698" s="114"/>
      <c r="AD698" s="114"/>
      <c r="AE698" s="114"/>
      <c r="AF698" s="114"/>
      <c r="AG698" s="114"/>
      <c r="AH698" s="114"/>
      <c r="AI698" s="116"/>
      <c r="AJ698" s="114"/>
      <c r="AK698" s="114"/>
      <c r="AL698" s="114"/>
      <c r="AM698" s="114"/>
      <c r="AN698" s="114"/>
      <c r="AO698" s="114"/>
      <c r="AP698" s="114"/>
      <c r="AQ698" s="114"/>
      <c r="AR698" s="114"/>
      <c r="AS698" s="114"/>
      <c r="AT698" s="114"/>
      <c r="AU698" s="114"/>
      <c r="AV698" s="114"/>
      <c r="AW698" s="114"/>
      <c r="AX698" s="114"/>
      <c r="AY698" s="114"/>
      <c r="AZ698" s="114"/>
      <c r="BA698" s="114"/>
      <c r="BB698" s="114"/>
      <c r="BC698" s="114"/>
      <c r="BD698" s="114"/>
      <c r="BE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5"/>
      <c r="Y699" s="114"/>
      <c r="Z699" s="117" t="s">
        <v>6352</v>
      </c>
      <c r="AA699" s="117" t="s">
        <v>4251</v>
      </c>
      <c r="AB699" s="114"/>
      <c r="AC699" s="114"/>
      <c r="AD699" s="114"/>
      <c r="AE699" s="114"/>
      <c r="AF699" s="114"/>
      <c r="AG699" s="114"/>
      <c r="AH699" s="114"/>
      <c r="AI699" s="116"/>
      <c r="AJ699" s="114"/>
      <c r="AK699" s="114"/>
      <c r="AL699" s="114"/>
      <c r="AM699" s="114"/>
      <c r="AN699" s="114"/>
      <c r="AO699" s="114"/>
      <c r="AP699" s="114"/>
      <c r="AQ699" s="114"/>
      <c r="AR699" s="114"/>
      <c r="AS699" s="114"/>
      <c r="AT699" s="114"/>
      <c r="AU699" s="114"/>
      <c r="AV699" s="114"/>
      <c r="AW699" s="114"/>
      <c r="AX699" s="114"/>
      <c r="AY699" s="114"/>
      <c r="AZ699" s="114"/>
      <c r="BA699" s="114"/>
      <c r="BB699" s="114"/>
      <c r="BC699" s="114"/>
      <c r="BD699" s="114"/>
      <c r="BE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5"/>
      <c r="Y700" s="114"/>
      <c r="Z700" s="117" t="s">
        <v>6353</v>
      </c>
      <c r="AA700" s="117" t="s">
        <v>4253</v>
      </c>
      <c r="AB700" s="114"/>
      <c r="AC700" s="114"/>
      <c r="AD700" s="114"/>
      <c r="AE700" s="114"/>
      <c r="AF700" s="114"/>
      <c r="AG700" s="114"/>
      <c r="AH700" s="114"/>
      <c r="AI700" s="116"/>
      <c r="AJ700" s="114"/>
      <c r="AK700" s="114"/>
      <c r="AL700" s="114"/>
      <c r="AM700" s="114"/>
      <c r="AN700" s="114"/>
      <c r="AO700" s="114"/>
      <c r="AP700" s="114"/>
      <c r="AQ700" s="114"/>
      <c r="AR700" s="114"/>
      <c r="AS700" s="114"/>
      <c r="AT700" s="114"/>
      <c r="AU700" s="114"/>
      <c r="AV700" s="114"/>
      <c r="AW700" s="114"/>
      <c r="AX700" s="114"/>
      <c r="AY700" s="114"/>
      <c r="AZ700" s="114"/>
      <c r="BA700" s="114"/>
      <c r="BB700" s="114"/>
      <c r="BC700" s="114"/>
      <c r="BD700" s="114"/>
      <c r="BE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5"/>
      <c r="Y701" s="114"/>
      <c r="Z701" s="117" t="s">
        <v>6354</v>
      </c>
      <c r="AA701" s="117" t="s">
        <v>4254</v>
      </c>
      <c r="AB701" s="114"/>
      <c r="AC701" s="114"/>
      <c r="AD701" s="114"/>
      <c r="AE701" s="114"/>
      <c r="AF701" s="114"/>
      <c r="AG701" s="114"/>
      <c r="AH701" s="114"/>
      <c r="AI701" s="116"/>
      <c r="AJ701" s="114"/>
      <c r="AK701" s="114"/>
      <c r="AL701" s="114"/>
      <c r="AM701" s="114"/>
      <c r="AN701" s="114"/>
      <c r="AO701" s="114"/>
      <c r="AP701" s="114"/>
      <c r="AQ701" s="114"/>
      <c r="AR701" s="114"/>
      <c r="AS701" s="114"/>
      <c r="AT701" s="114"/>
      <c r="AU701" s="114"/>
      <c r="AV701" s="114"/>
      <c r="AW701" s="114"/>
      <c r="AX701" s="114"/>
      <c r="AY701" s="114"/>
      <c r="AZ701" s="114"/>
      <c r="BA701" s="114"/>
      <c r="BB701" s="114"/>
      <c r="BC701" s="114"/>
      <c r="BD701" s="114"/>
      <c r="BE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5"/>
      <c r="Y702" s="114"/>
      <c r="Z702" s="117" t="s">
        <v>6355</v>
      </c>
      <c r="AA702" s="117" t="s">
        <v>4252</v>
      </c>
      <c r="AB702" s="114"/>
      <c r="AC702" s="114"/>
      <c r="AD702" s="114"/>
      <c r="AE702" s="114"/>
      <c r="AF702" s="114"/>
      <c r="AG702" s="114"/>
      <c r="AH702" s="114"/>
      <c r="AI702" s="116"/>
      <c r="AJ702" s="114"/>
      <c r="AK702" s="114"/>
      <c r="AL702" s="114"/>
      <c r="AM702" s="114"/>
      <c r="AN702" s="114"/>
      <c r="AO702" s="114"/>
      <c r="AP702" s="114"/>
      <c r="AQ702" s="114"/>
      <c r="AR702" s="114"/>
      <c r="AS702" s="114"/>
      <c r="AT702" s="114"/>
      <c r="AU702" s="114"/>
      <c r="AV702" s="114"/>
      <c r="AW702" s="114"/>
      <c r="AX702" s="114"/>
      <c r="AY702" s="114"/>
      <c r="AZ702" s="114"/>
      <c r="BA702" s="114"/>
      <c r="BB702" s="114"/>
      <c r="BC702" s="114"/>
      <c r="BD702" s="114"/>
      <c r="BE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5"/>
      <c r="Y703" s="114"/>
      <c r="Z703" s="117" t="s">
        <v>6356</v>
      </c>
      <c r="AA703" s="117" t="s">
        <v>4262</v>
      </c>
      <c r="AB703" s="114"/>
      <c r="AC703" s="114"/>
      <c r="AD703" s="114"/>
      <c r="AE703" s="114"/>
      <c r="AF703" s="114"/>
      <c r="AG703" s="114"/>
      <c r="AH703" s="114"/>
      <c r="AI703" s="116"/>
      <c r="AJ703" s="114"/>
      <c r="AK703" s="114"/>
      <c r="AL703" s="114"/>
      <c r="AM703" s="114"/>
      <c r="AN703" s="114"/>
      <c r="AO703" s="114"/>
      <c r="AP703" s="114"/>
      <c r="AQ703" s="114"/>
      <c r="AR703" s="114"/>
      <c r="AS703" s="114"/>
      <c r="AT703" s="114"/>
      <c r="AU703" s="114"/>
      <c r="AV703" s="114"/>
      <c r="AW703" s="114"/>
      <c r="AX703" s="114"/>
      <c r="AY703" s="114"/>
      <c r="AZ703" s="114"/>
      <c r="BA703" s="114"/>
      <c r="BB703" s="114"/>
      <c r="BC703" s="114"/>
      <c r="BD703" s="114"/>
      <c r="BE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5"/>
      <c r="Y704" s="114"/>
      <c r="Z704" s="117" t="s">
        <v>6357</v>
      </c>
      <c r="AA704" s="117" t="s">
        <v>4264</v>
      </c>
      <c r="AB704" s="114"/>
      <c r="AC704" s="114"/>
      <c r="AD704" s="114"/>
      <c r="AE704" s="114"/>
      <c r="AF704" s="114"/>
      <c r="AG704" s="114"/>
      <c r="AH704" s="114"/>
      <c r="AI704" s="116"/>
      <c r="AJ704" s="114"/>
      <c r="AK704" s="114"/>
      <c r="AL704" s="114"/>
      <c r="AM704" s="114"/>
      <c r="AN704" s="114"/>
      <c r="AO704" s="114"/>
      <c r="AP704" s="114"/>
      <c r="AQ704" s="114"/>
      <c r="AR704" s="114"/>
      <c r="AS704" s="114"/>
      <c r="AT704" s="114"/>
      <c r="AU704" s="114"/>
      <c r="AV704" s="114"/>
      <c r="AW704" s="114"/>
      <c r="AX704" s="114"/>
      <c r="AY704" s="114"/>
      <c r="AZ704" s="114"/>
      <c r="BA704" s="114"/>
      <c r="BB704" s="114"/>
      <c r="BC704" s="114"/>
      <c r="BD704" s="114"/>
      <c r="BE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5"/>
      <c r="Y705" s="114"/>
      <c r="Z705" s="117" t="s">
        <v>6358</v>
      </c>
      <c r="AA705" s="117" t="s">
        <v>4265</v>
      </c>
      <c r="AB705" s="114"/>
      <c r="AC705" s="114"/>
      <c r="AD705" s="114"/>
      <c r="AE705" s="114"/>
      <c r="AF705" s="114"/>
      <c r="AG705" s="114"/>
      <c r="AH705" s="114"/>
      <c r="AI705" s="116"/>
      <c r="AJ705" s="114"/>
      <c r="AK705" s="114"/>
      <c r="AL705" s="114"/>
      <c r="AM705" s="114"/>
      <c r="AN705" s="114"/>
      <c r="AO705" s="114"/>
      <c r="AP705" s="114"/>
      <c r="AQ705" s="114"/>
      <c r="AR705" s="114"/>
      <c r="AS705" s="114"/>
      <c r="AT705" s="114"/>
      <c r="AU705" s="114"/>
      <c r="AV705" s="114"/>
      <c r="AW705" s="114"/>
      <c r="AX705" s="114"/>
      <c r="AY705" s="114"/>
      <c r="AZ705" s="114"/>
      <c r="BA705" s="114"/>
      <c r="BB705" s="114"/>
      <c r="BC705" s="114"/>
      <c r="BD705" s="114"/>
      <c r="BE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5"/>
      <c r="Y706" s="114"/>
      <c r="Z706" s="117" t="s">
        <v>6359</v>
      </c>
      <c r="AA706" s="117" t="s">
        <v>4263</v>
      </c>
      <c r="AB706" s="114"/>
      <c r="AC706" s="114"/>
      <c r="AD706" s="114"/>
      <c r="AE706" s="114"/>
      <c r="AF706" s="114"/>
      <c r="AG706" s="114"/>
      <c r="AH706" s="114"/>
      <c r="AI706" s="116"/>
      <c r="AJ706" s="114"/>
      <c r="AK706" s="114"/>
      <c r="AL706" s="114"/>
      <c r="AM706" s="114"/>
      <c r="AN706" s="114"/>
      <c r="AO706" s="114"/>
      <c r="AP706" s="114"/>
      <c r="AQ706" s="114"/>
      <c r="AR706" s="114"/>
      <c r="AS706" s="114"/>
      <c r="AT706" s="114"/>
      <c r="AU706" s="114"/>
      <c r="AV706" s="114"/>
      <c r="AW706" s="114"/>
      <c r="AX706" s="114"/>
      <c r="AY706" s="114"/>
      <c r="AZ706" s="114"/>
      <c r="BA706" s="114"/>
      <c r="BB706" s="114"/>
      <c r="BC706" s="114"/>
      <c r="BD706" s="114"/>
      <c r="BE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5"/>
      <c r="Y707" s="114"/>
      <c r="Z707" s="117" t="s">
        <v>6360</v>
      </c>
      <c r="AA707" s="117" t="s">
        <v>4273</v>
      </c>
      <c r="AB707" s="114"/>
      <c r="AC707" s="114"/>
      <c r="AD707" s="114"/>
      <c r="AE707" s="114"/>
      <c r="AF707" s="114"/>
      <c r="AG707" s="114"/>
      <c r="AH707" s="114"/>
      <c r="AI707" s="116"/>
      <c r="AJ707" s="114"/>
      <c r="AK707" s="114"/>
      <c r="AL707" s="114"/>
      <c r="AM707" s="114"/>
      <c r="AN707" s="114"/>
      <c r="AO707" s="114"/>
      <c r="AP707" s="114"/>
      <c r="AQ707" s="114"/>
      <c r="AR707" s="114"/>
      <c r="AS707" s="114"/>
      <c r="AT707" s="114"/>
      <c r="AU707" s="114"/>
      <c r="AV707" s="114"/>
      <c r="AW707" s="114"/>
      <c r="AX707" s="114"/>
      <c r="AY707" s="114"/>
      <c r="AZ707" s="114"/>
      <c r="BA707" s="114"/>
      <c r="BB707" s="114"/>
      <c r="BC707" s="114"/>
      <c r="BD707" s="114"/>
      <c r="BE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5"/>
      <c r="Y708" s="114"/>
      <c r="Z708" s="117" t="s">
        <v>6361</v>
      </c>
      <c r="AA708" s="117" t="s">
        <v>4275</v>
      </c>
      <c r="AB708" s="114"/>
      <c r="AC708" s="114"/>
      <c r="AD708" s="114"/>
      <c r="AE708" s="114"/>
      <c r="AF708" s="114"/>
      <c r="AG708" s="114"/>
      <c r="AH708" s="114"/>
      <c r="AI708" s="116"/>
      <c r="AJ708" s="114"/>
      <c r="AK708" s="114"/>
      <c r="AL708" s="114"/>
      <c r="AM708" s="114"/>
      <c r="AN708" s="114"/>
      <c r="AO708" s="114"/>
      <c r="AP708" s="114"/>
      <c r="AQ708" s="114"/>
      <c r="AR708" s="114"/>
      <c r="AS708" s="114"/>
      <c r="AT708" s="114"/>
      <c r="AU708" s="114"/>
      <c r="AV708" s="114"/>
      <c r="AW708" s="114"/>
      <c r="AX708" s="114"/>
      <c r="AY708" s="114"/>
      <c r="AZ708" s="114"/>
      <c r="BA708" s="114"/>
      <c r="BB708" s="114"/>
      <c r="BC708" s="114"/>
      <c r="BD708" s="114"/>
      <c r="BE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5"/>
      <c r="Y709" s="114"/>
      <c r="Z709" s="117" t="s">
        <v>6362</v>
      </c>
      <c r="AA709" s="117" t="s">
        <v>4276</v>
      </c>
      <c r="AB709" s="114"/>
      <c r="AC709" s="114"/>
      <c r="AD709" s="114"/>
      <c r="AE709" s="114"/>
      <c r="AF709" s="114"/>
      <c r="AG709" s="114"/>
      <c r="AH709" s="114"/>
      <c r="AI709" s="116"/>
      <c r="AJ709" s="114"/>
      <c r="AK709" s="114"/>
      <c r="AL709" s="114"/>
      <c r="AM709" s="114"/>
      <c r="AN709" s="114"/>
      <c r="AO709" s="114"/>
      <c r="AP709" s="114"/>
      <c r="AQ709" s="114"/>
      <c r="AR709" s="114"/>
      <c r="AS709" s="114"/>
      <c r="AT709" s="114"/>
      <c r="AU709" s="114"/>
      <c r="AV709" s="114"/>
      <c r="AW709" s="114"/>
      <c r="AX709" s="114"/>
      <c r="AY709" s="114"/>
      <c r="AZ709" s="114"/>
      <c r="BA709" s="114"/>
      <c r="BB709" s="114"/>
      <c r="BC709" s="114"/>
      <c r="BD709" s="114"/>
      <c r="BE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5"/>
      <c r="Y710" s="114"/>
      <c r="Z710" s="117" t="s">
        <v>6363</v>
      </c>
      <c r="AA710" s="117" t="s">
        <v>4274</v>
      </c>
      <c r="AB710" s="114"/>
      <c r="AC710" s="114"/>
      <c r="AD710" s="114"/>
      <c r="AE710" s="114"/>
      <c r="AF710" s="114"/>
      <c r="AG710" s="114"/>
      <c r="AH710" s="114"/>
      <c r="AI710" s="116"/>
      <c r="AJ710" s="114"/>
      <c r="AK710" s="114"/>
      <c r="AL710" s="114"/>
      <c r="AM710" s="114"/>
      <c r="AN710" s="114"/>
      <c r="AO710" s="114"/>
      <c r="AP710" s="114"/>
      <c r="AQ710" s="114"/>
      <c r="AR710" s="114"/>
      <c r="AS710" s="114"/>
      <c r="AT710" s="114"/>
      <c r="AU710" s="114"/>
      <c r="AV710" s="114"/>
      <c r="AW710" s="114"/>
      <c r="AX710" s="114"/>
      <c r="AY710" s="114"/>
      <c r="AZ710" s="114"/>
      <c r="BA710" s="114"/>
      <c r="BB710" s="114"/>
      <c r="BC710" s="114"/>
      <c r="BD710" s="114"/>
      <c r="BE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5"/>
      <c r="Y711" s="114"/>
      <c r="Z711" s="117" t="s">
        <v>6364</v>
      </c>
      <c r="AA711" s="117" t="s">
        <v>4284</v>
      </c>
      <c r="AB711" s="114"/>
      <c r="AC711" s="114"/>
      <c r="AD711" s="114"/>
      <c r="AE711" s="114"/>
      <c r="AF711" s="114"/>
      <c r="AG711" s="114"/>
      <c r="AH711" s="114"/>
      <c r="AI711" s="116"/>
      <c r="AJ711" s="114"/>
      <c r="AK711" s="114"/>
      <c r="AL711" s="114"/>
      <c r="AM711" s="114"/>
      <c r="AN711" s="114"/>
      <c r="AO711" s="114"/>
      <c r="AP711" s="114"/>
      <c r="AQ711" s="114"/>
      <c r="AR711" s="114"/>
      <c r="AS711" s="114"/>
      <c r="AT711" s="114"/>
      <c r="AU711" s="114"/>
      <c r="AV711" s="114"/>
      <c r="AW711" s="114"/>
      <c r="AX711" s="114"/>
      <c r="AY711" s="114"/>
      <c r="AZ711" s="114"/>
      <c r="BA711" s="114"/>
      <c r="BB711" s="114"/>
      <c r="BC711" s="114"/>
      <c r="BD711" s="114"/>
      <c r="BE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5"/>
      <c r="Y712" s="114"/>
      <c r="Z712" s="117" t="s">
        <v>6365</v>
      </c>
      <c r="AA712" s="117" t="s">
        <v>4286</v>
      </c>
      <c r="AB712" s="114"/>
      <c r="AC712" s="114"/>
      <c r="AD712" s="114"/>
      <c r="AE712" s="114"/>
      <c r="AF712" s="114"/>
      <c r="AG712" s="114"/>
      <c r="AH712" s="114"/>
      <c r="AI712" s="116"/>
      <c r="AJ712" s="114"/>
      <c r="AK712" s="114"/>
      <c r="AL712" s="114"/>
      <c r="AM712" s="114"/>
      <c r="AN712" s="114"/>
      <c r="AO712" s="114"/>
      <c r="AP712" s="114"/>
      <c r="AQ712" s="114"/>
      <c r="AR712" s="114"/>
      <c r="AS712" s="114"/>
      <c r="AT712" s="114"/>
      <c r="AU712" s="114"/>
      <c r="AV712" s="114"/>
      <c r="AW712" s="114"/>
      <c r="AX712" s="114"/>
      <c r="AY712" s="114"/>
      <c r="AZ712" s="114"/>
      <c r="BA712" s="114"/>
      <c r="BB712" s="114"/>
      <c r="BC712" s="114"/>
      <c r="BD712" s="114"/>
      <c r="BE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5"/>
      <c r="Y713" s="114"/>
      <c r="Z713" s="117" t="s">
        <v>6366</v>
      </c>
      <c r="AA713" s="117" t="s">
        <v>4287</v>
      </c>
      <c r="AB713" s="114"/>
      <c r="AC713" s="114"/>
      <c r="AD713" s="114"/>
      <c r="AE713" s="114"/>
      <c r="AF713" s="114"/>
      <c r="AG713" s="114"/>
      <c r="AH713" s="114"/>
      <c r="AI713" s="116"/>
      <c r="AJ713" s="114"/>
      <c r="AK713" s="114"/>
      <c r="AL713" s="114"/>
      <c r="AM713" s="114"/>
      <c r="AN713" s="114"/>
      <c r="AO713" s="114"/>
      <c r="AP713" s="114"/>
      <c r="AQ713" s="114"/>
      <c r="AR713" s="114"/>
      <c r="AS713" s="114"/>
      <c r="AT713" s="114"/>
      <c r="AU713" s="114"/>
      <c r="AV713" s="114"/>
      <c r="AW713" s="114"/>
      <c r="AX713" s="114"/>
      <c r="AY713" s="114"/>
      <c r="AZ713" s="114"/>
      <c r="BA713" s="114"/>
      <c r="BB713" s="114"/>
      <c r="BC713" s="114"/>
      <c r="BD713" s="114"/>
      <c r="BE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5"/>
      <c r="Y714" s="114"/>
      <c r="Z714" s="117" t="s">
        <v>6367</v>
      </c>
      <c r="AA714" s="117" t="s">
        <v>4285</v>
      </c>
      <c r="AB714" s="114"/>
      <c r="AC714" s="114"/>
      <c r="AD714" s="114"/>
      <c r="AE714" s="114"/>
      <c r="AF714" s="114"/>
      <c r="AG714" s="114"/>
      <c r="AH714" s="114"/>
      <c r="AI714" s="116"/>
      <c r="AJ714" s="114"/>
      <c r="AK714" s="114"/>
      <c r="AL714" s="114"/>
      <c r="AM714" s="114"/>
      <c r="AN714" s="114"/>
      <c r="AO714" s="114"/>
      <c r="AP714" s="114"/>
      <c r="AQ714" s="114"/>
      <c r="AR714" s="114"/>
      <c r="AS714" s="114"/>
      <c r="AT714" s="114"/>
      <c r="AU714" s="114"/>
      <c r="AV714" s="114"/>
      <c r="AW714" s="114"/>
      <c r="AX714" s="114"/>
      <c r="AY714" s="114"/>
      <c r="AZ714" s="114"/>
      <c r="BA714" s="114"/>
      <c r="BB714" s="114"/>
      <c r="BC714" s="114"/>
      <c r="BD714" s="114"/>
      <c r="BE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5"/>
      <c r="Y715" s="114"/>
      <c r="Z715" s="117" t="s">
        <v>6368</v>
      </c>
      <c r="AA715" s="117" t="s">
        <v>4295</v>
      </c>
      <c r="AB715" s="114"/>
      <c r="AC715" s="114"/>
      <c r="AD715" s="114"/>
      <c r="AE715" s="114"/>
      <c r="AF715" s="114"/>
      <c r="AG715" s="114"/>
      <c r="AH715" s="114"/>
      <c r="AI715" s="116"/>
      <c r="AJ715" s="114"/>
      <c r="AK715" s="114"/>
      <c r="AL715" s="114"/>
      <c r="AM715" s="114"/>
      <c r="AN715" s="114"/>
      <c r="AO715" s="114"/>
      <c r="AP715" s="114"/>
      <c r="AQ715" s="114"/>
      <c r="AR715" s="114"/>
      <c r="AS715" s="114"/>
      <c r="AT715" s="114"/>
      <c r="AU715" s="114"/>
      <c r="AV715" s="114"/>
      <c r="AW715" s="114"/>
      <c r="AX715" s="114"/>
      <c r="AY715" s="114"/>
      <c r="AZ715" s="114"/>
      <c r="BA715" s="114"/>
      <c r="BB715" s="114"/>
      <c r="BC715" s="114"/>
      <c r="BD715" s="114"/>
      <c r="BE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5"/>
      <c r="Y716" s="114"/>
      <c r="Z716" s="117" t="s">
        <v>6369</v>
      </c>
      <c r="AA716" s="117" t="s">
        <v>4297</v>
      </c>
      <c r="AB716" s="114"/>
      <c r="AC716" s="114"/>
      <c r="AD716" s="114"/>
      <c r="AE716" s="114"/>
      <c r="AF716" s="114"/>
      <c r="AG716" s="114"/>
      <c r="AH716" s="114"/>
      <c r="AI716" s="116"/>
      <c r="AJ716" s="114"/>
      <c r="AK716" s="114"/>
      <c r="AL716" s="114"/>
      <c r="AM716" s="114"/>
      <c r="AN716" s="114"/>
      <c r="AO716" s="114"/>
      <c r="AP716" s="114"/>
      <c r="AQ716" s="114"/>
      <c r="AR716" s="114"/>
      <c r="AS716" s="114"/>
      <c r="AT716" s="114"/>
      <c r="AU716" s="114"/>
      <c r="AV716" s="114"/>
      <c r="AW716" s="114"/>
      <c r="AX716" s="114"/>
      <c r="AY716" s="114"/>
      <c r="AZ716" s="114"/>
      <c r="BA716" s="114"/>
      <c r="BB716" s="114"/>
      <c r="BC716" s="114"/>
      <c r="BD716" s="114"/>
      <c r="BE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5"/>
      <c r="Y717" s="114"/>
      <c r="Z717" s="117" t="s">
        <v>6370</v>
      </c>
      <c r="AA717" s="117" t="s">
        <v>4298</v>
      </c>
      <c r="AB717" s="114"/>
      <c r="AC717" s="114"/>
      <c r="AD717" s="114"/>
      <c r="AE717" s="114"/>
      <c r="AF717" s="114"/>
      <c r="AG717" s="114"/>
      <c r="AH717" s="114"/>
      <c r="AI717" s="116"/>
      <c r="AJ717" s="114"/>
      <c r="AK717" s="114"/>
      <c r="AL717" s="114"/>
      <c r="AM717" s="114"/>
      <c r="AN717" s="114"/>
      <c r="AO717" s="114"/>
      <c r="AP717" s="114"/>
      <c r="AQ717" s="114"/>
      <c r="AR717" s="114"/>
      <c r="AS717" s="114"/>
      <c r="AT717" s="114"/>
      <c r="AU717" s="114"/>
      <c r="AV717" s="114"/>
      <c r="AW717" s="114"/>
      <c r="AX717" s="114"/>
      <c r="AY717" s="114"/>
      <c r="AZ717" s="114"/>
      <c r="BA717" s="114"/>
      <c r="BB717" s="114"/>
      <c r="BC717" s="114"/>
      <c r="BD717" s="114"/>
      <c r="BE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5"/>
      <c r="Y718" s="114"/>
      <c r="Z718" s="117" t="s">
        <v>6371</v>
      </c>
      <c r="AA718" s="117" t="s">
        <v>4296</v>
      </c>
      <c r="AB718" s="114"/>
      <c r="AC718" s="114"/>
      <c r="AD718" s="114"/>
      <c r="AE718" s="114"/>
      <c r="AF718" s="114"/>
      <c r="AG718" s="114"/>
      <c r="AH718" s="114"/>
      <c r="AI718" s="116"/>
      <c r="AJ718" s="114"/>
      <c r="AK718" s="114"/>
      <c r="AL718" s="114"/>
      <c r="AM718" s="114"/>
      <c r="AN718" s="114"/>
      <c r="AO718" s="114"/>
      <c r="AP718" s="114"/>
      <c r="AQ718" s="114"/>
      <c r="AR718" s="114"/>
      <c r="AS718" s="114"/>
      <c r="AT718" s="114"/>
      <c r="AU718" s="114"/>
      <c r="AV718" s="114"/>
      <c r="AW718" s="114"/>
      <c r="AX718" s="114"/>
      <c r="AY718" s="114"/>
      <c r="AZ718" s="114"/>
      <c r="BA718" s="114"/>
      <c r="BB718" s="114"/>
      <c r="BC718" s="114"/>
      <c r="BD718" s="114"/>
      <c r="BE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5"/>
      <c r="Y719" s="114"/>
      <c r="Z719" s="117" t="s">
        <v>6372</v>
      </c>
      <c r="AA719" s="117" t="s">
        <v>4307</v>
      </c>
      <c r="AB719" s="114"/>
      <c r="AC719" s="114"/>
      <c r="AD719" s="114"/>
      <c r="AE719" s="114"/>
      <c r="AF719" s="114"/>
      <c r="AG719" s="114"/>
      <c r="AH719" s="114"/>
      <c r="AI719" s="116"/>
      <c r="AJ719" s="114"/>
      <c r="AK719" s="114"/>
      <c r="AL719" s="114"/>
      <c r="AM719" s="114"/>
      <c r="AN719" s="114"/>
      <c r="AO719" s="114"/>
      <c r="AP719" s="114"/>
      <c r="AQ719" s="114"/>
      <c r="AR719" s="114"/>
      <c r="AS719" s="114"/>
      <c r="AT719" s="114"/>
      <c r="AU719" s="114"/>
      <c r="AV719" s="114"/>
      <c r="AW719" s="114"/>
      <c r="AX719" s="114"/>
      <c r="AY719" s="114"/>
      <c r="AZ719" s="114"/>
      <c r="BA719" s="114"/>
      <c r="BB719" s="114"/>
      <c r="BC719" s="114"/>
      <c r="BD719" s="114"/>
      <c r="BE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5"/>
      <c r="Y720" s="114"/>
      <c r="Z720" s="117" t="s">
        <v>6373</v>
      </c>
      <c r="AA720" s="117" t="s">
        <v>4309</v>
      </c>
      <c r="AB720" s="114"/>
      <c r="AC720" s="114"/>
      <c r="AD720" s="114"/>
      <c r="AE720" s="114"/>
      <c r="AF720" s="114"/>
      <c r="AG720" s="114"/>
      <c r="AH720" s="114"/>
      <c r="AI720" s="116"/>
      <c r="AJ720" s="114"/>
      <c r="AK720" s="114"/>
      <c r="AL720" s="114"/>
      <c r="AM720" s="114"/>
      <c r="AN720" s="114"/>
      <c r="AO720" s="114"/>
      <c r="AP720" s="114"/>
      <c r="AQ720" s="114"/>
      <c r="AR720" s="114"/>
      <c r="AS720" s="114"/>
      <c r="AT720" s="114"/>
      <c r="AU720" s="114"/>
      <c r="AV720" s="114"/>
      <c r="AW720" s="114"/>
      <c r="AX720" s="114"/>
      <c r="AY720" s="114"/>
      <c r="AZ720" s="114"/>
      <c r="BA720" s="114"/>
      <c r="BB720" s="114"/>
      <c r="BC720" s="114"/>
      <c r="BD720" s="114"/>
      <c r="BE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5"/>
      <c r="Y721" s="114"/>
      <c r="Z721" s="117" t="s">
        <v>6374</v>
      </c>
      <c r="AA721" s="117" t="s">
        <v>4310</v>
      </c>
      <c r="AB721" s="114"/>
      <c r="AC721" s="114"/>
      <c r="AD721" s="114"/>
      <c r="AE721" s="114"/>
      <c r="AF721" s="114"/>
      <c r="AG721" s="114"/>
      <c r="AH721" s="114"/>
      <c r="AI721" s="116"/>
      <c r="AJ721" s="114"/>
      <c r="AK721" s="114"/>
      <c r="AL721" s="114"/>
      <c r="AM721" s="114"/>
      <c r="AN721" s="114"/>
      <c r="AO721" s="114"/>
      <c r="AP721" s="114"/>
      <c r="AQ721" s="114"/>
      <c r="AR721" s="114"/>
      <c r="AS721" s="114"/>
      <c r="AT721" s="114"/>
      <c r="AU721" s="114"/>
      <c r="AV721" s="114"/>
      <c r="AW721" s="114"/>
      <c r="AX721" s="114"/>
      <c r="AY721" s="114"/>
      <c r="AZ721" s="114"/>
      <c r="BA721" s="114"/>
      <c r="BB721" s="114"/>
      <c r="BC721" s="114"/>
      <c r="BD721" s="114"/>
      <c r="BE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5"/>
      <c r="Y722" s="114"/>
      <c r="Z722" s="117" t="s">
        <v>6375</v>
      </c>
      <c r="AA722" s="117" t="s">
        <v>4308</v>
      </c>
      <c r="AB722" s="114"/>
      <c r="AC722" s="114"/>
      <c r="AD722" s="114"/>
      <c r="AE722" s="114"/>
      <c r="AF722" s="114"/>
      <c r="AG722" s="114"/>
      <c r="AH722" s="114"/>
      <c r="AI722" s="116"/>
      <c r="AJ722" s="114"/>
      <c r="AK722" s="114"/>
      <c r="AL722" s="114"/>
      <c r="AM722" s="114"/>
      <c r="AN722" s="114"/>
      <c r="AO722" s="114"/>
      <c r="AP722" s="114"/>
      <c r="AQ722" s="114"/>
      <c r="AR722" s="114"/>
      <c r="AS722" s="114"/>
      <c r="AT722" s="114"/>
      <c r="AU722" s="114"/>
      <c r="AV722" s="114"/>
      <c r="AW722" s="114"/>
      <c r="AX722" s="114"/>
      <c r="AY722" s="114"/>
      <c r="AZ722" s="114"/>
      <c r="BA722" s="114"/>
      <c r="BB722" s="114"/>
      <c r="BC722" s="114"/>
      <c r="BD722" s="114"/>
      <c r="BE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5"/>
      <c r="Y723" s="114"/>
      <c r="Z723" s="117" t="s">
        <v>6376</v>
      </c>
      <c r="AA723" s="117" t="s">
        <v>4318</v>
      </c>
      <c r="AB723" s="114"/>
      <c r="AC723" s="114"/>
      <c r="AD723" s="114"/>
      <c r="AE723" s="114"/>
      <c r="AF723" s="114"/>
      <c r="AG723" s="114"/>
      <c r="AH723" s="114"/>
      <c r="AI723" s="116"/>
      <c r="AJ723" s="114"/>
      <c r="AK723" s="114"/>
      <c r="AL723" s="114"/>
      <c r="AM723" s="114"/>
      <c r="AN723" s="114"/>
      <c r="AO723" s="114"/>
      <c r="AP723" s="114"/>
      <c r="AQ723" s="114"/>
      <c r="AR723" s="114"/>
      <c r="AS723" s="114"/>
      <c r="AT723" s="114"/>
      <c r="AU723" s="114"/>
      <c r="AV723" s="114"/>
      <c r="AW723" s="114"/>
      <c r="AX723" s="114"/>
      <c r="AY723" s="114"/>
      <c r="AZ723" s="114"/>
      <c r="BA723" s="114"/>
      <c r="BB723" s="114"/>
      <c r="BC723" s="114"/>
      <c r="BD723" s="114"/>
      <c r="BE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5"/>
      <c r="Y724" s="114"/>
      <c r="Z724" s="117" t="s">
        <v>6377</v>
      </c>
      <c r="AA724" s="117" t="s">
        <v>4320</v>
      </c>
      <c r="AB724" s="114"/>
      <c r="AC724" s="114"/>
      <c r="AD724" s="114"/>
      <c r="AE724" s="114"/>
      <c r="AF724" s="114"/>
      <c r="AG724" s="114"/>
      <c r="AH724" s="114"/>
      <c r="AI724" s="116"/>
      <c r="AJ724" s="114"/>
      <c r="AK724" s="114"/>
      <c r="AL724" s="114"/>
      <c r="AM724" s="114"/>
      <c r="AN724" s="114"/>
      <c r="AO724" s="114"/>
      <c r="AP724" s="114"/>
      <c r="AQ724" s="114"/>
      <c r="AR724" s="114"/>
      <c r="AS724" s="114"/>
      <c r="AT724" s="114"/>
      <c r="AU724" s="114"/>
      <c r="AV724" s="114"/>
      <c r="AW724" s="114"/>
      <c r="AX724" s="114"/>
      <c r="AY724" s="114"/>
      <c r="AZ724" s="114"/>
      <c r="BA724" s="114"/>
      <c r="BB724" s="114"/>
      <c r="BC724" s="114"/>
      <c r="BD724" s="114"/>
      <c r="BE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5"/>
      <c r="Y725" s="114"/>
      <c r="Z725" s="117" t="s">
        <v>6378</v>
      </c>
      <c r="AA725" s="117" t="s">
        <v>4321</v>
      </c>
      <c r="AB725" s="114"/>
      <c r="AC725" s="114"/>
      <c r="AD725" s="114"/>
      <c r="AE725" s="114"/>
      <c r="AF725" s="114"/>
      <c r="AG725" s="114"/>
      <c r="AH725" s="114"/>
      <c r="AI725" s="116"/>
      <c r="AJ725" s="114"/>
      <c r="AK725" s="114"/>
      <c r="AL725" s="114"/>
      <c r="AM725" s="114"/>
      <c r="AN725" s="114"/>
      <c r="AO725" s="114"/>
      <c r="AP725" s="114"/>
      <c r="AQ725" s="114"/>
      <c r="AR725" s="114"/>
      <c r="AS725" s="114"/>
      <c r="AT725" s="114"/>
      <c r="AU725" s="114"/>
      <c r="AV725" s="114"/>
      <c r="AW725" s="114"/>
      <c r="AX725" s="114"/>
      <c r="AY725" s="114"/>
      <c r="AZ725" s="114"/>
      <c r="BA725" s="114"/>
      <c r="BB725" s="114"/>
      <c r="BC725" s="114"/>
      <c r="BD725" s="114"/>
      <c r="BE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5"/>
      <c r="Y726" s="114"/>
      <c r="Z726" s="117" t="s">
        <v>6379</v>
      </c>
      <c r="AA726" s="117" t="s">
        <v>4319</v>
      </c>
      <c r="AB726" s="114"/>
      <c r="AC726" s="114"/>
      <c r="AD726" s="114"/>
      <c r="AE726" s="114"/>
      <c r="AF726" s="114"/>
      <c r="AG726" s="114"/>
      <c r="AH726" s="114"/>
      <c r="AI726" s="116"/>
      <c r="AJ726" s="114"/>
      <c r="AK726" s="114"/>
      <c r="AL726" s="114"/>
      <c r="AM726" s="114"/>
      <c r="AN726" s="114"/>
      <c r="AO726" s="114"/>
      <c r="AP726" s="114"/>
      <c r="AQ726" s="114"/>
      <c r="AR726" s="114"/>
      <c r="AS726" s="114"/>
      <c r="AT726" s="114"/>
      <c r="AU726" s="114"/>
      <c r="AV726" s="114"/>
      <c r="AW726" s="114"/>
      <c r="AX726" s="114"/>
      <c r="AY726" s="114"/>
      <c r="AZ726" s="114"/>
      <c r="BA726" s="114"/>
      <c r="BB726" s="114"/>
      <c r="BC726" s="114"/>
      <c r="BD726" s="114"/>
      <c r="BE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5"/>
      <c r="Y727" s="114"/>
      <c r="Z727" s="117" t="s">
        <v>6380</v>
      </c>
      <c r="AA727" s="117" t="s">
        <v>4329</v>
      </c>
      <c r="AB727" s="114"/>
      <c r="AC727" s="114"/>
      <c r="AD727" s="114"/>
      <c r="AE727" s="114"/>
      <c r="AF727" s="114"/>
      <c r="AG727" s="114"/>
      <c r="AH727" s="114"/>
      <c r="AI727" s="116"/>
      <c r="AJ727" s="114"/>
      <c r="AK727" s="114"/>
      <c r="AL727" s="114"/>
      <c r="AM727" s="114"/>
      <c r="AN727" s="114"/>
      <c r="AO727" s="114"/>
      <c r="AP727" s="114"/>
      <c r="AQ727" s="114"/>
      <c r="AR727" s="114"/>
      <c r="AS727" s="114"/>
      <c r="AT727" s="114"/>
      <c r="AU727" s="114"/>
      <c r="AV727" s="114"/>
      <c r="AW727" s="114"/>
      <c r="AX727" s="114"/>
      <c r="AY727" s="114"/>
      <c r="AZ727" s="114"/>
      <c r="BA727" s="114"/>
      <c r="BB727" s="114"/>
      <c r="BC727" s="114"/>
      <c r="BD727" s="114"/>
      <c r="BE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5"/>
      <c r="Y728" s="114"/>
      <c r="Z728" s="117" t="s">
        <v>6381</v>
      </c>
      <c r="AA728" s="117" t="s">
        <v>4331</v>
      </c>
      <c r="AB728" s="114"/>
      <c r="AC728" s="114"/>
      <c r="AD728" s="114"/>
      <c r="AE728" s="114"/>
      <c r="AF728" s="114"/>
      <c r="AG728" s="114"/>
      <c r="AH728" s="114"/>
      <c r="AI728" s="116"/>
      <c r="AJ728" s="114"/>
      <c r="AK728" s="114"/>
      <c r="AL728" s="114"/>
      <c r="AM728" s="114"/>
      <c r="AN728" s="114"/>
      <c r="AO728" s="114"/>
      <c r="AP728" s="114"/>
      <c r="AQ728" s="114"/>
      <c r="AR728" s="114"/>
      <c r="AS728" s="114"/>
      <c r="AT728" s="114"/>
      <c r="AU728" s="114"/>
      <c r="AV728" s="114"/>
      <c r="AW728" s="114"/>
      <c r="AX728" s="114"/>
      <c r="AY728" s="114"/>
      <c r="AZ728" s="114"/>
      <c r="BA728" s="114"/>
      <c r="BB728" s="114"/>
      <c r="BC728" s="114"/>
      <c r="BD728" s="114"/>
      <c r="BE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5"/>
      <c r="Y729" s="114"/>
      <c r="Z729" s="117" t="s">
        <v>6382</v>
      </c>
      <c r="AA729" s="117" t="s">
        <v>4332</v>
      </c>
      <c r="AB729" s="114"/>
      <c r="AC729" s="114"/>
      <c r="AD729" s="114"/>
      <c r="AE729" s="114"/>
      <c r="AF729" s="114"/>
      <c r="AG729" s="114"/>
      <c r="AH729" s="114"/>
      <c r="AI729" s="116"/>
      <c r="AJ729" s="114"/>
      <c r="AK729" s="114"/>
      <c r="AL729" s="114"/>
      <c r="AM729" s="114"/>
      <c r="AN729" s="114"/>
      <c r="AO729" s="114"/>
      <c r="AP729" s="114"/>
      <c r="AQ729" s="114"/>
      <c r="AR729" s="114"/>
      <c r="AS729" s="114"/>
      <c r="AT729" s="114"/>
      <c r="AU729" s="114"/>
      <c r="AV729" s="114"/>
      <c r="AW729" s="114"/>
      <c r="AX729" s="114"/>
      <c r="AY729" s="114"/>
      <c r="AZ729" s="114"/>
      <c r="BA729" s="114"/>
      <c r="BB729" s="114"/>
      <c r="BC729" s="114"/>
      <c r="BD729" s="114"/>
      <c r="BE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5"/>
      <c r="Y730" s="114"/>
      <c r="Z730" s="117" t="s">
        <v>6383</v>
      </c>
      <c r="AA730" s="117" t="s">
        <v>4330</v>
      </c>
      <c r="AB730" s="114"/>
      <c r="AC730" s="114"/>
      <c r="AD730" s="114"/>
      <c r="AE730" s="114"/>
      <c r="AF730" s="114"/>
      <c r="AG730" s="114"/>
      <c r="AH730" s="114"/>
      <c r="AI730" s="116"/>
      <c r="AJ730" s="114"/>
      <c r="AK730" s="114"/>
      <c r="AL730" s="114"/>
      <c r="AM730" s="114"/>
      <c r="AN730" s="114"/>
      <c r="AO730" s="114"/>
      <c r="AP730" s="114"/>
      <c r="AQ730" s="114"/>
      <c r="AR730" s="114"/>
      <c r="AS730" s="114"/>
      <c r="AT730" s="114"/>
      <c r="AU730" s="114"/>
      <c r="AV730" s="114"/>
      <c r="AW730" s="114"/>
      <c r="AX730" s="114"/>
      <c r="AY730" s="114"/>
      <c r="AZ730" s="114"/>
      <c r="BA730" s="114"/>
      <c r="BB730" s="114"/>
      <c r="BC730" s="114"/>
      <c r="BD730" s="114"/>
      <c r="BE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5"/>
      <c r="Y731" s="114"/>
      <c r="Z731" s="117" t="s">
        <v>6384</v>
      </c>
      <c r="AA731" s="117" t="s">
        <v>4340</v>
      </c>
      <c r="AB731" s="114"/>
      <c r="AC731" s="114"/>
      <c r="AD731" s="114"/>
      <c r="AE731" s="114"/>
      <c r="AF731" s="114"/>
      <c r="AG731" s="114"/>
      <c r="AH731" s="114"/>
      <c r="AI731" s="116"/>
      <c r="AJ731" s="114"/>
      <c r="AK731" s="114"/>
      <c r="AL731" s="114"/>
      <c r="AM731" s="114"/>
      <c r="AN731" s="114"/>
      <c r="AO731" s="114"/>
      <c r="AP731" s="114"/>
      <c r="AQ731" s="114"/>
      <c r="AR731" s="114"/>
      <c r="AS731" s="114"/>
      <c r="AT731" s="114"/>
      <c r="AU731" s="114"/>
      <c r="AV731" s="114"/>
      <c r="AW731" s="114"/>
      <c r="AX731" s="114"/>
      <c r="AY731" s="114"/>
      <c r="AZ731" s="114"/>
      <c r="BA731" s="114"/>
      <c r="BB731" s="114"/>
      <c r="BC731" s="114"/>
      <c r="BD731" s="114"/>
      <c r="BE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5"/>
      <c r="Y732" s="114"/>
      <c r="Z732" s="117" t="s">
        <v>6385</v>
      </c>
      <c r="AA732" s="117" t="s">
        <v>4342</v>
      </c>
      <c r="AB732" s="114"/>
      <c r="AC732" s="114"/>
      <c r="AD732" s="114"/>
      <c r="AE732" s="114"/>
      <c r="AF732" s="114"/>
      <c r="AG732" s="114"/>
      <c r="AH732" s="114"/>
      <c r="AI732" s="116"/>
      <c r="AJ732" s="114"/>
      <c r="AK732" s="114"/>
      <c r="AL732" s="114"/>
      <c r="AM732" s="114"/>
      <c r="AN732" s="114"/>
      <c r="AO732" s="114"/>
      <c r="AP732" s="114"/>
      <c r="AQ732" s="114"/>
      <c r="AR732" s="114"/>
      <c r="AS732" s="114"/>
      <c r="AT732" s="114"/>
      <c r="AU732" s="114"/>
      <c r="AV732" s="114"/>
      <c r="AW732" s="114"/>
      <c r="AX732" s="114"/>
      <c r="AY732" s="114"/>
      <c r="AZ732" s="114"/>
      <c r="BA732" s="114"/>
      <c r="BB732" s="114"/>
      <c r="BC732" s="114"/>
      <c r="BD732" s="114"/>
      <c r="BE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5"/>
      <c r="Y733" s="114"/>
      <c r="Z733" s="117" t="s">
        <v>6386</v>
      </c>
      <c r="AA733" s="117" t="s">
        <v>4343</v>
      </c>
      <c r="AB733" s="114"/>
      <c r="AC733" s="114"/>
      <c r="AD733" s="114"/>
      <c r="AE733" s="114"/>
      <c r="AF733" s="114"/>
      <c r="AG733" s="114"/>
      <c r="AH733" s="114"/>
      <c r="AI733" s="116"/>
      <c r="AJ733" s="114"/>
      <c r="AK733" s="114"/>
      <c r="AL733" s="114"/>
      <c r="AM733" s="114"/>
      <c r="AN733" s="114"/>
      <c r="AO733" s="114"/>
      <c r="AP733" s="114"/>
      <c r="AQ733" s="114"/>
      <c r="AR733" s="114"/>
      <c r="AS733" s="114"/>
      <c r="AT733" s="114"/>
      <c r="AU733" s="114"/>
      <c r="AV733" s="114"/>
      <c r="AW733" s="114"/>
      <c r="AX733" s="114"/>
      <c r="AY733" s="114"/>
      <c r="AZ733" s="114"/>
      <c r="BA733" s="114"/>
      <c r="BB733" s="114"/>
      <c r="BC733" s="114"/>
      <c r="BD733" s="114"/>
      <c r="BE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5"/>
      <c r="Y734" s="114"/>
      <c r="Z734" s="117" t="s">
        <v>6387</v>
      </c>
      <c r="AA734" s="117" t="s">
        <v>4341</v>
      </c>
      <c r="AB734" s="114"/>
      <c r="AC734" s="114"/>
      <c r="AD734" s="114"/>
      <c r="AE734" s="114"/>
      <c r="AF734" s="114"/>
      <c r="AG734" s="114"/>
      <c r="AH734" s="114"/>
      <c r="AI734" s="116"/>
      <c r="AJ734" s="114"/>
      <c r="AK734" s="114"/>
      <c r="AL734" s="114"/>
      <c r="AM734" s="114"/>
      <c r="AN734" s="114"/>
      <c r="AO734" s="114"/>
      <c r="AP734" s="114"/>
      <c r="AQ734" s="114"/>
      <c r="AR734" s="114"/>
      <c r="AS734" s="114"/>
      <c r="AT734" s="114"/>
      <c r="AU734" s="114"/>
      <c r="AV734" s="114"/>
      <c r="AW734" s="114"/>
      <c r="AX734" s="114"/>
      <c r="AY734" s="114"/>
      <c r="AZ734" s="114"/>
      <c r="BA734" s="114"/>
      <c r="BB734" s="114"/>
      <c r="BC734" s="114"/>
      <c r="BD734" s="114"/>
      <c r="BE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5"/>
      <c r="Y735" s="114"/>
      <c r="Z735" s="117" t="s">
        <v>6388</v>
      </c>
      <c r="AA735" s="117" t="s">
        <v>4351</v>
      </c>
      <c r="AB735" s="114"/>
      <c r="AC735" s="114"/>
      <c r="AD735" s="114"/>
      <c r="AE735" s="114"/>
      <c r="AF735" s="114"/>
      <c r="AG735" s="114"/>
      <c r="AH735" s="114"/>
      <c r="AI735" s="116"/>
      <c r="AJ735" s="114"/>
      <c r="AK735" s="114"/>
      <c r="AL735" s="114"/>
      <c r="AM735" s="114"/>
      <c r="AN735" s="114"/>
      <c r="AO735" s="114"/>
      <c r="AP735" s="114"/>
      <c r="AQ735" s="114"/>
      <c r="AR735" s="114"/>
      <c r="AS735" s="114"/>
      <c r="AT735" s="114"/>
      <c r="AU735" s="114"/>
      <c r="AV735" s="114"/>
      <c r="AW735" s="114"/>
      <c r="AX735" s="114"/>
      <c r="AY735" s="114"/>
      <c r="AZ735" s="114"/>
      <c r="BA735" s="114"/>
      <c r="BB735" s="114"/>
      <c r="BC735" s="114"/>
      <c r="BD735" s="114"/>
      <c r="BE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5"/>
      <c r="Y736" s="114"/>
      <c r="Z736" s="117" t="s">
        <v>6389</v>
      </c>
      <c r="AA736" s="117" t="s">
        <v>4353</v>
      </c>
      <c r="AB736" s="114"/>
      <c r="AC736" s="114"/>
      <c r="AD736" s="114"/>
      <c r="AE736" s="114"/>
      <c r="AF736" s="114"/>
      <c r="AG736" s="114"/>
      <c r="AH736" s="114"/>
      <c r="AI736" s="116"/>
      <c r="AJ736" s="114"/>
      <c r="AK736" s="114"/>
      <c r="AL736" s="114"/>
      <c r="AM736" s="114"/>
      <c r="AN736" s="114"/>
      <c r="AO736" s="114"/>
      <c r="AP736" s="114"/>
      <c r="AQ736" s="114"/>
      <c r="AR736" s="114"/>
      <c r="AS736" s="114"/>
      <c r="AT736" s="114"/>
      <c r="AU736" s="114"/>
      <c r="AV736" s="114"/>
      <c r="AW736" s="114"/>
      <c r="AX736" s="114"/>
      <c r="AY736" s="114"/>
      <c r="AZ736" s="114"/>
      <c r="BA736" s="114"/>
      <c r="BB736" s="114"/>
      <c r="BC736" s="114"/>
      <c r="BD736" s="114"/>
      <c r="BE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5"/>
      <c r="Y737" s="114"/>
      <c r="Z737" s="117" t="s">
        <v>6390</v>
      </c>
      <c r="AA737" s="117" t="s">
        <v>4354</v>
      </c>
      <c r="AB737" s="114"/>
      <c r="AC737" s="114"/>
      <c r="AD737" s="114"/>
      <c r="AE737" s="114"/>
      <c r="AF737" s="114"/>
      <c r="AG737" s="114"/>
      <c r="AH737" s="114"/>
      <c r="AI737" s="116"/>
      <c r="AJ737" s="114"/>
      <c r="AK737" s="114"/>
      <c r="AL737" s="114"/>
      <c r="AM737" s="114"/>
      <c r="AN737" s="114"/>
      <c r="AO737" s="114"/>
      <c r="AP737" s="114"/>
      <c r="AQ737" s="114"/>
      <c r="AR737" s="114"/>
      <c r="AS737" s="114"/>
      <c r="AT737" s="114"/>
      <c r="AU737" s="114"/>
      <c r="AV737" s="114"/>
      <c r="AW737" s="114"/>
      <c r="AX737" s="114"/>
      <c r="AY737" s="114"/>
      <c r="AZ737" s="114"/>
      <c r="BA737" s="114"/>
      <c r="BB737" s="114"/>
      <c r="BC737" s="114"/>
      <c r="BD737" s="114"/>
      <c r="BE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5"/>
      <c r="Y738" s="114"/>
      <c r="Z738" s="117" t="s">
        <v>6391</v>
      </c>
      <c r="AA738" s="117" t="s">
        <v>4352</v>
      </c>
      <c r="AB738" s="114"/>
      <c r="AC738" s="114"/>
      <c r="AD738" s="114"/>
      <c r="AE738" s="114"/>
      <c r="AF738" s="114"/>
      <c r="AG738" s="114"/>
      <c r="AH738" s="114"/>
      <c r="AI738" s="116"/>
      <c r="AJ738" s="114"/>
      <c r="AK738" s="114"/>
      <c r="AL738" s="114"/>
      <c r="AM738" s="114"/>
      <c r="AN738" s="114"/>
      <c r="AO738" s="114"/>
      <c r="AP738" s="114"/>
      <c r="AQ738" s="114"/>
      <c r="AR738" s="114"/>
      <c r="AS738" s="114"/>
      <c r="AT738" s="114"/>
      <c r="AU738" s="114"/>
      <c r="AV738" s="114"/>
      <c r="AW738" s="114"/>
      <c r="AX738" s="114"/>
      <c r="AY738" s="114"/>
      <c r="AZ738" s="114"/>
      <c r="BA738" s="114"/>
      <c r="BB738" s="114"/>
      <c r="BC738" s="114"/>
      <c r="BD738" s="114"/>
      <c r="BE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5"/>
      <c r="Y739" s="114"/>
      <c r="Z739" s="117" t="s">
        <v>6392</v>
      </c>
      <c r="AA739" s="117" t="s">
        <v>4362</v>
      </c>
      <c r="AB739" s="114"/>
      <c r="AC739" s="114"/>
      <c r="AD739" s="114"/>
      <c r="AE739" s="114"/>
      <c r="AF739" s="114"/>
      <c r="AG739" s="114"/>
      <c r="AH739" s="114"/>
      <c r="AI739" s="116"/>
      <c r="AJ739" s="114"/>
      <c r="AK739" s="114"/>
      <c r="AL739" s="114"/>
      <c r="AM739" s="114"/>
      <c r="AN739" s="114"/>
      <c r="AO739" s="114"/>
      <c r="AP739" s="114"/>
      <c r="AQ739" s="114"/>
      <c r="AR739" s="114"/>
      <c r="AS739" s="114"/>
      <c r="AT739" s="114"/>
      <c r="AU739" s="114"/>
      <c r="AV739" s="114"/>
      <c r="AW739" s="114"/>
      <c r="AX739" s="114"/>
      <c r="AY739" s="114"/>
      <c r="AZ739" s="114"/>
      <c r="BA739" s="114"/>
      <c r="BB739" s="114"/>
      <c r="BC739" s="114"/>
      <c r="BD739" s="114"/>
      <c r="BE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5"/>
      <c r="Y740" s="114"/>
      <c r="Z740" s="117" t="s">
        <v>6393</v>
      </c>
      <c r="AA740" s="117" t="s">
        <v>4364</v>
      </c>
      <c r="AB740" s="114"/>
      <c r="AC740" s="114"/>
      <c r="AD740" s="114"/>
      <c r="AE740" s="114"/>
      <c r="AF740" s="114"/>
      <c r="AG740" s="114"/>
      <c r="AH740" s="114"/>
      <c r="AI740" s="116"/>
      <c r="AJ740" s="114"/>
      <c r="AK740" s="114"/>
      <c r="AL740" s="114"/>
      <c r="AM740" s="114"/>
      <c r="AN740" s="114"/>
      <c r="AO740" s="114"/>
      <c r="AP740" s="114"/>
      <c r="AQ740" s="114"/>
      <c r="AR740" s="114"/>
      <c r="AS740" s="114"/>
      <c r="AT740" s="114"/>
      <c r="AU740" s="114"/>
      <c r="AV740" s="114"/>
      <c r="AW740" s="114"/>
      <c r="AX740" s="114"/>
      <c r="AY740" s="114"/>
      <c r="AZ740" s="114"/>
      <c r="BA740" s="114"/>
      <c r="BB740" s="114"/>
      <c r="BC740" s="114"/>
      <c r="BD740" s="114"/>
      <c r="BE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5"/>
      <c r="Y741" s="114"/>
      <c r="Z741" s="117" t="s">
        <v>6394</v>
      </c>
      <c r="AA741" s="117" t="s">
        <v>4365</v>
      </c>
      <c r="AB741" s="114"/>
      <c r="AC741" s="114"/>
      <c r="AD741" s="114"/>
      <c r="AE741" s="114"/>
      <c r="AF741" s="114"/>
      <c r="AG741" s="114"/>
      <c r="AH741" s="114"/>
      <c r="AI741" s="116"/>
      <c r="AJ741" s="114"/>
      <c r="AK741" s="114"/>
      <c r="AL741" s="114"/>
      <c r="AM741" s="114"/>
      <c r="AN741" s="114"/>
      <c r="AO741" s="114"/>
      <c r="AP741" s="114"/>
      <c r="AQ741" s="114"/>
      <c r="AR741" s="114"/>
      <c r="AS741" s="114"/>
      <c r="AT741" s="114"/>
      <c r="AU741" s="114"/>
      <c r="AV741" s="114"/>
      <c r="AW741" s="114"/>
      <c r="AX741" s="114"/>
      <c r="AY741" s="114"/>
      <c r="AZ741" s="114"/>
      <c r="BA741" s="114"/>
      <c r="BB741" s="114"/>
      <c r="BC741" s="114"/>
      <c r="BD741" s="114"/>
      <c r="BE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5"/>
      <c r="Y742" s="114"/>
      <c r="Z742" s="117" t="s">
        <v>6395</v>
      </c>
      <c r="AA742" s="117" t="s">
        <v>4363</v>
      </c>
      <c r="AB742" s="114"/>
      <c r="AC742" s="114"/>
      <c r="AD742" s="114"/>
      <c r="AE742" s="114"/>
      <c r="AF742" s="114"/>
      <c r="AG742" s="114"/>
      <c r="AH742" s="114"/>
      <c r="AI742" s="116"/>
      <c r="AJ742" s="114"/>
      <c r="AK742" s="114"/>
      <c r="AL742" s="114"/>
      <c r="AM742" s="114"/>
      <c r="AN742" s="114"/>
      <c r="AO742" s="114"/>
      <c r="AP742" s="114"/>
      <c r="AQ742" s="114"/>
      <c r="AR742" s="114"/>
      <c r="AS742" s="114"/>
      <c r="AT742" s="114"/>
      <c r="AU742" s="114"/>
      <c r="AV742" s="114"/>
      <c r="AW742" s="114"/>
      <c r="AX742" s="114"/>
      <c r="AY742" s="114"/>
      <c r="AZ742" s="114"/>
      <c r="BA742" s="114"/>
      <c r="BB742" s="114"/>
      <c r="BC742" s="114"/>
      <c r="BD742" s="114"/>
      <c r="BE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5"/>
      <c r="Y743" s="114"/>
      <c r="Z743" s="117" t="s">
        <v>6396</v>
      </c>
      <c r="AA743" s="117" t="s">
        <v>4373</v>
      </c>
      <c r="AB743" s="114"/>
      <c r="AC743" s="114"/>
      <c r="AD743" s="114"/>
      <c r="AE743" s="114"/>
      <c r="AF743" s="114"/>
      <c r="AG743" s="114"/>
      <c r="AH743" s="114"/>
      <c r="AI743" s="116"/>
      <c r="AJ743" s="114"/>
      <c r="AK743" s="114"/>
      <c r="AL743" s="114"/>
      <c r="AM743" s="114"/>
      <c r="AN743" s="114"/>
      <c r="AO743" s="114"/>
      <c r="AP743" s="114"/>
      <c r="AQ743" s="114"/>
      <c r="AR743" s="114"/>
      <c r="AS743" s="114"/>
      <c r="AT743" s="114"/>
      <c r="AU743" s="114"/>
      <c r="AV743" s="114"/>
      <c r="AW743" s="114"/>
      <c r="AX743" s="114"/>
      <c r="AY743" s="114"/>
      <c r="AZ743" s="114"/>
      <c r="BA743" s="114"/>
      <c r="BB743" s="114"/>
      <c r="BC743" s="114"/>
      <c r="BD743" s="114"/>
      <c r="BE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5"/>
      <c r="Y744" s="114"/>
      <c r="Z744" s="117" t="s">
        <v>6397</v>
      </c>
      <c r="AA744" s="117" t="s">
        <v>4375</v>
      </c>
      <c r="AB744" s="114"/>
      <c r="AC744" s="114"/>
      <c r="AD744" s="114"/>
      <c r="AE744" s="114"/>
      <c r="AF744" s="114"/>
      <c r="AG744" s="114"/>
      <c r="AH744" s="114"/>
      <c r="AI744" s="116"/>
      <c r="AJ744" s="114"/>
      <c r="AK744" s="114"/>
      <c r="AL744" s="114"/>
      <c r="AM744" s="114"/>
      <c r="AN744" s="114"/>
      <c r="AO744" s="114"/>
      <c r="AP744" s="114"/>
      <c r="AQ744" s="114"/>
      <c r="AR744" s="114"/>
      <c r="AS744" s="114"/>
      <c r="AT744" s="114"/>
      <c r="AU744" s="114"/>
      <c r="AV744" s="114"/>
      <c r="AW744" s="114"/>
      <c r="AX744" s="114"/>
      <c r="AY744" s="114"/>
      <c r="AZ744" s="114"/>
      <c r="BA744" s="114"/>
      <c r="BB744" s="114"/>
      <c r="BC744" s="114"/>
      <c r="BD744" s="114"/>
      <c r="BE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5"/>
      <c r="Y745" s="114"/>
      <c r="Z745" s="117" t="s">
        <v>6398</v>
      </c>
      <c r="AA745" s="117" t="s">
        <v>4376</v>
      </c>
      <c r="AB745" s="114"/>
      <c r="AC745" s="114"/>
      <c r="AD745" s="114"/>
      <c r="AE745" s="114"/>
      <c r="AF745" s="114"/>
      <c r="AG745" s="114"/>
      <c r="AH745" s="114"/>
      <c r="AI745" s="116"/>
      <c r="AJ745" s="114"/>
      <c r="AK745" s="114"/>
      <c r="AL745" s="114"/>
      <c r="AM745" s="114"/>
      <c r="AN745" s="114"/>
      <c r="AO745" s="114"/>
      <c r="AP745" s="114"/>
      <c r="AQ745" s="114"/>
      <c r="AR745" s="114"/>
      <c r="AS745" s="114"/>
      <c r="AT745" s="114"/>
      <c r="AU745" s="114"/>
      <c r="AV745" s="114"/>
      <c r="AW745" s="114"/>
      <c r="AX745" s="114"/>
      <c r="AY745" s="114"/>
      <c r="AZ745" s="114"/>
      <c r="BA745" s="114"/>
      <c r="BB745" s="114"/>
      <c r="BC745" s="114"/>
      <c r="BD745" s="114"/>
      <c r="BE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5"/>
      <c r="Y746" s="114"/>
      <c r="Z746" s="117" t="s">
        <v>6399</v>
      </c>
      <c r="AA746" s="117" t="s">
        <v>4374</v>
      </c>
      <c r="AB746" s="114"/>
      <c r="AC746" s="114"/>
      <c r="AD746" s="114"/>
      <c r="AE746" s="114"/>
      <c r="AF746" s="114"/>
      <c r="AG746" s="114"/>
      <c r="AH746" s="114"/>
      <c r="AI746" s="116"/>
      <c r="AJ746" s="114"/>
      <c r="AK746" s="114"/>
      <c r="AL746" s="114"/>
      <c r="AM746" s="114"/>
      <c r="AN746" s="114"/>
      <c r="AO746" s="114"/>
      <c r="AP746" s="114"/>
      <c r="AQ746" s="114"/>
      <c r="AR746" s="114"/>
      <c r="AS746" s="114"/>
      <c r="AT746" s="114"/>
      <c r="AU746" s="114"/>
      <c r="AV746" s="114"/>
      <c r="AW746" s="114"/>
      <c r="AX746" s="114"/>
      <c r="AY746" s="114"/>
      <c r="AZ746" s="114"/>
      <c r="BA746" s="114"/>
      <c r="BB746" s="114"/>
      <c r="BC746" s="114"/>
      <c r="BD746" s="114"/>
      <c r="BE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5"/>
      <c r="Y747" s="114"/>
      <c r="Z747" s="117" t="s">
        <v>6400</v>
      </c>
      <c r="AA747" s="117" t="s">
        <v>4384</v>
      </c>
      <c r="AB747" s="114"/>
      <c r="AC747" s="114"/>
      <c r="AD747" s="114"/>
      <c r="AE747" s="114"/>
      <c r="AF747" s="114"/>
      <c r="AG747" s="114"/>
      <c r="AH747" s="114"/>
      <c r="AI747" s="116"/>
      <c r="AJ747" s="114"/>
      <c r="AK747" s="114"/>
      <c r="AL747" s="114"/>
      <c r="AM747" s="114"/>
      <c r="AN747" s="114"/>
      <c r="AO747" s="114"/>
      <c r="AP747" s="114"/>
      <c r="AQ747" s="114"/>
      <c r="AR747" s="114"/>
      <c r="AS747" s="114"/>
      <c r="AT747" s="114"/>
      <c r="AU747" s="114"/>
      <c r="AV747" s="114"/>
      <c r="AW747" s="114"/>
      <c r="AX747" s="114"/>
      <c r="AY747" s="114"/>
      <c r="AZ747" s="114"/>
      <c r="BA747" s="114"/>
      <c r="BB747" s="114"/>
      <c r="BC747" s="114"/>
      <c r="BD747" s="114"/>
      <c r="BE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5"/>
      <c r="Y748" s="114"/>
      <c r="Z748" s="117" t="s">
        <v>6401</v>
      </c>
      <c r="AA748" s="117" t="s">
        <v>4386</v>
      </c>
      <c r="AB748" s="114"/>
      <c r="AC748" s="114"/>
      <c r="AD748" s="114"/>
      <c r="AE748" s="114"/>
      <c r="AF748" s="114"/>
      <c r="AG748" s="114"/>
      <c r="AH748" s="114"/>
      <c r="AI748" s="116"/>
      <c r="AJ748" s="114"/>
      <c r="AK748" s="114"/>
      <c r="AL748" s="114"/>
      <c r="AM748" s="114"/>
      <c r="AN748" s="114"/>
      <c r="AO748" s="114"/>
      <c r="AP748" s="114"/>
      <c r="AQ748" s="114"/>
      <c r="AR748" s="114"/>
      <c r="AS748" s="114"/>
      <c r="AT748" s="114"/>
      <c r="AU748" s="114"/>
      <c r="AV748" s="114"/>
      <c r="AW748" s="114"/>
      <c r="AX748" s="114"/>
      <c r="AY748" s="114"/>
      <c r="AZ748" s="114"/>
      <c r="BA748" s="114"/>
      <c r="BB748" s="114"/>
      <c r="BC748" s="114"/>
      <c r="BD748" s="114"/>
      <c r="BE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5"/>
      <c r="Y749" s="114"/>
      <c r="Z749" s="117" t="s">
        <v>6402</v>
      </c>
      <c r="AA749" s="117" t="s">
        <v>4387</v>
      </c>
      <c r="AB749" s="114"/>
      <c r="AC749" s="114"/>
      <c r="AD749" s="114"/>
      <c r="AE749" s="114"/>
      <c r="AF749" s="114"/>
      <c r="AG749" s="114"/>
      <c r="AH749" s="114"/>
      <c r="AI749" s="116"/>
      <c r="AJ749" s="114"/>
      <c r="AK749" s="114"/>
      <c r="AL749" s="114"/>
      <c r="AM749" s="114"/>
      <c r="AN749" s="114"/>
      <c r="AO749" s="114"/>
      <c r="AP749" s="114"/>
      <c r="AQ749" s="114"/>
      <c r="AR749" s="114"/>
      <c r="AS749" s="114"/>
      <c r="AT749" s="114"/>
      <c r="AU749" s="114"/>
      <c r="AV749" s="114"/>
      <c r="AW749" s="114"/>
      <c r="AX749" s="114"/>
      <c r="AY749" s="114"/>
      <c r="AZ749" s="114"/>
      <c r="BA749" s="114"/>
      <c r="BB749" s="114"/>
      <c r="BC749" s="114"/>
      <c r="BD749" s="114"/>
      <c r="BE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5"/>
      <c r="Y750" s="114"/>
      <c r="Z750" s="117" t="s">
        <v>6403</v>
      </c>
      <c r="AA750" s="117" t="s">
        <v>4385</v>
      </c>
      <c r="AB750" s="114"/>
      <c r="AC750" s="114"/>
      <c r="AD750" s="114"/>
      <c r="AE750" s="114"/>
      <c r="AF750" s="114"/>
      <c r="AG750" s="114"/>
      <c r="AH750" s="114"/>
      <c r="AI750" s="116"/>
      <c r="AJ750" s="114"/>
      <c r="AK750" s="114"/>
      <c r="AL750" s="114"/>
      <c r="AM750" s="114"/>
      <c r="AN750" s="114"/>
      <c r="AO750" s="114"/>
      <c r="AP750" s="114"/>
      <c r="AQ750" s="114"/>
      <c r="AR750" s="114"/>
      <c r="AS750" s="114"/>
      <c r="AT750" s="114"/>
      <c r="AU750" s="114"/>
      <c r="AV750" s="114"/>
      <c r="AW750" s="114"/>
      <c r="AX750" s="114"/>
      <c r="AY750" s="114"/>
      <c r="AZ750" s="114"/>
      <c r="BA750" s="114"/>
      <c r="BB750" s="114"/>
      <c r="BC750" s="114"/>
      <c r="BD750" s="114"/>
      <c r="BE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5"/>
      <c r="Y751" s="114"/>
      <c r="Z751" s="117" t="s">
        <v>6404</v>
      </c>
      <c r="AA751" s="117" t="s">
        <v>4395</v>
      </c>
      <c r="AB751" s="114"/>
      <c r="AC751" s="114"/>
      <c r="AD751" s="114"/>
      <c r="AE751" s="114"/>
      <c r="AF751" s="114"/>
      <c r="AG751" s="114"/>
      <c r="AH751" s="114"/>
      <c r="AI751" s="116"/>
      <c r="AJ751" s="114"/>
      <c r="AK751" s="114"/>
      <c r="AL751" s="114"/>
      <c r="AM751" s="114"/>
      <c r="AN751" s="114"/>
      <c r="AO751" s="114"/>
      <c r="AP751" s="114"/>
      <c r="AQ751" s="114"/>
      <c r="AR751" s="114"/>
      <c r="AS751" s="114"/>
      <c r="AT751" s="114"/>
      <c r="AU751" s="114"/>
      <c r="AV751" s="114"/>
      <c r="AW751" s="114"/>
      <c r="AX751" s="114"/>
      <c r="AY751" s="114"/>
      <c r="AZ751" s="114"/>
      <c r="BA751" s="114"/>
      <c r="BB751" s="114"/>
      <c r="BC751" s="114"/>
      <c r="BD751" s="114"/>
      <c r="BE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5"/>
      <c r="Y752" s="114"/>
      <c r="Z752" s="117" t="s">
        <v>6405</v>
      </c>
      <c r="AA752" s="117" t="s">
        <v>4397</v>
      </c>
      <c r="AB752" s="114"/>
      <c r="AC752" s="114"/>
      <c r="AD752" s="114"/>
      <c r="AE752" s="114"/>
      <c r="AF752" s="114"/>
      <c r="AG752" s="114"/>
      <c r="AH752" s="114"/>
      <c r="AI752" s="116"/>
      <c r="AJ752" s="114"/>
      <c r="AK752" s="114"/>
      <c r="AL752" s="114"/>
      <c r="AM752" s="114"/>
      <c r="AN752" s="114"/>
      <c r="AO752" s="114"/>
      <c r="AP752" s="114"/>
      <c r="AQ752" s="114"/>
      <c r="AR752" s="114"/>
      <c r="AS752" s="114"/>
      <c r="AT752" s="114"/>
      <c r="AU752" s="114"/>
      <c r="AV752" s="114"/>
      <c r="AW752" s="114"/>
      <c r="AX752" s="114"/>
      <c r="AY752" s="114"/>
      <c r="AZ752" s="114"/>
      <c r="BA752" s="114"/>
      <c r="BB752" s="114"/>
      <c r="BC752" s="114"/>
      <c r="BD752" s="114"/>
      <c r="BE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5"/>
      <c r="Y753" s="114"/>
      <c r="Z753" s="117" t="s">
        <v>6406</v>
      </c>
      <c r="AA753" s="117" t="s">
        <v>4398</v>
      </c>
      <c r="AB753" s="114"/>
      <c r="AC753" s="114"/>
      <c r="AD753" s="114"/>
      <c r="AE753" s="114"/>
      <c r="AF753" s="114"/>
      <c r="AG753" s="114"/>
      <c r="AH753" s="114"/>
      <c r="AI753" s="116"/>
      <c r="AJ753" s="114"/>
      <c r="AK753" s="114"/>
      <c r="AL753" s="114"/>
      <c r="AM753" s="114"/>
      <c r="AN753" s="114"/>
      <c r="AO753" s="114"/>
      <c r="AP753" s="114"/>
      <c r="AQ753" s="114"/>
      <c r="AR753" s="114"/>
      <c r="AS753" s="114"/>
      <c r="AT753" s="114"/>
      <c r="AU753" s="114"/>
      <c r="AV753" s="114"/>
      <c r="AW753" s="114"/>
      <c r="AX753" s="114"/>
      <c r="AY753" s="114"/>
      <c r="AZ753" s="114"/>
      <c r="BA753" s="114"/>
      <c r="BB753" s="114"/>
      <c r="BC753" s="114"/>
      <c r="BD753" s="114"/>
      <c r="BE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5"/>
      <c r="Y754" s="114"/>
      <c r="Z754" s="117" t="s">
        <v>6407</v>
      </c>
      <c r="AA754" s="117" t="s">
        <v>4396</v>
      </c>
      <c r="AB754" s="114"/>
      <c r="AC754" s="114"/>
      <c r="AD754" s="114"/>
      <c r="AE754" s="114"/>
      <c r="AF754" s="114"/>
      <c r="AG754" s="114"/>
      <c r="AH754" s="114"/>
      <c r="AI754" s="116"/>
      <c r="AJ754" s="114"/>
      <c r="AK754" s="114"/>
      <c r="AL754" s="114"/>
      <c r="AM754" s="114"/>
      <c r="AN754" s="114"/>
      <c r="AO754" s="114"/>
      <c r="AP754" s="114"/>
      <c r="AQ754" s="114"/>
      <c r="AR754" s="114"/>
      <c r="AS754" s="114"/>
      <c r="AT754" s="114"/>
      <c r="AU754" s="114"/>
      <c r="AV754" s="114"/>
      <c r="AW754" s="114"/>
      <c r="AX754" s="114"/>
      <c r="AY754" s="114"/>
      <c r="AZ754" s="114"/>
      <c r="BA754" s="114"/>
      <c r="BB754" s="114"/>
      <c r="BC754" s="114"/>
      <c r="BD754" s="114"/>
      <c r="BE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5"/>
      <c r="Y755" s="114"/>
      <c r="Z755" s="117" t="s">
        <v>6408</v>
      </c>
      <c r="AA755" s="117" t="s">
        <v>4406</v>
      </c>
      <c r="AB755" s="114"/>
      <c r="AC755" s="114"/>
      <c r="AD755" s="114"/>
      <c r="AE755" s="114"/>
      <c r="AF755" s="114"/>
      <c r="AG755" s="114"/>
      <c r="AH755" s="114"/>
      <c r="AI755" s="116"/>
      <c r="AJ755" s="114"/>
      <c r="AK755" s="114"/>
      <c r="AL755" s="114"/>
      <c r="AM755" s="114"/>
      <c r="AN755" s="114"/>
      <c r="AO755" s="114"/>
      <c r="AP755" s="114"/>
      <c r="AQ755" s="114"/>
      <c r="AR755" s="114"/>
      <c r="AS755" s="114"/>
      <c r="AT755" s="114"/>
      <c r="AU755" s="114"/>
      <c r="AV755" s="114"/>
      <c r="AW755" s="114"/>
      <c r="AX755" s="114"/>
      <c r="AY755" s="114"/>
      <c r="AZ755" s="114"/>
      <c r="BA755" s="114"/>
      <c r="BB755" s="114"/>
      <c r="BC755" s="114"/>
      <c r="BD755" s="114"/>
      <c r="BE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5"/>
      <c r="Y756" s="114"/>
      <c r="Z756" s="117" t="s">
        <v>6409</v>
      </c>
      <c r="AA756" s="117" t="s">
        <v>4408</v>
      </c>
      <c r="AB756" s="114"/>
      <c r="AC756" s="114"/>
      <c r="AD756" s="114"/>
      <c r="AE756" s="114"/>
      <c r="AF756" s="114"/>
      <c r="AG756" s="114"/>
      <c r="AH756" s="114"/>
      <c r="AI756" s="116"/>
      <c r="AJ756" s="114"/>
      <c r="AK756" s="114"/>
      <c r="AL756" s="114"/>
      <c r="AM756" s="114"/>
      <c r="AN756" s="114"/>
      <c r="AO756" s="114"/>
      <c r="AP756" s="114"/>
      <c r="AQ756" s="114"/>
      <c r="AR756" s="114"/>
      <c r="AS756" s="114"/>
      <c r="AT756" s="114"/>
      <c r="AU756" s="114"/>
      <c r="AV756" s="114"/>
      <c r="AW756" s="114"/>
      <c r="AX756" s="114"/>
      <c r="AY756" s="114"/>
      <c r="AZ756" s="114"/>
      <c r="BA756" s="114"/>
      <c r="BB756" s="114"/>
      <c r="BC756" s="114"/>
      <c r="BD756" s="114"/>
      <c r="BE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5"/>
      <c r="Y757" s="114"/>
      <c r="Z757" s="117" t="s">
        <v>6410</v>
      </c>
      <c r="AA757" s="117" t="s">
        <v>4409</v>
      </c>
      <c r="AB757" s="114"/>
      <c r="AC757" s="114"/>
      <c r="AD757" s="114"/>
      <c r="AE757" s="114"/>
      <c r="AF757" s="114"/>
      <c r="AG757" s="114"/>
      <c r="AH757" s="114"/>
      <c r="AI757" s="116"/>
      <c r="AJ757" s="114"/>
      <c r="AK757" s="114"/>
      <c r="AL757" s="114"/>
      <c r="AM757" s="114"/>
      <c r="AN757" s="114"/>
      <c r="AO757" s="114"/>
      <c r="AP757" s="114"/>
      <c r="AQ757" s="114"/>
      <c r="AR757" s="114"/>
      <c r="AS757" s="114"/>
      <c r="AT757" s="114"/>
      <c r="AU757" s="114"/>
      <c r="AV757" s="114"/>
      <c r="AW757" s="114"/>
      <c r="AX757" s="114"/>
      <c r="AY757" s="114"/>
      <c r="AZ757" s="114"/>
      <c r="BA757" s="114"/>
      <c r="BB757" s="114"/>
      <c r="BC757" s="114"/>
      <c r="BD757" s="114"/>
      <c r="BE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5"/>
      <c r="Y758" s="114"/>
      <c r="Z758" s="117" t="s">
        <v>6411</v>
      </c>
      <c r="AA758" s="117" t="s">
        <v>4407</v>
      </c>
      <c r="AB758" s="114"/>
      <c r="AC758" s="114"/>
      <c r="AD758" s="114"/>
      <c r="AE758" s="114"/>
      <c r="AF758" s="114"/>
      <c r="AG758" s="114"/>
      <c r="AH758" s="114"/>
      <c r="AI758" s="116"/>
      <c r="AJ758" s="114"/>
      <c r="AK758" s="114"/>
      <c r="AL758" s="114"/>
      <c r="AM758" s="114"/>
      <c r="AN758" s="114"/>
      <c r="AO758" s="114"/>
      <c r="AP758" s="114"/>
      <c r="AQ758" s="114"/>
      <c r="AR758" s="114"/>
      <c r="AS758" s="114"/>
      <c r="AT758" s="114"/>
      <c r="AU758" s="114"/>
      <c r="AV758" s="114"/>
      <c r="AW758" s="114"/>
      <c r="AX758" s="114"/>
      <c r="AY758" s="114"/>
      <c r="AZ758" s="114"/>
      <c r="BA758" s="114"/>
      <c r="BB758" s="114"/>
      <c r="BC758" s="114"/>
      <c r="BD758" s="114"/>
      <c r="BE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5"/>
      <c r="Y759" s="114"/>
      <c r="Z759" s="117" t="s">
        <v>6412</v>
      </c>
      <c r="AA759" s="117" t="s">
        <v>4417</v>
      </c>
      <c r="AB759" s="114"/>
      <c r="AC759" s="114"/>
      <c r="AD759" s="114"/>
      <c r="AE759" s="114"/>
      <c r="AF759" s="114"/>
      <c r="AG759" s="114"/>
      <c r="AH759" s="114"/>
      <c r="AI759" s="116"/>
      <c r="AJ759" s="114"/>
      <c r="AK759" s="114"/>
      <c r="AL759" s="114"/>
      <c r="AM759" s="114"/>
      <c r="AN759" s="114"/>
      <c r="AO759" s="114"/>
      <c r="AP759" s="114"/>
      <c r="AQ759" s="114"/>
      <c r="AR759" s="114"/>
      <c r="AS759" s="114"/>
      <c r="AT759" s="114"/>
      <c r="AU759" s="114"/>
      <c r="AV759" s="114"/>
      <c r="AW759" s="114"/>
      <c r="AX759" s="114"/>
      <c r="AY759" s="114"/>
      <c r="AZ759" s="114"/>
      <c r="BA759" s="114"/>
      <c r="BB759" s="114"/>
      <c r="BC759" s="114"/>
      <c r="BD759" s="114"/>
      <c r="BE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5"/>
      <c r="Y760" s="114"/>
      <c r="Z760" s="117" t="s">
        <v>6413</v>
      </c>
      <c r="AA760" s="117" t="s">
        <v>4419</v>
      </c>
      <c r="AB760" s="114"/>
      <c r="AC760" s="114"/>
      <c r="AD760" s="114"/>
      <c r="AE760" s="114"/>
      <c r="AF760" s="114"/>
      <c r="AG760" s="114"/>
      <c r="AH760" s="114"/>
      <c r="AI760" s="116"/>
      <c r="AJ760" s="114"/>
      <c r="AK760" s="114"/>
      <c r="AL760" s="114"/>
      <c r="AM760" s="114"/>
      <c r="AN760" s="114"/>
      <c r="AO760" s="114"/>
      <c r="AP760" s="114"/>
      <c r="AQ760" s="114"/>
      <c r="AR760" s="114"/>
      <c r="AS760" s="114"/>
      <c r="AT760" s="114"/>
      <c r="AU760" s="114"/>
      <c r="AV760" s="114"/>
      <c r="AW760" s="114"/>
      <c r="AX760" s="114"/>
      <c r="AY760" s="114"/>
      <c r="AZ760" s="114"/>
      <c r="BA760" s="114"/>
      <c r="BB760" s="114"/>
      <c r="BC760" s="114"/>
      <c r="BD760" s="114"/>
      <c r="BE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5"/>
      <c r="Y761" s="114"/>
      <c r="Z761" s="117" t="s">
        <v>6414</v>
      </c>
      <c r="AA761" s="117" t="s">
        <v>4420</v>
      </c>
      <c r="AB761" s="114"/>
      <c r="AC761" s="114"/>
      <c r="AD761" s="114"/>
      <c r="AE761" s="114"/>
      <c r="AF761" s="114"/>
      <c r="AG761" s="114"/>
      <c r="AH761" s="114"/>
      <c r="AI761" s="116"/>
      <c r="AJ761" s="114"/>
      <c r="AK761" s="114"/>
      <c r="AL761" s="114"/>
      <c r="AM761" s="114"/>
      <c r="AN761" s="114"/>
      <c r="AO761" s="114"/>
      <c r="AP761" s="114"/>
      <c r="AQ761" s="114"/>
      <c r="AR761" s="114"/>
      <c r="AS761" s="114"/>
      <c r="AT761" s="114"/>
      <c r="AU761" s="114"/>
      <c r="AV761" s="114"/>
      <c r="AW761" s="114"/>
      <c r="AX761" s="114"/>
      <c r="AY761" s="114"/>
      <c r="AZ761" s="114"/>
      <c r="BA761" s="114"/>
      <c r="BB761" s="114"/>
      <c r="BC761" s="114"/>
      <c r="BD761" s="114"/>
      <c r="BE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5"/>
      <c r="Y762" s="114"/>
      <c r="Z762" s="117" t="s">
        <v>6415</v>
      </c>
      <c r="AA762" s="117" t="s">
        <v>4418</v>
      </c>
      <c r="AB762" s="114"/>
      <c r="AC762" s="114"/>
      <c r="AD762" s="114"/>
      <c r="AE762" s="114"/>
      <c r="AF762" s="114"/>
      <c r="AG762" s="114"/>
      <c r="AH762" s="114"/>
      <c r="AI762" s="116"/>
      <c r="AJ762" s="114"/>
      <c r="AK762" s="114"/>
      <c r="AL762" s="114"/>
      <c r="AM762" s="114"/>
      <c r="AN762" s="114"/>
      <c r="AO762" s="114"/>
      <c r="AP762" s="114"/>
      <c r="AQ762" s="114"/>
      <c r="AR762" s="114"/>
      <c r="AS762" s="114"/>
      <c r="AT762" s="114"/>
      <c r="AU762" s="114"/>
      <c r="AV762" s="114"/>
      <c r="AW762" s="114"/>
      <c r="AX762" s="114"/>
      <c r="AY762" s="114"/>
      <c r="AZ762" s="114"/>
      <c r="BA762" s="114"/>
      <c r="BB762" s="114"/>
      <c r="BC762" s="114"/>
      <c r="BD762" s="114"/>
      <c r="BE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5"/>
      <c r="Y763" s="114"/>
      <c r="Z763" s="117" t="s">
        <v>6416</v>
      </c>
      <c r="AA763" s="117" t="s">
        <v>4428</v>
      </c>
      <c r="AB763" s="114"/>
      <c r="AC763" s="114"/>
      <c r="AD763" s="114"/>
      <c r="AE763" s="114"/>
      <c r="AF763" s="114"/>
      <c r="AG763" s="114"/>
      <c r="AH763" s="114"/>
      <c r="AI763" s="116"/>
      <c r="AJ763" s="114"/>
      <c r="AK763" s="114"/>
      <c r="AL763" s="114"/>
      <c r="AM763" s="114"/>
      <c r="AN763" s="114"/>
      <c r="AO763" s="114"/>
      <c r="AP763" s="114"/>
      <c r="AQ763" s="114"/>
      <c r="AR763" s="114"/>
      <c r="AS763" s="114"/>
      <c r="AT763" s="114"/>
      <c r="AU763" s="114"/>
      <c r="AV763" s="114"/>
      <c r="AW763" s="114"/>
      <c r="AX763" s="114"/>
      <c r="AY763" s="114"/>
      <c r="AZ763" s="114"/>
      <c r="BA763" s="114"/>
      <c r="BB763" s="114"/>
      <c r="BC763" s="114"/>
      <c r="BD763" s="114"/>
      <c r="BE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5"/>
      <c r="Y764" s="114"/>
      <c r="Z764" s="117" t="s">
        <v>6417</v>
      </c>
      <c r="AA764" s="117" t="s">
        <v>4430</v>
      </c>
      <c r="AB764" s="114"/>
      <c r="AC764" s="114"/>
      <c r="AD764" s="114"/>
      <c r="AE764" s="114"/>
      <c r="AF764" s="114"/>
      <c r="AG764" s="114"/>
      <c r="AH764" s="114"/>
      <c r="AI764" s="116"/>
      <c r="AJ764" s="114"/>
      <c r="AK764" s="114"/>
      <c r="AL764" s="114"/>
      <c r="AM764" s="114"/>
      <c r="AN764" s="114"/>
      <c r="AO764" s="114"/>
      <c r="AP764" s="114"/>
      <c r="AQ764" s="114"/>
      <c r="AR764" s="114"/>
      <c r="AS764" s="114"/>
      <c r="AT764" s="114"/>
      <c r="AU764" s="114"/>
      <c r="AV764" s="114"/>
      <c r="AW764" s="114"/>
      <c r="AX764" s="114"/>
      <c r="AY764" s="114"/>
      <c r="AZ764" s="114"/>
      <c r="BA764" s="114"/>
      <c r="BB764" s="114"/>
      <c r="BC764" s="114"/>
      <c r="BD764" s="114"/>
      <c r="BE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5"/>
      <c r="Y765" s="114"/>
      <c r="Z765" s="117" t="s">
        <v>6418</v>
      </c>
      <c r="AA765" s="117" t="s">
        <v>4431</v>
      </c>
      <c r="AB765" s="114"/>
      <c r="AC765" s="114"/>
      <c r="AD765" s="114"/>
      <c r="AE765" s="114"/>
      <c r="AF765" s="114"/>
      <c r="AG765" s="114"/>
      <c r="AH765" s="114"/>
      <c r="AI765" s="116"/>
      <c r="AJ765" s="114"/>
      <c r="AK765" s="114"/>
      <c r="AL765" s="114"/>
      <c r="AM765" s="114"/>
      <c r="AN765" s="114"/>
      <c r="AO765" s="114"/>
      <c r="AP765" s="114"/>
      <c r="AQ765" s="114"/>
      <c r="AR765" s="114"/>
      <c r="AS765" s="114"/>
      <c r="AT765" s="114"/>
      <c r="AU765" s="114"/>
      <c r="AV765" s="114"/>
      <c r="AW765" s="114"/>
      <c r="AX765" s="114"/>
      <c r="AY765" s="114"/>
      <c r="AZ765" s="114"/>
      <c r="BA765" s="114"/>
      <c r="BB765" s="114"/>
      <c r="BC765" s="114"/>
      <c r="BD765" s="114"/>
      <c r="BE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5"/>
      <c r="Y766" s="114"/>
      <c r="Z766" s="117" t="s">
        <v>6419</v>
      </c>
      <c r="AA766" s="117" t="s">
        <v>4429</v>
      </c>
      <c r="AB766" s="114"/>
      <c r="AC766" s="114"/>
      <c r="AD766" s="114"/>
      <c r="AE766" s="114"/>
      <c r="AF766" s="114"/>
      <c r="AG766" s="114"/>
      <c r="AH766" s="114"/>
      <c r="AI766" s="116"/>
      <c r="AJ766" s="114"/>
      <c r="AK766" s="114"/>
      <c r="AL766" s="114"/>
      <c r="AM766" s="114"/>
      <c r="AN766" s="114"/>
      <c r="AO766" s="114"/>
      <c r="AP766" s="114"/>
      <c r="AQ766" s="114"/>
      <c r="AR766" s="114"/>
      <c r="AS766" s="114"/>
      <c r="AT766" s="114"/>
      <c r="AU766" s="114"/>
      <c r="AV766" s="114"/>
      <c r="AW766" s="114"/>
      <c r="AX766" s="114"/>
      <c r="AY766" s="114"/>
      <c r="AZ766" s="114"/>
      <c r="BA766" s="114"/>
      <c r="BB766" s="114"/>
      <c r="BC766" s="114"/>
      <c r="BD766" s="114"/>
      <c r="BE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5"/>
      <c r="Y767" s="114"/>
      <c r="Z767" s="117" t="s">
        <v>6420</v>
      </c>
      <c r="AA767" s="117" t="s">
        <v>4439</v>
      </c>
      <c r="AB767" s="114"/>
      <c r="AC767" s="114"/>
      <c r="AD767" s="114"/>
      <c r="AE767" s="114"/>
      <c r="AF767" s="114"/>
      <c r="AG767" s="114"/>
      <c r="AH767" s="114"/>
      <c r="AI767" s="116"/>
      <c r="AJ767" s="114"/>
      <c r="AK767" s="114"/>
      <c r="AL767" s="114"/>
      <c r="AM767" s="114"/>
      <c r="AN767" s="114"/>
      <c r="AO767" s="114"/>
      <c r="AP767" s="114"/>
      <c r="AQ767" s="114"/>
      <c r="AR767" s="114"/>
      <c r="AS767" s="114"/>
      <c r="AT767" s="114"/>
      <c r="AU767" s="114"/>
      <c r="AV767" s="114"/>
      <c r="AW767" s="114"/>
      <c r="AX767" s="114"/>
      <c r="AY767" s="114"/>
      <c r="AZ767" s="114"/>
      <c r="BA767" s="114"/>
      <c r="BB767" s="114"/>
      <c r="BC767" s="114"/>
      <c r="BD767" s="114"/>
      <c r="BE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5"/>
      <c r="Y768" s="114"/>
      <c r="Z768" s="117" t="s">
        <v>6421</v>
      </c>
      <c r="AA768" s="117" t="s">
        <v>4441</v>
      </c>
      <c r="AB768" s="114"/>
      <c r="AC768" s="114"/>
      <c r="AD768" s="114"/>
      <c r="AE768" s="114"/>
      <c r="AF768" s="114"/>
      <c r="AG768" s="114"/>
      <c r="AH768" s="114"/>
      <c r="AI768" s="116"/>
      <c r="AJ768" s="114"/>
      <c r="AK768" s="114"/>
      <c r="AL768" s="114"/>
      <c r="AM768" s="114"/>
      <c r="AN768" s="114"/>
      <c r="AO768" s="114"/>
      <c r="AP768" s="114"/>
      <c r="AQ768" s="114"/>
      <c r="AR768" s="114"/>
      <c r="AS768" s="114"/>
      <c r="AT768" s="114"/>
      <c r="AU768" s="114"/>
      <c r="AV768" s="114"/>
      <c r="AW768" s="114"/>
      <c r="AX768" s="114"/>
      <c r="AY768" s="114"/>
      <c r="AZ768" s="114"/>
      <c r="BA768" s="114"/>
      <c r="BB768" s="114"/>
      <c r="BC768" s="114"/>
      <c r="BD768" s="114"/>
      <c r="BE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5"/>
      <c r="Y769" s="114"/>
      <c r="Z769" s="117" t="s">
        <v>6422</v>
      </c>
      <c r="AA769" s="117" t="s">
        <v>4442</v>
      </c>
      <c r="AB769" s="114"/>
      <c r="AC769" s="114"/>
      <c r="AD769" s="114"/>
      <c r="AE769" s="114"/>
      <c r="AF769" s="114"/>
      <c r="AG769" s="114"/>
      <c r="AH769" s="114"/>
      <c r="AI769" s="116"/>
      <c r="AJ769" s="114"/>
      <c r="AK769" s="114"/>
      <c r="AL769" s="114"/>
      <c r="AM769" s="114"/>
      <c r="AN769" s="114"/>
      <c r="AO769" s="114"/>
      <c r="AP769" s="114"/>
      <c r="AQ769" s="114"/>
      <c r="AR769" s="114"/>
      <c r="AS769" s="114"/>
      <c r="AT769" s="114"/>
      <c r="AU769" s="114"/>
      <c r="AV769" s="114"/>
      <c r="AW769" s="114"/>
      <c r="AX769" s="114"/>
      <c r="AY769" s="114"/>
      <c r="AZ769" s="114"/>
      <c r="BA769" s="114"/>
      <c r="BB769" s="114"/>
      <c r="BC769" s="114"/>
      <c r="BD769" s="114"/>
      <c r="BE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5"/>
      <c r="Y770" s="114"/>
      <c r="Z770" s="117" t="s">
        <v>6423</v>
      </c>
      <c r="AA770" s="117" t="s">
        <v>4440</v>
      </c>
      <c r="AB770" s="114"/>
      <c r="AC770" s="114"/>
      <c r="AD770" s="114"/>
      <c r="AE770" s="114"/>
      <c r="AF770" s="114"/>
      <c r="AG770" s="114"/>
      <c r="AH770" s="114"/>
      <c r="AI770" s="116"/>
      <c r="AJ770" s="114"/>
      <c r="AK770" s="114"/>
      <c r="AL770" s="114"/>
      <c r="AM770" s="114"/>
      <c r="AN770" s="114"/>
      <c r="AO770" s="114"/>
      <c r="AP770" s="114"/>
      <c r="AQ770" s="114"/>
      <c r="AR770" s="114"/>
      <c r="AS770" s="114"/>
      <c r="AT770" s="114"/>
      <c r="AU770" s="114"/>
      <c r="AV770" s="114"/>
      <c r="AW770" s="114"/>
      <c r="AX770" s="114"/>
      <c r="AY770" s="114"/>
      <c r="AZ770" s="114"/>
      <c r="BA770" s="114"/>
      <c r="BB770" s="114"/>
      <c r="BC770" s="114"/>
      <c r="BD770" s="114"/>
      <c r="BE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5"/>
      <c r="Y771" s="114"/>
      <c r="Z771" s="117" t="s">
        <v>6424</v>
      </c>
      <c r="AA771" s="117" t="s">
        <v>4450</v>
      </c>
      <c r="AB771" s="114"/>
      <c r="AC771" s="114"/>
      <c r="AD771" s="114"/>
      <c r="AE771" s="114"/>
      <c r="AF771" s="114"/>
      <c r="AG771" s="114"/>
      <c r="AH771" s="114"/>
      <c r="AI771" s="116"/>
      <c r="AJ771" s="114"/>
      <c r="AK771" s="114"/>
      <c r="AL771" s="114"/>
      <c r="AM771" s="114"/>
      <c r="AN771" s="114"/>
      <c r="AO771" s="114"/>
      <c r="AP771" s="114"/>
      <c r="AQ771" s="114"/>
      <c r="AR771" s="114"/>
      <c r="AS771" s="114"/>
      <c r="AT771" s="114"/>
      <c r="AU771" s="114"/>
      <c r="AV771" s="114"/>
      <c r="AW771" s="114"/>
      <c r="AX771" s="114"/>
      <c r="AY771" s="114"/>
      <c r="AZ771" s="114"/>
      <c r="BA771" s="114"/>
      <c r="BB771" s="114"/>
      <c r="BC771" s="114"/>
      <c r="BD771" s="114"/>
      <c r="BE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5"/>
      <c r="Y772" s="114"/>
      <c r="Z772" s="117" t="s">
        <v>6425</v>
      </c>
      <c r="AA772" s="117" t="s">
        <v>4452</v>
      </c>
      <c r="AB772" s="114"/>
      <c r="AC772" s="114"/>
      <c r="AD772" s="114"/>
      <c r="AE772" s="114"/>
      <c r="AF772" s="114"/>
      <c r="AG772" s="114"/>
      <c r="AH772" s="114"/>
      <c r="AI772" s="116"/>
      <c r="AJ772" s="114"/>
      <c r="AK772" s="114"/>
      <c r="AL772" s="114"/>
      <c r="AM772" s="114"/>
      <c r="AN772" s="114"/>
      <c r="AO772" s="114"/>
      <c r="AP772" s="114"/>
      <c r="AQ772" s="114"/>
      <c r="AR772" s="114"/>
      <c r="AS772" s="114"/>
      <c r="AT772" s="114"/>
      <c r="AU772" s="114"/>
      <c r="AV772" s="114"/>
      <c r="AW772" s="114"/>
      <c r="AX772" s="114"/>
      <c r="AY772" s="114"/>
      <c r="AZ772" s="114"/>
      <c r="BA772" s="114"/>
      <c r="BB772" s="114"/>
      <c r="BC772" s="114"/>
      <c r="BD772" s="114"/>
      <c r="BE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5"/>
      <c r="Y773" s="114"/>
      <c r="Z773" s="117" t="s">
        <v>6426</v>
      </c>
      <c r="AA773" s="117" t="s">
        <v>4453</v>
      </c>
      <c r="AB773" s="114"/>
      <c r="AC773" s="114"/>
      <c r="AD773" s="114"/>
      <c r="AE773" s="114"/>
      <c r="AF773" s="114"/>
      <c r="AG773" s="114"/>
      <c r="AH773" s="114"/>
      <c r="AI773" s="116"/>
      <c r="AJ773" s="114"/>
      <c r="AK773" s="114"/>
      <c r="AL773" s="114"/>
      <c r="AM773" s="114"/>
      <c r="AN773" s="114"/>
      <c r="AO773" s="114"/>
      <c r="AP773" s="114"/>
      <c r="AQ773" s="114"/>
      <c r="AR773" s="114"/>
      <c r="AS773" s="114"/>
      <c r="AT773" s="114"/>
      <c r="AU773" s="114"/>
      <c r="AV773" s="114"/>
      <c r="AW773" s="114"/>
      <c r="AX773" s="114"/>
      <c r="AY773" s="114"/>
      <c r="AZ773" s="114"/>
      <c r="BA773" s="114"/>
      <c r="BB773" s="114"/>
      <c r="BC773" s="114"/>
      <c r="BD773" s="114"/>
      <c r="BE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5"/>
      <c r="Y774" s="114"/>
      <c r="Z774" s="117" t="s">
        <v>6427</v>
      </c>
      <c r="AA774" s="117" t="s">
        <v>4451</v>
      </c>
      <c r="AB774" s="114"/>
      <c r="AC774" s="114"/>
      <c r="AD774" s="114"/>
      <c r="AE774" s="114"/>
      <c r="AF774" s="114"/>
      <c r="AG774" s="114"/>
      <c r="AH774" s="114"/>
      <c r="AI774" s="116"/>
      <c r="AJ774" s="114"/>
      <c r="AK774" s="114"/>
      <c r="AL774" s="114"/>
      <c r="AM774" s="114"/>
      <c r="AN774" s="114"/>
      <c r="AO774" s="114"/>
      <c r="AP774" s="114"/>
      <c r="AQ774" s="114"/>
      <c r="AR774" s="114"/>
      <c r="AS774" s="114"/>
      <c r="AT774" s="114"/>
      <c r="AU774" s="114"/>
      <c r="AV774" s="114"/>
      <c r="AW774" s="114"/>
      <c r="AX774" s="114"/>
      <c r="AY774" s="114"/>
      <c r="AZ774" s="114"/>
      <c r="BA774" s="114"/>
      <c r="BB774" s="114"/>
      <c r="BC774" s="114"/>
      <c r="BD774" s="114"/>
      <c r="BE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5"/>
      <c r="Y775" s="114"/>
      <c r="Z775" s="117" t="s">
        <v>6428</v>
      </c>
      <c r="AA775" s="117" t="s">
        <v>4461</v>
      </c>
      <c r="AB775" s="114"/>
      <c r="AC775" s="114"/>
      <c r="AD775" s="114"/>
      <c r="AE775" s="114"/>
      <c r="AF775" s="114"/>
      <c r="AG775" s="114"/>
      <c r="AH775" s="114"/>
      <c r="AI775" s="116"/>
      <c r="AJ775" s="114"/>
      <c r="AK775" s="114"/>
      <c r="AL775" s="114"/>
      <c r="AM775" s="114"/>
      <c r="AN775" s="114"/>
      <c r="AO775" s="114"/>
      <c r="AP775" s="114"/>
      <c r="AQ775" s="114"/>
      <c r="AR775" s="114"/>
      <c r="AS775" s="114"/>
      <c r="AT775" s="114"/>
      <c r="AU775" s="114"/>
      <c r="AV775" s="114"/>
      <c r="AW775" s="114"/>
      <c r="AX775" s="114"/>
      <c r="AY775" s="114"/>
      <c r="AZ775" s="114"/>
      <c r="BA775" s="114"/>
      <c r="BB775" s="114"/>
      <c r="BC775" s="114"/>
      <c r="BD775" s="114"/>
      <c r="BE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5"/>
      <c r="Y776" s="114"/>
      <c r="Z776" s="117" t="s">
        <v>6429</v>
      </c>
      <c r="AA776" s="117" t="s">
        <v>4463</v>
      </c>
      <c r="AB776" s="114"/>
      <c r="AC776" s="114"/>
      <c r="AD776" s="114"/>
      <c r="AE776" s="114"/>
      <c r="AF776" s="114"/>
      <c r="AG776" s="114"/>
      <c r="AH776" s="114"/>
      <c r="AI776" s="116"/>
      <c r="AJ776" s="114"/>
      <c r="AK776" s="114"/>
      <c r="AL776" s="114"/>
      <c r="AM776" s="114"/>
      <c r="AN776" s="114"/>
      <c r="AO776" s="114"/>
      <c r="AP776" s="114"/>
      <c r="AQ776" s="114"/>
      <c r="AR776" s="114"/>
      <c r="AS776" s="114"/>
      <c r="AT776" s="114"/>
      <c r="AU776" s="114"/>
      <c r="AV776" s="114"/>
      <c r="AW776" s="114"/>
      <c r="AX776" s="114"/>
      <c r="AY776" s="114"/>
      <c r="AZ776" s="114"/>
      <c r="BA776" s="114"/>
      <c r="BB776" s="114"/>
      <c r="BC776" s="114"/>
      <c r="BD776" s="114"/>
      <c r="BE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5"/>
      <c r="Y777" s="114"/>
      <c r="Z777" s="117" t="s">
        <v>6430</v>
      </c>
      <c r="AA777" s="117" t="s">
        <v>4464</v>
      </c>
      <c r="AB777" s="114"/>
      <c r="AC777" s="114"/>
      <c r="AD777" s="114"/>
      <c r="AE777" s="114"/>
      <c r="AF777" s="114"/>
      <c r="AG777" s="114"/>
      <c r="AH777" s="114"/>
      <c r="AI777" s="116"/>
      <c r="AJ777" s="114"/>
      <c r="AK777" s="114"/>
      <c r="AL777" s="114"/>
      <c r="AM777" s="114"/>
      <c r="AN777" s="114"/>
      <c r="AO777" s="114"/>
      <c r="AP777" s="114"/>
      <c r="AQ777" s="114"/>
      <c r="AR777" s="114"/>
      <c r="AS777" s="114"/>
      <c r="AT777" s="114"/>
      <c r="AU777" s="114"/>
      <c r="AV777" s="114"/>
      <c r="AW777" s="114"/>
      <c r="AX777" s="114"/>
      <c r="AY777" s="114"/>
      <c r="AZ777" s="114"/>
      <c r="BA777" s="114"/>
      <c r="BB777" s="114"/>
      <c r="BC777" s="114"/>
      <c r="BD777" s="114"/>
      <c r="BE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5"/>
      <c r="Y778" s="114"/>
      <c r="Z778" s="117" t="s">
        <v>6431</v>
      </c>
      <c r="AA778" s="117" t="s">
        <v>4462</v>
      </c>
      <c r="AB778" s="114"/>
      <c r="AC778" s="114"/>
      <c r="AD778" s="114"/>
      <c r="AE778" s="114"/>
      <c r="AF778" s="114"/>
      <c r="AG778" s="114"/>
      <c r="AH778" s="114"/>
      <c r="AI778" s="116"/>
      <c r="AJ778" s="114"/>
      <c r="AK778" s="114"/>
      <c r="AL778" s="114"/>
      <c r="AM778" s="114"/>
      <c r="AN778" s="114"/>
      <c r="AO778" s="114"/>
      <c r="AP778" s="114"/>
      <c r="AQ778" s="114"/>
      <c r="AR778" s="114"/>
      <c r="AS778" s="114"/>
      <c r="AT778" s="114"/>
      <c r="AU778" s="114"/>
      <c r="AV778" s="114"/>
      <c r="AW778" s="114"/>
      <c r="AX778" s="114"/>
      <c r="AY778" s="114"/>
      <c r="AZ778" s="114"/>
      <c r="BA778" s="114"/>
      <c r="BB778" s="114"/>
      <c r="BC778" s="114"/>
      <c r="BD778" s="114"/>
      <c r="BE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5"/>
      <c r="Y779" s="114"/>
      <c r="Z779" s="117" t="s">
        <v>6432</v>
      </c>
      <c r="AA779" s="117" t="s">
        <v>4472</v>
      </c>
      <c r="AB779" s="114"/>
      <c r="AC779" s="114"/>
      <c r="AD779" s="114"/>
      <c r="AE779" s="114"/>
      <c r="AF779" s="114"/>
      <c r="AG779" s="114"/>
      <c r="AH779" s="114"/>
      <c r="AI779" s="116"/>
      <c r="AJ779" s="114"/>
      <c r="AK779" s="114"/>
      <c r="AL779" s="114"/>
      <c r="AM779" s="114"/>
      <c r="AN779" s="114"/>
      <c r="AO779" s="114"/>
      <c r="AP779" s="114"/>
      <c r="AQ779" s="114"/>
      <c r="AR779" s="114"/>
      <c r="AS779" s="114"/>
      <c r="AT779" s="114"/>
      <c r="AU779" s="114"/>
      <c r="AV779" s="114"/>
      <c r="AW779" s="114"/>
      <c r="AX779" s="114"/>
      <c r="AY779" s="114"/>
      <c r="AZ779" s="114"/>
      <c r="BA779" s="114"/>
      <c r="BB779" s="114"/>
      <c r="BC779" s="114"/>
      <c r="BD779" s="114"/>
      <c r="BE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5"/>
      <c r="Y780" s="114"/>
      <c r="Z780" s="117" t="s">
        <v>6433</v>
      </c>
      <c r="AA780" s="117" t="s">
        <v>4474</v>
      </c>
      <c r="AB780" s="114"/>
      <c r="AC780" s="114"/>
      <c r="AD780" s="114"/>
      <c r="AE780" s="114"/>
      <c r="AF780" s="114"/>
      <c r="AG780" s="114"/>
      <c r="AH780" s="114"/>
      <c r="AI780" s="116"/>
      <c r="AJ780" s="114"/>
      <c r="AK780" s="114"/>
      <c r="AL780" s="114"/>
      <c r="AM780" s="114"/>
      <c r="AN780" s="114"/>
      <c r="AO780" s="114"/>
      <c r="AP780" s="114"/>
      <c r="AQ780" s="114"/>
      <c r="AR780" s="114"/>
      <c r="AS780" s="114"/>
      <c r="AT780" s="114"/>
      <c r="AU780" s="114"/>
      <c r="AV780" s="114"/>
      <c r="AW780" s="114"/>
      <c r="AX780" s="114"/>
      <c r="AY780" s="114"/>
      <c r="AZ780" s="114"/>
      <c r="BA780" s="114"/>
      <c r="BB780" s="114"/>
      <c r="BC780" s="114"/>
      <c r="BD780" s="114"/>
      <c r="BE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5"/>
      <c r="Y781" s="114"/>
      <c r="Z781" s="117" t="s">
        <v>6434</v>
      </c>
      <c r="AA781" s="117" t="s">
        <v>4475</v>
      </c>
      <c r="AB781" s="114"/>
      <c r="AC781" s="114"/>
      <c r="AD781" s="114"/>
      <c r="AE781" s="114"/>
      <c r="AF781" s="114"/>
      <c r="AG781" s="114"/>
      <c r="AH781" s="114"/>
      <c r="AI781" s="116"/>
      <c r="AJ781" s="114"/>
      <c r="AK781" s="114"/>
      <c r="AL781" s="114"/>
      <c r="AM781" s="114"/>
      <c r="AN781" s="114"/>
      <c r="AO781" s="114"/>
      <c r="AP781" s="114"/>
      <c r="AQ781" s="114"/>
      <c r="AR781" s="114"/>
      <c r="AS781" s="114"/>
      <c r="AT781" s="114"/>
      <c r="AU781" s="114"/>
      <c r="AV781" s="114"/>
      <c r="AW781" s="114"/>
      <c r="AX781" s="114"/>
      <c r="AY781" s="114"/>
      <c r="AZ781" s="114"/>
      <c r="BA781" s="114"/>
      <c r="BB781" s="114"/>
      <c r="BC781" s="114"/>
      <c r="BD781" s="114"/>
      <c r="BE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5"/>
      <c r="Y782" s="114"/>
      <c r="Z782" s="117" t="s">
        <v>6435</v>
      </c>
      <c r="AA782" s="117" t="s">
        <v>4473</v>
      </c>
      <c r="AB782" s="114"/>
      <c r="AC782" s="114"/>
      <c r="AD782" s="114"/>
      <c r="AE782" s="114"/>
      <c r="AF782" s="114"/>
      <c r="AG782" s="114"/>
      <c r="AH782" s="114"/>
      <c r="AI782" s="116"/>
      <c r="AJ782" s="114"/>
      <c r="AK782" s="114"/>
      <c r="AL782" s="114"/>
      <c r="AM782" s="114"/>
      <c r="AN782" s="114"/>
      <c r="AO782" s="114"/>
      <c r="AP782" s="114"/>
      <c r="AQ782" s="114"/>
      <c r="AR782" s="114"/>
      <c r="AS782" s="114"/>
      <c r="AT782" s="114"/>
      <c r="AU782" s="114"/>
      <c r="AV782" s="114"/>
      <c r="AW782" s="114"/>
      <c r="AX782" s="114"/>
      <c r="AY782" s="114"/>
      <c r="AZ782" s="114"/>
      <c r="BA782" s="114"/>
      <c r="BB782" s="114"/>
      <c r="BC782" s="114"/>
      <c r="BD782" s="114"/>
      <c r="BE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5"/>
      <c r="Y783" s="114"/>
      <c r="Z783" s="117" t="s">
        <v>6436</v>
      </c>
      <c r="AA783" s="117" t="s">
        <v>4483</v>
      </c>
      <c r="AB783" s="114"/>
      <c r="AC783" s="114"/>
      <c r="AD783" s="114"/>
      <c r="AE783" s="114"/>
      <c r="AF783" s="114"/>
      <c r="AG783" s="114"/>
      <c r="AH783" s="114"/>
      <c r="AI783" s="116"/>
      <c r="AJ783" s="114"/>
      <c r="AK783" s="114"/>
      <c r="AL783" s="114"/>
      <c r="AM783" s="114"/>
      <c r="AN783" s="114"/>
      <c r="AO783" s="114"/>
      <c r="AP783" s="114"/>
      <c r="AQ783" s="114"/>
      <c r="AR783" s="114"/>
      <c r="AS783" s="114"/>
      <c r="AT783" s="114"/>
      <c r="AU783" s="114"/>
      <c r="AV783" s="114"/>
      <c r="AW783" s="114"/>
      <c r="AX783" s="114"/>
      <c r="AY783" s="114"/>
      <c r="AZ783" s="114"/>
      <c r="BA783" s="114"/>
      <c r="BB783" s="114"/>
      <c r="BC783" s="114"/>
      <c r="BD783" s="114"/>
      <c r="BE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5"/>
      <c r="Y784" s="114"/>
      <c r="Z784" s="117" t="s">
        <v>6437</v>
      </c>
      <c r="AA784" s="117" t="s">
        <v>4485</v>
      </c>
      <c r="AB784" s="114"/>
      <c r="AC784" s="114"/>
      <c r="AD784" s="114"/>
      <c r="AE784" s="114"/>
      <c r="AF784" s="114"/>
      <c r="AG784" s="114"/>
      <c r="AH784" s="114"/>
      <c r="AI784" s="116"/>
      <c r="AJ784" s="114"/>
      <c r="AK784" s="114"/>
      <c r="AL784" s="114"/>
      <c r="AM784" s="114"/>
      <c r="AN784" s="114"/>
      <c r="AO784" s="114"/>
      <c r="AP784" s="114"/>
      <c r="AQ784" s="114"/>
      <c r="AR784" s="114"/>
      <c r="AS784" s="114"/>
      <c r="AT784" s="114"/>
      <c r="AU784" s="114"/>
      <c r="AV784" s="114"/>
      <c r="AW784" s="114"/>
      <c r="AX784" s="114"/>
      <c r="AY784" s="114"/>
      <c r="AZ784" s="114"/>
      <c r="BA784" s="114"/>
      <c r="BB784" s="114"/>
      <c r="BC784" s="114"/>
      <c r="BD784" s="114"/>
      <c r="BE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5"/>
      <c r="Y785" s="114"/>
      <c r="Z785" s="117" t="s">
        <v>6438</v>
      </c>
      <c r="AA785" s="117" t="s">
        <v>4486</v>
      </c>
      <c r="AB785" s="114"/>
      <c r="AC785" s="114"/>
      <c r="AD785" s="114"/>
      <c r="AE785" s="114"/>
      <c r="AF785" s="114"/>
      <c r="AG785" s="114"/>
      <c r="AH785" s="114"/>
      <c r="AI785" s="116"/>
      <c r="AJ785" s="114"/>
      <c r="AK785" s="114"/>
      <c r="AL785" s="114"/>
      <c r="AM785" s="114"/>
      <c r="AN785" s="114"/>
      <c r="AO785" s="114"/>
      <c r="AP785" s="114"/>
      <c r="AQ785" s="114"/>
      <c r="AR785" s="114"/>
      <c r="AS785" s="114"/>
      <c r="AT785" s="114"/>
      <c r="AU785" s="114"/>
      <c r="AV785" s="114"/>
      <c r="AW785" s="114"/>
      <c r="AX785" s="114"/>
      <c r="AY785" s="114"/>
      <c r="AZ785" s="114"/>
      <c r="BA785" s="114"/>
      <c r="BB785" s="114"/>
      <c r="BC785" s="114"/>
      <c r="BD785" s="114"/>
      <c r="BE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5"/>
      <c r="Y786" s="114"/>
      <c r="Z786" s="117" t="s">
        <v>6439</v>
      </c>
      <c r="AA786" s="117" t="s">
        <v>4484</v>
      </c>
      <c r="AB786" s="114"/>
      <c r="AC786" s="114"/>
      <c r="AD786" s="114"/>
      <c r="AE786" s="114"/>
      <c r="AF786" s="114"/>
      <c r="AG786" s="114"/>
      <c r="AH786" s="114"/>
      <c r="AI786" s="116"/>
      <c r="AJ786" s="114"/>
      <c r="AK786" s="114"/>
      <c r="AL786" s="114"/>
      <c r="AM786" s="114"/>
      <c r="AN786" s="114"/>
      <c r="AO786" s="114"/>
      <c r="AP786" s="114"/>
      <c r="AQ786" s="114"/>
      <c r="AR786" s="114"/>
      <c r="AS786" s="114"/>
      <c r="AT786" s="114"/>
      <c r="AU786" s="114"/>
      <c r="AV786" s="114"/>
      <c r="AW786" s="114"/>
      <c r="AX786" s="114"/>
      <c r="AY786" s="114"/>
      <c r="AZ786" s="114"/>
      <c r="BA786" s="114"/>
      <c r="BB786" s="114"/>
      <c r="BC786" s="114"/>
      <c r="BD786" s="114"/>
      <c r="BE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5"/>
      <c r="Y787" s="114"/>
      <c r="Z787" s="117" t="s">
        <v>6440</v>
      </c>
      <c r="AA787" s="117" t="s">
        <v>4494</v>
      </c>
      <c r="AB787" s="114"/>
      <c r="AC787" s="114"/>
      <c r="AD787" s="114"/>
      <c r="AE787" s="114"/>
      <c r="AF787" s="114"/>
      <c r="AG787" s="114"/>
      <c r="AH787" s="114"/>
      <c r="AI787" s="116"/>
      <c r="AJ787" s="114"/>
      <c r="AK787" s="114"/>
      <c r="AL787" s="114"/>
      <c r="AM787" s="114"/>
      <c r="AN787" s="114"/>
      <c r="AO787" s="114"/>
      <c r="AP787" s="114"/>
      <c r="AQ787" s="114"/>
      <c r="AR787" s="114"/>
      <c r="AS787" s="114"/>
      <c r="AT787" s="114"/>
      <c r="AU787" s="114"/>
      <c r="AV787" s="114"/>
      <c r="AW787" s="114"/>
      <c r="AX787" s="114"/>
      <c r="AY787" s="114"/>
      <c r="AZ787" s="114"/>
      <c r="BA787" s="114"/>
      <c r="BB787" s="114"/>
      <c r="BC787" s="114"/>
      <c r="BD787" s="114"/>
      <c r="BE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5"/>
      <c r="Y788" s="114"/>
      <c r="Z788" s="117" t="s">
        <v>6441</v>
      </c>
      <c r="AA788" s="117" t="s">
        <v>4496</v>
      </c>
      <c r="AB788" s="114"/>
      <c r="AC788" s="114"/>
      <c r="AD788" s="114"/>
      <c r="AE788" s="114"/>
      <c r="AF788" s="114"/>
      <c r="AG788" s="114"/>
      <c r="AH788" s="114"/>
      <c r="AI788" s="116"/>
      <c r="AJ788" s="114"/>
      <c r="AK788" s="114"/>
      <c r="AL788" s="114"/>
      <c r="AM788" s="114"/>
      <c r="AN788" s="114"/>
      <c r="AO788" s="114"/>
      <c r="AP788" s="114"/>
      <c r="AQ788" s="114"/>
      <c r="AR788" s="114"/>
      <c r="AS788" s="114"/>
      <c r="AT788" s="114"/>
      <c r="AU788" s="114"/>
      <c r="AV788" s="114"/>
      <c r="AW788" s="114"/>
      <c r="AX788" s="114"/>
      <c r="AY788" s="114"/>
      <c r="AZ788" s="114"/>
      <c r="BA788" s="114"/>
      <c r="BB788" s="114"/>
      <c r="BC788" s="114"/>
      <c r="BD788" s="114"/>
      <c r="BE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5"/>
      <c r="Y789" s="114"/>
      <c r="Z789" s="117" t="s">
        <v>6442</v>
      </c>
      <c r="AA789" s="117" t="s">
        <v>4497</v>
      </c>
      <c r="AB789" s="114"/>
      <c r="AC789" s="114"/>
      <c r="AD789" s="114"/>
      <c r="AE789" s="114"/>
      <c r="AF789" s="114"/>
      <c r="AG789" s="114"/>
      <c r="AH789" s="114"/>
      <c r="AI789" s="116"/>
      <c r="AJ789" s="114"/>
      <c r="AK789" s="114"/>
      <c r="AL789" s="114"/>
      <c r="AM789" s="114"/>
      <c r="AN789" s="114"/>
      <c r="AO789" s="114"/>
      <c r="AP789" s="114"/>
      <c r="AQ789" s="114"/>
      <c r="AR789" s="114"/>
      <c r="AS789" s="114"/>
      <c r="AT789" s="114"/>
      <c r="AU789" s="114"/>
      <c r="AV789" s="114"/>
      <c r="AW789" s="114"/>
      <c r="AX789" s="114"/>
      <c r="AY789" s="114"/>
      <c r="AZ789" s="114"/>
      <c r="BA789" s="114"/>
      <c r="BB789" s="114"/>
      <c r="BC789" s="114"/>
      <c r="BD789" s="114"/>
      <c r="BE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5"/>
      <c r="Y790" s="114"/>
      <c r="Z790" s="117" t="s">
        <v>6443</v>
      </c>
      <c r="AA790" s="117" t="s">
        <v>4495</v>
      </c>
      <c r="AB790" s="114"/>
      <c r="AC790" s="114"/>
      <c r="AD790" s="114"/>
      <c r="AE790" s="114"/>
      <c r="AF790" s="114"/>
      <c r="AG790" s="114"/>
      <c r="AH790" s="114"/>
      <c r="AI790" s="116"/>
      <c r="AJ790" s="114"/>
      <c r="AK790" s="114"/>
      <c r="AL790" s="114"/>
      <c r="AM790" s="114"/>
      <c r="AN790" s="114"/>
      <c r="AO790" s="114"/>
      <c r="AP790" s="114"/>
      <c r="AQ790" s="114"/>
      <c r="AR790" s="114"/>
      <c r="AS790" s="114"/>
      <c r="AT790" s="114"/>
      <c r="AU790" s="114"/>
      <c r="AV790" s="114"/>
      <c r="AW790" s="114"/>
      <c r="AX790" s="114"/>
      <c r="AY790" s="114"/>
      <c r="AZ790" s="114"/>
      <c r="BA790" s="114"/>
      <c r="BB790" s="114"/>
      <c r="BC790" s="114"/>
      <c r="BD790" s="114"/>
      <c r="BE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5"/>
      <c r="Y791" s="114"/>
      <c r="Z791" s="117" t="s">
        <v>6444</v>
      </c>
      <c r="AA791" s="117" t="s">
        <v>4505</v>
      </c>
      <c r="AB791" s="114"/>
      <c r="AC791" s="114"/>
      <c r="AD791" s="114"/>
      <c r="AE791" s="114"/>
      <c r="AF791" s="114"/>
      <c r="AG791" s="114"/>
      <c r="AH791" s="114"/>
      <c r="AI791" s="116"/>
      <c r="AJ791" s="114"/>
      <c r="AK791" s="114"/>
      <c r="AL791" s="114"/>
      <c r="AM791" s="114"/>
      <c r="AN791" s="114"/>
      <c r="AO791" s="114"/>
      <c r="AP791" s="114"/>
      <c r="AQ791" s="114"/>
      <c r="AR791" s="114"/>
      <c r="AS791" s="114"/>
      <c r="AT791" s="114"/>
      <c r="AU791" s="114"/>
      <c r="AV791" s="114"/>
      <c r="AW791" s="114"/>
      <c r="AX791" s="114"/>
      <c r="AY791" s="114"/>
      <c r="AZ791" s="114"/>
      <c r="BA791" s="114"/>
      <c r="BB791" s="114"/>
      <c r="BC791" s="114"/>
      <c r="BD791" s="114"/>
      <c r="BE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5"/>
      <c r="Y792" s="114"/>
      <c r="Z792" s="117" t="s">
        <v>6445</v>
      </c>
      <c r="AA792" s="117" t="s">
        <v>4507</v>
      </c>
      <c r="AB792" s="114"/>
      <c r="AC792" s="114"/>
      <c r="AD792" s="114"/>
      <c r="AE792" s="114"/>
      <c r="AF792" s="114"/>
      <c r="AG792" s="114"/>
      <c r="AH792" s="114"/>
      <c r="AI792" s="116"/>
      <c r="AJ792" s="114"/>
      <c r="AK792" s="114"/>
      <c r="AL792" s="114"/>
      <c r="AM792" s="114"/>
      <c r="AN792" s="114"/>
      <c r="AO792" s="114"/>
      <c r="AP792" s="114"/>
      <c r="AQ792" s="114"/>
      <c r="AR792" s="114"/>
      <c r="AS792" s="114"/>
      <c r="AT792" s="114"/>
      <c r="AU792" s="114"/>
      <c r="AV792" s="114"/>
      <c r="AW792" s="114"/>
      <c r="AX792" s="114"/>
      <c r="AY792" s="114"/>
      <c r="AZ792" s="114"/>
      <c r="BA792" s="114"/>
      <c r="BB792" s="114"/>
      <c r="BC792" s="114"/>
      <c r="BD792" s="114"/>
      <c r="BE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5"/>
      <c r="Y793" s="114"/>
      <c r="Z793" s="117" t="s">
        <v>6446</v>
      </c>
      <c r="AA793" s="117" t="s">
        <v>4508</v>
      </c>
      <c r="AB793" s="114"/>
      <c r="AC793" s="114"/>
      <c r="AD793" s="114"/>
      <c r="AE793" s="114"/>
      <c r="AF793" s="114"/>
      <c r="AG793" s="114"/>
      <c r="AH793" s="114"/>
      <c r="AI793" s="116"/>
      <c r="AJ793" s="114"/>
      <c r="AK793" s="114"/>
      <c r="AL793" s="114"/>
      <c r="AM793" s="114"/>
      <c r="AN793" s="114"/>
      <c r="AO793" s="114"/>
      <c r="AP793" s="114"/>
      <c r="AQ793" s="114"/>
      <c r="AR793" s="114"/>
      <c r="AS793" s="114"/>
      <c r="AT793" s="114"/>
      <c r="AU793" s="114"/>
      <c r="AV793" s="114"/>
      <c r="AW793" s="114"/>
      <c r="AX793" s="114"/>
      <c r="AY793" s="114"/>
      <c r="AZ793" s="114"/>
      <c r="BA793" s="114"/>
      <c r="BB793" s="114"/>
      <c r="BC793" s="114"/>
      <c r="BD793" s="114"/>
      <c r="BE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5"/>
      <c r="Y794" s="114"/>
      <c r="Z794" s="117" t="s">
        <v>6447</v>
      </c>
      <c r="AA794" s="117" t="s">
        <v>4506</v>
      </c>
      <c r="AB794" s="114"/>
      <c r="AC794" s="114"/>
      <c r="AD794" s="114"/>
      <c r="AE794" s="114"/>
      <c r="AF794" s="114"/>
      <c r="AG794" s="114"/>
      <c r="AH794" s="114"/>
      <c r="AI794" s="116"/>
      <c r="AJ794" s="114"/>
      <c r="AK794" s="114"/>
      <c r="AL794" s="114"/>
      <c r="AM794" s="114"/>
      <c r="AN794" s="114"/>
      <c r="AO794" s="114"/>
      <c r="AP794" s="114"/>
      <c r="AQ794" s="114"/>
      <c r="AR794" s="114"/>
      <c r="AS794" s="114"/>
      <c r="AT794" s="114"/>
      <c r="AU794" s="114"/>
      <c r="AV794" s="114"/>
      <c r="AW794" s="114"/>
      <c r="AX794" s="114"/>
      <c r="AY794" s="114"/>
      <c r="AZ794" s="114"/>
      <c r="BA794" s="114"/>
      <c r="BB794" s="114"/>
      <c r="BC794" s="114"/>
      <c r="BD794" s="114"/>
      <c r="BE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5"/>
      <c r="Y795" s="114"/>
      <c r="Z795" s="117" t="s">
        <v>6448</v>
      </c>
      <c r="AA795" s="117" t="s">
        <v>4516</v>
      </c>
      <c r="AB795" s="114"/>
      <c r="AC795" s="114"/>
      <c r="AD795" s="114"/>
      <c r="AE795" s="114"/>
      <c r="AF795" s="114"/>
      <c r="AG795" s="114"/>
      <c r="AH795" s="114"/>
      <c r="AI795" s="116"/>
      <c r="AJ795" s="114"/>
      <c r="AK795" s="114"/>
      <c r="AL795" s="114"/>
      <c r="AM795" s="114"/>
      <c r="AN795" s="114"/>
      <c r="AO795" s="114"/>
      <c r="AP795" s="114"/>
      <c r="AQ795" s="114"/>
      <c r="AR795" s="114"/>
      <c r="AS795" s="114"/>
      <c r="AT795" s="114"/>
      <c r="AU795" s="114"/>
      <c r="AV795" s="114"/>
      <c r="AW795" s="114"/>
      <c r="AX795" s="114"/>
      <c r="AY795" s="114"/>
      <c r="AZ795" s="114"/>
      <c r="BA795" s="114"/>
      <c r="BB795" s="114"/>
      <c r="BC795" s="114"/>
      <c r="BD795" s="114"/>
      <c r="BE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5"/>
      <c r="Y796" s="114"/>
      <c r="Z796" s="117" t="s">
        <v>6449</v>
      </c>
      <c r="AA796" s="117" t="s">
        <v>4518</v>
      </c>
      <c r="AB796" s="114"/>
      <c r="AC796" s="114"/>
      <c r="AD796" s="114"/>
      <c r="AE796" s="114"/>
      <c r="AF796" s="114"/>
      <c r="AG796" s="114"/>
      <c r="AH796" s="114"/>
      <c r="AI796" s="116"/>
      <c r="AJ796" s="114"/>
      <c r="AK796" s="114"/>
      <c r="AL796" s="114"/>
      <c r="AM796" s="114"/>
      <c r="AN796" s="114"/>
      <c r="AO796" s="114"/>
      <c r="AP796" s="114"/>
      <c r="AQ796" s="114"/>
      <c r="AR796" s="114"/>
      <c r="AS796" s="114"/>
      <c r="AT796" s="114"/>
      <c r="AU796" s="114"/>
      <c r="AV796" s="114"/>
      <c r="AW796" s="114"/>
      <c r="AX796" s="114"/>
      <c r="AY796" s="114"/>
      <c r="AZ796" s="114"/>
      <c r="BA796" s="114"/>
      <c r="BB796" s="114"/>
      <c r="BC796" s="114"/>
      <c r="BD796" s="114"/>
      <c r="BE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5"/>
      <c r="Y797" s="114"/>
      <c r="Z797" s="117" t="s">
        <v>6450</v>
      </c>
      <c r="AA797" s="117" t="s">
        <v>4519</v>
      </c>
      <c r="AB797" s="114"/>
      <c r="AC797" s="114"/>
      <c r="AD797" s="114"/>
      <c r="AE797" s="114"/>
      <c r="AF797" s="114"/>
      <c r="AG797" s="114"/>
      <c r="AH797" s="114"/>
      <c r="AI797" s="116"/>
      <c r="AJ797" s="114"/>
      <c r="AK797" s="114"/>
      <c r="AL797" s="114"/>
      <c r="AM797" s="114"/>
      <c r="AN797" s="114"/>
      <c r="AO797" s="114"/>
      <c r="AP797" s="114"/>
      <c r="AQ797" s="114"/>
      <c r="AR797" s="114"/>
      <c r="AS797" s="114"/>
      <c r="AT797" s="114"/>
      <c r="AU797" s="114"/>
      <c r="AV797" s="114"/>
      <c r="AW797" s="114"/>
      <c r="AX797" s="114"/>
      <c r="AY797" s="114"/>
      <c r="AZ797" s="114"/>
      <c r="BA797" s="114"/>
      <c r="BB797" s="114"/>
      <c r="BC797" s="114"/>
      <c r="BD797" s="114"/>
      <c r="BE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5"/>
      <c r="Y798" s="114"/>
      <c r="Z798" s="117" t="s">
        <v>6451</v>
      </c>
      <c r="AA798" s="117" t="s">
        <v>4517</v>
      </c>
      <c r="AB798" s="114"/>
      <c r="AC798" s="114"/>
      <c r="AD798" s="114"/>
      <c r="AE798" s="114"/>
      <c r="AF798" s="114"/>
      <c r="AG798" s="114"/>
      <c r="AH798" s="114"/>
      <c r="AI798" s="116"/>
      <c r="AJ798" s="114"/>
      <c r="AK798" s="114"/>
      <c r="AL798" s="114"/>
      <c r="AM798" s="114"/>
      <c r="AN798" s="114"/>
      <c r="AO798" s="114"/>
      <c r="AP798" s="114"/>
      <c r="AQ798" s="114"/>
      <c r="AR798" s="114"/>
      <c r="AS798" s="114"/>
      <c r="AT798" s="114"/>
      <c r="AU798" s="114"/>
      <c r="AV798" s="114"/>
      <c r="AW798" s="114"/>
      <c r="AX798" s="114"/>
      <c r="AY798" s="114"/>
      <c r="AZ798" s="114"/>
      <c r="BA798" s="114"/>
      <c r="BB798" s="114"/>
      <c r="BC798" s="114"/>
      <c r="BD798" s="114"/>
      <c r="BE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5"/>
      <c r="Y799" s="114"/>
      <c r="Z799" s="117" t="s">
        <v>6452</v>
      </c>
      <c r="AA799" s="117" t="s">
        <v>4527</v>
      </c>
      <c r="AB799" s="114"/>
      <c r="AC799" s="114"/>
      <c r="AD799" s="114"/>
      <c r="AE799" s="114"/>
      <c r="AF799" s="114"/>
      <c r="AG799" s="114"/>
      <c r="AH799" s="114"/>
      <c r="AI799" s="116"/>
      <c r="AJ799" s="114"/>
      <c r="AK799" s="114"/>
      <c r="AL799" s="114"/>
      <c r="AM799" s="114"/>
      <c r="AN799" s="114"/>
      <c r="AO799" s="114"/>
      <c r="AP799" s="114"/>
      <c r="AQ799" s="114"/>
      <c r="AR799" s="114"/>
      <c r="AS799" s="114"/>
      <c r="AT799" s="114"/>
      <c r="AU799" s="114"/>
      <c r="AV799" s="114"/>
      <c r="AW799" s="114"/>
      <c r="AX799" s="114"/>
      <c r="AY799" s="114"/>
      <c r="AZ799" s="114"/>
      <c r="BA799" s="114"/>
      <c r="BB799" s="114"/>
      <c r="BC799" s="114"/>
      <c r="BD799" s="114"/>
      <c r="BE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5"/>
      <c r="Y800" s="114"/>
      <c r="Z800" s="117" t="s">
        <v>6453</v>
      </c>
      <c r="AA800" s="117" t="s">
        <v>4529</v>
      </c>
      <c r="AB800" s="114"/>
      <c r="AC800" s="114"/>
      <c r="AD800" s="114"/>
      <c r="AE800" s="114"/>
      <c r="AF800" s="114"/>
      <c r="AG800" s="114"/>
      <c r="AH800" s="114"/>
      <c r="AI800" s="116"/>
      <c r="AJ800" s="114"/>
      <c r="AK800" s="114"/>
      <c r="AL800" s="114"/>
      <c r="AM800" s="114"/>
      <c r="AN800" s="114"/>
      <c r="AO800" s="114"/>
      <c r="AP800" s="114"/>
      <c r="AQ800" s="114"/>
      <c r="AR800" s="114"/>
      <c r="AS800" s="114"/>
      <c r="AT800" s="114"/>
      <c r="AU800" s="114"/>
      <c r="AV800" s="114"/>
      <c r="AW800" s="114"/>
      <c r="AX800" s="114"/>
      <c r="AY800" s="114"/>
      <c r="AZ800" s="114"/>
      <c r="BA800" s="114"/>
      <c r="BB800" s="114"/>
      <c r="BC800" s="114"/>
      <c r="BD800" s="114"/>
      <c r="BE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5"/>
      <c r="Y801" s="114"/>
      <c r="Z801" s="117" t="s">
        <v>6454</v>
      </c>
      <c r="AA801" s="117" t="s">
        <v>4530</v>
      </c>
      <c r="AB801" s="114"/>
      <c r="AC801" s="114"/>
      <c r="AD801" s="114"/>
      <c r="AE801" s="114"/>
      <c r="AF801" s="114"/>
      <c r="AG801" s="114"/>
      <c r="AH801" s="114"/>
      <c r="AI801" s="116"/>
      <c r="AJ801" s="114"/>
      <c r="AK801" s="114"/>
      <c r="AL801" s="114"/>
      <c r="AM801" s="114"/>
      <c r="AN801" s="114"/>
      <c r="AO801" s="114"/>
      <c r="AP801" s="114"/>
      <c r="AQ801" s="114"/>
      <c r="AR801" s="114"/>
      <c r="AS801" s="114"/>
      <c r="AT801" s="114"/>
      <c r="AU801" s="114"/>
      <c r="AV801" s="114"/>
      <c r="AW801" s="114"/>
      <c r="AX801" s="114"/>
      <c r="AY801" s="114"/>
      <c r="AZ801" s="114"/>
      <c r="BA801" s="114"/>
      <c r="BB801" s="114"/>
      <c r="BC801" s="114"/>
      <c r="BD801" s="114"/>
      <c r="BE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5"/>
      <c r="Y802" s="114"/>
      <c r="Z802" s="117" t="s">
        <v>6455</v>
      </c>
      <c r="AA802" s="117" t="s">
        <v>4528</v>
      </c>
      <c r="AB802" s="114"/>
      <c r="AC802" s="114"/>
      <c r="AD802" s="114"/>
      <c r="AE802" s="114"/>
      <c r="AF802" s="114"/>
      <c r="AG802" s="114"/>
      <c r="AH802" s="114"/>
      <c r="AI802" s="116"/>
      <c r="AJ802" s="114"/>
      <c r="AK802" s="114"/>
      <c r="AL802" s="114"/>
      <c r="AM802" s="114"/>
      <c r="AN802" s="114"/>
      <c r="AO802" s="114"/>
      <c r="AP802" s="114"/>
      <c r="AQ802" s="114"/>
      <c r="AR802" s="114"/>
      <c r="AS802" s="114"/>
      <c r="AT802" s="114"/>
      <c r="AU802" s="114"/>
      <c r="AV802" s="114"/>
      <c r="AW802" s="114"/>
      <c r="AX802" s="114"/>
      <c r="AY802" s="114"/>
      <c r="AZ802" s="114"/>
      <c r="BA802" s="114"/>
      <c r="BB802" s="114"/>
      <c r="BC802" s="114"/>
      <c r="BD802" s="114"/>
      <c r="BE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5"/>
      <c r="Y803" s="114"/>
      <c r="Z803" s="117" t="s">
        <v>6456</v>
      </c>
      <c r="AA803" s="117" t="s">
        <v>4538</v>
      </c>
      <c r="AB803" s="114"/>
      <c r="AC803" s="114"/>
      <c r="AD803" s="114"/>
      <c r="AE803" s="114"/>
      <c r="AF803" s="114"/>
      <c r="AG803" s="114"/>
      <c r="AH803" s="114"/>
      <c r="AI803" s="116"/>
      <c r="AJ803" s="114"/>
      <c r="AK803" s="114"/>
      <c r="AL803" s="114"/>
      <c r="AM803" s="114"/>
      <c r="AN803" s="114"/>
      <c r="AO803" s="114"/>
      <c r="AP803" s="114"/>
      <c r="AQ803" s="114"/>
      <c r="AR803" s="114"/>
      <c r="AS803" s="114"/>
      <c r="AT803" s="114"/>
      <c r="AU803" s="114"/>
      <c r="AV803" s="114"/>
      <c r="AW803" s="114"/>
      <c r="AX803" s="114"/>
      <c r="AY803" s="114"/>
      <c r="AZ803" s="114"/>
      <c r="BA803" s="114"/>
      <c r="BB803" s="114"/>
      <c r="BC803" s="114"/>
      <c r="BD803" s="114"/>
      <c r="BE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5"/>
      <c r="Y804" s="114"/>
      <c r="Z804" s="117" t="s">
        <v>6457</v>
      </c>
      <c r="AA804" s="117" t="s">
        <v>4540</v>
      </c>
      <c r="AB804" s="114"/>
      <c r="AC804" s="114"/>
      <c r="AD804" s="114"/>
      <c r="AE804" s="114"/>
      <c r="AF804" s="114"/>
      <c r="AG804" s="114"/>
      <c r="AH804" s="114"/>
      <c r="AI804" s="116"/>
      <c r="AJ804" s="114"/>
      <c r="AK804" s="114"/>
      <c r="AL804" s="114"/>
      <c r="AM804" s="114"/>
      <c r="AN804" s="114"/>
      <c r="AO804" s="114"/>
      <c r="AP804" s="114"/>
      <c r="AQ804" s="114"/>
      <c r="AR804" s="114"/>
      <c r="AS804" s="114"/>
      <c r="AT804" s="114"/>
      <c r="AU804" s="114"/>
      <c r="AV804" s="114"/>
      <c r="AW804" s="114"/>
      <c r="AX804" s="114"/>
      <c r="AY804" s="114"/>
      <c r="AZ804" s="114"/>
      <c r="BA804" s="114"/>
      <c r="BB804" s="114"/>
      <c r="BC804" s="114"/>
      <c r="BD804" s="114"/>
      <c r="BE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5"/>
      <c r="Y805" s="114"/>
      <c r="Z805" s="117" t="s">
        <v>6458</v>
      </c>
      <c r="AA805" s="117" t="s">
        <v>4541</v>
      </c>
      <c r="AB805" s="114"/>
      <c r="AC805" s="114"/>
      <c r="AD805" s="114"/>
      <c r="AE805" s="114"/>
      <c r="AF805" s="114"/>
      <c r="AG805" s="114"/>
      <c r="AH805" s="114"/>
      <c r="AI805" s="116"/>
      <c r="AJ805" s="114"/>
      <c r="AK805" s="114"/>
      <c r="AL805" s="114"/>
      <c r="AM805" s="114"/>
      <c r="AN805" s="114"/>
      <c r="AO805" s="114"/>
      <c r="AP805" s="114"/>
      <c r="AQ805" s="114"/>
      <c r="AR805" s="114"/>
      <c r="AS805" s="114"/>
      <c r="AT805" s="114"/>
      <c r="AU805" s="114"/>
      <c r="AV805" s="114"/>
      <c r="AW805" s="114"/>
      <c r="AX805" s="114"/>
      <c r="AY805" s="114"/>
      <c r="AZ805" s="114"/>
      <c r="BA805" s="114"/>
      <c r="BB805" s="114"/>
      <c r="BC805" s="114"/>
      <c r="BD805" s="114"/>
      <c r="BE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5"/>
      <c r="Y806" s="114"/>
      <c r="Z806" s="117" t="s">
        <v>6459</v>
      </c>
      <c r="AA806" s="117" t="s">
        <v>4539</v>
      </c>
      <c r="AB806" s="114"/>
      <c r="AC806" s="114"/>
      <c r="AD806" s="114"/>
      <c r="AE806" s="114"/>
      <c r="AF806" s="114"/>
      <c r="AG806" s="114"/>
      <c r="AH806" s="114"/>
      <c r="AI806" s="116"/>
      <c r="AJ806" s="114"/>
      <c r="AK806" s="114"/>
      <c r="AL806" s="114"/>
      <c r="AM806" s="114"/>
      <c r="AN806" s="114"/>
      <c r="AO806" s="114"/>
      <c r="AP806" s="114"/>
      <c r="AQ806" s="114"/>
      <c r="AR806" s="114"/>
      <c r="AS806" s="114"/>
      <c r="AT806" s="114"/>
      <c r="AU806" s="114"/>
      <c r="AV806" s="114"/>
      <c r="AW806" s="114"/>
      <c r="AX806" s="114"/>
      <c r="AY806" s="114"/>
      <c r="AZ806" s="114"/>
      <c r="BA806" s="114"/>
      <c r="BB806" s="114"/>
      <c r="BC806" s="114"/>
      <c r="BD806" s="114"/>
      <c r="BE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5"/>
      <c r="Y807" s="114"/>
      <c r="Z807" s="117" t="s">
        <v>6460</v>
      </c>
      <c r="AA807" s="117" t="s">
        <v>4549</v>
      </c>
      <c r="AB807" s="114"/>
      <c r="AC807" s="114"/>
      <c r="AD807" s="114"/>
      <c r="AE807" s="114"/>
      <c r="AF807" s="114"/>
      <c r="AG807" s="114"/>
      <c r="AH807" s="114"/>
      <c r="AI807" s="116"/>
      <c r="AJ807" s="114"/>
      <c r="AK807" s="114"/>
      <c r="AL807" s="114"/>
      <c r="AM807" s="114"/>
      <c r="AN807" s="114"/>
      <c r="AO807" s="114"/>
      <c r="AP807" s="114"/>
      <c r="AQ807" s="114"/>
      <c r="AR807" s="114"/>
      <c r="AS807" s="114"/>
      <c r="AT807" s="114"/>
      <c r="AU807" s="114"/>
      <c r="AV807" s="114"/>
      <c r="AW807" s="114"/>
      <c r="AX807" s="114"/>
      <c r="AY807" s="114"/>
      <c r="AZ807" s="114"/>
      <c r="BA807" s="114"/>
      <c r="BB807" s="114"/>
      <c r="BC807" s="114"/>
      <c r="BD807" s="114"/>
      <c r="BE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5"/>
      <c r="Y808" s="114"/>
      <c r="Z808" s="117" t="s">
        <v>6461</v>
      </c>
      <c r="AA808" s="117" t="s">
        <v>4551</v>
      </c>
      <c r="AB808" s="114"/>
      <c r="AC808" s="114"/>
      <c r="AD808" s="114"/>
      <c r="AE808" s="114"/>
      <c r="AF808" s="114"/>
      <c r="AG808" s="114"/>
      <c r="AH808" s="114"/>
      <c r="AI808" s="116"/>
      <c r="AJ808" s="114"/>
      <c r="AK808" s="114"/>
      <c r="AL808" s="114"/>
      <c r="AM808" s="114"/>
      <c r="AN808" s="114"/>
      <c r="AO808" s="114"/>
      <c r="AP808" s="114"/>
      <c r="AQ808" s="114"/>
      <c r="AR808" s="114"/>
      <c r="AS808" s="114"/>
      <c r="AT808" s="114"/>
      <c r="AU808" s="114"/>
      <c r="AV808" s="114"/>
      <c r="AW808" s="114"/>
      <c r="AX808" s="114"/>
      <c r="AY808" s="114"/>
      <c r="AZ808" s="114"/>
      <c r="BA808" s="114"/>
      <c r="BB808" s="114"/>
      <c r="BC808" s="114"/>
      <c r="BD808" s="114"/>
      <c r="BE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5"/>
      <c r="Y809" s="114"/>
      <c r="Z809" s="117" t="s">
        <v>6462</v>
      </c>
      <c r="AA809" s="117" t="s">
        <v>4552</v>
      </c>
      <c r="AB809" s="114"/>
      <c r="AC809" s="114"/>
      <c r="AD809" s="114"/>
      <c r="AE809" s="114"/>
      <c r="AF809" s="114"/>
      <c r="AG809" s="114"/>
      <c r="AH809" s="114"/>
      <c r="AI809" s="116"/>
      <c r="AJ809" s="114"/>
      <c r="AK809" s="114"/>
      <c r="AL809" s="114"/>
      <c r="AM809" s="114"/>
      <c r="AN809" s="114"/>
      <c r="AO809" s="114"/>
      <c r="AP809" s="114"/>
      <c r="AQ809" s="114"/>
      <c r="AR809" s="114"/>
      <c r="AS809" s="114"/>
      <c r="AT809" s="114"/>
      <c r="AU809" s="114"/>
      <c r="AV809" s="114"/>
      <c r="AW809" s="114"/>
      <c r="AX809" s="114"/>
      <c r="AY809" s="114"/>
      <c r="AZ809" s="114"/>
      <c r="BA809" s="114"/>
      <c r="BB809" s="114"/>
      <c r="BC809" s="114"/>
      <c r="BD809" s="114"/>
      <c r="BE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5"/>
      <c r="Y810" s="114"/>
      <c r="Z810" s="117" t="s">
        <v>6463</v>
      </c>
      <c r="AA810" s="117" t="s">
        <v>4550</v>
      </c>
      <c r="AB810" s="114"/>
      <c r="AC810" s="114"/>
      <c r="AD810" s="114"/>
      <c r="AE810" s="114"/>
      <c r="AF810" s="114"/>
      <c r="AG810" s="114"/>
      <c r="AH810" s="114"/>
      <c r="AI810" s="116"/>
      <c r="AJ810" s="114"/>
      <c r="AK810" s="114"/>
      <c r="AL810" s="114"/>
      <c r="AM810" s="114"/>
      <c r="AN810" s="114"/>
      <c r="AO810" s="114"/>
      <c r="AP810" s="114"/>
      <c r="AQ810" s="114"/>
      <c r="AR810" s="114"/>
      <c r="AS810" s="114"/>
      <c r="AT810" s="114"/>
      <c r="AU810" s="114"/>
      <c r="AV810" s="114"/>
      <c r="AW810" s="114"/>
      <c r="AX810" s="114"/>
      <c r="AY810" s="114"/>
      <c r="AZ810" s="114"/>
      <c r="BA810" s="114"/>
      <c r="BB810" s="114"/>
      <c r="BC810" s="114"/>
      <c r="BD810" s="114"/>
      <c r="BE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5"/>
      <c r="Y811" s="114"/>
      <c r="Z811" s="117" t="s">
        <v>6464</v>
      </c>
      <c r="AA811" s="117" t="s">
        <v>4560</v>
      </c>
      <c r="AB811" s="114"/>
      <c r="AC811" s="114"/>
      <c r="AD811" s="114"/>
      <c r="AE811" s="114"/>
      <c r="AF811" s="114"/>
      <c r="AG811" s="114"/>
      <c r="AH811" s="114"/>
      <c r="AI811" s="116"/>
      <c r="AJ811" s="114"/>
      <c r="AK811" s="114"/>
      <c r="AL811" s="114"/>
      <c r="AM811" s="114"/>
      <c r="AN811" s="114"/>
      <c r="AO811" s="114"/>
      <c r="AP811" s="114"/>
      <c r="AQ811" s="114"/>
      <c r="AR811" s="114"/>
      <c r="AS811" s="114"/>
      <c r="AT811" s="114"/>
      <c r="AU811" s="114"/>
      <c r="AV811" s="114"/>
      <c r="AW811" s="114"/>
      <c r="AX811" s="114"/>
      <c r="AY811" s="114"/>
      <c r="AZ811" s="114"/>
      <c r="BA811" s="114"/>
      <c r="BB811" s="114"/>
      <c r="BC811" s="114"/>
      <c r="BD811" s="114"/>
      <c r="BE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5"/>
      <c r="Y812" s="114"/>
      <c r="Z812" s="117" t="s">
        <v>6465</v>
      </c>
      <c r="AA812" s="117" t="s">
        <v>4562</v>
      </c>
      <c r="AB812" s="114"/>
      <c r="AC812" s="114"/>
      <c r="AD812" s="114"/>
      <c r="AE812" s="114"/>
      <c r="AF812" s="114"/>
      <c r="AG812" s="114"/>
      <c r="AH812" s="114"/>
      <c r="AI812" s="116"/>
      <c r="AJ812" s="114"/>
      <c r="AK812" s="114"/>
      <c r="AL812" s="114"/>
      <c r="AM812" s="114"/>
      <c r="AN812" s="114"/>
      <c r="AO812" s="114"/>
      <c r="AP812" s="114"/>
      <c r="AQ812" s="114"/>
      <c r="AR812" s="114"/>
      <c r="AS812" s="114"/>
      <c r="AT812" s="114"/>
      <c r="AU812" s="114"/>
      <c r="AV812" s="114"/>
      <c r="AW812" s="114"/>
      <c r="AX812" s="114"/>
      <c r="AY812" s="114"/>
      <c r="AZ812" s="114"/>
      <c r="BA812" s="114"/>
      <c r="BB812" s="114"/>
      <c r="BC812" s="114"/>
      <c r="BD812" s="114"/>
      <c r="BE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5"/>
      <c r="Y813" s="114"/>
      <c r="Z813" s="117" t="s">
        <v>6466</v>
      </c>
      <c r="AA813" s="117" t="s">
        <v>4563</v>
      </c>
      <c r="AB813" s="114"/>
      <c r="AC813" s="114"/>
      <c r="AD813" s="114"/>
      <c r="AE813" s="114"/>
      <c r="AF813" s="114"/>
      <c r="AG813" s="114"/>
      <c r="AH813" s="114"/>
      <c r="AI813" s="116"/>
      <c r="AJ813" s="114"/>
      <c r="AK813" s="114"/>
      <c r="AL813" s="114"/>
      <c r="AM813" s="114"/>
      <c r="AN813" s="114"/>
      <c r="AO813" s="114"/>
      <c r="AP813" s="114"/>
      <c r="AQ813" s="114"/>
      <c r="AR813" s="114"/>
      <c r="AS813" s="114"/>
      <c r="AT813" s="114"/>
      <c r="AU813" s="114"/>
      <c r="AV813" s="114"/>
      <c r="AW813" s="114"/>
      <c r="AX813" s="114"/>
      <c r="AY813" s="114"/>
      <c r="AZ813" s="114"/>
      <c r="BA813" s="114"/>
      <c r="BB813" s="114"/>
      <c r="BC813" s="114"/>
      <c r="BD813" s="114"/>
      <c r="BE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5"/>
      <c r="Y814" s="114"/>
      <c r="Z814" s="117" t="s">
        <v>6467</v>
      </c>
      <c r="AA814" s="117" t="s">
        <v>4561</v>
      </c>
      <c r="AB814" s="114"/>
      <c r="AC814" s="114"/>
      <c r="AD814" s="114"/>
      <c r="AE814" s="114"/>
      <c r="AF814" s="114"/>
      <c r="AG814" s="114"/>
      <c r="AH814" s="114"/>
      <c r="AI814" s="116"/>
      <c r="AJ814" s="114"/>
      <c r="AK814" s="114"/>
      <c r="AL814" s="114"/>
      <c r="AM814" s="114"/>
      <c r="AN814" s="114"/>
      <c r="AO814" s="114"/>
      <c r="AP814" s="114"/>
      <c r="AQ814" s="114"/>
      <c r="AR814" s="114"/>
      <c r="AS814" s="114"/>
      <c r="AT814" s="114"/>
      <c r="AU814" s="114"/>
      <c r="AV814" s="114"/>
      <c r="AW814" s="114"/>
      <c r="AX814" s="114"/>
      <c r="AY814" s="114"/>
      <c r="AZ814" s="114"/>
      <c r="BA814" s="114"/>
      <c r="BB814" s="114"/>
      <c r="BC814" s="114"/>
      <c r="BD814" s="114"/>
      <c r="BE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5"/>
      <c r="Y815" s="114"/>
      <c r="Z815" s="117" t="s">
        <v>6468</v>
      </c>
      <c r="AA815" s="117" t="s">
        <v>4571</v>
      </c>
      <c r="AB815" s="114"/>
      <c r="AC815" s="114"/>
      <c r="AD815" s="114"/>
      <c r="AE815" s="114"/>
      <c r="AF815" s="114"/>
      <c r="AG815" s="114"/>
      <c r="AH815" s="114"/>
      <c r="AI815" s="116"/>
      <c r="AJ815" s="114"/>
      <c r="AK815" s="114"/>
      <c r="AL815" s="114"/>
      <c r="AM815" s="114"/>
      <c r="AN815" s="114"/>
      <c r="AO815" s="114"/>
      <c r="AP815" s="114"/>
      <c r="AQ815" s="114"/>
      <c r="AR815" s="114"/>
      <c r="AS815" s="114"/>
      <c r="AT815" s="114"/>
      <c r="AU815" s="114"/>
      <c r="AV815" s="114"/>
      <c r="AW815" s="114"/>
      <c r="AX815" s="114"/>
      <c r="AY815" s="114"/>
      <c r="AZ815" s="114"/>
      <c r="BA815" s="114"/>
      <c r="BB815" s="114"/>
      <c r="BC815" s="114"/>
      <c r="BD815" s="114"/>
      <c r="BE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5"/>
      <c r="Y816" s="114"/>
      <c r="Z816" s="117" t="s">
        <v>6469</v>
      </c>
      <c r="AA816" s="117" t="s">
        <v>4573</v>
      </c>
      <c r="AB816" s="114"/>
      <c r="AC816" s="114"/>
      <c r="AD816" s="114"/>
      <c r="AE816" s="114"/>
      <c r="AF816" s="114"/>
      <c r="AG816" s="114"/>
      <c r="AH816" s="114"/>
      <c r="AI816" s="116"/>
      <c r="AJ816" s="114"/>
      <c r="AK816" s="114"/>
      <c r="AL816" s="114"/>
      <c r="AM816" s="114"/>
      <c r="AN816" s="114"/>
      <c r="AO816" s="114"/>
      <c r="AP816" s="114"/>
      <c r="AQ816" s="114"/>
      <c r="AR816" s="114"/>
      <c r="AS816" s="114"/>
      <c r="AT816" s="114"/>
      <c r="AU816" s="114"/>
      <c r="AV816" s="114"/>
      <c r="AW816" s="114"/>
      <c r="AX816" s="114"/>
      <c r="AY816" s="114"/>
      <c r="AZ816" s="114"/>
      <c r="BA816" s="114"/>
      <c r="BB816" s="114"/>
      <c r="BC816" s="114"/>
      <c r="BD816" s="114"/>
      <c r="BE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5"/>
      <c r="Y817" s="114"/>
      <c r="Z817" s="117" t="s">
        <v>6470</v>
      </c>
      <c r="AA817" s="117" t="s">
        <v>4574</v>
      </c>
      <c r="AB817" s="114"/>
      <c r="AC817" s="114"/>
      <c r="AD817" s="114"/>
      <c r="AE817" s="114"/>
      <c r="AF817" s="114"/>
      <c r="AG817" s="114"/>
      <c r="AH817" s="114"/>
      <c r="AI817" s="116"/>
      <c r="AJ817" s="114"/>
      <c r="AK817" s="114"/>
      <c r="AL817" s="114"/>
      <c r="AM817" s="114"/>
      <c r="AN817" s="114"/>
      <c r="AO817" s="114"/>
      <c r="AP817" s="114"/>
      <c r="AQ817" s="114"/>
      <c r="AR817" s="114"/>
      <c r="AS817" s="114"/>
      <c r="AT817" s="114"/>
      <c r="AU817" s="114"/>
      <c r="AV817" s="114"/>
      <c r="AW817" s="114"/>
      <c r="AX817" s="114"/>
      <c r="AY817" s="114"/>
      <c r="AZ817" s="114"/>
      <c r="BA817" s="114"/>
      <c r="BB817" s="114"/>
      <c r="BC817" s="114"/>
      <c r="BD817" s="114"/>
      <c r="BE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5"/>
      <c r="Y818" s="114"/>
      <c r="Z818" s="117" t="s">
        <v>6471</v>
      </c>
      <c r="AA818" s="117" t="s">
        <v>4572</v>
      </c>
      <c r="AB818" s="114"/>
      <c r="AC818" s="114"/>
      <c r="AD818" s="114"/>
      <c r="AE818" s="114"/>
      <c r="AF818" s="114"/>
      <c r="AG818" s="114"/>
      <c r="AH818" s="114"/>
      <c r="AI818" s="116"/>
      <c r="AJ818" s="114"/>
      <c r="AK818" s="114"/>
      <c r="AL818" s="114"/>
      <c r="AM818" s="114"/>
      <c r="AN818" s="114"/>
      <c r="AO818" s="114"/>
      <c r="AP818" s="114"/>
      <c r="AQ818" s="114"/>
      <c r="AR818" s="114"/>
      <c r="AS818" s="114"/>
      <c r="AT818" s="114"/>
      <c r="AU818" s="114"/>
      <c r="AV818" s="114"/>
      <c r="AW818" s="114"/>
      <c r="AX818" s="114"/>
      <c r="AY818" s="114"/>
      <c r="AZ818" s="114"/>
      <c r="BA818" s="114"/>
      <c r="BB818" s="114"/>
      <c r="BC818" s="114"/>
      <c r="BD818" s="114"/>
      <c r="BE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5"/>
      <c r="Y819" s="114"/>
      <c r="Z819" s="117" t="s">
        <v>6472</v>
      </c>
      <c r="AA819" s="117" t="s">
        <v>4582</v>
      </c>
      <c r="AB819" s="114"/>
      <c r="AC819" s="114"/>
      <c r="AD819" s="114"/>
      <c r="AE819" s="114"/>
      <c r="AF819" s="114"/>
      <c r="AG819" s="114"/>
      <c r="AH819" s="114"/>
      <c r="AI819" s="116"/>
      <c r="AJ819" s="114"/>
      <c r="AK819" s="114"/>
      <c r="AL819" s="114"/>
      <c r="AM819" s="114"/>
      <c r="AN819" s="114"/>
      <c r="AO819" s="114"/>
      <c r="AP819" s="114"/>
      <c r="AQ819" s="114"/>
      <c r="AR819" s="114"/>
      <c r="AS819" s="114"/>
      <c r="AT819" s="114"/>
      <c r="AU819" s="114"/>
      <c r="AV819" s="114"/>
      <c r="AW819" s="114"/>
      <c r="AX819" s="114"/>
      <c r="AY819" s="114"/>
      <c r="AZ819" s="114"/>
      <c r="BA819" s="114"/>
      <c r="BB819" s="114"/>
      <c r="BC819" s="114"/>
      <c r="BD819" s="114"/>
      <c r="BE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5"/>
      <c r="Y820" s="114"/>
      <c r="Z820" s="117" t="s">
        <v>6473</v>
      </c>
      <c r="AA820" s="117" t="s">
        <v>4584</v>
      </c>
      <c r="AB820" s="114"/>
      <c r="AC820" s="114"/>
      <c r="AD820" s="114"/>
      <c r="AE820" s="114"/>
      <c r="AF820" s="114"/>
      <c r="AG820" s="114"/>
      <c r="AH820" s="114"/>
      <c r="AI820" s="116"/>
      <c r="AJ820" s="114"/>
      <c r="AK820" s="114"/>
      <c r="AL820" s="114"/>
      <c r="AM820" s="114"/>
      <c r="AN820" s="114"/>
      <c r="AO820" s="114"/>
      <c r="AP820" s="114"/>
      <c r="AQ820" s="114"/>
      <c r="AR820" s="114"/>
      <c r="AS820" s="114"/>
      <c r="AT820" s="114"/>
      <c r="AU820" s="114"/>
      <c r="AV820" s="114"/>
      <c r="AW820" s="114"/>
      <c r="AX820" s="114"/>
      <c r="AY820" s="114"/>
      <c r="AZ820" s="114"/>
      <c r="BA820" s="114"/>
      <c r="BB820" s="114"/>
      <c r="BC820" s="114"/>
      <c r="BD820" s="114"/>
      <c r="BE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5"/>
      <c r="Y821" s="114"/>
      <c r="Z821" s="117" t="s">
        <v>6474</v>
      </c>
      <c r="AA821" s="117" t="s">
        <v>4585</v>
      </c>
      <c r="AB821" s="114"/>
      <c r="AC821" s="114"/>
      <c r="AD821" s="114"/>
      <c r="AE821" s="114"/>
      <c r="AF821" s="114"/>
      <c r="AG821" s="114"/>
      <c r="AH821" s="114"/>
      <c r="AI821" s="116"/>
      <c r="AJ821" s="114"/>
      <c r="AK821" s="114"/>
      <c r="AL821" s="114"/>
      <c r="AM821" s="114"/>
      <c r="AN821" s="114"/>
      <c r="AO821" s="114"/>
      <c r="AP821" s="114"/>
      <c r="AQ821" s="114"/>
      <c r="AR821" s="114"/>
      <c r="AS821" s="114"/>
      <c r="AT821" s="114"/>
      <c r="AU821" s="114"/>
      <c r="AV821" s="114"/>
      <c r="AW821" s="114"/>
      <c r="AX821" s="114"/>
      <c r="AY821" s="114"/>
      <c r="AZ821" s="114"/>
      <c r="BA821" s="114"/>
      <c r="BB821" s="114"/>
      <c r="BC821" s="114"/>
      <c r="BD821" s="114"/>
      <c r="BE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5"/>
      <c r="Y822" s="114"/>
      <c r="Z822" s="117" t="s">
        <v>6475</v>
      </c>
      <c r="AA822" s="117" t="s">
        <v>4583</v>
      </c>
      <c r="AB822" s="114"/>
      <c r="AC822" s="114"/>
      <c r="AD822" s="114"/>
      <c r="AE822" s="114"/>
      <c r="AF822" s="114"/>
      <c r="AG822" s="114"/>
      <c r="AH822" s="114"/>
      <c r="AI822" s="116"/>
      <c r="AJ822" s="114"/>
      <c r="AK822" s="114"/>
      <c r="AL822" s="114"/>
      <c r="AM822" s="114"/>
      <c r="AN822" s="114"/>
      <c r="AO822" s="114"/>
      <c r="AP822" s="114"/>
      <c r="AQ822" s="114"/>
      <c r="AR822" s="114"/>
      <c r="AS822" s="114"/>
      <c r="AT822" s="114"/>
      <c r="AU822" s="114"/>
      <c r="AV822" s="114"/>
      <c r="AW822" s="114"/>
      <c r="AX822" s="114"/>
      <c r="AY822" s="114"/>
      <c r="AZ822" s="114"/>
      <c r="BA822" s="114"/>
      <c r="BB822" s="114"/>
      <c r="BC822" s="114"/>
      <c r="BD822" s="114"/>
      <c r="BE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5"/>
      <c r="Y823" s="114"/>
      <c r="Z823" s="117" t="s">
        <v>6476</v>
      </c>
      <c r="AA823" s="117" t="s">
        <v>4593</v>
      </c>
      <c r="AB823" s="114"/>
      <c r="AC823" s="114"/>
      <c r="AD823" s="114"/>
      <c r="AE823" s="114"/>
      <c r="AF823" s="114"/>
      <c r="AG823" s="114"/>
      <c r="AH823" s="114"/>
      <c r="AI823" s="116"/>
      <c r="AJ823" s="114"/>
      <c r="AK823" s="114"/>
      <c r="AL823" s="114"/>
      <c r="AM823" s="114"/>
      <c r="AN823" s="114"/>
      <c r="AO823" s="114"/>
      <c r="AP823" s="114"/>
      <c r="AQ823" s="114"/>
      <c r="AR823" s="114"/>
      <c r="AS823" s="114"/>
      <c r="AT823" s="114"/>
      <c r="AU823" s="114"/>
      <c r="AV823" s="114"/>
      <c r="AW823" s="114"/>
      <c r="AX823" s="114"/>
      <c r="AY823" s="114"/>
      <c r="AZ823" s="114"/>
      <c r="BA823" s="114"/>
      <c r="BB823" s="114"/>
      <c r="BC823" s="114"/>
      <c r="BD823" s="114"/>
      <c r="BE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5"/>
      <c r="Y824" s="114"/>
      <c r="Z824" s="117" t="s">
        <v>6477</v>
      </c>
      <c r="AA824" s="117" t="s">
        <v>4595</v>
      </c>
      <c r="AB824" s="114"/>
      <c r="AC824" s="114"/>
      <c r="AD824" s="114"/>
      <c r="AE824" s="114"/>
      <c r="AF824" s="114"/>
      <c r="AG824" s="114"/>
      <c r="AH824" s="114"/>
      <c r="AI824" s="116"/>
      <c r="AJ824" s="114"/>
      <c r="AK824" s="114"/>
      <c r="AL824" s="114"/>
      <c r="AM824" s="114"/>
      <c r="AN824" s="114"/>
      <c r="AO824" s="114"/>
      <c r="AP824" s="114"/>
      <c r="AQ824" s="114"/>
      <c r="AR824" s="114"/>
      <c r="AS824" s="114"/>
      <c r="AT824" s="114"/>
      <c r="AU824" s="114"/>
      <c r="AV824" s="114"/>
      <c r="AW824" s="114"/>
      <c r="AX824" s="114"/>
      <c r="AY824" s="114"/>
      <c r="AZ824" s="114"/>
      <c r="BA824" s="114"/>
      <c r="BB824" s="114"/>
      <c r="BC824" s="114"/>
      <c r="BD824" s="114"/>
      <c r="BE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5"/>
      <c r="Y825" s="114"/>
      <c r="Z825" s="117" t="s">
        <v>6478</v>
      </c>
      <c r="AA825" s="117" t="s">
        <v>4596</v>
      </c>
      <c r="AB825" s="114"/>
      <c r="AC825" s="114"/>
      <c r="AD825" s="114"/>
      <c r="AE825" s="114"/>
      <c r="AF825" s="114"/>
      <c r="AG825" s="114"/>
      <c r="AH825" s="114"/>
      <c r="AI825" s="116"/>
      <c r="AJ825" s="114"/>
      <c r="AK825" s="114"/>
      <c r="AL825" s="114"/>
      <c r="AM825" s="114"/>
      <c r="AN825" s="114"/>
      <c r="AO825" s="114"/>
      <c r="AP825" s="114"/>
      <c r="AQ825" s="114"/>
      <c r="AR825" s="114"/>
      <c r="AS825" s="114"/>
      <c r="AT825" s="114"/>
      <c r="AU825" s="114"/>
      <c r="AV825" s="114"/>
      <c r="AW825" s="114"/>
      <c r="AX825" s="114"/>
      <c r="AY825" s="114"/>
      <c r="AZ825" s="114"/>
      <c r="BA825" s="114"/>
      <c r="BB825" s="114"/>
      <c r="BC825" s="114"/>
      <c r="BD825" s="114"/>
      <c r="BE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5"/>
      <c r="Y826" s="114"/>
      <c r="Z826" s="117" t="s">
        <v>6479</v>
      </c>
      <c r="AA826" s="117" t="s">
        <v>4594</v>
      </c>
      <c r="AB826" s="114"/>
      <c r="AC826" s="114"/>
      <c r="AD826" s="114"/>
      <c r="AE826" s="114"/>
      <c r="AF826" s="114"/>
      <c r="AG826" s="114"/>
      <c r="AH826" s="114"/>
      <c r="AI826" s="116"/>
      <c r="AJ826" s="114"/>
      <c r="AK826" s="114"/>
      <c r="AL826" s="114"/>
      <c r="AM826" s="114"/>
      <c r="AN826" s="114"/>
      <c r="AO826" s="114"/>
      <c r="AP826" s="114"/>
      <c r="AQ826" s="114"/>
      <c r="AR826" s="114"/>
      <c r="AS826" s="114"/>
      <c r="AT826" s="114"/>
      <c r="AU826" s="114"/>
      <c r="AV826" s="114"/>
      <c r="AW826" s="114"/>
      <c r="AX826" s="114"/>
      <c r="AY826" s="114"/>
      <c r="AZ826" s="114"/>
      <c r="BA826" s="114"/>
      <c r="BB826" s="114"/>
      <c r="BC826" s="114"/>
      <c r="BD826" s="114"/>
      <c r="BE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5"/>
      <c r="Y827" s="114"/>
      <c r="Z827" s="117" t="s">
        <v>6480</v>
      </c>
      <c r="AA827" s="117" t="s">
        <v>4604</v>
      </c>
      <c r="AB827" s="114"/>
      <c r="AC827" s="114"/>
      <c r="AD827" s="114"/>
      <c r="AE827" s="114"/>
      <c r="AF827" s="114"/>
      <c r="AG827" s="114"/>
      <c r="AH827" s="114"/>
      <c r="AI827" s="116"/>
      <c r="AJ827" s="114"/>
      <c r="AK827" s="114"/>
      <c r="AL827" s="114"/>
      <c r="AM827" s="114"/>
      <c r="AN827" s="114"/>
      <c r="AO827" s="114"/>
      <c r="AP827" s="114"/>
      <c r="AQ827" s="114"/>
      <c r="AR827" s="114"/>
      <c r="AS827" s="114"/>
      <c r="AT827" s="114"/>
      <c r="AU827" s="114"/>
      <c r="AV827" s="114"/>
      <c r="AW827" s="114"/>
      <c r="AX827" s="114"/>
      <c r="AY827" s="114"/>
      <c r="AZ827" s="114"/>
      <c r="BA827" s="114"/>
      <c r="BB827" s="114"/>
      <c r="BC827" s="114"/>
      <c r="BD827" s="114"/>
      <c r="BE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5"/>
      <c r="Y828" s="114"/>
      <c r="Z828" s="117" t="s">
        <v>6481</v>
      </c>
      <c r="AA828" s="117" t="s">
        <v>4606</v>
      </c>
      <c r="AB828" s="114"/>
      <c r="AC828" s="114"/>
      <c r="AD828" s="114"/>
      <c r="AE828" s="114"/>
      <c r="AF828" s="114"/>
      <c r="AG828" s="114"/>
      <c r="AH828" s="114"/>
      <c r="AI828" s="116"/>
      <c r="AJ828" s="114"/>
      <c r="AK828" s="114"/>
      <c r="AL828" s="114"/>
      <c r="AM828" s="114"/>
      <c r="AN828" s="114"/>
      <c r="AO828" s="114"/>
      <c r="AP828" s="114"/>
      <c r="AQ828" s="114"/>
      <c r="AR828" s="114"/>
      <c r="AS828" s="114"/>
      <c r="AT828" s="114"/>
      <c r="AU828" s="114"/>
      <c r="AV828" s="114"/>
      <c r="AW828" s="114"/>
      <c r="AX828" s="114"/>
      <c r="AY828" s="114"/>
      <c r="AZ828" s="114"/>
      <c r="BA828" s="114"/>
      <c r="BB828" s="114"/>
      <c r="BC828" s="114"/>
      <c r="BD828" s="114"/>
      <c r="BE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5"/>
      <c r="Y829" s="114"/>
      <c r="Z829" s="117" t="s">
        <v>6482</v>
      </c>
      <c r="AA829" s="117" t="s">
        <v>4607</v>
      </c>
      <c r="AB829" s="114"/>
      <c r="AC829" s="114"/>
      <c r="AD829" s="114"/>
      <c r="AE829" s="114"/>
      <c r="AF829" s="114"/>
      <c r="AG829" s="114"/>
      <c r="AH829" s="114"/>
      <c r="AI829" s="116"/>
      <c r="AJ829" s="114"/>
      <c r="AK829" s="114"/>
      <c r="AL829" s="114"/>
      <c r="AM829" s="114"/>
      <c r="AN829" s="114"/>
      <c r="AO829" s="114"/>
      <c r="AP829" s="114"/>
      <c r="AQ829" s="114"/>
      <c r="AR829" s="114"/>
      <c r="AS829" s="114"/>
      <c r="AT829" s="114"/>
      <c r="AU829" s="114"/>
      <c r="AV829" s="114"/>
      <c r="AW829" s="114"/>
      <c r="AX829" s="114"/>
      <c r="AY829" s="114"/>
      <c r="AZ829" s="114"/>
      <c r="BA829" s="114"/>
      <c r="BB829" s="114"/>
      <c r="BC829" s="114"/>
      <c r="BD829" s="114"/>
      <c r="BE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5"/>
      <c r="Y830" s="114"/>
      <c r="Z830" s="117" t="s">
        <v>6483</v>
      </c>
      <c r="AA830" s="117" t="s">
        <v>4605</v>
      </c>
      <c r="AB830" s="114"/>
      <c r="AC830" s="114"/>
      <c r="AD830" s="114"/>
      <c r="AE830" s="114"/>
      <c r="AF830" s="114"/>
      <c r="AG830" s="114"/>
      <c r="AH830" s="114"/>
      <c r="AI830" s="116"/>
      <c r="AJ830" s="114"/>
      <c r="AK830" s="114"/>
      <c r="AL830" s="114"/>
      <c r="AM830" s="114"/>
      <c r="AN830" s="114"/>
      <c r="AO830" s="114"/>
      <c r="AP830" s="114"/>
      <c r="AQ830" s="114"/>
      <c r="AR830" s="114"/>
      <c r="AS830" s="114"/>
      <c r="AT830" s="114"/>
      <c r="AU830" s="114"/>
      <c r="AV830" s="114"/>
      <c r="AW830" s="114"/>
      <c r="AX830" s="114"/>
      <c r="AY830" s="114"/>
      <c r="AZ830" s="114"/>
      <c r="BA830" s="114"/>
      <c r="BB830" s="114"/>
      <c r="BC830" s="114"/>
      <c r="BD830" s="114"/>
      <c r="BE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5"/>
      <c r="Y831" s="114"/>
      <c r="Z831" s="117" t="s">
        <v>6484</v>
      </c>
      <c r="AA831" s="117" t="s">
        <v>4615</v>
      </c>
      <c r="AB831" s="114"/>
      <c r="AC831" s="114"/>
      <c r="AD831" s="114"/>
      <c r="AE831" s="114"/>
      <c r="AF831" s="114"/>
      <c r="AG831" s="114"/>
      <c r="AH831" s="114"/>
      <c r="AI831" s="116"/>
      <c r="AJ831" s="114"/>
      <c r="AK831" s="114"/>
      <c r="AL831" s="114"/>
      <c r="AM831" s="114"/>
      <c r="AN831" s="114"/>
      <c r="AO831" s="114"/>
      <c r="AP831" s="114"/>
      <c r="AQ831" s="114"/>
      <c r="AR831" s="114"/>
      <c r="AS831" s="114"/>
      <c r="AT831" s="114"/>
      <c r="AU831" s="114"/>
      <c r="AV831" s="114"/>
      <c r="AW831" s="114"/>
      <c r="AX831" s="114"/>
      <c r="AY831" s="114"/>
      <c r="AZ831" s="114"/>
      <c r="BA831" s="114"/>
      <c r="BB831" s="114"/>
      <c r="BC831" s="114"/>
      <c r="BD831" s="114"/>
      <c r="BE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5"/>
      <c r="Y832" s="114"/>
      <c r="Z832" s="117" t="s">
        <v>6485</v>
      </c>
      <c r="AA832" s="117" t="s">
        <v>4617</v>
      </c>
      <c r="AB832" s="114"/>
      <c r="AC832" s="114"/>
      <c r="AD832" s="114"/>
      <c r="AE832" s="114"/>
      <c r="AF832" s="114"/>
      <c r="AG832" s="114"/>
      <c r="AH832" s="114"/>
      <c r="AI832" s="116"/>
      <c r="AJ832" s="114"/>
      <c r="AK832" s="114"/>
      <c r="AL832" s="114"/>
      <c r="AM832" s="114"/>
      <c r="AN832" s="114"/>
      <c r="AO832" s="114"/>
      <c r="AP832" s="114"/>
      <c r="AQ832" s="114"/>
      <c r="AR832" s="114"/>
      <c r="AS832" s="114"/>
      <c r="AT832" s="114"/>
      <c r="AU832" s="114"/>
      <c r="AV832" s="114"/>
      <c r="AW832" s="114"/>
      <c r="AX832" s="114"/>
      <c r="AY832" s="114"/>
      <c r="AZ832" s="114"/>
      <c r="BA832" s="114"/>
      <c r="BB832" s="114"/>
      <c r="BC832" s="114"/>
      <c r="BD832" s="114"/>
      <c r="BE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5"/>
      <c r="Y833" s="114"/>
      <c r="Z833" s="117" t="s">
        <v>6486</v>
      </c>
      <c r="AA833" s="117" t="s">
        <v>4618</v>
      </c>
      <c r="AB833" s="114"/>
      <c r="AC833" s="114"/>
      <c r="AD833" s="114"/>
      <c r="AE833" s="114"/>
      <c r="AF833" s="114"/>
      <c r="AG833" s="114"/>
      <c r="AH833" s="114"/>
      <c r="AI833" s="116"/>
      <c r="AJ833" s="114"/>
      <c r="AK833" s="114"/>
      <c r="AL833" s="114"/>
      <c r="AM833" s="114"/>
      <c r="AN833" s="114"/>
      <c r="AO833" s="114"/>
      <c r="AP833" s="114"/>
      <c r="AQ833" s="114"/>
      <c r="AR833" s="114"/>
      <c r="AS833" s="114"/>
      <c r="AT833" s="114"/>
      <c r="AU833" s="114"/>
      <c r="AV833" s="114"/>
      <c r="AW833" s="114"/>
      <c r="AX833" s="114"/>
      <c r="AY833" s="114"/>
      <c r="AZ833" s="114"/>
      <c r="BA833" s="114"/>
      <c r="BB833" s="114"/>
      <c r="BC833" s="114"/>
      <c r="BD833" s="114"/>
      <c r="BE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5"/>
      <c r="Y834" s="114"/>
      <c r="Z834" s="117" t="s">
        <v>6487</v>
      </c>
      <c r="AA834" s="117" t="s">
        <v>4616</v>
      </c>
      <c r="AB834" s="114"/>
      <c r="AC834" s="114"/>
      <c r="AD834" s="114"/>
      <c r="AE834" s="114"/>
      <c r="AF834" s="114"/>
      <c r="AG834" s="114"/>
      <c r="AH834" s="114"/>
      <c r="AI834" s="116"/>
      <c r="AJ834" s="114"/>
      <c r="AK834" s="114"/>
      <c r="AL834" s="114"/>
      <c r="AM834" s="114"/>
      <c r="AN834" s="114"/>
      <c r="AO834" s="114"/>
      <c r="AP834" s="114"/>
      <c r="AQ834" s="114"/>
      <c r="AR834" s="114"/>
      <c r="AS834" s="114"/>
      <c r="AT834" s="114"/>
      <c r="AU834" s="114"/>
      <c r="AV834" s="114"/>
      <c r="AW834" s="114"/>
      <c r="AX834" s="114"/>
      <c r="AY834" s="114"/>
      <c r="AZ834" s="114"/>
      <c r="BA834" s="114"/>
      <c r="BB834" s="114"/>
      <c r="BC834" s="114"/>
      <c r="BD834" s="114"/>
      <c r="BE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5"/>
      <c r="Y835" s="114"/>
      <c r="Z835" s="117" t="s">
        <v>6488</v>
      </c>
      <c r="AA835" s="117" t="s">
        <v>4626</v>
      </c>
      <c r="AB835" s="114"/>
      <c r="AC835" s="114"/>
      <c r="AD835" s="114"/>
      <c r="AE835" s="114"/>
      <c r="AF835" s="114"/>
      <c r="AG835" s="114"/>
      <c r="AH835" s="114"/>
      <c r="AI835" s="116"/>
      <c r="AJ835" s="114"/>
      <c r="AK835" s="114"/>
      <c r="AL835" s="114"/>
      <c r="AM835" s="114"/>
      <c r="AN835" s="114"/>
      <c r="AO835" s="114"/>
      <c r="AP835" s="114"/>
      <c r="AQ835" s="114"/>
      <c r="AR835" s="114"/>
      <c r="AS835" s="114"/>
      <c r="AT835" s="114"/>
      <c r="AU835" s="114"/>
      <c r="AV835" s="114"/>
      <c r="AW835" s="114"/>
      <c r="AX835" s="114"/>
      <c r="AY835" s="114"/>
      <c r="AZ835" s="114"/>
      <c r="BA835" s="114"/>
      <c r="BB835" s="114"/>
      <c r="BC835" s="114"/>
      <c r="BD835" s="114"/>
      <c r="BE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5"/>
      <c r="Y836" s="114"/>
      <c r="Z836" s="117" t="s">
        <v>6489</v>
      </c>
      <c r="AA836" s="117" t="s">
        <v>4628</v>
      </c>
      <c r="AB836" s="114"/>
      <c r="AC836" s="114"/>
      <c r="AD836" s="114"/>
      <c r="AE836" s="114"/>
      <c r="AF836" s="114"/>
      <c r="AG836" s="114"/>
      <c r="AH836" s="114"/>
      <c r="AI836" s="116"/>
      <c r="AJ836" s="114"/>
      <c r="AK836" s="114"/>
      <c r="AL836" s="114"/>
      <c r="AM836" s="114"/>
      <c r="AN836" s="114"/>
      <c r="AO836" s="114"/>
      <c r="AP836" s="114"/>
      <c r="AQ836" s="114"/>
      <c r="AR836" s="114"/>
      <c r="AS836" s="114"/>
      <c r="AT836" s="114"/>
      <c r="AU836" s="114"/>
      <c r="AV836" s="114"/>
      <c r="AW836" s="114"/>
      <c r="AX836" s="114"/>
      <c r="AY836" s="114"/>
      <c r="AZ836" s="114"/>
      <c r="BA836" s="114"/>
      <c r="BB836" s="114"/>
      <c r="BC836" s="114"/>
      <c r="BD836" s="114"/>
      <c r="BE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5"/>
      <c r="Y837" s="114"/>
      <c r="Z837" s="117" t="s">
        <v>6490</v>
      </c>
      <c r="AA837" s="117" t="s">
        <v>4629</v>
      </c>
      <c r="AB837" s="114"/>
      <c r="AC837" s="114"/>
      <c r="AD837" s="114"/>
      <c r="AE837" s="114"/>
      <c r="AF837" s="114"/>
      <c r="AG837" s="114"/>
      <c r="AH837" s="114"/>
      <c r="AI837" s="116"/>
      <c r="AJ837" s="114"/>
      <c r="AK837" s="114"/>
      <c r="AL837" s="114"/>
      <c r="AM837" s="114"/>
      <c r="AN837" s="114"/>
      <c r="AO837" s="114"/>
      <c r="AP837" s="114"/>
      <c r="AQ837" s="114"/>
      <c r="AR837" s="114"/>
      <c r="AS837" s="114"/>
      <c r="AT837" s="114"/>
      <c r="AU837" s="114"/>
      <c r="AV837" s="114"/>
      <c r="AW837" s="114"/>
      <c r="AX837" s="114"/>
      <c r="AY837" s="114"/>
      <c r="AZ837" s="114"/>
      <c r="BA837" s="114"/>
      <c r="BB837" s="114"/>
      <c r="BC837" s="114"/>
      <c r="BD837" s="114"/>
      <c r="BE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5"/>
      <c r="Y838" s="114"/>
      <c r="Z838" s="117" t="s">
        <v>6491</v>
      </c>
      <c r="AA838" s="117" t="s">
        <v>4627</v>
      </c>
      <c r="AB838" s="114"/>
      <c r="AC838" s="114"/>
      <c r="AD838" s="114"/>
      <c r="AE838" s="114"/>
      <c r="AF838" s="114"/>
      <c r="AG838" s="114"/>
      <c r="AH838" s="114"/>
      <c r="AI838" s="116"/>
      <c r="AJ838" s="114"/>
      <c r="AK838" s="114"/>
      <c r="AL838" s="114"/>
      <c r="AM838" s="114"/>
      <c r="AN838" s="114"/>
      <c r="AO838" s="114"/>
      <c r="AP838" s="114"/>
      <c r="AQ838" s="114"/>
      <c r="AR838" s="114"/>
      <c r="AS838" s="114"/>
      <c r="AT838" s="114"/>
      <c r="AU838" s="114"/>
      <c r="AV838" s="114"/>
      <c r="AW838" s="114"/>
      <c r="AX838" s="114"/>
      <c r="AY838" s="114"/>
      <c r="AZ838" s="114"/>
      <c r="BA838" s="114"/>
      <c r="BB838" s="114"/>
      <c r="BC838" s="114"/>
      <c r="BD838" s="114"/>
      <c r="BE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5"/>
      <c r="Y839" s="114"/>
      <c r="Z839" s="117" t="s">
        <v>6492</v>
      </c>
      <c r="AA839" s="117" t="s">
        <v>4637</v>
      </c>
      <c r="AB839" s="114"/>
      <c r="AC839" s="114"/>
      <c r="AD839" s="114"/>
      <c r="AE839" s="114"/>
      <c r="AF839" s="114"/>
      <c r="AG839" s="114"/>
      <c r="AH839" s="114"/>
      <c r="AI839" s="116"/>
      <c r="AJ839" s="114"/>
      <c r="AK839" s="114"/>
      <c r="AL839" s="114"/>
      <c r="AM839" s="114"/>
      <c r="AN839" s="114"/>
      <c r="AO839" s="114"/>
      <c r="AP839" s="114"/>
      <c r="AQ839" s="114"/>
      <c r="AR839" s="114"/>
      <c r="AS839" s="114"/>
      <c r="AT839" s="114"/>
      <c r="AU839" s="114"/>
      <c r="AV839" s="114"/>
      <c r="AW839" s="114"/>
      <c r="AX839" s="114"/>
      <c r="AY839" s="114"/>
      <c r="AZ839" s="114"/>
      <c r="BA839" s="114"/>
      <c r="BB839" s="114"/>
      <c r="BC839" s="114"/>
      <c r="BD839" s="114"/>
      <c r="BE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5"/>
      <c r="Y840" s="114"/>
      <c r="Z840" s="117" t="s">
        <v>6493</v>
      </c>
      <c r="AA840" s="117" t="s">
        <v>4639</v>
      </c>
      <c r="AB840" s="114"/>
      <c r="AC840" s="114"/>
      <c r="AD840" s="114"/>
      <c r="AE840" s="114"/>
      <c r="AF840" s="114"/>
      <c r="AG840" s="114"/>
      <c r="AH840" s="114"/>
      <c r="AI840" s="116"/>
      <c r="AJ840" s="114"/>
      <c r="AK840" s="114"/>
      <c r="AL840" s="114"/>
      <c r="AM840" s="114"/>
      <c r="AN840" s="114"/>
      <c r="AO840" s="114"/>
      <c r="AP840" s="114"/>
      <c r="AQ840" s="114"/>
      <c r="AR840" s="114"/>
      <c r="AS840" s="114"/>
      <c r="AT840" s="114"/>
      <c r="AU840" s="114"/>
      <c r="AV840" s="114"/>
      <c r="AW840" s="114"/>
      <c r="AX840" s="114"/>
      <c r="AY840" s="114"/>
      <c r="AZ840" s="114"/>
      <c r="BA840" s="114"/>
      <c r="BB840" s="114"/>
      <c r="BC840" s="114"/>
      <c r="BD840" s="114"/>
      <c r="BE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5"/>
      <c r="Y841" s="114"/>
      <c r="Z841" s="117" t="s">
        <v>6494</v>
      </c>
      <c r="AA841" s="117" t="s">
        <v>4640</v>
      </c>
      <c r="AB841" s="114"/>
      <c r="AC841" s="114"/>
      <c r="AD841" s="114"/>
      <c r="AE841" s="114"/>
      <c r="AF841" s="114"/>
      <c r="AG841" s="114"/>
      <c r="AH841" s="114"/>
      <c r="AI841" s="116"/>
      <c r="AJ841" s="114"/>
      <c r="AK841" s="114"/>
      <c r="AL841" s="114"/>
      <c r="AM841" s="114"/>
      <c r="AN841" s="114"/>
      <c r="AO841" s="114"/>
      <c r="AP841" s="114"/>
      <c r="AQ841" s="114"/>
      <c r="AR841" s="114"/>
      <c r="AS841" s="114"/>
      <c r="AT841" s="114"/>
      <c r="AU841" s="114"/>
      <c r="AV841" s="114"/>
      <c r="AW841" s="114"/>
      <c r="AX841" s="114"/>
      <c r="AY841" s="114"/>
      <c r="AZ841" s="114"/>
      <c r="BA841" s="114"/>
      <c r="BB841" s="114"/>
      <c r="BC841" s="114"/>
      <c r="BD841" s="114"/>
      <c r="BE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5"/>
      <c r="Y842" s="114"/>
      <c r="Z842" s="117" t="s">
        <v>6495</v>
      </c>
      <c r="AA842" s="117" t="s">
        <v>4638</v>
      </c>
      <c r="AB842" s="114"/>
      <c r="AC842" s="114"/>
      <c r="AD842" s="114"/>
      <c r="AE842" s="114"/>
      <c r="AF842" s="114"/>
      <c r="AG842" s="114"/>
      <c r="AH842" s="114"/>
      <c r="AI842" s="116"/>
      <c r="AJ842" s="114"/>
      <c r="AK842" s="114"/>
      <c r="AL842" s="114"/>
      <c r="AM842" s="114"/>
      <c r="AN842" s="114"/>
      <c r="AO842" s="114"/>
      <c r="AP842" s="114"/>
      <c r="AQ842" s="114"/>
      <c r="AR842" s="114"/>
      <c r="AS842" s="114"/>
      <c r="AT842" s="114"/>
      <c r="AU842" s="114"/>
      <c r="AV842" s="114"/>
      <c r="AW842" s="114"/>
      <c r="AX842" s="114"/>
      <c r="AY842" s="114"/>
      <c r="AZ842" s="114"/>
      <c r="BA842" s="114"/>
      <c r="BB842" s="114"/>
      <c r="BC842" s="114"/>
      <c r="BD842" s="114"/>
      <c r="BE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5"/>
      <c r="Y843" s="114"/>
      <c r="Z843" s="117" t="s">
        <v>6496</v>
      </c>
      <c r="AA843" s="117" t="s">
        <v>4648</v>
      </c>
      <c r="AB843" s="114"/>
      <c r="AC843" s="114"/>
      <c r="AD843" s="114"/>
      <c r="AE843" s="114"/>
      <c r="AF843" s="114"/>
      <c r="AG843" s="114"/>
      <c r="AH843" s="114"/>
      <c r="AI843" s="116"/>
      <c r="AJ843" s="114"/>
      <c r="AK843" s="114"/>
      <c r="AL843" s="114"/>
      <c r="AM843" s="114"/>
      <c r="AN843" s="114"/>
      <c r="AO843" s="114"/>
      <c r="AP843" s="114"/>
      <c r="AQ843" s="114"/>
      <c r="AR843" s="114"/>
      <c r="AS843" s="114"/>
      <c r="AT843" s="114"/>
      <c r="AU843" s="114"/>
      <c r="AV843" s="114"/>
      <c r="AW843" s="114"/>
      <c r="AX843" s="114"/>
      <c r="AY843" s="114"/>
      <c r="AZ843" s="114"/>
      <c r="BA843" s="114"/>
      <c r="BB843" s="114"/>
      <c r="BC843" s="114"/>
      <c r="BD843" s="114"/>
      <c r="BE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5"/>
      <c r="Y844" s="114"/>
      <c r="Z844" s="117" t="s">
        <v>6497</v>
      </c>
      <c r="AA844" s="117" t="s">
        <v>4650</v>
      </c>
      <c r="AB844" s="114"/>
      <c r="AC844" s="114"/>
      <c r="AD844" s="114"/>
      <c r="AE844" s="114"/>
      <c r="AF844" s="114"/>
      <c r="AG844" s="114"/>
      <c r="AH844" s="114"/>
      <c r="AI844" s="116"/>
      <c r="AJ844" s="114"/>
      <c r="AK844" s="114"/>
      <c r="AL844" s="114"/>
      <c r="AM844" s="114"/>
      <c r="AN844" s="114"/>
      <c r="AO844" s="114"/>
      <c r="AP844" s="114"/>
      <c r="AQ844" s="114"/>
      <c r="AR844" s="114"/>
      <c r="AS844" s="114"/>
      <c r="AT844" s="114"/>
      <c r="AU844" s="114"/>
      <c r="AV844" s="114"/>
      <c r="AW844" s="114"/>
      <c r="AX844" s="114"/>
      <c r="AY844" s="114"/>
      <c r="AZ844" s="114"/>
      <c r="BA844" s="114"/>
      <c r="BB844" s="114"/>
      <c r="BC844" s="114"/>
      <c r="BD844" s="114"/>
      <c r="BE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5"/>
      <c r="Y845" s="114"/>
      <c r="Z845" s="117" t="s">
        <v>6498</v>
      </c>
      <c r="AA845" s="117" t="s">
        <v>4651</v>
      </c>
      <c r="AB845" s="114"/>
      <c r="AC845" s="114"/>
      <c r="AD845" s="114"/>
      <c r="AE845" s="114"/>
      <c r="AF845" s="114"/>
      <c r="AG845" s="114"/>
      <c r="AH845" s="114"/>
      <c r="AI845" s="116"/>
      <c r="AJ845" s="114"/>
      <c r="AK845" s="114"/>
      <c r="AL845" s="114"/>
      <c r="AM845" s="114"/>
      <c r="AN845" s="114"/>
      <c r="AO845" s="114"/>
      <c r="AP845" s="114"/>
      <c r="AQ845" s="114"/>
      <c r="AR845" s="114"/>
      <c r="AS845" s="114"/>
      <c r="AT845" s="114"/>
      <c r="AU845" s="114"/>
      <c r="AV845" s="114"/>
      <c r="AW845" s="114"/>
      <c r="AX845" s="114"/>
      <c r="AY845" s="114"/>
      <c r="AZ845" s="114"/>
      <c r="BA845" s="114"/>
      <c r="BB845" s="114"/>
      <c r="BC845" s="114"/>
      <c r="BD845" s="114"/>
      <c r="BE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5"/>
      <c r="Y846" s="114"/>
      <c r="Z846" s="117" t="s">
        <v>6499</v>
      </c>
      <c r="AA846" s="117" t="s">
        <v>4649</v>
      </c>
      <c r="AB846" s="114"/>
      <c r="AC846" s="114"/>
      <c r="AD846" s="114"/>
      <c r="AE846" s="114"/>
      <c r="AF846" s="114"/>
      <c r="AG846" s="114"/>
      <c r="AH846" s="114"/>
      <c r="AI846" s="116"/>
      <c r="AJ846" s="114"/>
      <c r="AK846" s="114"/>
      <c r="AL846" s="114"/>
      <c r="AM846" s="114"/>
      <c r="AN846" s="114"/>
      <c r="AO846" s="114"/>
      <c r="AP846" s="114"/>
      <c r="AQ846" s="114"/>
      <c r="AR846" s="114"/>
      <c r="AS846" s="114"/>
      <c r="AT846" s="114"/>
      <c r="AU846" s="114"/>
      <c r="AV846" s="114"/>
      <c r="AW846" s="114"/>
      <c r="AX846" s="114"/>
      <c r="AY846" s="114"/>
      <c r="AZ846" s="114"/>
      <c r="BA846" s="114"/>
      <c r="BB846" s="114"/>
      <c r="BC846" s="114"/>
      <c r="BD846" s="114"/>
      <c r="BE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5"/>
      <c r="Y847" s="114"/>
      <c r="Z847" s="117" t="s">
        <v>6500</v>
      </c>
      <c r="AA847" s="117" t="s">
        <v>4659</v>
      </c>
      <c r="AB847" s="114"/>
      <c r="AC847" s="114"/>
      <c r="AD847" s="114"/>
      <c r="AE847" s="114"/>
      <c r="AF847" s="114"/>
      <c r="AG847" s="114"/>
      <c r="AH847" s="114"/>
      <c r="AI847" s="116"/>
      <c r="AJ847" s="114"/>
      <c r="AK847" s="114"/>
      <c r="AL847" s="114"/>
      <c r="AM847" s="114"/>
      <c r="AN847" s="114"/>
      <c r="AO847" s="114"/>
      <c r="AP847" s="114"/>
      <c r="AQ847" s="114"/>
      <c r="AR847" s="114"/>
      <c r="AS847" s="114"/>
      <c r="AT847" s="114"/>
      <c r="AU847" s="114"/>
      <c r="AV847" s="114"/>
      <c r="AW847" s="114"/>
      <c r="AX847" s="114"/>
      <c r="AY847" s="114"/>
      <c r="AZ847" s="114"/>
      <c r="BA847" s="114"/>
      <c r="BB847" s="114"/>
      <c r="BC847" s="114"/>
      <c r="BD847" s="114"/>
      <c r="BE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5"/>
      <c r="Y848" s="114"/>
      <c r="Z848" s="117" t="s">
        <v>6501</v>
      </c>
      <c r="AA848" s="117" t="s">
        <v>4661</v>
      </c>
      <c r="AB848" s="114"/>
      <c r="AC848" s="114"/>
      <c r="AD848" s="114"/>
      <c r="AE848" s="114"/>
      <c r="AF848" s="114"/>
      <c r="AG848" s="114"/>
      <c r="AH848" s="114"/>
      <c r="AI848" s="116"/>
      <c r="AJ848" s="114"/>
      <c r="AK848" s="114"/>
      <c r="AL848" s="114"/>
      <c r="AM848" s="114"/>
      <c r="AN848" s="114"/>
      <c r="AO848" s="114"/>
      <c r="AP848" s="114"/>
      <c r="AQ848" s="114"/>
      <c r="AR848" s="114"/>
      <c r="AS848" s="114"/>
      <c r="AT848" s="114"/>
      <c r="AU848" s="114"/>
      <c r="AV848" s="114"/>
      <c r="AW848" s="114"/>
      <c r="AX848" s="114"/>
      <c r="AY848" s="114"/>
      <c r="AZ848" s="114"/>
      <c r="BA848" s="114"/>
      <c r="BB848" s="114"/>
      <c r="BC848" s="114"/>
      <c r="BD848" s="114"/>
      <c r="BE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5"/>
      <c r="Y849" s="114"/>
      <c r="Z849" s="117" t="s">
        <v>6502</v>
      </c>
      <c r="AA849" s="117" t="s">
        <v>4662</v>
      </c>
      <c r="AB849" s="114"/>
      <c r="AC849" s="114"/>
      <c r="AD849" s="114"/>
      <c r="AE849" s="114"/>
      <c r="AF849" s="114"/>
      <c r="AG849" s="114"/>
      <c r="AH849" s="114"/>
      <c r="AI849" s="116"/>
      <c r="AJ849" s="114"/>
      <c r="AK849" s="114"/>
      <c r="AL849" s="114"/>
      <c r="AM849" s="114"/>
      <c r="AN849" s="114"/>
      <c r="AO849" s="114"/>
      <c r="AP849" s="114"/>
      <c r="AQ849" s="114"/>
      <c r="AR849" s="114"/>
      <c r="AS849" s="114"/>
      <c r="AT849" s="114"/>
      <c r="AU849" s="114"/>
      <c r="AV849" s="114"/>
      <c r="AW849" s="114"/>
      <c r="AX849" s="114"/>
      <c r="AY849" s="114"/>
      <c r="AZ849" s="114"/>
      <c r="BA849" s="114"/>
      <c r="BB849" s="114"/>
      <c r="BC849" s="114"/>
      <c r="BD849" s="114"/>
      <c r="BE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5"/>
      <c r="Y850" s="114"/>
      <c r="Z850" s="117" t="s">
        <v>6503</v>
      </c>
      <c r="AA850" s="117" t="s">
        <v>4660</v>
      </c>
      <c r="AB850" s="114"/>
      <c r="AC850" s="114"/>
      <c r="AD850" s="114"/>
      <c r="AE850" s="114"/>
      <c r="AF850" s="114"/>
      <c r="AG850" s="114"/>
      <c r="AH850" s="114"/>
      <c r="AI850" s="116"/>
      <c r="AJ850" s="114"/>
      <c r="AK850" s="114"/>
      <c r="AL850" s="114"/>
      <c r="AM850" s="114"/>
      <c r="AN850" s="114"/>
      <c r="AO850" s="114"/>
      <c r="AP850" s="114"/>
      <c r="AQ850" s="114"/>
      <c r="AR850" s="114"/>
      <c r="AS850" s="114"/>
      <c r="AT850" s="114"/>
      <c r="AU850" s="114"/>
      <c r="AV850" s="114"/>
      <c r="AW850" s="114"/>
      <c r="AX850" s="114"/>
      <c r="AY850" s="114"/>
      <c r="AZ850" s="114"/>
      <c r="BA850" s="114"/>
      <c r="BB850" s="114"/>
      <c r="BC850" s="114"/>
      <c r="BD850" s="114"/>
      <c r="BE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5"/>
      <c r="Y851" s="114"/>
      <c r="Z851" s="117" t="s">
        <v>6504</v>
      </c>
      <c r="AA851" s="117" t="s">
        <v>4671</v>
      </c>
      <c r="AB851" s="114"/>
      <c r="AC851" s="114"/>
      <c r="AD851" s="114"/>
      <c r="AE851" s="114"/>
      <c r="AF851" s="114"/>
      <c r="AG851" s="114"/>
      <c r="AH851" s="114"/>
      <c r="AI851" s="116"/>
      <c r="AJ851" s="114"/>
      <c r="AK851" s="114"/>
      <c r="AL851" s="114"/>
      <c r="AM851" s="114"/>
      <c r="AN851" s="114"/>
      <c r="AO851" s="114"/>
      <c r="AP851" s="114"/>
      <c r="AQ851" s="114"/>
      <c r="AR851" s="114"/>
      <c r="AS851" s="114"/>
      <c r="AT851" s="114"/>
      <c r="AU851" s="114"/>
      <c r="AV851" s="114"/>
      <c r="AW851" s="114"/>
      <c r="AX851" s="114"/>
      <c r="AY851" s="114"/>
      <c r="AZ851" s="114"/>
      <c r="BA851" s="114"/>
      <c r="BB851" s="114"/>
      <c r="BC851" s="114"/>
      <c r="BD851" s="114"/>
      <c r="BE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5"/>
      <c r="Y852" s="114"/>
      <c r="Z852" s="117" t="s">
        <v>6505</v>
      </c>
      <c r="AA852" s="117" t="s">
        <v>4673</v>
      </c>
      <c r="AB852" s="114"/>
      <c r="AC852" s="114"/>
      <c r="AD852" s="114"/>
      <c r="AE852" s="114"/>
      <c r="AF852" s="114"/>
      <c r="AG852" s="114"/>
      <c r="AH852" s="114"/>
      <c r="AI852" s="116"/>
      <c r="AJ852" s="114"/>
      <c r="AK852" s="114"/>
      <c r="AL852" s="114"/>
      <c r="AM852" s="114"/>
      <c r="AN852" s="114"/>
      <c r="AO852" s="114"/>
      <c r="AP852" s="114"/>
      <c r="AQ852" s="114"/>
      <c r="AR852" s="114"/>
      <c r="AS852" s="114"/>
      <c r="AT852" s="114"/>
      <c r="AU852" s="114"/>
      <c r="AV852" s="114"/>
      <c r="AW852" s="114"/>
      <c r="AX852" s="114"/>
      <c r="AY852" s="114"/>
      <c r="AZ852" s="114"/>
      <c r="BA852" s="114"/>
      <c r="BB852" s="114"/>
      <c r="BC852" s="114"/>
      <c r="BD852" s="114"/>
      <c r="BE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5"/>
      <c r="Y853" s="114"/>
      <c r="Z853" s="117" t="s">
        <v>6506</v>
      </c>
      <c r="AA853" s="117" t="s">
        <v>4674</v>
      </c>
      <c r="AB853" s="114"/>
      <c r="AC853" s="114"/>
      <c r="AD853" s="114"/>
      <c r="AE853" s="114"/>
      <c r="AF853" s="114"/>
      <c r="AG853" s="114"/>
      <c r="AH853" s="114"/>
      <c r="AI853" s="116"/>
      <c r="AJ853" s="114"/>
      <c r="AK853" s="114"/>
      <c r="AL853" s="114"/>
      <c r="AM853" s="114"/>
      <c r="AN853" s="114"/>
      <c r="AO853" s="114"/>
      <c r="AP853" s="114"/>
      <c r="AQ853" s="114"/>
      <c r="AR853" s="114"/>
      <c r="AS853" s="114"/>
      <c r="AT853" s="114"/>
      <c r="AU853" s="114"/>
      <c r="AV853" s="114"/>
      <c r="AW853" s="114"/>
      <c r="AX853" s="114"/>
      <c r="AY853" s="114"/>
      <c r="AZ853" s="114"/>
      <c r="BA853" s="114"/>
      <c r="BB853" s="114"/>
      <c r="BC853" s="114"/>
      <c r="BD853" s="114"/>
      <c r="BE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5"/>
      <c r="Y854" s="114"/>
      <c r="Z854" s="117" t="s">
        <v>6507</v>
      </c>
      <c r="AA854" s="117" t="s">
        <v>4672</v>
      </c>
      <c r="AB854" s="114"/>
      <c r="AC854" s="114"/>
      <c r="AD854" s="114"/>
      <c r="AE854" s="114"/>
      <c r="AF854" s="114"/>
      <c r="AG854" s="114"/>
      <c r="AH854" s="114"/>
      <c r="AI854" s="116"/>
      <c r="AJ854" s="114"/>
      <c r="AK854" s="114"/>
      <c r="AL854" s="114"/>
      <c r="AM854" s="114"/>
      <c r="AN854" s="114"/>
      <c r="AO854" s="114"/>
      <c r="AP854" s="114"/>
      <c r="AQ854" s="114"/>
      <c r="AR854" s="114"/>
      <c r="AS854" s="114"/>
      <c r="AT854" s="114"/>
      <c r="AU854" s="114"/>
      <c r="AV854" s="114"/>
      <c r="AW854" s="114"/>
      <c r="AX854" s="114"/>
      <c r="AY854" s="114"/>
      <c r="AZ854" s="114"/>
      <c r="BA854" s="114"/>
      <c r="BB854" s="114"/>
      <c r="BC854" s="114"/>
      <c r="BD854" s="114"/>
      <c r="BE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5"/>
      <c r="Y855" s="114"/>
      <c r="Z855" s="117" t="s">
        <v>6508</v>
      </c>
      <c r="AA855" s="117" t="s">
        <v>4682</v>
      </c>
      <c r="AB855" s="114"/>
      <c r="AC855" s="114"/>
      <c r="AD855" s="114"/>
      <c r="AE855" s="114"/>
      <c r="AF855" s="114"/>
      <c r="AG855" s="114"/>
      <c r="AH855" s="114"/>
      <c r="AI855" s="116"/>
      <c r="AJ855" s="114"/>
      <c r="AK855" s="114"/>
      <c r="AL855" s="114"/>
      <c r="AM855" s="114"/>
      <c r="AN855" s="114"/>
      <c r="AO855" s="114"/>
      <c r="AP855" s="114"/>
      <c r="AQ855" s="114"/>
      <c r="AR855" s="114"/>
      <c r="AS855" s="114"/>
      <c r="AT855" s="114"/>
      <c r="AU855" s="114"/>
      <c r="AV855" s="114"/>
      <c r="AW855" s="114"/>
      <c r="AX855" s="114"/>
      <c r="AY855" s="114"/>
      <c r="AZ855" s="114"/>
      <c r="BA855" s="114"/>
      <c r="BB855" s="114"/>
      <c r="BC855" s="114"/>
      <c r="BD855" s="114"/>
      <c r="BE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5"/>
      <c r="Y856" s="114"/>
      <c r="Z856" s="117" t="s">
        <v>6509</v>
      </c>
      <c r="AA856" s="117" t="s">
        <v>4684</v>
      </c>
      <c r="AB856" s="114"/>
      <c r="AC856" s="114"/>
      <c r="AD856" s="114"/>
      <c r="AE856" s="114"/>
      <c r="AF856" s="114"/>
      <c r="AG856" s="114"/>
      <c r="AH856" s="114"/>
      <c r="AI856" s="116"/>
      <c r="AJ856" s="114"/>
      <c r="AK856" s="114"/>
      <c r="AL856" s="114"/>
      <c r="AM856" s="114"/>
      <c r="AN856" s="114"/>
      <c r="AO856" s="114"/>
      <c r="AP856" s="114"/>
      <c r="AQ856" s="114"/>
      <c r="AR856" s="114"/>
      <c r="AS856" s="114"/>
      <c r="AT856" s="114"/>
      <c r="AU856" s="114"/>
      <c r="AV856" s="114"/>
      <c r="AW856" s="114"/>
      <c r="AX856" s="114"/>
      <c r="AY856" s="114"/>
      <c r="AZ856" s="114"/>
      <c r="BA856" s="114"/>
      <c r="BB856" s="114"/>
      <c r="BC856" s="114"/>
      <c r="BD856" s="114"/>
      <c r="BE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5"/>
      <c r="Y857" s="114"/>
      <c r="Z857" s="117" t="s">
        <v>6510</v>
      </c>
      <c r="AA857" s="117" t="s">
        <v>4685</v>
      </c>
      <c r="AB857" s="114"/>
      <c r="AC857" s="114"/>
      <c r="AD857" s="114"/>
      <c r="AE857" s="114"/>
      <c r="AF857" s="114"/>
      <c r="AG857" s="114"/>
      <c r="AH857" s="114"/>
      <c r="AI857" s="116"/>
      <c r="AJ857" s="114"/>
      <c r="AK857" s="114"/>
      <c r="AL857" s="114"/>
      <c r="AM857" s="114"/>
      <c r="AN857" s="114"/>
      <c r="AO857" s="114"/>
      <c r="AP857" s="114"/>
      <c r="AQ857" s="114"/>
      <c r="AR857" s="114"/>
      <c r="AS857" s="114"/>
      <c r="AT857" s="114"/>
      <c r="AU857" s="114"/>
      <c r="AV857" s="114"/>
      <c r="AW857" s="114"/>
      <c r="AX857" s="114"/>
      <c r="AY857" s="114"/>
      <c r="AZ857" s="114"/>
      <c r="BA857" s="114"/>
      <c r="BB857" s="114"/>
      <c r="BC857" s="114"/>
      <c r="BD857" s="114"/>
      <c r="BE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5"/>
      <c r="Y858" s="114"/>
      <c r="Z858" s="117" t="s">
        <v>6511</v>
      </c>
      <c r="AA858" s="117" t="s">
        <v>4683</v>
      </c>
      <c r="AB858" s="114"/>
      <c r="AC858" s="114"/>
      <c r="AD858" s="114"/>
      <c r="AE858" s="114"/>
      <c r="AF858" s="114"/>
      <c r="AG858" s="114"/>
      <c r="AH858" s="114"/>
      <c r="AI858" s="116"/>
      <c r="AJ858" s="114"/>
      <c r="AK858" s="114"/>
      <c r="AL858" s="114"/>
      <c r="AM858" s="114"/>
      <c r="AN858" s="114"/>
      <c r="AO858" s="114"/>
      <c r="AP858" s="114"/>
      <c r="AQ858" s="114"/>
      <c r="AR858" s="114"/>
      <c r="AS858" s="114"/>
      <c r="AT858" s="114"/>
      <c r="AU858" s="114"/>
      <c r="AV858" s="114"/>
      <c r="AW858" s="114"/>
      <c r="AX858" s="114"/>
      <c r="AY858" s="114"/>
      <c r="AZ858" s="114"/>
      <c r="BA858" s="114"/>
      <c r="BB858" s="114"/>
      <c r="BC858" s="114"/>
      <c r="BD858" s="114"/>
      <c r="BE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5"/>
      <c r="Y859" s="114"/>
      <c r="Z859" s="117" t="s">
        <v>6512</v>
      </c>
      <c r="AA859" s="117" t="s">
        <v>4693</v>
      </c>
      <c r="AB859" s="114"/>
      <c r="AC859" s="114"/>
      <c r="AD859" s="114"/>
      <c r="AE859" s="114"/>
      <c r="AF859" s="114"/>
      <c r="AG859" s="114"/>
      <c r="AH859" s="114"/>
      <c r="AI859" s="116"/>
      <c r="AJ859" s="114"/>
      <c r="AK859" s="114"/>
      <c r="AL859" s="114"/>
      <c r="AM859" s="114"/>
      <c r="AN859" s="114"/>
      <c r="AO859" s="114"/>
      <c r="AP859" s="114"/>
      <c r="AQ859" s="114"/>
      <c r="AR859" s="114"/>
      <c r="AS859" s="114"/>
      <c r="AT859" s="114"/>
      <c r="AU859" s="114"/>
      <c r="AV859" s="114"/>
      <c r="AW859" s="114"/>
      <c r="AX859" s="114"/>
      <c r="AY859" s="114"/>
      <c r="AZ859" s="114"/>
      <c r="BA859" s="114"/>
      <c r="BB859" s="114"/>
      <c r="BC859" s="114"/>
      <c r="BD859" s="114"/>
      <c r="BE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5"/>
      <c r="Y860" s="114"/>
      <c r="Z860" s="117" t="s">
        <v>6513</v>
      </c>
      <c r="AA860" s="117" t="s">
        <v>4695</v>
      </c>
      <c r="AB860" s="114"/>
      <c r="AC860" s="114"/>
      <c r="AD860" s="114"/>
      <c r="AE860" s="114"/>
      <c r="AF860" s="114"/>
      <c r="AG860" s="114"/>
      <c r="AH860" s="114"/>
      <c r="AI860" s="116"/>
      <c r="AJ860" s="114"/>
      <c r="AK860" s="114"/>
      <c r="AL860" s="114"/>
      <c r="AM860" s="114"/>
      <c r="AN860" s="114"/>
      <c r="AO860" s="114"/>
      <c r="AP860" s="114"/>
      <c r="AQ860" s="114"/>
      <c r="AR860" s="114"/>
      <c r="AS860" s="114"/>
      <c r="AT860" s="114"/>
      <c r="AU860" s="114"/>
      <c r="AV860" s="114"/>
      <c r="AW860" s="114"/>
      <c r="AX860" s="114"/>
      <c r="AY860" s="114"/>
      <c r="AZ860" s="114"/>
      <c r="BA860" s="114"/>
      <c r="BB860" s="114"/>
      <c r="BC860" s="114"/>
      <c r="BD860" s="114"/>
      <c r="BE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5"/>
      <c r="Y861" s="114"/>
      <c r="Z861" s="117" t="s">
        <v>6514</v>
      </c>
      <c r="AA861" s="117" t="s">
        <v>4696</v>
      </c>
      <c r="AB861" s="114"/>
      <c r="AC861" s="114"/>
      <c r="AD861" s="114"/>
      <c r="AE861" s="114"/>
      <c r="AF861" s="114"/>
      <c r="AG861" s="114"/>
      <c r="AH861" s="114"/>
      <c r="AI861" s="116"/>
      <c r="AJ861" s="114"/>
      <c r="AK861" s="114"/>
      <c r="AL861" s="114"/>
      <c r="AM861" s="114"/>
      <c r="AN861" s="114"/>
      <c r="AO861" s="114"/>
      <c r="AP861" s="114"/>
      <c r="AQ861" s="114"/>
      <c r="AR861" s="114"/>
      <c r="AS861" s="114"/>
      <c r="AT861" s="114"/>
      <c r="AU861" s="114"/>
      <c r="AV861" s="114"/>
      <c r="AW861" s="114"/>
      <c r="AX861" s="114"/>
      <c r="AY861" s="114"/>
      <c r="AZ861" s="114"/>
      <c r="BA861" s="114"/>
      <c r="BB861" s="114"/>
      <c r="BC861" s="114"/>
      <c r="BD861" s="114"/>
      <c r="BE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5"/>
      <c r="Y862" s="114"/>
      <c r="Z862" s="117" t="s">
        <v>6515</v>
      </c>
      <c r="AA862" s="117" t="s">
        <v>4694</v>
      </c>
      <c r="AB862" s="114"/>
      <c r="AC862" s="114"/>
      <c r="AD862" s="114"/>
      <c r="AE862" s="114"/>
      <c r="AF862" s="114"/>
      <c r="AG862" s="114"/>
      <c r="AH862" s="114"/>
      <c r="AI862" s="116"/>
      <c r="AJ862" s="114"/>
      <c r="AK862" s="114"/>
      <c r="AL862" s="114"/>
      <c r="AM862" s="114"/>
      <c r="AN862" s="114"/>
      <c r="AO862" s="114"/>
      <c r="AP862" s="114"/>
      <c r="AQ862" s="114"/>
      <c r="AR862" s="114"/>
      <c r="AS862" s="114"/>
      <c r="AT862" s="114"/>
      <c r="AU862" s="114"/>
      <c r="AV862" s="114"/>
      <c r="AW862" s="114"/>
      <c r="AX862" s="114"/>
      <c r="AY862" s="114"/>
      <c r="AZ862" s="114"/>
      <c r="BA862" s="114"/>
      <c r="BB862" s="114"/>
      <c r="BC862" s="114"/>
      <c r="BD862" s="114"/>
      <c r="BE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5"/>
      <c r="Y863" s="114"/>
      <c r="Z863" s="117" t="s">
        <v>6516</v>
      </c>
      <c r="AA863" s="117" t="s">
        <v>4704</v>
      </c>
      <c r="AB863" s="114"/>
      <c r="AC863" s="114"/>
      <c r="AD863" s="114"/>
      <c r="AE863" s="114"/>
      <c r="AF863" s="114"/>
      <c r="AG863" s="114"/>
      <c r="AH863" s="114"/>
      <c r="AI863" s="116"/>
      <c r="AJ863" s="114"/>
      <c r="AK863" s="114"/>
      <c r="AL863" s="114"/>
      <c r="AM863" s="114"/>
      <c r="AN863" s="114"/>
      <c r="AO863" s="114"/>
      <c r="AP863" s="114"/>
      <c r="AQ863" s="114"/>
      <c r="AR863" s="114"/>
      <c r="AS863" s="114"/>
      <c r="AT863" s="114"/>
      <c r="AU863" s="114"/>
      <c r="AV863" s="114"/>
      <c r="AW863" s="114"/>
      <c r="AX863" s="114"/>
      <c r="AY863" s="114"/>
      <c r="AZ863" s="114"/>
      <c r="BA863" s="114"/>
      <c r="BB863" s="114"/>
      <c r="BC863" s="114"/>
      <c r="BD863" s="114"/>
      <c r="BE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5"/>
      <c r="Y864" s="114"/>
      <c r="Z864" s="117" t="s">
        <v>6517</v>
      </c>
      <c r="AA864" s="117" t="s">
        <v>4706</v>
      </c>
      <c r="AB864" s="114"/>
      <c r="AC864" s="114"/>
      <c r="AD864" s="114"/>
      <c r="AE864" s="114"/>
      <c r="AF864" s="114"/>
      <c r="AG864" s="114"/>
      <c r="AH864" s="114"/>
      <c r="AI864" s="116"/>
      <c r="AJ864" s="114"/>
      <c r="AK864" s="114"/>
      <c r="AL864" s="114"/>
      <c r="AM864" s="114"/>
      <c r="AN864" s="114"/>
      <c r="AO864" s="114"/>
      <c r="AP864" s="114"/>
      <c r="AQ864" s="114"/>
      <c r="AR864" s="114"/>
      <c r="AS864" s="114"/>
      <c r="AT864" s="114"/>
      <c r="AU864" s="114"/>
      <c r="AV864" s="114"/>
      <c r="AW864" s="114"/>
      <c r="AX864" s="114"/>
      <c r="AY864" s="114"/>
      <c r="AZ864" s="114"/>
      <c r="BA864" s="114"/>
      <c r="BB864" s="114"/>
      <c r="BC864" s="114"/>
      <c r="BD864" s="114"/>
      <c r="BE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5"/>
      <c r="Y865" s="114"/>
      <c r="Z865" s="117" t="s">
        <v>6518</v>
      </c>
      <c r="AA865" s="117" t="s">
        <v>4707</v>
      </c>
      <c r="AB865" s="114"/>
      <c r="AC865" s="114"/>
      <c r="AD865" s="114"/>
      <c r="AE865" s="114"/>
      <c r="AF865" s="114"/>
      <c r="AG865" s="114"/>
      <c r="AH865" s="114"/>
      <c r="AI865" s="116"/>
      <c r="AJ865" s="114"/>
      <c r="AK865" s="114"/>
      <c r="AL865" s="114"/>
      <c r="AM865" s="114"/>
      <c r="AN865" s="114"/>
      <c r="AO865" s="114"/>
      <c r="AP865" s="114"/>
      <c r="AQ865" s="114"/>
      <c r="AR865" s="114"/>
      <c r="AS865" s="114"/>
      <c r="AT865" s="114"/>
      <c r="AU865" s="114"/>
      <c r="AV865" s="114"/>
      <c r="AW865" s="114"/>
      <c r="AX865" s="114"/>
      <c r="AY865" s="114"/>
      <c r="AZ865" s="114"/>
      <c r="BA865" s="114"/>
      <c r="BB865" s="114"/>
      <c r="BC865" s="114"/>
      <c r="BD865" s="114"/>
      <c r="BE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5"/>
      <c r="Y866" s="114"/>
      <c r="Z866" s="117" t="s">
        <v>6519</v>
      </c>
      <c r="AA866" s="117" t="s">
        <v>4705</v>
      </c>
      <c r="AB866" s="114"/>
      <c r="AC866" s="114"/>
      <c r="AD866" s="114"/>
      <c r="AE866" s="114"/>
      <c r="AF866" s="114"/>
      <c r="AG866" s="114"/>
      <c r="AH866" s="114"/>
      <c r="AI866" s="116"/>
      <c r="AJ866" s="114"/>
      <c r="AK866" s="114"/>
      <c r="AL866" s="114"/>
      <c r="AM866" s="114"/>
      <c r="AN866" s="114"/>
      <c r="AO866" s="114"/>
      <c r="AP866" s="114"/>
      <c r="AQ866" s="114"/>
      <c r="AR866" s="114"/>
      <c r="AS866" s="114"/>
      <c r="AT866" s="114"/>
      <c r="AU866" s="114"/>
      <c r="AV866" s="114"/>
      <c r="AW866" s="114"/>
      <c r="AX866" s="114"/>
      <c r="AY866" s="114"/>
      <c r="AZ866" s="114"/>
      <c r="BA866" s="114"/>
      <c r="BB866" s="114"/>
      <c r="BC866" s="114"/>
      <c r="BD866" s="114"/>
      <c r="BE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5"/>
      <c r="Y867" s="114"/>
      <c r="Z867" s="117" t="s">
        <v>6520</v>
      </c>
      <c r="AA867" s="117" t="s">
        <v>4716</v>
      </c>
      <c r="AB867" s="114"/>
      <c r="AC867" s="114"/>
      <c r="AD867" s="114"/>
      <c r="AE867" s="114"/>
      <c r="AF867" s="114"/>
      <c r="AG867" s="114"/>
      <c r="AH867" s="114"/>
      <c r="AI867" s="116"/>
      <c r="AJ867" s="114"/>
      <c r="AK867" s="114"/>
      <c r="AL867" s="114"/>
      <c r="AM867" s="114"/>
      <c r="AN867" s="114"/>
      <c r="AO867" s="114"/>
      <c r="AP867" s="114"/>
      <c r="AQ867" s="114"/>
      <c r="AR867" s="114"/>
      <c r="AS867" s="114"/>
      <c r="AT867" s="114"/>
      <c r="AU867" s="114"/>
      <c r="AV867" s="114"/>
      <c r="AW867" s="114"/>
      <c r="AX867" s="114"/>
      <c r="AY867" s="114"/>
      <c r="AZ867" s="114"/>
      <c r="BA867" s="114"/>
      <c r="BB867" s="114"/>
      <c r="BC867" s="114"/>
      <c r="BD867" s="114"/>
      <c r="BE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5"/>
      <c r="Y868" s="114"/>
      <c r="Z868" s="117" t="s">
        <v>6521</v>
      </c>
      <c r="AA868" s="117" t="s">
        <v>4718</v>
      </c>
      <c r="AB868" s="114"/>
      <c r="AC868" s="114"/>
      <c r="AD868" s="114"/>
      <c r="AE868" s="114"/>
      <c r="AF868" s="114"/>
      <c r="AG868" s="114"/>
      <c r="AH868" s="114"/>
      <c r="AI868" s="116"/>
      <c r="AJ868" s="114"/>
      <c r="AK868" s="114"/>
      <c r="AL868" s="114"/>
      <c r="AM868" s="114"/>
      <c r="AN868" s="114"/>
      <c r="AO868" s="114"/>
      <c r="AP868" s="114"/>
      <c r="AQ868" s="114"/>
      <c r="AR868" s="114"/>
      <c r="AS868" s="114"/>
      <c r="AT868" s="114"/>
      <c r="AU868" s="114"/>
      <c r="AV868" s="114"/>
      <c r="AW868" s="114"/>
      <c r="AX868" s="114"/>
      <c r="AY868" s="114"/>
      <c r="AZ868" s="114"/>
      <c r="BA868" s="114"/>
      <c r="BB868" s="114"/>
      <c r="BC868" s="114"/>
      <c r="BD868" s="114"/>
      <c r="BE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5"/>
      <c r="Y869" s="114"/>
      <c r="Z869" s="117" t="s">
        <v>6522</v>
      </c>
      <c r="AA869" s="117" t="s">
        <v>4719</v>
      </c>
      <c r="AB869" s="114"/>
      <c r="AC869" s="114"/>
      <c r="AD869" s="114"/>
      <c r="AE869" s="114"/>
      <c r="AF869" s="114"/>
      <c r="AG869" s="114"/>
      <c r="AH869" s="114"/>
      <c r="AI869" s="116"/>
      <c r="AJ869" s="114"/>
      <c r="AK869" s="114"/>
      <c r="AL869" s="114"/>
      <c r="AM869" s="114"/>
      <c r="AN869" s="114"/>
      <c r="AO869" s="114"/>
      <c r="AP869" s="114"/>
      <c r="AQ869" s="114"/>
      <c r="AR869" s="114"/>
      <c r="AS869" s="114"/>
      <c r="AT869" s="114"/>
      <c r="AU869" s="114"/>
      <c r="AV869" s="114"/>
      <c r="AW869" s="114"/>
      <c r="AX869" s="114"/>
      <c r="AY869" s="114"/>
      <c r="AZ869" s="114"/>
      <c r="BA869" s="114"/>
      <c r="BB869" s="114"/>
      <c r="BC869" s="114"/>
      <c r="BD869" s="114"/>
      <c r="BE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5"/>
      <c r="Y870" s="114"/>
      <c r="Z870" s="117" t="s">
        <v>6523</v>
      </c>
      <c r="AA870" s="117" t="s">
        <v>4717</v>
      </c>
      <c r="AB870" s="114"/>
      <c r="AC870" s="114"/>
      <c r="AD870" s="114"/>
      <c r="AE870" s="114"/>
      <c r="AF870" s="114"/>
      <c r="AG870" s="114"/>
      <c r="AH870" s="114"/>
      <c r="AI870" s="116"/>
      <c r="AJ870" s="114"/>
      <c r="AK870" s="114"/>
      <c r="AL870" s="114"/>
      <c r="AM870" s="114"/>
      <c r="AN870" s="114"/>
      <c r="AO870" s="114"/>
      <c r="AP870" s="114"/>
      <c r="AQ870" s="114"/>
      <c r="AR870" s="114"/>
      <c r="AS870" s="114"/>
      <c r="AT870" s="114"/>
      <c r="AU870" s="114"/>
      <c r="AV870" s="114"/>
      <c r="AW870" s="114"/>
      <c r="AX870" s="114"/>
      <c r="AY870" s="114"/>
      <c r="AZ870" s="114"/>
      <c r="BA870" s="114"/>
      <c r="BB870" s="114"/>
      <c r="BC870" s="114"/>
      <c r="BD870" s="114"/>
      <c r="BE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5"/>
      <c r="Y871" s="114"/>
      <c r="Z871" s="117" t="s">
        <v>6524</v>
      </c>
      <c r="AA871" s="117" t="s">
        <v>4727</v>
      </c>
      <c r="AB871" s="114"/>
      <c r="AC871" s="114"/>
      <c r="AD871" s="114"/>
      <c r="AE871" s="114"/>
      <c r="AF871" s="114"/>
      <c r="AG871" s="114"/>
      <c r="AH871" s="114"/>
      <c r="AI871" s="116"/>
      <c r="AJ871" s="114"/>
      <c r="AK871" s="114"/>
      <c r="AL871" s="114"/>
      <c r="AM871" s="114"/>
      <c r="AN871" s="114"/>
      <c r="AO871" s="114"/>
      <c r="AP871" s="114"/>
      <c r="AQ871" s="114"/>
      <c r="AR871" s="114"/>
      <c r="AS871" s="114"/>
      <c r="AT871" s="114"/>
      <c r="AU871" s="114"/>
      <c r="AV871" s="114"/>
      <c r="AW871" s="114"/>
      <c r="AX871" s="114"/>
      <c r="AY871" s="114"/>
      <c r="AZ871" s="114"/>
      <c r="BA871" s="114"/>
      <c r="BB871" s="114"/>
      <c r="BC871" s="114"/>
      <c r="BD871" s="114"/>
      <c r="BE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5"/>
      <c r="Y872" s="114"/>
      <c r="Z872" s="117" t="s">
        <v>6525</v>
      </c>
      <c r="AA872" s="117" t="s">
        <v>4729</v>
      </c>
      <c r="AB872" s="114"/>
      <c r="AC872" s="114"/>
      <c r="AD872" s="114"/>
      <c r="AE872" s="114"/>
      <c r="AF872" s="114"/>
      <c r="AG872" s="114"/>
      <c r="AH872" s="114"/>
      <c r="AI872" s="116"/>
      <c r="AJ872" s="114"/>
      <c r="AK872" s="114"/>
      <c r="AL872" s="114"/>
      <c r="AM872" s="114"/>
      <c r="AN872" s="114"/>
      <c r="AO872" s="114"/>
      <c r="AP872" s="114"/>
      <c r="AQ872" s="114"/>
      <c r="AR872" s="114"/>
      <c r="AS872" s="114"/>
      <c r="AT872" s="114"/>
      <c r="AU872" s="114"/>
      <c r="AV872" s="114"/>
      <c r="AW872" s="114"/>
      <c r="AX872" s="114"/>
      <c r="AY872" s="114"/>
      <c r="AZ872" s="114"/>
      <c r="BA872" s="114"/>
      <c r="BB872" s="114"/>
      <c r="BC872" s="114"/>
      <c r="BD872" s="114"/>
      <c r="BE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5"/>
      <c r="Y873" s="114"/>
      <c r="Z873" s="117" t="s">
        <v>6526</v>
      </c>
      <c r="AA873" s="117" t="s">
        <v>4730</v>
      </c>
      <c r="AB873" s="114"/>
      <c r="AC873" s="114"/>
      <c r="AD873" s="114"/>
      <c r="AE873" s="114"/>
      <c r="AF873" s="114"/>
      <c r="AG873" s="114"/>
      <c r="AH873" s="114"/>
      <c r="AI873" s="116"/>
      <c r="AJ873" s="114"/>
      <c r="AK873" s="114"/>
      <c r="AL873" s="114"/>
      <c r="AM873" s="114"/>
      <c r="AN873" s="114"/>
      <c r="AO873" s="114"/>
      <c r="AP873" s="114"/>
      <c r="AQ873" s="114"/>
      <c r="AR873" s="114"/>
      <c r="AS873" s="114"/>
      <c r="AT873" s="114"/>
      <c r="AU873" s="114"/>
      <c r="AV873" s="114"/>
      <c r="AW873" s="114"/>
      <c r="AX873" s="114"/>
      <c r="AY873" s="114"/>
      <c r="AZ873" s="114"/>
      <c r="BA873" s="114"/>
      <c r="BB873" s="114"/>
      <c r="BC873" s="114"/>
      <c r="BD873" s="114"/>
      <c r="BE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5"/>
      <c r="Y874" s="114"/>
      <c r="Z874" s="117" t="s">
        <v>6527</v>
      </c>
      <c r="AA874" s="117" t="s">
        <v>4728</v>
      </c>
      <c r="AB874" s="114"/>
      <c r="AC874" s="114"/>
      <c r="AD874" s="114"/>
      <c r="AE874" s="114"/>
      <c r="AF874" s="114"/>
      <c r="AG874" s="114"/>
      <c r="AH874" s="114"/>
      <c r="AI874" s="116"/>
      <c r="AJ874" s="114"/>
      <c r="AK874" s="114"/>
      <c r="AL874" s="114"/>
      <c r="AM874" s="114"/>
      <c r="AN874" s="114"/>
      <c r="AO874" s="114"/>
      <c r="AP874" s="114"/>
      <c r="AQ874" s="114"/>
      <c r="AR874" s="114"/>
      <c r="AS874" s="114"/>
      <c r="AT874" s="114"/>
      <c r="AU874" s="114"/>
      <c r="AV874" s="114"/>
      <c r="AW874" s="114"/>
      <c r="AX874" s="114"/>
      <c r="AY874" s="114"/>
      <c r="AZ874" s="114"/>
      <c r="BA874" s="114"/>
      <c r="BB874" s="114"/>
      <c r="BC874" s="114"/>
      <c r="BD874" s="114"/>
      <c r="BE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5"/>
      <c r="Y875" s="114"/>
      <c r="Z875" s="117" t="s">
        <v>6528</v>
      </c>
      <c r="AA875" s="117" t="s">
        <v>4739</v>
      </c>
      <c r="AB875" s="114"/>
      <c r="AC875" s="114"/>
      <c r="AD875" s="114"/>
      <c r="AE875" s="114"/>
      <c r="AF875" s="114"/>
      <c r="AG875" s="114"/>
      <c r="AH875" s="114"/>
      <c r="AI875" s="116"/>
      <c r="AJ875" s="114"/>
      <c r="AK875" s="114"/>
      <c r="AL875" s="114"/>
      <c r="AM875" s="114"/>
      <c r="AN875" s="114"/>
      <c r="AO875" s="114"/>
      <c r="AP875" s="114"/>
      <c r="AQ875" s="114"/>
      <c r="AR875" s="114"/>
      <c r="AS875" s="114"/>
      <c r="AT875" s="114"/>
      <c r="AU875" s="114"/>
      <c r="AV875" s="114"/>
      <c r="AW875" s="114"/>
      <c r="AX875" s="114"/>
      <c r="AY875" s="114"/>
      <c r="AZ875" s="114"/>
      <c r="BA875" s="114"/>
      <c r="BB875" s="114"/>
      <c r="BC875" s="114"/>
      <c r="BD875" s="114"/>
      <c r="BE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5"/>
      <c r="Y876" s="114"/>
      <c r="Z876" s="117" t="s">
        <v>6529</v>
      </c>
      <c r="AA876" s="117" t="s">
        <v>4741</v>
      </c>
      <c r="AB876" s="114"/>
      <c r="AC876" s="114"/>
      <c r="AD876" s="114"/>
      <c r="AE876" s="114"/>
      <c r="AF876" s="114"/>
      <c r="AG876" s="114"/>
      <c r="AH876" s="114"/>
      <c r="AI876" s="116"/>
      <c r="AJ876" s="114"/>
      <c r="AK876" s="114"/>
      <c r="AL876" s="114"/>
      <c r="AM876" s="114"/>
      <c r="AN876" s="114"/>
      <c r="AO876" s="114"/>
      <c r="AP876" s="114"/>
      <c r="AQ876" s="114"/>
      <c r="AR876" s="114"/>
      <c r="AS876" s="114"/>
      <c r="AT876" s="114"/>
      <c r="AU876" s="114"/>
      <c r="AV876" s="114"/>
      <c r="AW876" s="114"/>
      <c r="AX876" s="114"/>
      <c r="AY876" s="114"/>
      <c r="AZ876" s="114"/>
      <c r="BA876" s="114"/>
      <c r="BB876" s="114"/>
      <c r="BC876" s="114"/>
      <c r="BD876" s="114"/>
      <c r="BE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5"/>
      <c r="Y877" s="114"/>
      <c r="Z877" s="117" t="s">
        <v>6530</v>
      </c>
      <c r="AA877" s="117" t="s">
        <v>4742</v>
      </c>
      <c r="AB877" s="114"/>
      <c r="AC877" s="114"/>
      <c r="AD877" s="114"/>
      <c r="AE877" s="114"/>
      <c r="AF877" s="114"/>
      <c r="AG877" s="114"/>
      <c r="AH877" s="114"/>
      <c r="AI877" s="116"/>
      <c r="AJ877" s="114"/>
      <c r="AK877" s="114"/>
      <c r="AL877" s="114"/>
      <c r="AM877" s="114"/>
      <c r="AN877" s="114"/>
      <c r="AO877" s="114"/>
      <c r="AP877" s="114"/>
      <c r="AQ877" s="114"/>
      <c r="AR877" s="114"/>
      <c r="AS877" s="114"/>
      <c r="AT877" s="114"/>
      <c r="AU877" s="114"/>
      <c r="AV877" s="114"/>
      <c r="AW877" s="114"/>
      <c r="AX877" s="114"/>
      <c r="AY877" s="114"/>
      <c r="AZ877" s="114"/>
      <c r="BA877" s="114"/>
      <c r="BB877" s="114"/>
      <c r="BC877" s="114"/>
      <c r="BD877" s="114"/>
      <c r="BE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5"/>
      <c r="Y878" s="114"/>
      <c r="Z878" s="117" t="s">
        <v>6531</v>
      </c>
      <c r="AA878" s="117" t="s">
        <v>4740</v>
      </c>
      <c r="AB878" s="114"/>
      <c r="AC878" s="114"/>
      <c r="AD878" s="114"/>
      <c r="AE878" s="114"/>
      <c r="AF878" s="114"/>
      <c r="AG878" s="114"/>
      <c r="AH878" s="114"/>
      <c r="AI878" s="116"/>
      <c r="AJ878" s="114"/>
      <c r="AK878" s="114"/>
      <c r="AL878" s="114"/>
      <c r="AM878" s="114"/>
      <c r="AN878" s="114"/>
      <c r="AO878" s="114"/>
      <c r="AP878" s="114"/>
      <c r="AQ878" s="114"/>
      <c r="AR878" s="114"/>
      <c r="AS878" s="114"/>
      <c r="AT878" s="114"/>
      <c r="AU878" s="114"/>
      <c r="AV878" s="114"/>
      <c r="AW878" s="114"/>
      <c r="AX878" s="114"/>
      <c r="AY878" s="114"/>
      <c r="AZ878" s="114"/>
      <c r="BA878" s="114"/>
      <c r="BB878" s="114"/>
      <c r="BC878" s="114"/>
      <c r="BD878" s="114"/>
      <c r="BE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5"/>
      <c r="Y879" s="114"/>
      <c r="Z879" s="117" t="s">
        <v>6532</v>
      </c>
      <c r="AA879" s="117" t="s">
        <v>4751</v>
      </c>
      <c r="AB879" s="114"/>
      <c r="AC879" s="114"/>
      <c r="AD879" s="114"/>
      <c r="AE879" s="114"/>
      <c r="AF879" s="114"/>
      <c r="AG879" s="114"/>
      <c r="AH879" s="114"/>
      <c r="AI879" s="116"/>
      <c r="AJ879" s="114"/>
      <c r="AK879" s="114"/>
      <c r="AL879" s="114"/>
      <c r="AM879" s="114"/>
      <c r="AN879" s="114"/>
      <c r="AO879" s="114"/>
      <c r="AP879" s="114"/>
      <c r="AQ879" s="114"/>
      <c r="AR879" s="114"/>
      <c r="AS879" s="114"/>
      <c r="AT879" s="114"/>
      <c r="AU879" s="114"/>
      <c r="AV879" s="114"/>
      <c r="AW879" s="114"/>
      <c r="AX879" s="114"/>
      <c r="AY879" s="114"/>
      <c r="AZ879" s="114"/>
      <c r="BA879" s="114"/>
      <c r="BB879" s="114"/>
      <c r="BC879" s="114"/>
      <c r="BD879" s="114"/>
      <c r="BE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5"/>
      <c r="Y880" s="114"/>
      <c r="Z880" s="117" t="s">
        <v>6533</v>
      </c>
      <c r="AA880" s="117" t="s">
        <v>4753</v>
      </c>
      <c r="AB880" s="114"/>
      <c r="AC880" s="114"/>
      <c r="AD880" s="114"/>
      <c r="AE880" s="114"/>
      <c r="AF880" s="114"/>
      <c r="AG880" s="114"/>
      <c r="AH880" s="114"/>
      <c r="AI880" s="116"/>
      <c r="AJ880" s="114"/>
      <c r="AK880" s="114"/>
      <c r="AL880" s="114"/>
      <c r="AM880" s="114"/>
      <c r="AN880" s="114"/>
      <c r="AO880" s="114"/>
      <c r="AP880" s="114"/>
      <c r="AQ880" s="114"/>
      <c r="AR880" s="114"/>
      <c r="AS880" s="114"/>
      <c r="AT880" s="114"/>
      <c r="AU880" s="114"/>
      <c r="AV880" s="114"/>
      <c r="AW880" s="114"/>
      <c r="AX880" s="114"/>
      <c r="AY880" s="114"/>
      <c r="AZ880" s="114"/>
      <c r="BA880" s="114"/>
      <c r="BB880" s="114"/>
      <c r="BC880" s="114"/>
      <c r="BD880" s="114"/>
      <c r="BE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5"/>
      <c r="Y881" s="114"/>
      <c r="Z881" s="117" t="s">
        <v>6534</v>
      </c>
      <c r="AA881" s="117" t="s">
        <v>4754</v>
      </c>
      <c r="AB881" s="114"/>
      <c r="AC881" s="114"/>
      <c r="AD881" s="114"/>
      <c r="AE881" s="114"/>
      <c r="AF881" s="114"/>
      <c r="AG881" s="114"/>
      <c r="AH881" s="114"/>
      <c r="AI881" s="116"/>
      <c r="AJ881" s="114"/>
      <c r="AK881" s="114"/>
      <c r="AL881" s="114"/>
      <c r="AM881" s="114"/>
      <c r="AN881" s="114"/>
      <c r="AO881" s="114"/>
      <c r="AP881" s="114"/>
      <c r="AQ881" s="114"/>
      <c r="AR881" s="114"/>
      <c r="AS881" s="114"/>
      <c r="AT881" s="114"/>
      <c r="AU881" s="114"/>
      <c r="AV881" s="114"/>
      <c r="AW881" s="114"/>
      <c r="AX881" s="114"/>
      <c r="AY881" s="114"/>
      <c r="AZ881" s="114"/>
      <c r="BA881" s="114"/>
      <c r="BB881" s="114"/>
      <c r="BC881" s="114"/>
      <c r="BD881" s="114"/>
      <c r="BE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5"/>
      <c r="Y882" s="114"/>
      <c r="Z882" s="117" t="s">
        <v>6535</v>
      </c>
      <c r="AA882" s="117" t="s">
        <v>4752</v>
      </c>
      <c r="AB882" s="114"/>
      <c r="AC882" s="114"/>
      <c r="AD882" s="114"/>
      <c r="AE882" s="114"/>
      <c r="AF882" s="114"/>
      <c r="AG882" s="114"/>
      <c r="AH882" s="114"/>
      <c r="AI882" s="116"/>
      <c r="AJ882" s="114"/>
      <c r="AK882" s="114"/>
      <c r="AL882" s="114"/>
      <c r="AM882" s="114"/>
      <c r="AN882" s="114"/>
      <c r="AO882" s="114"/>
      <c r="AP882" s="114"/>
      <c r="AQ882" s="114"/>
      <c r="AR882" s="114"/>
      <c r="AS882" s="114"/>
      <c r="AT882" s="114"/>
      <c r="AU882" s="114"/>
      <c r="AV882" s="114"/>
      <c r="AW882" s="114"/>
      <c r="AX882" s="114"/>
      <c r="AY882" s="114"/>
      <c r="AZ882" s="114"/>
      <c r="BA882" s="114"/>
      <c r="BB882" s="114"/>
      <c r="BC882" s="114"/>
      <c r="BD882" s="114"/>
      <c r="BE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5"/>
      <c r="Y883" s="114"/>
      <c r="Z883" s="117" t="s">
        <v>6536</v>
      </c>
      <c r="AA883" s="117" t="s">
        <v>4763</v>
      </c>
      <c r="AB883" s="114"/>
      <c r="AC883" s="114"/>
      <c r="AD883" s="114"/>
      <c r="AE883" s="114"/>
      <c r="AF883" s="114"/>
      <c r="AG883" s="114"/>
      <c r="AH883" s="114"/>
      <c r="AI883" s="116"/>
      <c r="AJ883" s="114"/>
      <c r="AK883" s="114"/>
      <c r="AL883" s="114"/>
      <c r="AM883" s="114"/>
      <c r="AN883" s="114"/>
      <c r="AO883" s="114"/>
      <c r="AP883" s="114"/>
      <c r="AQ883" s="114"/>
      <c r="AR883" s="114"/>
      <c r="AS883" s="114"/>
      <c r="AT883" s="114"/>
      <c r="AU883" s="114"/>
      <c r="AV883" s="114"/>
      <c r="AW883" s="114"/>
      <c r="AX883" s="114"/>
      <c r="AY883" s="114"/>
      <c r="AZ883" s="114"/>
      <c r="BA883" s="114"/>
      <c r="BB883" s="114"/>
      <c r="BC883" s="114"/>
      <c r="BD883" s="114"/>
      <c r="BE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5"/>
      <c r="Y884" s="114"/>
      <c r="Z884" s="117" t="s">
        <v>6537</v>
      </c>
      <c r="AA884" s="117" t="s">
        <v>4765</v>
      </c>
      <c r="AB884" s="114"/>
      <c r="AC884" s="114"/>
      <c r="AD884" s="114"/>
      <c r="AE884" s="114"/>
      <c r="AF884" s="114"/>
      <c r="AG884" s="114"/>
      <c r="AH884" s="114"/>
      <c r="AI884" s="116"/>
      <c r="AJ884" s="114"/>
      <c r="AK884" s="114"/>
      <c r="AL884" s="114"/>
      <c r="AM884" s="114"/>
      <c r="AN884" s="114"/>
      <c r="AO884" s="114"/>
      <c r="AP884" s="114"/>
      <c r="AQ884" s="114"/>
      <c r="AR884" s="114"/>
      <c r="AS884" s="114"/>
      <c r="AT884" s="114"/>
      <c r="AU884" s="114"/>
      <c r="AV884" s="114"/>
      <c r="AW884" s="114"/>
      <c r="AX884" s="114"/>
      <c r="AY884" s="114"/>
      <c r="AZ884" s="114"/>
      <c r="BA884" s="114"/>
      <c r="BB884" s="114"/>
      <c r="BC884" s="114"/>
      <c r="BD884" s="114"/>
      <c r="BE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5"/>
      <c r="Y885" s="114"/>
      <c r="Z885" s="117" t="s">
        <v>6538</v>
      </c>
      <c r="AA885" s="117" t="s">
        <v>4766</v>
      </c>
      <c r="AB885" s="114"/>
      <c r="AC885" s="114"/>
      <c r="AD885" s="114"/>
      <c r="AE885" s="114"/>
      <c r="AF885" s="114"/>
      <c r="AG885" s="114"/>
      <c r="AH885" s="114"/>
      <c r="AI885" s="116"/>
      <c r="AJ885" s="114"/>
      <c r="AK885" s="114"/>
      <c r="AL885" s="114"/>
      <c r="AM885" s="114"/>
      <c r="AN885" s="114"/>
      <c r="AO885" s="114"/>
      <c r="AP885" s="114"/>
      <c r="AQ885" s="114"/>
      <c r="AR885" s="114"/>
      <c r="AS885" s="114"/>
      <c r="AT885" s="114"/>
      <c r="AU885" s="114"/>
      <c r="AV885" s="114"/>
      <c r="AW885" s="114"/>
      <c r="AX885" s="114"/>
      <c r="AY885" s="114"/>
      <c r="AZ885" s="114"/>
      <c r="BA885" s="114"/>
      <c r="BB885" s="114"/>
      <c r="BC885" s="114"/>
      <c r="BD885" s="114"/>
      <c r="BE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5"/>
      <c r="Y886" s="114"/>
      <c r="Z886" s="117" t="s">
        <v>6539</v>
      </c>
      <c r="AA886" s="117" t="s">
        <v>4764</v>
      </c>
      <c r="AB886" s="114"/>
      <c r="AC886" s="114"/>
      <c r="AD886" s="114"/>
      <c r="AE886" s="114"/>
      <c r="AF886" s="114"/>
      <c r="AG886" s="114"/>
      <c r="AH886" s="114"/>
      <c r="AI886" s="116"/>
      <c r="AJ886" s="114"/>
      <c r="AK886" s="114"/>
      <c r="AL886" s="114"/>
      <c r="AM886" s="114"/>
      <c r="AN886" s="114"/>
      <c r="AO886" s="114"/>
      <c r="AP886" s="114"/>
      <c r="AQ886" s="114"/>
      <c r="AR886" s="114"/>
      <c r="AS886" s="114"/>
      <c r="AT886" s="114"/>
      <c r="AU886" s="114"/>
      <c r="AV886" s="114"/>
      <c r="AW886" s="114"/>
      <c r="AX886" s="114"/>
      <c r="AY886" s="114"/>
      <c r="AZ886" s="114"/>
      <c r="BA886" s="114"/>
      <c r="BB886" s="114"/>
      <c r="BC886" s="114"/>
      <c r="BD886" s="114"/>
      <c r="BE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5"/>
      <c r="Y887" s="114"/>
      <c r="Z887" s="117" t="s">
        <v>6540</v>
      </c>
      <c r="AA887" s="117" t="s">
        <v>4775</v>
      </c>
      <c r="AB887" s="114"/>
      <c r="AC887" s="114"/>
      <c r="AD887" s="114"/>
      <c r="AE887" s="114"/>
      <c r="AF887" s="114"/>
      <c r="AG887" s="114"/>
      <c r="AH887" s="114"/>
      <c r="AI887" s="116"/>
      <c r="AJ887" s="114"/>
      <c r="AK887" s="114"/>
      <c r="AL887" s="114"/>
      <c r="AM887" s="114"/>
      <c r="AN887" s="114"/>
      <c r="AO887" s="114"/>
      <c r="AP887" s="114"/>
      <c r="AQ887" s="114"/>
      <c r="AR887" s="114"/>
      <c r="AS887" s="114"/>
      <c r="AT887" s="114"/>
      <c r="AU887" s="114"/>
      <c r="AV887" s="114"/>
      <c r="AW887" s="114"/>
      <c r="AX887" s="114"/>
      <c r="AY887" s="114"/>
      <c r="AZ887" s="114"/>
      <c r="BA887" s="114"/>
      <c r="BB887" s="114"/>
      <c r="BC887" s="114"/>
      <c r="BD887" s="114"/>
      <c r="BE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5"/>
      <c r="Y888" s="114"/>
      <c r="Z888" s="117" t="s">
        <v>6541</v>
      </c>
      <c r="AA888" s="117" t="s">
        <v>4777</v>
      </c>
      <c r="AB888" s="114"/>
      <c r="AC888" s="114"/>
      <c r="AD888" s="114"/>
      <c r="AE888" s="114"/>
      <c r="AF888" s="114"/>
      <c r="AG888" s="114"/>
      <c r="AH888" s="114"/>
      <c r="AI888" s="116"/>
      <c r="AJ888" s="114"/>
      <c r="AK888" s="114"/>
      <c r="AL888" s="114"/>
      <c r="AM888" s="114"/>
      <c r="AN888" s="114"/>
      <c r="AO888" s="114"/>
      <c r="AP888" s="114"/>
      <c r="AQ888" s="114"/>
      <c r="AR888" s="114"/>
      <c r="AS888" s="114"/>
      <c r="AT888" s="114"/>
      <c r="AU888" s="114"/>
      <c r="AV888" s="114"/>
      <c r="AW888" s="114"/>
      <c r="AX888" s="114"/>
      <c r="AY888" s="114"/>
      <c r="AZ888" s="114"/>
      <c r="BA888" s="114"/>
      <c r="BB888" s="114"/>
      <c r="BC888" s="114"/>
      <c r="BD888" s="114"/>
      <c r="BE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5"/>
      <c r="Y889" s="114"/>
      <c r="Z889" s="117" t="s">
        <v>6542</v>
      </c>
      <c r="AA889" s="117" t="s">
        <v>4778</v>
      </c>
      <c r="AB889" s="114"/>
      <c r="AC889" s="114"/>
      <c r="AD889" s="114"/>
      <c r="AE889" s="114"/>
      <c r="AF889" s="114"/>
      <c r="AG889" s="114"/>
      <c r="AH889" s="114"/>
      <c r="AI889" s="116"/>
      <c r="AJ889" s="114"/>
      <c r="AK889" s="114"/>
      <c r="AL889" s="114"/>
      <c r="AM889" s="114"/>
      <c r="AN889" s="114"/>
      <c r="AO889" s="114"/>
      <c r="AP889" s="114"/>
      <c r="AQ889" s="114"/>
      <c r="AR889" s="114"/>
      <c r="AS889" s="114"/>
      <c r="AT889" s="114"/>
      <c r="AU889" s="114"/>
      <c r="AV889" s="114"/>
      <c r="AW889" s="114"/>
      <c r="AX889" s="114"/>
      <c r="AY889" s="114"/>
      <c r="AZ889" s="114"/>
      <c r="BA889" s="114"/>
      <c r="BB889" s="114"/>
      <c r="BC889" s="114"/>
      <c r="BD889" s="114"/>
      <c r="BE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5"/>
      <c r="Y890" s="114"/>
      <c r="Z890" s="117" t="s">
        <v>6543</v>
      </c>
      <c r="AA890" s="117" t="s">
        <v>4776</v>
      </c>
      <c r="AB890" s="114"/>
      <c r="AC890" s="114"/>
      <c r="AD890" s="114"/>
      <c r="AE890" s="114"/>
      <c r="AF890" s="114"/>
      <c r="AG890" s="114"/>
      <c r="AH890" s="114"/>
      <c r="AI890" s="116"/>
      <c r="AJ890" s="114"/>
      <c r="AK890" s="114"/>
      <c r="AL890" s="114"/>
      <c r="AM890" s="114"/>
      <c r="AN890" s="114"/>
      <c r="AO890" s="114"/>
      <c r="AP890" s="114"/>
      <c r="AQ890" s="114"/>
      <c r="AR890" s="114"/>
      <c r="AS890" s="114"/>
      <c r="AT890" s="114"/>
      <c r="AU890" s="114"/>
      <c r="AV890" s="114"/>
      <c r="AW890" s="114"/>
      <c r="AX890" s="114"/>
      <c r="AY890" s="114"/>
      <c r="AZ890" s="114"/>
      <c r="BA890" s="114"/>
      <c r="BB890" s="114"/>
      <c r="BC890" s="114"/>
      <c r="BD890" s="114"/>
      <c r="BE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5"/>
      <c r="Y891" s="114"/>
      <c r="Z891" s="117" t="s">
        <v>6544</v>
      </c>
      <c r="AA891" s="117" t="s">
        <v>4787</v>
      </c>
      <c r="AB891" s="114"/>
      <c r="AC891" s="114"/>
      <c r="AD891" s="114"/>
      <c r="AE891" s="114"/>
      <c r="AF891" s="114"/>
      <c r="AG891" s="114"/>
      <c r="AH891" s="114"/>
      <c r="AI891" s="116"/>
      <c r="AJ891" s="114"/>
      <c r="AK891" s="114"/>
      <c r="AL891" s="114"/>
      <c r="AM891" s="114"/>
      <c r="AN891" s="114"/>
      <c r="AO891" s="114"/>
      <c r="AP891" s="114"/>
      <c r="AQ891" s="114"/>
      <c r="AR891" s="114"/>
      <c r="AS891" s="114"/>
      <c r="AT891" s="114"/>
      <c r="AU891" s="114"/>
      <c r="AV891" s="114"/>
      <c r="AW891" s="114"/>
      <c r="AX891" s="114"/>
      <c r="AY891" s="114"/>
      <c r="AZ891" s="114"/>
      <c r="BA891" s="114"/>
      <c r="BB891" s="114"/>
      <c r="BC891" s="114"/>
      <c r="BD891" s="114"/>
      <c r="BE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5"/>
      <c r="Y892" s="114"/>
      <c r="Z892" s="117" t="s">
        <v>6545</v>
      </c>
      <c r="AA892" s="117" t="s">
        <v>4789</v>
      </c>
      <c r="AB892" s="114"/>
      <c r="AC892" s="114"/>
      <c r="AD892" s="114"/>
      <c r="AE892" s="114"/>
      <c r="AF892" s="114"/>
      <c r="AG892" s="114"/>
      <c r="AH892" s="114"/>
      <c r="AI892" s="116"/>
      <c r="AJ892" s="114"/>
      <c r="AK892" s="114"/>
      <c r="AL892" s="114"/>
      <c r="AM892" s="114"/>
      <c r="AN892" s="114"/>
      <c r="AO892" s="114"/>
      <c r="AP892" s="114"/>
      <c r="AQ892" s="114"/>
      <c r="AR892" s="114"/>
      <c r="AS892" s="114"/>
      <c r="AT892" s="114"/>
      <c r="AU892" s="114"/>
      <c r="AV892" s="114"/>
      <c r="AW892" s="114"/>
      <c r="AX892" s="114"/>
      <c r="AY892" s="114"/>
      <c r="AZ892" s="114"/>
      <c r="BA892" s="114"/>
      <c r="BB892" s="114"/>
      <c r="BC892" s="114"/>
      <c r="BD892" s="114"/>
      <c r="BE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5"/>
      <c r="Y893" s="114"/>
      <c r="Z893" s="117" t="s">
        <v>6546</v>
      </c>
      <c r="AA893" s="117" t="s">
        <v>4790</v>
      </c>
      <c r="AB893" s="114"/>
      <c r="AC893" s="114"/>
      <c r="AD893" s="114"/>
      <c r="AE893" s="114"/>
      <c r="AF893" s="114"/>
      <c r="AG893" s="114"/>
      <c r="AH893" s="114"/>
      <c r="AI893" s="116"/>
      <c r="AJ893" s="114"/>
      <c r="AK893" s="114"/>
      <c r="AL893" s="114"/>
      <c r="AM893" s="114"/>
      <c r="AN893" s="114"/>
      <c r="AO893" s="114"/>
      <c r="AP893" s="114"/>
      <c r="AQ893" s="114"/>
      <c r="AR893" s="114"/>
      <c r="AS893" s="114"/>
      <c r="AT893" s="114"/>
      <c r="AU893" s="114"/>
      <c r="AV893" s="114"/>
      <c r="AW893" s="114"/>
      <c r="AX893" s="114"/>
      <c r="AY893" s="114"/>
      <c r="AZ893" s="114"/>
      <c r="BA893" s="114"/>
      <c r="BB893" s="114"/>
      <c r="BC893" s="114"/>
      <c r="BD893" s="114"/>
      <c r="BE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5"/>
      <c r="Y894" s="114"/>
      <c r="Z894" s="117" t="s">
        <v>6547</v>
      </c>
      <c r="AA894" s="117" t="s">
        <v>4788</v>
      </c>
      <c r="AB894" s="114"/>
      <c r="AC894" s="114"/>
      <c r="AD894" s="114"/>
      <c r="AE894" s="114"/>
      <c r="AF894" s="114"/>
      <c r="AG894" s="114"/>
      <c r="AH894" s="114"/>
      <c r="AI894" s="116"/>
      <c r="AJ894" s="114"/>
      <c r="AK894" s="114"/>
      <c r="AL894" s="114"/>
      <c r="AM894" s="114"/>
      <c r="AN894" s="114"/>
      <c r="AO894" s="114"/>
      <c r="AP894" s="114"/>
      <c r="AQ894" s="114"/>
      <c r="AR894" s="114"/>
      <c r="AS894" s="114"/>
      <c r="AT894" s="114"/>
      <c r="AU894" s="114"/>
      <c r="AV894" s="114"/>
      <c r="AW894" s="114"/>
      <c r="AX894" s="114"/>
      <c r="AY894" s="114"/>
      <c r="AZ894" s="114"/>
      <c r="BA894" s="114"/>
      <c r="BB894" s="114"/>
      <c r="BC894" s="114"/>
      <c r="BD894" s="114"/>
      <c r="BE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5"/>
      <c r="Y895" s="114"/>
      <c r="Z895" s="117" t="s">
        <v>6548</v>
      </c>
      <c r="AA895" s="117" t="s">
        <v>4799</v>
      </c>
      <c r="AB895" s="114"/>
      <c r="AC895" s="114"/>
      <c r="AD895" s="114"/>
      <c r="AE895" s="114"/>
      <c r="AF895" s="114"/>
      <c r="AG895" s="114"/>
      <c r="AH895" s="114"/>
      <c r="AI895" s="116"/>
      <c r="AJ895" s="114"/>
      <c r="AK895" s="114"/>
      <c r="AL895" s="114"/>
      <c r="AM895" s="114"/>
      <c r="AN895" s="114"/>
      <c r="AO895" s="114"/>
      <c r="AP895" s="114"/>
      <c r="AQ895" s="114"/>
      <c r="AR895" s="114"/>
      <c r="AS895" s="114"/>
      <c r="AT895" s="114"/>
      <c r="AU895" s="114"/>
      <c r="AV895" s="114"/>
      <c r="AW895" s="114"/>
      <c r="AX895" s="114"/>
      <c r="AY895" s="114"/>
      <c r="AZ895" s="114"/>
      <c r="BA895" s="114"/>
      <c r="BB895" s="114"/>
      <c r="BC895" s="114"/>
      <c r="BD895" s="114"/>
      <c r="BE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5"/>
      <c r="Y896" s="114"/>
      <c r="Z896" s="117" t="s">
        <v>6549</v>
      </c>
      <c r="AA896" s="117" t="s">
        <v>4801</v>
      </c>
      <c r="AB896" s="114"/>
      <c r="AC896" s="114"/>
      <c r="AD896" s="114"/>
      <c r="AE896" s="114"/>
      <c r="AF896" s="114"/>
      <c r="AG896" s="114"/>
      <c r="AH896" s="114"/>
      <c r="AI896" s="116"/>
      <c r="AJ896" s="114"/>
      <c r="AK896" s="114"/>
      <c r="AL896" s="114"/>
      <c r="AM896" s="114"/>
      <c r="AN896" s="114"/>
      <c r="AO896" s="114"/>
      <c r="AP896" s="114"/>
      <c r="AQ896" s="114"/>
      <c r="AR896" s="114"/>
      <c r="AS896" s="114"/>
      <c r="AT896" s="114"/>
      <c r="AU896" s="114"/>
      <c r="AV896" s="114"/>
      <c r="AW896" s="114"/>
      <c r="AX896" s="114"/>
      <c r="AY896" s="114"/>
      <c r="AZ896" s="114"/>
      <c r="BA896" s="114"/>
      <c r="BB896" s="114"/>
      <c r="BC896" s="114"/>
      <c r="BD896" s="114"/>
      <c r="BE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5"/>
      <c r="Y897" s="114"/>
      <c r="Z897" s="117" t="s">
        <v>6550</v>
      </c>
      <c r="AA897" s="117" t="s">
        <v>4802</v>
      </c>
      <c r="AB897" s="114"/>
      <c r="AC897" s="114"/>
      <c r="AD897" s="114"/>
      <c r="AE897" s="114"/>
      <c r="AF897" s="114"/>
      <c r="AG897" s="114"/>
      <c r="AH897" s="114"/>
      <c r="AI897" s="116"/>
      <c r="AJ897" s="114"/>
      <c r="AK897" s="114"/>
      <c r="AL897" s="114"/>
      <c r="AM897" s="114"/>
      <c r="AN897" s="114"/>
      <c r="AO897" s="114"/>
      <c r="AP897" s="114"/>
      <c r="AQ897" s="114"/>
      <c r="AR897" s="114"/>
      <c r="AS897" s="114"/>
      <c r="AT897" s="114"/>
      <c r="AU897" s="114"/>
      <c r="AV897" s="114"/>
      <c r="AW897" s="114"/>
      <c r="AX897" s="114"/>
      <c r="AY897" s="114"/>
      <c r="AZ897" s="114"/>
      <c r="BA897" s="114"/>
      <c r="BB897" s="114"/>
      <c r="BC897" s="114"/>
      <c r="BD897" s="114"/>
      <c r="BE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5"/>
      <c r="Y898" s="114"/>
      <c r="Z898" s="117" t="s">
        <v>6551</v>
      </c>
      <c r="AA898" s="117" t="s">
        <v>4800</v>
      </c>
      <c r="AB898" s="114"/>
      <c r="AC898" s="114"/>
      <c r="AD898" s="114"/>
      <c r="AE898" s="114"/>
      <c r="AF898" s="114"/>
      <c r="AG898" s="114"/>
      <c r="AH898" s="114"/>
      <c r="AI898" s="116"/>
      <c r="AJ898" s="114"/>
      <c r="AK898" s="114"/>
      <c r="AL898" s="114"/>
      <c r="AM898" s="114"/>
      <c r="AN898" s="114"/>
      <c r="AO898" s="114"/>
      <c r="AP898" s="114"/>
      <c r="AQ898" s="114"/>
      <c r="AR898" s="114"/>
      <c r="AS898" s="114"/>
      <c r="AT898" s="114"/>
      <c r="AU898" s="114"/>
      <c r="AV898" s="114"/>
      <c r="AW898" s="114"/>
      <c r="AX898" s="114"/>
      <c r="AY898" s="114"/>
      <c r="AZ898" s="114"/>
      <c r="BA898" s="114"/>
      <c r="BB898" s="114"/>
      <c r="BC898" s="114"/>
      <c r="BD898" s="114"/>
      <c r="BE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5"/>
      <c r="Y899" s="114"/>
      <c r="Z899" s="117" t="s">
        <v>6552</v>
      </c>
      <c r="AA899" s="117" t="s">
        <v>4810</v>
      </c>
      <c r="AB899" s="114"/>
      <c r="AC899" s="114"/>
      <c r="AD899" s="114"/>
      <c r="AE899" s="114"/>
      <c r="AF899" s="114"/>
      <c r="AG899" s="114"/>
      <c r="AH899" s="114"/>
      <c r="AI899" s="116"/>
      <c r="AJ899" s="114"/>
      <c r="AK899" s="114"/>
      <c r="AL899" s="114"/>
      <c r="AM899" s="114"/>
      <c r="AN899" s="114"/>
      <c r="AO899" s="114"/>
      <c r="AP899" s="114"/>
      <c r="AQ899" s="114"/>
      <c r="AR899" s="114"/>
      <c r="AS899" s="114"/>
      <c r="AT899" s="114"/>
      <c r="AU899" s="114"/>
      <c r="AV899" s="114"/>
      <c r="AW899" s="114"/>
      <c r="AX899" s="114"/>
      <c r="AY899" s="114"/>
      <c r="AZ899" s="114"/>
      <c r="BA899" s="114"/>
      <c r="BB899" s="114"/>
      <c r="BC899" s="114"/>
      <c r="BD899" s="114"/>
      <c r="BE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5"/>
      <c r="Y900" s="114"/>
      <c r="Z900" s="117" t="s">
        <v>6553</v>
      </c>
      <c r="AA900" s="117" t="s">
        <v>4812</v>
      </c>
      <c r="AB900" s="114"/>
      <c r="AC900" s="114"/>
      <c r="AD900" s="114"/>
      <c r="AE900" s="114"/>
      <c r="AF900" s="114"/>
      <c r="AG900" s="114"/>
      <c r="AH900" s="114"/>
      <c r="AI900" s="116"/>
      <c r="AJ900" s="114"/>
      <c r="AK900" s="114"/>
      <c r="AL900" s="114"/>
      <c r="AM900" s="114"/>
      <c r="AN900" s="114"/>
      <c r="AO900" s="114"/>
      <c r="AP900" s="114"/>
      <c r="AQ900" s="114"/>
      <c r="AR900" s="114"/>
      <c r="AS900" s="114"/>
      <c r="AT900" s="114"/>
      <c r="AU900" s="114"/>
      <c r="AV900" s="114"/>
      <c r="AW900" s="114"/>
      <c r="AX900" s="114"/>
      <c r="AY900" s="114"/>
      <c r="AZ900" s="114"/>
      <c r="BA900" s="114"/>
      <c r="BB900" s="114"/>
      <c r="BC900" s="114"/>
      <c r="BD900" s="114"/>
      <c r="BE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5"/>
      <c r="Y901" s="114"/>
      <c r="Z901" s="117" t="s">
        <v>6554</v>
      </c>
      <c r="AA901" s="117" t="s">
        <v>4813</v>
      </c>
      <c r="AB901" s="114"/>
      <c r="AC901" s="114"/>
      <c r="AD901" s="114"/>
      <c r="AE901" s="114"/>
      <c r="AF901" s="114"/>
      <c r="AG901" s="114"/>
      <c r="AH901" s="114"/>
      <c r="AI901" s="116"/>
      <c r="AJ901" s="114"/>
      <c r="AK901" s="114"/>
      <c r="AL901" s="114"/>
      <c r="AM901" s="114"/>
      <c r="AN901" s="114"/>
      <c r="AO901" s="114"/>
      <c r="AP901" s="114"/>
      <c r="AQ901" s="114"/>
      <c r="AR901" s="114"/>
      <c r="AS901" s="114"/>
      <c r="AT901" s="114"/>
      <c r="AU901" s="114"/>
      <c r="AV901" s="114"/>
      <c r="AW901" s="114"/>
      <c r="AX901" s="114"/>
      <c r="AY901" s="114"/>
      <c r="AZ901" s="114"/>
      <c r="BA901" s="114"/>
      <c r="BB901" s="114"/>
      <c r="BC901" s="114"/>
      <c r="BD901" s="114"/>
      <c r="BE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5"/>
      <c r="Y902" s="114"/>
      <c r="Z902" s="117" t="s">
        <v>6555</v>
      </c>
      <c r="AA902" s="117" t="s">
        <v>4811</v>
      </c>
      <c r="AB902" s="114"/>
      <c r="AC902" s="114"/>
      <c r="AD902" s="114"/>
      <c r="AE902" s="114"/>
      <c r="AF902" s="114"/>
      <c r="AG902" s="114"/>
      <c r="AH902" s="114"/>
      <c r="AI902" s="116"/>
      <c r="AJ902" s="114"/>
      <c r="AK902" s="114"/>
      <c r="AL902" s="114"/>
      <c r="AM902" s="114"/>
      <c r="AN902" s="114"/>
      <c r="AO902" s="114"/>
      <c r="AP902" s="114"/>
      <c r="AQ902" s="114"/>
      <c r="AR902" s="114"/>
      <c r="AS902" s="114"/>
      <c r="AT902" s="114"/>
      <c r="AU902" s="114"/>
      <c r="AV902" s="114"/>
      <c r="AW902" s="114"/>
      <c r="AX902" s="114"/>
      <c r="AY902" s="114"/>
      <c r="AZ902" s="114"/>
      <c r="BA902" s="114"/>
      <c r="BB902" s="114"/>
      <c r="BC902" s="114"/>
      <c r="BD902" s="114"/>
      <c r="BE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5"/>
      <c r="Y903" s="114"/>
      <c r="Z903" s="117" t="s">
        <v>6556</v>
      </c>
      <c r="AA903" s="117" t="s">
        <v>4821</v>
      </c>
      <c r="AB903" s="114"/>
      <c r="AC903" s="114"/>
      <c r="AD903" s="114"/>
      <c r="AE903" s="114"/>
      <c r="AF903" s="114"/>
      <c r="AG903" s="114"/>
      <c r="AH903" s="114"/>
      <c r="AI903" s="116"/>
      <c r="AJ903" s="114"/>
      <c r="AK903" s="114"/>
      <c r="AL903" s="114"/>
      <c r="AM903" s="114"/>
      <c r="AN903" s="114"/>
      <c r="AO903" s="114"/>
      <c r="AP903" s="114"/>
      <c r="AQ903" s="114"/>
      <c r="AR903" s="114"/>
      <c r="AS903" s="114"/>
      <c r="AT903" s="114"/>
      <c r="AU903" s="114"/>
      <c r="AV903" s="114"/>
      <c r="AW903" s="114"/>
      <c r="AX903" s="114"/>
      <c r="AY903" s="114"/>
      <c r="AZ903" s="114"/>
      <c r="BA903" s="114"/>
      <c r="BB903" s="114"/>
      <c r="BC903" s="114"/>
      <c r="BD903" s="114"/>
      <c r="BE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5"/>
      <c r="Y904" s="114"/>
      <c r="Z904" s="117" t="s">
        <v>6557</v>
      </c>
      <c r="AA904" s="117" t="s">
        <v>4823</v>
      </c>
      <c r="AB904" s="114"/>
      <c r="AC904" s="114"/>
      <c r="AD904" s="114"/>
      <c r="AE904" s="114"/>
      <c r="AF904" s="114"/>
      <c r="AG904" s="114"/>
      <c r="AH904" s="114"/>
      <c r="AI904" s="116"/>
      <c r="AJ904" s="114"/>
      <c r="AK904" s="114"/>
      <c r="AL904" s="114"/>
      <c r="AM904" s="114"/>
      <c r="AN904" s="114"/>
      <c r="AO904" s="114"/>
      <c r="AP904" s="114"/>
      <c r="AQ904" s="114"/>
      <c r="AR904" s="114"/>
      <c r="AS904" s="114"/>
      <c r="AT904" s="114"/>
      <c r="AU904" s="114"/>
      <c r="AV904" s="114"/>
      <c r="AW904" s="114"/>
      <c r="AX904" s="114"/>
      <c r="AY904" s="114"/>
      <c r="AZ904" s="114"/>
      <c r="BA904" s="114"/>
      <c r="BB904" s="114"/>
      <c r="BC904" s="114"/>
      <c r="BD904" s="114"/>
      <c r="BE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5"/>
      <c r="Y905" s="114"/>
      <c r="Z905" s="117" t="s">
        <v>6558</v>
      </c>
      <c r="AA905" s="117" t="s">
        <v>4824</v>
      </c>
      <c r="AB905" s="114"/>
      <c r="AC905" s="114"/>
      <c r="AD905" s="114"/>
      <c r="AE905" s="114"/>
      <c r="AF905" s="114"/>
      <c r="AG905" s="114"/>
      <c r="AH905" s="114"/>
      <c r="AI905" s="116"/>
      <c r="AJ905" s="114"/>
      <c r="AK905" s="114"/>
      <c r="AL905" s="114"/>
      <c r="AM905" s="114"/>
      <c r="AN905" s="114"/>
      <c r="AO905" s="114"/>
      <c r="AP905" s="114"/>
      <c r="AQ905" s="114"/>
      <c r="AR905" s="114"/>
      <c r="AS905" s="114"/>
      <c r="AT905" s="114"/>
      <c r="AU905" s="114"/>
      <c r="AV905" s="114"/>
      <c r="AW905" s="114"/>
      <c r="AX905" s="114"/>
      <c r="AY905" s="114"/>
      <c r="AZ905" s="114"/>
      <c r="BA905" s="114"/>
      <c r="BB905" s="114"/>
      <c r="BC905" s="114"/>
      <c r="BD905" s="114"/>
      <c r="BE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5"/>
      <c r="Y906" s="114"/>
      <c r="Z906" s="117" t="s">
        <v>6559</v>
      </c>
      <c r="AA906" s="117" t="s">
        <v>4822</v>
      </c>
      <c r="AB906" s="114"/>
      <c r="AC906" s="114"/>
      <c r="AD906" s="114"/>
      <c r="AE906" s="114"/>
      <c r="AF906" s="114"/>
      <c r="AG906" s="114"/>
      <c r="AH906" s="114"/>
      <c r="AI906" s="116"/>
      <c r="AJ906" s="114"/>
      <c r="AK906" s="114"/>
      <c r="AL906" s="114"/>
      <c r="AM906" s="114"/>
      <c r="AN906" s="114"/>
      <c r="AO906" s="114"/>
      <c r="AP906" s="114"/>
      <c r="AQ906" s="114"/>
      <c r="AR906" s="114"/>
      <c r="AS906" s="114"/>
      <c r="AT906" s="114"/>
      <c r="AU906" s="114"/>
      <c r="AV906" s="114"/>
      <c r="AW906" s="114"/>
      <c r="AX906" s="114"/>
      <c r="AY906" s="114"/>
      <c r="AZ906" s="114"/>
      <c r="BA906" s="114"/>
      <c r="BB906" s="114"/>
      <c r="BC906" s="114"/>
      <c r="BD906" s="114"/>
      <c r="BE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5"/>
      <c r="Y907" s="114"/>
      <c r="Z907" s="117" t="s">
        <v>6560</v>
      </c>
      <c r="AA907" s="117" t="s">
        <v>4832</v>
      </c>
      <c r="AB907" s="114"/>
      <c r="AC907" s="114"/>
      <c r="AD907" s="114"/>
      <c r="AE907" s="114"/>
      <c r="AF907" s="114"/>
      <c r="AG907" s="114"/>
      <c r="AH907" s="114"/>
      <c r="AI907" s="116"/>
      <c r="AJ907" s="114"/>
      <c r="AK907" s="114"/>
      <c r="AL907" s="114"/>
      <c r="AM907" s="114"/>
      <c r="AN907" s="114"/>
      <c r="AO907" s="114"/>
      <c r="AP907" s="114"/>
      <c r="AQ907" s="114"/>
      <c r="AR907" s="114"/>
      <c r="AS907" s="114"/>
      <c r="AT907" s="114"/>
      <c r="AU907" s="114"/>
      <c r="AV907" s="114"/>
      <c r="AW907" s="114"/>
      <c r="AX907" s="114"/>
      <c r="AY907" s="114"/>
      <c r="AZ907" s="114"/>
      <c r="BA907" s="114"/>
      <c r="BB907" s="114"/>
      <c r="BC907" s="114"/>
      <c r="BD907" s="114"/>
      <c r="BE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5"/>
      <c r="Y908" s="114"/>
      <c r="Z908" s="117" t="s">
        <v>6561</v>
      </c>
      <c r="AA908" s="117" t="s">
        <v>4834</v>
      </c>
      <c r="AB908" s="114"/>
      <c r="AC908" s="114"/>
      <c r="AD908" s="114"/>
      <c r="AE908" s="114"/>
      <c r="AF908" s="114"/>
      <c r="AG908" s="114"/>
      <c r="AH908" s="114"/>
      <c r="AI908" s="116"/>
      <c r="AJ908" s="114"/>
      <c r="AK908" s="114"/>
      <c r="AL908" s="114"/>
      <c r="AM908" s="114"/>
      <c r="AN908" s="114"/>
      <c r="AO908" s="114"/>
      <c r="AP908" s="114"/>
      <c r="AQ908" s="114"/>
      <c r="AR908" s="114"/>
      <c r="AS908" s="114"/>
      <c r="AT908" s="114"/>
      <c r="AU908" s="114"/>
      <c r="AV908" s="114"/>
      <c r="AW908" s="114"/>
      <c r="AX908" s="114"/>
      <c r="AY908" s="114"/>
      <c r="AZ908" s="114"/>
      <c r="BA908" s="114"/>
      <c r="BB908" s="114"/>
      <c r="BC908" s="114"/>
      <c r="BD908" s="114"/>
      <c r="BE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5"/>
      <c r="Y909" s="114"/>
      <c r="Z909" s="117" t="s">
        <v>6562</v>
      </c>
      <c r="AA909" s="117" t="s">
        <v>4835</v>
      </c>
      <c r="AB909" s="114"/>
      <c r="AC909" s="114"/>
      <c r="AD909" s="114"/>
      <c r="AE909" s="114"/>
      <c r="AF909" s="114"/>
      <c r="AG909" s="114"/>
      <c r="AH909" s="114"/>
      <c r="AI909" s="116"/>
      <c r="AJ909" s="114"/>
      <c r="AK909" s="114"/>
      <c r="AL909" s="114"/>
      <c r="AM909" s="114"/>
      <c r="AN909" s="114"/>
      <c r="AO909" s="114"/>
      <c r="AP909" s="114"/>
      <c r="AQ909" s="114"/>
      <c r="AR909" s="114"/>
      <c r="AS909" s="114"/>
      <c r="AT909" s="114"/>
      <c r="AU909" s="114"/>
      <c r="AV909" s="114"/>
      <c r="AW909" s="114"/>
      <c r="AX909" s="114"/>
      <c r="AY909" s="114"/>
      <c r="AZ909" s="114"/>
      <c r="BA909" s="114"/>
      <c r="BB909" s="114"/>
      <c r="BC909" s="114"/>
      <c r="BD909" s="114"/>
      <c r="BE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5"/>
      <c r="Y910" s="114"/>
      <c r="Z910" s="117" t="s">
        <v>6563</v>
      </c>
      <c r="AA910" s="117" t="s">
        <v>4833</v>
      </c>
      <c r="AB910" s="114"/>
      <c r="AC910" s="114"/>
      <c r="AD910" s="114"/>
      <c r="AE910" s="114"/>
      <c r="AF910" s="114"/>
      <c r="AG910" s="114"/>
      <c r="AH910" s="114"/>
      <c r="AI910" s="116"/>
      <c r="AJ910" s="114"/>
      <c r="AK910" s="114"/>
      <c r="AL910" s="114"/>
      <c r="AM910" s="114"/>
      <c r="AN910" s="114"/>
      <c r="AO910" s="114"/>
      <c r="AP910" s="114"/>
      <c r="AQ910" s="114"/>
      <c r="AR910" s="114"/>
      <c r="AS910" s="114"/>
      <c r="AT910" s="114"/>
      <c r="AU910" s="114"/>
      <c r="AV910" s="114"/>
      <c r="AW910" s="114"/>
      <c r="AX910" s="114"/>
      <c r="AY910" s="114"/>
      <c r="AZ910" s="114"/>
      <c r="BA910" s="114"/>
      <c r="BB910" s="114"/>
      <c r="BC910" s="114"/>
      <c r="BD910" s="114"/>
      <c r="BE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5"/>
      <c r="Y911" s="114"/>
      <c r="Z911" s="117" t="s">
        <v>6564</v>
      </c>
      <c r="AA911" s="117" t="s">
        <v>4843</v>
      </c>
      <c r="AB911" s="114"/>
      <c r="AC911" s="114"/>
      <c r="AD911" s="114"/>
      <c r="AE911" s="114"/>
      <c r="AF911" s="114"/>
      <c r="AG911" s="114"/>
      <c r="AH911" s="114"/>
      <c r="AI911" s="116"/>
      <c r="AJ911" s="114"/>
      <c r="AK911" s="114"/>
      <c r="AL911" s="114"/>
      <c r="AM911" s="114"/>
      <c r="AN911" s="114"/>
      <c r="AO911" s="114"/>
      <c r="AP911" s="114"/>
      <c r="AQ911" s="114"/>
      <c r="AR911" s="114"/>
      <c r="AS911" s="114"/>
      <c r="AT911" s="114"/>
      <c r="AU911" s="114"/>
      <c r="AV911" s="114"/>
      <c r="AW911" s="114"/>
      <c r="AX911" s="114"/>
      <c r="AY911" s="114"/>
      <c r="AZ911" s="114"/>
      <c r="BA911" s="114"/>
      <c r="BB911" s="114"/>
      <c r="BC911" s="114"/>
      <c r="BD911" s="114"/>
      <c r="BE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5"/>
      <c r="Y912" s="114"/>
      <c r="Z912" s="117" t="s">
        <v>6565</v>
      </c>
      <c r="AA912" s="117" t="s">
        <v>4845</v>
      </c>
      <c r="AB912" s="114"/>
      <c r="AC912" s="114"/>
      <c r="AD912" s="114"/>
      <c r="AE912" s="114"/>
      <c r="AF912" s="114"/>
      <c r="AG912" s="114"/>
      <c r="AH912" s="114"/>
      <c r="AI912" s="116"/>
      <c r="AJ912" s="114"/>
      <c r="AK912" s="114"/>
      <c r="AL912" s="114"/>
      <c r="AM912" s="114"/>
      <c r="AN912" s="114"/>
      <c r="AO912" s="114"/>
      <c r="AP912" s="114"/>
      <c r="AQ912" s="114"/>
      <c r="AR912" s="114"/>
      <c r="AS912" s="114"/>
      <c r="AT912" s="114"/>
      <c r="AU912" s="114"/>
      <c r="AV912" s="114"/>
      <c r="AW912" s="114"/>
      <c r="AX912" s="114"/>
      <c r="AY912" s="114"/>
      <c r="AZ912" s="114"/>
      <c r="BA912" s="114"/>
      <c r="BB912" s="114"/>
      <c r="BC912" s="114"/>
      <c r="BD912" s="114"/>
      <c r="BE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5"/>
      <c r="Y913" s="114"/>
      <c r="Z913" s="117" t="s">
        <v>6566</v>
      </c>
      <c r="AA913" s="117" t="s">
        <v>4846</v>
      </c>
      <c r="AB913" s="114"/>
      <c r="AC913" s="114"/>
      <c r="AD913" s="114"/>
      <c r="AE913" s="114"/>
      <c r="AF913" s="114"/>
      <c r="AG913" s="114"/>
      <c r="AH913" s="114"/>
      <c r="AI913" s="116"/>
      <c r="AJ913" s="114"/>
      <c r="AK913" s="114"/>
      <c r="AL913" s="114"/>
      <c r="AM913" s="114"/>
      <c r="AN913" s="114"/>
      <c r="AO913" s="114"/>
      <c r="AP913" s="114"/>
      <c r="AQ913" s="114"/>
      <c r="AR913" s="114"/>
      <c r="AS913" s="114"/>
      <c r="AT913" s="114"/>
      <c r="AU913" s="114"/>
      <c r="AV913" s="114"/>
      <c r="AW913" s="114"/>
      <c r="AX913" s="114"/>
      <c r="AY913" s="114"/>
      <c r="AZ913" s="114"/>
      <c r="BA913" s="114"/>
      <c r="BB913" s="114"/>
      <c r="BC913" s="114"/>
      <c r="BD913" s="114"/>
      <c r="BE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5"/>
      <c r="Y914" s="114"/>
      <c r="Z914" s="117" t="s">
        <v>6567</v>
      </c>
      <c r="AA914" s="117" t="s">
        <v>4844</v>
      </c>
      <c r="AB914" s="114"/>
      <c r="AC914" s="114"/>
      <c r="AD914" s="114"/>
      <c r="AE914" s="114"/>
      <c r="AF914" s="114"/>
      <c r="AG914" s="114"/>
      <c r="AH914" s="114"/>
      <c r="AI914" s="116"/>
      <c r="AJ914" s="114"/>
      <c r="AK914" s="114"/>
      <c r="AL914" s="114"/>
      <c r="AM914" s="114"/>
      <c r="AN914" s="114"/>
      <c r="AO914" s="114"/>
      <c r="AP914" s="114"/>
      <c r="AQ914" s="114"/>
      <c r="AR914" s="114"/>
      <c r="AS914" s="114"/>
      <c r="AT914" s="114"/>
      <c r="AU914" s="114"/>
      <c r="AV914" s="114"/>
      <c r="AW914" s="114"/>
      <c r="AX914" s="114"/>
      <c r="AY914" s="114"/>
      <c r="AZ914" s="114"/>
      <c r="BA914" s="114"/>
      <c r="BB914" s="114"/>
      <c r="BC914" s="114"/>
      <c r="BD914" s="114"/>
      <c r="BE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5"/>
      <c r="Y915" s="114"/>
      <c r="Z915" s="117" t="s">
        <v>6568</v>
      </c>
      <c r="AA915" s="117" t="s">
        <v>4854</v>
      </c>
      <c r="AB915" s="114"/>
      <c r="AC915" s="114"/>
      <c r="AD915" s="114"/>
      <c r="AE915" s="114"/>
      <c r="AF915" s="114"/>
      <c r="AG915" s="114"/>
      <c r="AH915" s="114"/>
      <c r="AI915" s="116"/>
      <c r="AJ915" s="114"/>
      <c r="AK915" s="114"/>
      <c r="AL915" s="114"/>
      <c r="AM915" s="114"/>
      <c r="AN915" s="114"/>
      <c r="AO915" s="114"/>
      <c r="AP915" s="114"/>
      <c r="AQ915" s="114"/>
      <c r="AR915" s="114"/>
      <c r="AS915" s="114"/>
      <c r="AT915" s="114"/>
      <c r="AU915" s="114"/>
      <c r="AV915" s="114"/>
      <c r="AW915" s="114"/>
      <c r="AX915" s="114"/>
      <c r="AY915" s="114"/>
      <c r="AZ915" s="114"/>
      <c r="BA915" s="114"/>
      <c r="BB915" s="114"/>
      <c r="BC915" s="114"/>
      <c r="BD915" s="114"/>
      <c r="BE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5"/>
      <c r="Y916" s="114"/>
      <c r="Z916" s="117" t="s">
        <v>6569</v>
      </c>
      <c r="AA916" s="117" t="s">
        <v>4856</v>
      </c>
      <c r="AB916" s="114"/>
      <c r="AC916" s="114"/>
      <c r="AD916" s="114"/>
      <c r="AE916" s="114"/>
      <c r="AF916" s="114"/>
      <c r="AG916" s="114"/>
      <c r="AH916" s="114"/>
      <c r="AI916" s="116"/>
      <c r="AJ916" s="114"/>
      <c r="AK916" s="114"/>
      <c r="AL916" s="114"/>
      <c r="AM916" s="114"/>
      <c r="AN916" s="114"/>
      <c r="AO916" s="114"/>
      <c r="AP916" s="114"/>
      <c r="AQ916" s="114"/>
      <c r="AR916" s="114"/>
      <c r="AS916" s="114"/>
      <c r="AT916" s="114"/>
      <c r="AU916" s="114"/>
      <c r="AV916" s="114"/>
      <c r="AW916" s="114"/>
      <c r="AX916" s="114"/>
      <c r="AY916" s="114"/>
      <c r="AZ916" s="114"/>
      <c r="BA916" s="114"/>
      <c r="BB916" s="114"/>
      <c r="BC916" s="114"/>
      <c r="BD916" s="114"/>
      <c r="BE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5"/>
      <c r="Y917" s="114"/>
      <c r="Z917" s="117" t="s">
        <v>6570</v>
      </c>
      <c r="AA917" s="117" t="s">
        <v>4857</v>
      </c>
      <c r="AB917" s="114"/>
      <c r="AC917" s="114"/>
      <c r="AD917" s="114"/>
      <c r="AE917" s="114"/>
      <c r="AF917" s="114"/>
      <c r="AG917" s="114"/>
      <c r="AH917" s="114"/>
      <c r="AI917" s="116"/>
      <c r="AJ917" s="114"/>
      <c r="AK917" s="114"/>
      <c r="AL917" s="114"/>
      <c r="AM917" s="114"/>
      <c r="AN917" s="114"/>
      <c r="AO917" s="114"/>
      <c r="AP917" s="114"/>
      <c r="AQ917" s="114"/>
      <c r="AR917" s="114"/>
      <c r="AS917" s="114"/>
      <c r="AT917" s="114"/>
      <c r="AU917" s="114"/>
      <c r="AV917" s="114"/>
      <c r="AW917" s="114"/>
      <c r="AX917" s="114"/>
      <c r="AY917" s="114"/>
      <c r="AZ917" s="114"/>
      <c r="BA917" s="114"/>
      <c r="BB917" s="114"/>
      <c r="BC917" s="114"/>
      <c r="BD917" s="114"/>
      <c r="BE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5"/>
      <c r="Y918" s="114"/>
      <c r="Z918" s="117" t="s">
        <v>6571</v>
      </c>
      <c r="AA918" s="117" t="s">
        <v>4855</v>
      </c>
      <c r="AB918" s="114"/>
      <c r="AC918" s="114"/>
      <c r="AD918" s="114"/>
      <c r="AE918" s="114"/>
      <c r="AF918" s="114"/>
      <c r="AG918" s="114"/>
      <c r="AH918" s="114"/>
      <c r="AI918" s="116"/>
      <c r="AJ918" s="114"/>
      <c r="AK918" s="114"/>
      <c r="AL918" s="114"/>
      <c r="AM918" s="114"/>
      <c r="AN918" s="114"/>
      <c r="AO918" s="114"/>
      <c r="AP918" s="114"/>
      <c r="AQ918" s="114"/>
      <c r="AR918" s="114"/>
      <c r="AS918" s="114"/>
      <c r="AT918" s="114"/>
      <c r="AU918" s="114"/>
      <c r="AV918" s="114"/>
      <c r="AW918" s="114"/>
      <c r="AX918" s="114"/>
      <c r="AY918" s="114"/>
      <c r="AZ918" s="114"/>
      <c r="BA918" s="114"/>
      <c r="BB918" s="114"/>
      <c r="BC918" s="114"/>
      <c r="BD918" s="114"/>
      <c r="BE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5"/>
      <c r="Y919" s="114"/>
      <c r="Z919" s="117" t="s">
        <v>6572</v>
      </c>
      <c r="AA919" s="117" t="s">
        <v>4865</v>
      </c>
      <c r="AB919" s="114"/>
      <c r="AC919" s="114"/>
      <c r="AD919" s="114"/>
      <c r="AE919" s="114"/>
      <c r="AF919" s="114"/>
      <c r="AG919" s="114"/>
      <c r="AH919" s="114"/>
      <c r="AI919" s="116"/>
      <c r="AJ919" s="114"/>
      <c r="AK919" s="114"/>
      <c r="AL919" s="114"/>
      <c r="AM919" s="114"/>
      <c r="AN919" s="114"/>
      <c r="AO919" s="114"/>
      <c r="AP919" s="114"/>
      <c r="AQ919" s="114"/>
      <c r="AR919" s="114"/>
      <c r="AS919" s="114"/>
      <c r="AT919" s="114"/>
      <c r="AU919" s="114"/>
      <c r="AV919" s="114"/>
      <c r="AW919" s="114"/>
      <c r="AX919" s="114"/>
      <c r="AY919" s="114"/>
      <c r="AZ919" s="114"/>
      <c r="BA919" s="114"/>
      <c r="BB919" s="114"/>
      <c r="BC919" s="114"/>
      <c r="BD919" s="114"/>
      <c r="BE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5"/>
      <c r="Y920" s="114"/>
      <c r="Z920" s="117" t="s">
        <v>6573</v>
      </c>
      <c r="AA920" s="117" t="s">
        <v>4867</v>
      </c>
      <c r="AB920" s="114"/>
      <c r="AC920" s="114"/>
      <c r="AD920" s="114"/>
      <c r="AE920" s="114"/>
      <c r="AF920" s="114"/>
      <c r="AG920" s="114"/>
      <c r="AH920" s="114"/>
      <c r="AI920" s="116"/>
      <c r="AJ920" s="114"/>
      <c r="AK920" s="114"/>
      <c r="AL920" s="114"/>
      <c r="AM920" s="114"/>
      <c r="AN920" s="114"/>
      <c r="AO920" s="114"/>
      <c r="AP920" s="114"/>
      <c r="AQ920" s="114"/>
      <c r="AR920" s="114"/>
      <c r="AS920" s="114"/>
      <c r="AT920" s="114"/>
      <c r="AU920" s="114"/>
      <c r="AV920" s="114"/>
      <c r="AW920" s="114"/>
      <c r="AX920" s="114"/>
      <c r="AY920" s="114"/>
      <c r="AZ920" s="114"/>
      <c r="BA920" s="114"/>
      <c r="BB920" s="114"/>
      <c r="BC920" s="114"/>
      <c r="BD920" s="114"/>
      <c r="BE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5"/>
      <c r="Y921" s="114"/>
      <c r="Z921" s="117" t="s">
        <v>6574</v>
      </c>
      <c r="AA921" s="117" t="s">
        <v>4868</v>
      </c>
      <c r="AB921" s="114"/>
      <c r="AC921" s="114"/>
      <c r="AD921" s="114"/>
      <c r="AE921" s="114"/>
      <c r="AF921" s="114"/>
      <c r="AG921" s="114"/>
      <c r="AH921" s="114"/>
      <c r="AI921" s="116"/>
      <c r="AJ921" s="114"/>
      <c r="AK921" s="114"/>
      <c r="AL921" s="114"/>
      <c r="AM921" s="114"/>
      <c r="AN921" s="114"/>
      <c r="AO921" s="114"/>
      <c r="AP921" s="114"/>
      <c r="AQ921" s="114"/>
      <c r="AR921" s="114"/>
      <c r="AS921" s="114"/>
      <c r="AT921" s="114"/>
      <c r="AU921" s="114"/>
      <c r="AV921" s="114"/>
      <c r="AW921" s="114"/>
      <c r="AX921" s="114"/>
      <c r="AY921" s="114"/>
      <c r="AZ921" s="114"/>
      <c r="BA921" s="114"/>
      <c r="BB921" s="114"/>
      <c r="BC921" s="114"/>
      <c r="BD921" s="114"/>
      <c r="BE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5"/>
      <c r="Y922" s="114"/>
      <c r="Z922" s="117" t="s">
        <v>6575</v>
      </c>
      <c r="AA922" s="117" t="s">
        <v>4866</v>
      </c>
      <c r="AB922" s="114"/>
      <c r="AC922" s="114"/>
      <c r="AD922" s="114"/>
      <c r="AE922" s="114"/>
      <c r="AF922" s="114"/>
      <c r="AG922" s="114"/>
      <c r="AH922" s="114"/>
      <c r="AI922" s="116"/>
      <c r="AJ922" s="114"/>
      <c r="AK922" s="114"/>
      <c r="AL922" s="114"/>
      <c r="AM922" s="114"/>
      <c r="AN922" s="114"/>
      <c r="AO922" s="114"/>
      <c r="AP922" s="114"/>
      <c r="AQ922" s="114"/>
      <c r="AR922" s="114"/>
      <c r="AS922" s="114"/>
      <c r="AT922" s="114"/>
      <c r="AU922" s="114"/>
      <c r="AV922" s="114"/>
      <c r="AW922" s="114"/>
      <c r="AX922" s="114"/>
      <c r="AY922" s="114"/>
      <c r="AZ922" s="114"/>
      <c r="BA922" s="114"/>
      <c r="BB922" s="114"/>
      <c r="BC922" s="114"/>
      <c r="BD922" s="114"/>
      <c r="BE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5"/>
      <c r="Y923" s="114"/>
      <c r="Z923" s="117" t="s">
        <v>6576</v>
      </c>
      <c r="AA923" s="117" t="s">
        <v>4876</v>
      </c>
      <c r="AB923" s="114"/>
      <c r="AC923" s="114"/>
      <c r="AD923" s="114"/>
      <c r="AE923" s="114"/>
      <c r="AF923" s="114"/>
      <c r="AG923" s="114"/>
      <c r="AH923" s="114"/>
      <c r="AI923" s="116"/>
      <c r="AJ923" s="114"/>
      <c r="AK923" s="114"/>
      <c r="AL923" s="114"/>
      <c r="AM923" s="114"/>
      <c r="AN923" s="114"/>
      <c r="AO923" s="114"/>
      <c r="AP923" s="114"/>
      <c r="AQ923" s="114"/>
      <c r="AR923" s="114"/>
      <c r="AS923" s="114"/>
      <c r="AT923" s="114"/>
      <c r="AU923" s="114"/>
      <c r="AV923" s="114"/>
      <c r="AW923" s="114"/>
      <c r="AX923" s="114"/>
      <c r="AY923" s="114"/>
      <c r="AZ923" s="114"/>
      <c r="BA923" s="114"/>
      <c r="BB923" s="114"/>
      <c r="BC923" s="114"/>
      <c r="BD923" s="114"/>
      <c r="BE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5"/>
      <c r="Y924" s="114"/>
      <c r="Z924" s="117" t="s">
        <v>6577</v>
      </c>
      <c r="AA924" s="117" t="s">
        <v>4878</v>
      </c>
      <c r="AB924" s="114"/>
      <c r="AC924" s="114"/>
      <c r="AD924" s="114"/>
      <c r="AE924" s="114"/>
      <c r="AF924" s="114"/>
      <c r="AG924" s="114"/>
      <c r="AH924" s="114"/>
      <c r="AI924" s="116"/>
      <c r="AJ924" s="114"/>
      <c r="AK924" s="114"/>
      <c r="AL924" s="114"/>
      <c r="AM924" s="114"/>
      <c r="AN924" s="114"/>
      <c r="AO924" s="114"/>
      <c r="AP924" s="114"/>
      <c r="AQ924" s="114"/>
      <c r="AR924" s="114"/>
      <c r="AS924" s="114"/>
      <c r="AT924" s="114"/>
      <c r="AU924" s="114"/>
      <c r="AV924" s="114"/>
      <c r="AW924" s="114"/>
      <c r="AX924" s="114"/>
      <c r="AY924" s="114"/>
      <c r="AZ924" s="114"/>
      <c r="BA924" s="114"/>
      <c r="BB924" s="114"/>
      <c r="BC924" s="114"/>
      <c r="BD924" s="114"/>
      <c r="BE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5"/>
      <c r="Y925" s="114"/>
      <c r="Z925" s="117" t="s">
        <v>6578</v>
      </c>
      <c r="AA925" s="117" t="s">
        <v>4879</v>
      </c>
      <c r="AB925" s="114"/>
      <c r="AC925" s="114"/>
      <c r="AD925" s="114"/>
      <c r="AE925" s="114"/>
      <c r="AF925" s="114"/>
      <c r="AG925" s="114"/>
      <c r="AH925" s="114"/>
      <c r="AI925" s="116"/>
      <c r="AJ925" s="114"/>
      <c r="AK925" s="114"/>
      <c r="AL925" s="114"/>
      <c r="AM925" s="114"/>
      <c r="AN925" s="114"/>
      <c r="AO925" s="114"/>
      <c r="AP925" s="114"/>
      <c r="AQ925" s="114"/>
      <c r="AR925" s="114"/>
      <c r="AS925" s="114"/>
      <c r="AT925" s="114"/>
      <c r="AU925" s="114"/>
      <c r="AV925" s="114"/>
      <c r="AW925" s="114"/>
      <c r="AX925" s="114"/>
      <c r="AY925" s="114"/>
      <c r="AZ925" s="114"/>
      <c r="BA925" s="114"/>
      <c r="BB925" s="114"/>
      <c r="BC925" s="114"/>
      <c r="BD925" s="114"/>
      <c r="BE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5"/>
      <c r="Y926" s="114"/>
      <c r="Z926" s="117" t="s">
        <v>6579</v>
      </c>
      <c r="AA926" s="117" t="s">
        <v>4877</v>
      </c>
      <c r="AB926" s="114"/>
      <c r="AC926" s="114"/>
      <c r="AD926" s="114"/>
      <c r="AE926" s="114"/>
      <c r="AF926" s="114"/>
      <c r="AG926" s="114"/>
      <c r="AH926" s="114"/>
      <c r="AI926" s="116"/>
      <c r="AJ926" s="114"/>
      <c r="AK926" s="114"/>
      <c r="AL926" s="114"/>
      <c r="AM926" s="114"/>
      <c r="AN926" s="114"/>
      <c r="AO926" s="114"/>
      <c r="AP926" s="114"/>
      <c r="AQ926" s="114"/>
      <c r="AR926" s="114"/>
      <c r="AS926" s="114"/>
      <c r="AT926" s="114"/>
      <c r="AU926" s="114"/>
      <c r="AV926" s="114"/>
      <c r="AW926" s="114"/>
      <c r="AX926" s="114"/>
      <c r="AY926" s="114"/>
      <c r="AZ926" s="114"/>
      <c r="BA926" s="114"/>
      <c r="BB926" s="114"/>
      <c r="BC926" s="114"/>
      <c r="BD926" s="114"/>
      <c r="BE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5"/>
      <c r="Y927" s="114"/>
      <c r="Z927" s="117" t="s">
        <v>6580</v>
      </c>
      <c r="AA927" s="117" t="s">
        <v>4887</v>
      </c>
      <c r="AB927" s="114"/>
      <c r="AC927" s="114"/>
      <c r="AD927" s="114"/>
      <c r="AE927" s="114"/>
      <c r="AF927" s="114"/>
      <c r="AG927" s="114"/>
      <c r="AH927" s="114"/>
      <c r="AI927" s="116"/>
      <c r="AJ927" s="114"/>
      <c r="AK927" s="114"/>
      <c r="AL927" s="114"/>
      <c r="AM927" s="114"/>
      <c r="AN927" s="114"/>
      <c r="AO927" s="114"/>
      <c r="AP927" s="114"/>
      <c r="AQ927" s="114"/>
      <c r="AR927" s="114"/>
      <c r="AS927" s="114"/>
      <c r="AT927" s="114"/>
      <c r="AU927" s="114"/>
      <c r="AV927" s="114"/>
      <c r="AW927" s="114"/>
      <c r="AX927" s="114"/>
      <c r="AY927" s="114"/>
      <c r="AZ927" s="114"/>
      <c r="BA927" s="114"/>
      <c r="BB927" s="114"/>
      <c r="BC927" s="114"/>
      <c r="BD927" s="114"/>
      <c r="BE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5"/>
      <c r="Y928" s="114"/>
      <c r="Z928" s="117" t="s">
        <v>6581</v>
      </c>
      <c r="AA928" s="117" t="s">
        <v>4889</v>
      </c>
      <c r="AB928" s="114"/>
      <c r="AC928" s="114"/>
      <c r="AD928" s="114"/>
      <c r="AE928" s="114"/>
      <c r="AF928" s="114"/>
      <c r="AG928" s="114"/>
      <c r="AH928" s="114"/>
      <c r="AI928" s="116"/>
      <c r="AJ928" s="114"/>
      <c r="AK928" s="114"/>
      <c r="AL928" s="114"/>
      <c r="AM928" s="114"/>
      <c r="AN928" s="114"/>
      <c r="AO928" s="114"/>
      <c r="AP928" s="114"/>
      <c r="AQ928" s="114"/>
      <c r="AR928" s="114"/>
      <c r="AS928" s="114"/>
      <c r="AT928" s="114"/>
      <c r="AU928" s="114"/>
      <c r="AV928" s="114"/>
      <c r="AW928" s="114"/>
      <c r="AX928" s="114"/>
      <c r="AY928" s="114"/>
      <c r="AZ928" s="114"/>
      <c r="BA928" s="114"/>
      <c r="BB928" s="114"/>
      <c r="BC928" s="114"/>
      <c r="BD928" s="114"/>
      <c r="BE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5"/>
      <c r="Y929" s="114"/>
      <c r="Z929" s="117" t="s">
        <v>6582</v>
      </c>
      <c r="AA929" s="117" t="s">
        <v>4890</v>
      </c>
      <c r="AB929" s="114"/>
      <c r="AC929" s="114"/>
      <c r="AD929" s="114"/>
      <c r="AE929" s="114"/>
      <c r="AF929" s="114"/>
      <c r="AG929" s="114"/>
      <c r="AH929" s="114"/>
      <c r="AI929" s="116"/>
      <c r="AJ929" s="114"/>
      <c r="AK929" s="114"/>
      <c r="AL929" s="114"/>
      <c r="AM929" s="114"/>
      <c r="AN929" s="114"/>
      <c r="AO929" s="114"/>
      <c r="AP929" s="114"/>
      <c r="AQ929" s="114"/>
      <c r="AR929" s="114"/>
      <c r="AS929" s="114"/>
      <c r="AT929" s="114"/>
      <c r="AU929" s="114"/>
      <c r="AV929" s="114"/>
      <c r="AW929" s="114"/>
      <c r="AX929" s="114"/>
      <c r="AY929" s="114"/>
      <c r="AZ929" s="114"/>
      <c r="BA929" s="114"/>
      <c r="BB929" s="114"/>
      <c r="BC929" s="114"/>
      <c r="BD929" s="114"/>
      <c r="BE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5"/>
      <c r="Y930" s="114"/>
      <c r="Z930" s="117" t="s">
        <v>6583</v>
      </c>
      <c r="AA930" s="117" t="s">
        <v>4888</v>
      </c>
      <c r="AB930" s="114"/>
      <c r="AC930" s="114"/>
      <c r="AD930" s="114"/>
      <c r="AE930" s="114"/>
      <c r="AF930" s="114"/>
      <c r="AG930" s="114"/>
      <c r="AH930" s="114"/>
      <c r="AI930" s="116"/>
      <c r="AJ930" s="114"/>
      <c r="AK930" s="114"/>
      <c r="AL930" s="114"/>
      <c r="AM930" s="114"/>
      <c r="AN930" s="114"/>
      <c r="AO930" s="114"/>
      <c r="AP930" s="114"/>
      <c r="AQ930" s="114"/>
      <c r="AR930" s="114"/>
      <c r="AS930" s="114"/>
      <c r="AT930" s="114"/>
      <c r="AU930" s="114"/>
      <c r="AV930" s="114"/>
      <c r="AW930" s="114"/>
      <c r="AX930" s="114"/>
      <c r="AY930" s="114"/>
      <c r="AZ930" s="114"/>
      <c r="BA930" s="114"/>
      <c r="BB930" s="114"/>
      <c r="BC930" s="114"/>
      <c r="BD930" s="114"/>
      <c r="BE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5"/>
      <c r="Y931" s="114"/>
      <c r="Z931" s="117" t="s">
        <v>6584</v>
      </c>
      <c r="AA931" s="117" t="s">
        <v>4898</v>
      </c>
      <c r="AB931" s="114"/>
      <c r="AC931" s="114"/>
      <c r="AD931" s="114"/>
      <c r="AE931" s="114"/>
      <c r="AF931" s="114"/>
      <c r="AG931" s="114"/>
      <c r="AH931" s="114"/>
      <c r="AI931" s="116"/>
      <c r="AJ931" s="114"/>
      <c r="AK931" s="114"/>
      <c r="AL931" s="114"/>
      <c r="AM931" s="114"/>
      <c r="AN931" s="114"/>
      <c r="AO931" s="114"/>
      <c r="AP931" s="114"/>
      <c r="AQ931" s="114"/>
      <c r="AR931" s="114"/>
      <c r="AS931" s="114"/>
      <c r="AT931" s="114"/>
      <c r="AU931" s="114"/>
      <c r="AV931" s="114"/>
      <c r="AW931" s="114"/>
      <c r="AX931" s="114"/>
      <c r="AY931" s="114"/>
      <c r="AZ931" s="114"/>
      <c r="BA931" s="114"/>
      <c r="BB931" s="114"/>
      <c r="BC931" s="114"/>
      <c r="BD931" s="114"/>
      <c r="BE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5"/>
      <c r="Y932" s="114"/>
      <c r="Z932" s="117" t="s">
        <v>6585</v>
      </c>
      <c r="AA932" s="117" t="s">
        <v>4900</v>
      </c>
      <c r="AB932" s="114"/>
      <c r="AC932" s="114"/>
      <c r="AD932" s="114"/>
      <c r="AE932" s="114"/>
      <c r="AF932" s="114"/>
      <c r="AG932" s="114"/>
      <c r="AH932" s="114"/>
      <c r="AI932" s="116"/>
      <c r="AJ932" s="114"/>
      <c r="AK932" s="114"/>
      <c r="AL932" s="114"/>
      <c r="AM932" s="114"/>
      <c r="AN932" s="114"/>
      <c r="AO932" s="114"/>
      <c r="AP932" s="114"/>
      <c r="AQ932" s="114"/>
      <c r="AR932" s="114"/>
      <c r="AS932" s="114"/>
      <c r="AT932" s="114"/>
      <c r="AU932" s="114"/>
      <c r="AV932" s="114"/>
      <c r="AW932" s="114"/>
      <c r="AX932" s="114"/>
      <c r="AY932" s="114"/>
      <c r="AZ932" s="114"/>
      <c r="BA932" s="114"/>
      <c r="BB932" s="114"/>
      <c r="BC932" s="114"/>
      <c r="BD932" s="114"/>
      <c r="BE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5"/>
      <c r="Y933" s="114"/>
      <c r="Z933" s="117" t="s">
        <v>6586</v>
      </c>
      <c r="AA933" s="117" t="s">
        <v>4901</v>
      </c>
      <c r="AB933" s="114"/>
      <c r="AC933" s="114"/>
      <c r="AD933" s="114"/>
      <c r="AE933" s="114"/>
      <c r="AF933" s="114"/>
      <c r="AG933" s="114"/>
      <c r="AH933" s="114"/>
      <c r="AI933" s="116"/>
      <c r="AJ933" s="114"/>
      <c r="AK933" s="114"/>
      <c r="AL933" s="114"/>
      <c r="AM933" s="114"/>
      <c r="AN933" s="114"/>
      <c r="AO933" s="114"/>
      <c r="AP933" s="114"/>
      <c r="AQ933" s="114"/>
      <c r="AR933" s="114"/>
      <c r="AS933" s="114"/>
      <c r="AT933" s="114"/>
      <c r="AU933" s="114"/>
      <c r="AV933" s="114"/>
      <c r="AW933" s="114"/>
      <c r="AX933" s="114"/>
      <c r="AY933" s="114"/>
      <c r="AZ933" s="114"/>
      <c r="BA933" s="114"/>
      <c r="BB933" s="114"/>
      <c r="BC933" s="114"/>
      <c r="BD933" s="114"/>
      <c r="BE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5"/>
      <c r="Y934" s="114"/>
      <c r="Z934" s="117" t="s">
        <v>6587</v>
      </c>
      <c r="AA934" s="117" t="s">
        <v>4899</v>
      </c>
      <c r="AB934" s="114"/>
      <c r="AC934" s="114"/>
      <c r="AD934" s="114"/>
      <c r="AE934" s="114"/>
      <c r="AF934" s="114"/>
      <c r="AG934" s="114"/>
      <c r="AH934" s="114"/>
      <c r="AI934" s="116"/>
      <c r="AJ934" s="114"/>
      <c r="AK934" s="114"/>
      <c r="AL934" s="114"/>
      <c r="AM934" s="114"/>
      <c r="AN934" s="114"/>
      <c r="AO934" s="114"/>
      <c r="AP934" s="114"/>
      <c r="AQ934" s="114"/>
      <c r="AR934" s="114"/>
      <c r="AS934" s="114"/>
      <c r="AT934" s="114"/>
      <c r="AU934" s="114"/>
      <c r="AV934" s="114"/>
      <c r="AW934" s="114"/>
      <c r="AX934" s="114"/>
      <c r="AY934" s="114"/>
      <c r="AZ934" s="114"/>
      <c r="BA934" s="114"/>
      <c r="BB934" s="114"/>
      <c r="BC934" s="114"/>
      <c r="BD934" s="114"/>
      <c r="BE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5"/>
      <c r="Y935" s="114"/>
      <c r="Z935" s="117" t="s">
        <v>6588</v>
      </c>
      <c r="AA935" s="117" t="s">
        <v>4909</v>
      </c>
      <c r="AB935" s="114"/>
      <c r="AC935" s="114"/>
      <c r="AD935" s="114"/>
      <c r="AE935" s="114"/>
      <c r="AF935" s="114"/>
      <c r="AG935" s="114"/>
      <c r="AH935" s="114"/>
      <c r="AI935" s="116"/>
      <c r="AJ935" s="114"/>
      <c r="AK935" s="114"/>
      <c r="AL935" s="114"/>
      <c r="AM935" s="114"/>
      <c r="AN935" s="114"/>
      <c r="AO935" s="114"/>
      <c r="AP935" s="114"/>
      <c r="AQ935" s="114"/>
      <c r="AR935" s="114"/>
      <c r="AS935" s="114"/>
      <c r="AT935" s="114"/>
      <c r="AU935" s="114"/>
      <c r="AV935" s="114"/>
      <c r="AW935" s="114"/>
      <c r="AX935" s="114"/>
      <c r="AY935" s="114"/>
      <c r="AZ935" s="114"/>
      <c r="BA935" s="114"/>
      <c r="BB935" s="114"/>
      <c r="BC935" s="114"/>
      <c r="BD935" s="114"/>
      <c r="BE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5"/>
      <c r="Y936" s="114"/>
      <c r="Z936" s="117" t="s">
        <v>6589</v>
      </c>
      <c r="AA936" s="117" t="s">
        <v>4911</v>
      </c>
      <c r="AB936" s="114"/>
      <c r="AC936" s="114"/>
      <c r="AD936" s="114"/>
      <c r="AE936" s="114"/>
      <c r="AF936" s="114"/>
      <c r="AG936" s="114"/>
      <c r="AH936" s="114"/>
      <c r="AI936" s="116"/>
      <c r="AJ936" s="114"/>
      <c r="AK936" s="114"/>
      <c r="AL936" s="114"/>
      <c r="AM936" s="114"/>
      <c r="AN936" s="114"/>
      <c r="AO936" s="114"/>
      <c r="AP936" s="114"/>
      <c r="AQ936" s="114"/>
      <c r="AR936" s="114"/>
      <c r="AS936" s="114"/>
      <c r="AT936" s="114"/>
      <c r="AU936" s="114"/>
      <c r="AV936" s="114"/>
      <c r="AW936" s="114"/>
      <c r="AX936" s="114"/>
      <c r="AY936" s="114"/>
      <c r="AZ936" s="114"/>
      <c r="BA936" s="114"/>
      <c r="BB936" s="114"/>
      <c r="BC936" s="114"/>
      <c r="BD936" s="114"/>
      <c r="BE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5"/>
      <c r="Y937" s="114"/>
      <c r="Z937" s="117" t="s">
        <v>6590</v>
      </c>
      <c r="AA937" s="117" t="s">
        <v>4912</v>
      </c>
      <c r="AB937" s="114"/>
      <c r="AC937" s="114"/>
      <c r="AD937" s="114"/>
      <c r="AE937" s="114"/>
      <c r="AF937" s="114"/>
      <c r="AG937" s="114"/>
      <c r="AH937" s="114"/>
      <c r="AI937" s="116"/>
      <c r="AJ937" s="114"/>
      <c r="AK937" s="114"/>
      <c r="AL937" s="114"/>
      <c r="AM937" s="114"/>
      <c r="AN937" s="114"/>
      <c r="AO937" s="114"/>
      <c r="AP937" s="114"/>
      <c r="AQ937" s="114"/>
      <c r="AR937" s="114"/>
      <c r="AS937" s="114"/>
      <c r="AT937" s="114"/>
      <c r="AU937" s="114"/>
      <c r="AV937" s="114"/>
      <c r="AW937" s="114"/>
      <c r="AX937" s="114"/>
      <c r="AY937" s="114"/>
      <c r="AZ937" s="114"/>
      <c r="BA937" s="114"/>
      <c r="BB937" s="114"/>
      <c r="BC937" s="114"/>
      <c r="BD937" s="114"/>
      <c r="BE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5"/>
      <c r="Y938" s="114"/>
      <c r="Z938" s="117" t="s">
        <v>6591</v>
      </c>
      <c r="AA938" s="117" t="s">
        <v>4910</v>
      </c>
      <c r="AB938" s="114"/>
      <c r="AC938" s="114"/>
      <c r="AD938" s="114"/>
      <c r="AE938" s="114"/>
      <c r="AF938" s="114"/>
      <c r="AG938" s="114"/>
      <c r="AH938" s="114"/>
      <c r="AI938" s="116"/>
      <c r="AJ938" s="114"/>
      <c r="AK938" s="114"/>
      <c r="AL938" s="114"/>
      <c r="AM938" s="114"/>
      <c r="AN938" s="114"/>
      <c r="AO938" s="114"/>
      <c r="AP938" s="114"/>
      <c r="AQ938" s="114"/>
      <c r="AR938" s="114"/>
      <c r="AS938" s="114"/>
      <c r="AT938" s="114"/>
      <c r="AU938" s="114"/>
      <c r="AV938" s="114"/>
      <c r="AW938" s="114"/>
      <c r="AX938" s="114"/>
      <c r="AY938" s="114"/>
      <c r="AZ938" s="114"/>
      <c r="BA938" s="114"/>
      <c r="BB938" s="114"/>
      <c r="BC938" s="114"/>
      <c r="BD938" s="114"/>
      <c r="BE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5"/>
      <c r="Y939" s="114"/>
      <c r="Z939" s="117" t="s">
        <v>6592</v>
      </c>
      <c r="AA939" s="117" t="s">
        <v>4921</v>
      </c>
      <c r="AB939" s="114"/>
      <c r="AC939" s="114"/>
      <c r="AD939" s="114"/>
      <c r="AE939" s="114"/>
      <c r="AF939" s="114"/>
      <c r="AG939" s="114"/>
      <c r="AH939" s="114"/>
      <c r="AI939" s="116"/>
      <c r="AJ939" s="114"/>
      <c r="AK939" s="114"/>
      <c r="AL939" s="114"/>
      <c r="AM939" s="114"/>
      <c r="AN939" s="114"/>
      <c r="AO939" s="114"/>
      <c r="AP939" s="114"/>
      <c r="AQ939" s="114"/>
      <c r="AR939" s="114"/>
      <c r="AS939" s="114"/>
      <c r="AT939" s="114"/>
      <c r="AU939" s="114"/>
      <c r="AV939" s="114"/>
      <c r="AW939" s="114"/>
      <c r="AX939" s="114"/>
      <c r="AY939" s="114"/>
      <c r="AZ939" s="114"/>
      <c r="BA939" s="114"/>
      <c r="BB939" s="114"/>
      <c r="BC939" s="114"/>
      <c r="BD939" s="114"/>
      <c r="BE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5"/>
      <c r="Y940" s="114"/>
      <c r="Z940" s="117" t="s">
        <v>6593</v>
      </c>
      <c r="AA940" s="117" t="s">
        <v>4923</v>
      </c>
      <c r="AB940" s="114"/>
      <c r="AC940" s="114"/>
      <c r="AD940" s="114"/>
      <c r="AE940" s="114"/>
      <c r="AF940" s="114"/>
      <c r="AG940" s="114"/>
      <c r="AH940" s="114"/>
      <c r="AI940" s="116"/>
      <c r="AJ940" s="114"/>
      <c r="AK940" s="114"/>
      <c r="AL940" s="114"/>
      <c r="AM940" s="114"/>
      <c r="AN940" s="114"/>
      <c r="AO940" s="114"/>
      <c r="AP940" s="114"/>
      <c r="AQ940" s="114"/>
      <c r="AR940" s="114"/>
      <c r="AS940" s="114"/>
      <c r="AT940" s="114"/>
      <c r="AU940" s="114"/>
      <c r="AV940" s="114"/>
      <c r="AW940" s="114"/>
      <c r="AX940" s="114"/>
      <c r="AY940" s="114"/>
      <c r="AZ940" s="114"/>
      <c r="BA940" s="114"/>
      <c r="BB940" s="114"/>
      <c r="BC940" s="114"/>
      <c r="BD940" s="114"/>
      <c r="BE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5"/>
      <c r="Y941" s="114"/>
      <c r="Z941" s="117" t="s">
        <v>6594</v>
      </c>
      <c r="AA941" s="117" t="s">
        <v>4924</v>
      </c>
      <c r="AB941" s="114"/>
      <c r="AC941" s="114"/>
      <c r="AD941" s="114"/>
      <c r="AE941" s="114"/>
      <c r="AF941" s="114"/>
      <c r="AG941" s="114"/>
      <c r="AH941" s="114"/>
      <c r="AI941" s="116"/>
      <c r="AJ941" s="114"/>
      <c r="AK941" s="114"/>
      <c r="AL941" s="114"/>
      <c r="AM941" s="114"/>
      <c r="AN941" s="114"/>
      <c r="AO941" s="114"/>
      <c r="AP941" s="114"/>
      <c r="AQ941" s="114"/>
      <c r="AR941" s="114"/>
      <c r="AS941" s="114"/>
      <c r="AT941" s="114"/>
      <c r="AU941" s="114"/>
      <c r="AV941" s="114"/>
      <c r="AW941" s="114"/>
      <c r="AX941" s="114"/>
      <c r="AY941" s="114"/>
      <c r="AZ941" s="114"/>
      <c r="BA941" s="114"/>
      <c r="BB941" s="114"/>
      <c r="BC941" s="114"/>
      <c r="BD941" s="114"/>
      <c r="BE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5"/>
      <c r="Y942" s="114"/>
      <c r="Z942" s="117" t="s">
        <v>6595</v>
      </c>
      <c r="AA942" s="117" t="s">
        <v>4922</v>
      </c>
      <c r="AB942" s="114"/>
      <c r="AC942" s="114"/>
      <c r="AD942" s="114"/>
      <c r="AE942" s="114"/>
      <c r="AF942" s="114"/>
      <c r="AG942" s="114"/>
      <c r="AH942" s="114"/>
      <c r="AI942" s="116"/>
      <c r="AJ942" s="114"/>
      <c r="AK942" s="114"/>
      <c r="AL942" s="114"/>
      <c r="AM942" s="114"/>
      <c r="AN942" s="114"/>
      <c r="AO942" s="114"/>
      <c r="AP942" s="114"/>
      <c r="AQ942" s="114"/>
      <c r="AR942" s="114"/>
      <c r="AS942" s="114"/>
      <c r="AT942" s="114"/>
      <c r="AU942" s="114"/>
      <c r="AV942" s="114"/>
      <c r="AW942" s="114"/>
      <c r="AX942" s="114"/>
      <c r="AY942" s="114"/>
      <c r="AZ942" s="114"/>
      <c r="BA942" s="114"/>
      <c r="BB942" s="114"/>
      <c r="BC942" s="114"/>
      <c r="BD942" s="114"/>
      <c r="BE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5"/>
      <c r="Y943" s="114"/>
      <c r="Z943" s="117" t="s">
        <v>6596</v>
      </c>
      <c r="AA943" s="117" t="s">
        <v>4932</v>
      </c>
      <c r="AB943" s="114"/>
      <c r="AC943" s="114"/>
      <c r="AD943" s="114"/>
      <c r="AE943" s="114"/>
      <c r="AF943" s="114"/>
      <c r="AG943" s="114"/>
      <c r="AH943" s="114"/>
      <c r="AI943" s="116"/>
      <c r="AJ943" s="114"/>
      <c r="AK943" s="114"/>
      <c r="AL943" s="114"/>
      <c r="AM943" s="114"/>
      <c r="AN943" s="114"/>
      <c r="AO943" s="114"/>
      <c r="AP943" s="114"/>
      <c r="AQ943" s="114"/>
      <c r="AR943" s="114"/>
      <c r="AS943" s="114"/>
      <c r="AT943" s="114"/>
      <c r="AU943" s="114"/>
      <c r="AV943" s="114"/>
      <c r="AW943" s="114"/>
      <c r="AX943" s="114"/>
      <c r="AY943" s="114"/>
      <c r="AZ943" s="114"/>
      <c r="BA943" s="114"/>
      <c r="BB943" s="114"/>
      <c r="BC943" s="114"/>
      <c r="BD943" s="114"/>
      <c r="BE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5"/>
      <c r="Y944" s="114"/>
      <c r="Z944" s="117" t="s">
        <v>6597</v>
      </c>
      <c r="AA944" s="117" t="s">
        <v>4934</v>
      </c>
      <c r="AB944" s="114"/>
      <c r="AC944" s="114"/>
      <c r="AD944" s="114"/>
      <c r="AE944" s="114"/>
      <c r="AF944" s="114"/>
      <c r="AG944" s="114"/>
      <c r="AH944" s="114"/>
      <c r="AI944" s="116"/>
      <c r="AJ944" s="114"/>
      <c r="AK944" s="114"/>
      <c r="AL944" s="114"/>
      <c r="AM944" s="114"/>
      <c r="AN944" s="114"/>
      <c r="AO944" s="114"/>
      <c r="AP944" s="114"/>
      <c r="AQ944" s="114"/>
      <c r="AR944" s="114"/>
      <c r="AS944" s="114"/>
      <c r="AT944" s="114"/>
      <c r="AU944" s="114"/>
      <c r="AV944" s="114"/>
      <c r="AW944" s="114"/>
      <c r="AX944" s="114"/>
      <c r="AY944" s="114"/>
      <c r="AZ944" s="114"/>
      <c r="BA944" s="114"/>
      <c r="BB944" s="114"/>
      <c r="BC944" s="114"/>
      <c r="BD944" s="114"/>
      <c r="BE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5"/>
      <c r="Y945" s="114"/>
      <c r="Z945" s="117" t="s">
        <v>6598</v>
      </c>
      <c r="AA945" s="117" t="s">
        <v>4935</v>
      </c>
      <c r="AB945" s="114"/>
      <c r="AC945" s="114"/>
      <c r="AD945" s="114"/>
      <c r="AE945" s="114"/>
      <c r="AF945" s="114"/>
      <c r="AG945" s="114"/>
      <c r="AH945" s="114"/>
      <c r="AI945" s="116"/>
      <c r="AJ945" s="114"/>
      <c r="AK945" s="114"/>
      <c r="AL945" s="114"/>
      <c r="AM945" s="114"/>
      <c r="AN945" s="114"/>
      <c r="AO945" s="114"/>
      <c r="AP945" s="114"/>
      <c r="AQ945" s="114"/>
      <c r="AR945" s="114"/>
      <c r="AS945" s="114"/>
      <c r="AT945" s="114"/>
      <c r="AU945" s="114"/>
      <c r="AV945" s="114"/>
      <c r="AW945" s="114"/>
      <c r="AX945" s="114"/>
      <c r="AY945" s="114"/>
      <c r="AZ945" s="114"/>
      <c r="BA945" s="114"/>
      <c r="BB945" s="114"/>
      <c r="BC945" s="114"/>
      <c r="BD945" s="114"/>
      <c r="BE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5"/>
      <c r="Y946" s="114"/>
      <c r="Z946" s="117" t="s">
        <v>6599</v>
      </c>
      <c r="AA946" s="117" t="s">
        <v>4933</v>
      </c>
      <c r="AB946" s="114"/>
      <c r="AC946" s="114"/>
      <c r="AD946" s="114"/>
      <c r="AE946" s="114"/>
      <c r="AF946" s="114"/>
      <c r="AG946" s="114"/>
      <c r="AH946" s="114"/>
      <c r="AI946" s="116"/>
      <c r="AJ946" s="114"/>
      <c r="AK946" s="114"/>
      <c r="AL946" s="114"/>
      <c r="AM946" s="114"/>
      <c r="AN946" s="114"/>
      <c r="AO946" s="114"/>
      <c r="AP946" s="114"/>
      <c r="AQ946" s="114"/>
      <c r="AR946" s="114"/>
      <c r="AS946" s="114"/>
      <c r="AT946" s="114"/>
      <c r="AU946" s="114"/>
      <c r="AV946" s="114"/>
      <c r="AW946" s="114"/>
      <c r="AX946" s="114"/>
      <c r="AY946" s="114"/>
      <c r="AZ946" s="114"/>
      <c r="BA946" s="114"/>
      <c r="BB946" s="114"/>
      <c r="BC946" s="114"/>
      <c r="BD946" s="114"/>
      <c r="BE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5"/>
      <c r="Y947" s="114"/>
      <c r="Z947" s="117" t="s">
        <v>6600</v>
      </c>
      <c r="AA947" s="117" t="s">
        <v>4943</v>
      </c>
      <c r="AB947" s="114"/>
      <c r="AC947" s="114"/>
      <c r="AD947" s="114"/>
      <c r="AE947" s="114"/>
      <c r="AF947" s="114"/>
      <c r="AG947" s="114"/>
      <c r="AH947" s="114"/>
      <c r="AI947" s="116"/>
      <c r="AJ947" s="114"/>
      <c r="AK947" s="114"/>
      <c r="AL947" s="114"/>
      <c r="AM947" s="114"/>
      <c r="AN947" s="114"/>
      <c r="AO947" s="114"/>
      <c r="AP947" s="114"/>
      <c r="AQ947" s="114"/>
      <c r="AR947" s="114"/>
      <c r="AS947" s="114"/>
      <c r="AT947" s="114"/>
      <c r="AU947" s="114"/>
      <c r="AV947" s="114"/>
      <c r="AW947" s="114"/>
      <c r="AX947" s="114"/>
      <c r="AY947" s="114"/>
      <c r="AZ947" s="114"/>
      <c r="BA947" s="114"/>
      <c r="BB947" s="114"/>
      <c r="BC947" s="114"/>
      <c r="BD947" s="114"/>
      <c r="BE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5"/>
      <c r="Y948" s="114"/>
      <c r="Z948" s="117" t="s">
        <v>6601</v>
      </c>
      <c r="AA948" s="117" t="s">
        <v>4945</v>
      </c>
      <c r="AB948" s="114"/>
      <c r="AC948" s="114"/>
      <c r="AD948" s="114"/>
      <c r="AE948" s="114"/>
      <c r="AF948" s="114"/>
      <c r="AG948" s="114"/>
      <c r="AH948" s="114"/>
      <c r="AI948" s="116"/>
      <c r="AJ948" s="114"/>
      <c r="AK948" s="114"/>
      <c r="AL948" s="114"/>
      <c r="AM948" s="114"/>
      <c r="AN948" s="114"/>
      <c r="AO948" s="114"/>
      <c r="AP948" s="114"/>
      <c r="AQ948" s="114"/>
      <c r="AR948" s="114"/>
      <c r="AS948" s="114"/>
      <c r="AT948" s="114"/>
      <c r="AU948" s="114"/>
      <c r="AV948" s="114"/>
      <c r="AW948" s="114"/>
      <c r="AX948" s="114"/>
      <c r="AY948" s="114"/>
      <c r="AZ948" s="114"/>
      <c r="BA948" s="114"/>
      <c r="BB948" s="114"/>
      <c r="BC948" s="114"/>
      <c r="BD948" s="114"/>
      <c r="BE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5"/>
      <c r="Y949" s="114"/>
      <c r="Z949" s="117" t="s">
        <v>6602</v>
      </c>
      <c r="AA949" s="117" t="s">
        <v>4946</v>
      </c>
      <c r="AB949" s="114"/>
      <c r="AC949" s="114"/>
      <c r="AD949" s="114"/>
      <c r="AE949" s="114"/>
      <c r="AF949" s="114"/>
      <c r="AG949" s="114"/>
      <c r="AH949" s="114"/>
      <c r="AI949" s="116"/>
      <c r="AJ949" s="114"/>
      <c r="AK949" s="114"/>
      <c r="AL949" s="114"/>
      <c r="AM949" s="114"/>
      <c r="AN949" s="114"/>
      <c r="AO949" s="114"/>
      <c r="AP949" s="114"/>
      <c r="AQ949" s="114"/>
      <c r="AR949" s="114"/>
      <c r="AS949" s="114"/>
      <c r="AT949" s="114"/>
      <c r="AU949" s="114"/>
      <c r="AV949" s="114"/>
      <c r="AW949" s="114"/>
      <c r="AX949" s="114"/>
      <c r="AY949" s="114"/>
      <c r="AZ949" s="114"/>
      <c r="BA949" s="114"/>
      <c r="BB949" s="114"/>
      <c r="BC949" s="114"/>
      <c r="BD949" s="114"/>
      <c r="BE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5"/>
      <c r="Y950" s="114"/>
      <c r="Z950" s="117" t="s">
        <v>6603</v>
      </c>
      <c r="AA950" s="117" t="s">
        <v>4944</v>
      </c>
      <c r="AB950" s="114"/>
      <c r="AC950" s="114"/>
      <c r="AD950" s="114"/>
      <c r="AE950" s="114"/>
      <c r="AF950" s="114"/>
      <c r="AG950" s="114"/>
      <c r="AH950" s="114"/>
      <c r="AI950" s="116"/>
      <c r="AJ950" s="114"/>
      <c r="AK950" s="114"/>
      <c r="AL950" s="114"/>
      <c r="AM950" s="114"/>
      <c r="AN950" s="114"/>
      <c r="AO950" s="114"/>
      <c r="AP950" s="114"/>
      <c r="AQ950" s="114"/>
      <c r="AR950" s="114"/>
      <c r="AS950" s="114"/>
      <c r="AT950" s="114"/>
      <c r="AU950" s="114"/>
      <c r="AV950" s="114"/>
      <c r="AW950" s="114"/>
      <c r="AX950" s="114"/>
      <c r="AY950" s="114"/>
      <c r="AZ950" s="114"/>
      <c r="BA950" s="114"/>
      <c r="BB950" s="114"/>
      <c r="BC950" s="114"/>
      <c r="BD950" s="114"/>
      <c r="BE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5"/>
      <c r="Y951" s="114"/>
      <c r="Z951" s="117" t="s">
        <v>6604</v>
      </c>
      <c r="AA951" s="117" t="s">
        <v>4954</v>
      </c>
      <c r="AB951" s="114"/>
      <c r="AC951" s="114"/>
      <c r="AD951" s="114"/>
      <c r="AE951" s="114"/>
      <c r="AF951" s="114"/>
      <c r="AG951" s="114"/>
      <c r="AH951" s="114"/>
      <c r="AI951" s="116"/>
      <c r="AJ951" s="114"/>
      <c r="AK951" s="114"/>
      <c r="AL951" s="114"/>
      <c r="AM951" s="114"/>
      <c r="AN951" s="114"/>
      <c r="AO951" s="114"/>
      <c r="AP951" s="114"/>
      <c r="AQ951" s="114"/>
      <c r="AR951" s="114"/>
      <c r="AS951" s="114"/>
      <c r="AT951" s="114"/>
      <c r="AU951" s="114"/>
      <c r="AV951" s="114"/>
      <c r="AW951" s="114"/>
      <c r="AX951" s="114"/>
      <c r="AY951" s="114"/>
      <c r="AZ951" s="114"/>
      <c r="BA951" s="114"/>
      <c r="BB951" s="114"/>
      <c r="BC951" s="114"/>
      <c r="BD951" s="114"/>
      <c r="BE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5"/>
      <c r="Y952" s="114"/>
      <c r="Z952" s="117" t="s">
        <v>6605</v>
      </c>
      <c r="AA952" s="117" t="s">
        <v>4956</v>
      </c>
      <c r="AB952" s="114"/>
      <c r="AC952" s="114"/>
      <c r="AD952" s="114"/>
      <c r="AE952" s="114"/>
      <c r="AF952" s="114"/>
      <c r="AG952" s="114"/>
      <c r="AH952" s="114"/>
      <c r="AI952" s="116"/>
      <c r="AJ952" s="114"/>
      <c r="AK952" s="114"/>
      <c r="AL952" s="114"/>
      <c r="AM952" s="114"/>
      <c r="AN952" s="114"/>
      <c r="AO952" s="114"/>
      <c r="AP952" s="114"/>
      <c r="AQ952" s="114"/>
      <c r="AR952" s="114"/>
      <c r="AS952" s="114"/>
      <c r="AT952" s="114"/>
      <c r="AU952" s="114"/>
      <c r="AV952" s="114"/>
      <c r="AW952" s="114"/>
      <c r="AX952" s="114"/>
      <c r="AY952" s="114"/>
      <c r="AZ952" s="114"/>
      <c r="BA952" s="114"/>
      <c r="BB952" s="114"/>
      <c r="BC952" s="114"/>
      <c r="BD952" s="114"/>
      <c r="BE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5"/>
      <c r="Y953" s="114"/>
      <c r="Z953" s="117" t="s">
        <v>6606</v>
      </c>
      <c r="AA953" s="117" t="s">
        <v>4957</v>
      </c>
      <c r="AB953" s="114"/>
      <c r="AC953" s="114"/>
      <c r="AD953" s="114"/>
      <c r="AE953" s="114"/>
      <c r="AF953" s="114"/>
      <c r="AG953" s="114"/>
      <c r="AH953" s="114"/>
      <c r="AI953" s="116"/>
      <c r="AJ953" s="114"/>
      <c r="AK953" s="114"/>
      <c r="AL953" s="114"/>
      <c r="AM953" s="114"/>
      <c r="AN953" s="114"/>
      <c r="AO953" s="114"/>
      <c r="AP953" s="114"/>
      <c r="AQ953" s="114"/>
      <c r="AR953" s="114"/>
      <c r="AS953" s="114"/>
      <c r="AT953" s="114"/>
      <c r="AU953" s="114"/>
      <c r="AV953" s="114"/>
      <c r="AW953" s="114"/>
      <c r="AX953" s="114"/>
      <c r="AY953" s="114"/>
      <c r="AZ953" s="114"/>
      <c r="BA953" s="114"/>
      <c r="BB953" s="114"/>
      <c r="BC953" s="114"/>
      <c r="BD953" s="114"/>
      <c r="BE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5"/>
      <c r="Y954" s="114"/>
      <c r="Z954" s="117" t="s">
        <v>6607</v>
      </c>
      <c r="AA954" s="117" t="s">
        <v>4955</v>
      </c>
      <c r="AB954" s="114"/>
      <c r="AC954" s="114"/>
      <c r="AD954" s="114"/>
      <c r="AE954" s="114"/>
      <c r="AF954" s="114"/>
      <c r="AG954" s="114"/>
      <c r="AH954" s="114"/>
      <c r="AI954" s="116"/>
      <c r="AJ954" s="114"/>
      <c r="AK954" s="114"/>
      <c r="AL954" s="114"/>
      <c r="AM954" s="114"/>
      <c r="AN954" s="114"/>
      <c r="AO954" s="114"/>
      <c r="AP954" s="114"/>
      <c r="AQ954" s="114"/>
      <c r="AR954" s="114"/>
      <c r="AS954" s="114"/>
      <c r="AT954" s="114"/>
      <c r="AU954" s="114"/>
      <c r="AV954" s="114"/>
      <c r="AW954" s="114"/>
      <c r="AX954" s="114"/>
      <c r="AY954" s="114"/>
      <c r="AZ954" s="114"/>
      <c r="BA954" s="114"/>
      <c r="BB954" s="114"/>
      <c r="BC954" s="114"/>
      <c r="BD954" s="114"/>
      <c r="BE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5"/>
      <c r="Y955" s="114"/>
      <c r="Z955" s="117" t="s">
        <v>6608</v>
      </c>
      <c r="AA955" s="117" t="s">
        <v>4965</v>
      </c>
      <c r="AB955" s="114"/>
      <c r="AC955" s="114"/>
      <c r="AD955" s="114"/>
      <c r="AE955" s="114"/>
      <c r="AF955" s="114"/>
      <c r="AG955" s="114"/>
      <c r="AH955" s="114"/>
      <c r="AI955" s="116"/>
      <c r="AJ955" s="114"/>
      <c r="AK955" s="114"/>
      <c r="AL955" s="114"/>
      <c r="AM955" s="114"/>
      <c r="AN955" s="114"/>
      <c r="AO955" s="114"/>
      <c r="AP955" s="114"/>
      <c r="AQ955" s="114"/>
      <c r="AR955" s="114"/>
      <c r="AS955" s="114"/>
      <c r="AT955" s="114"/>
      <c r="AU955" s="114"/>
      <c r="AV955" s="114"/>
      <c r="AW955" s="114"/>
      <c r="AX955" s="114"/>
      <c r="AY955" s="114"/>
      <c r="AZ955" s="114"/>
      <c r="BA955" s="114"/>
      <c r="BB955" s="114"/>
      <c r="BC955" s="114"/>
      <c r="BD955" s="114"/>
      <c r="BE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5"/>
      <c r="Y956" s="114"/>
      <c r="Z956" s="117" t="s">
        <v>6609</v>
      </c>
      <c r="AA956" s="117" t="s">
        <v>4967</v>
      </c>
      <c r="AB956" s="114"/>
      <c r="AC956" s="114"/>
      <c r="AD956" s="114"/>
      <c r="AE956" s="114"/>
      <c r="AF956" s="114"/>
      <c r="AG956" s="114"/>
      <c r="AH956" s="114"/>
      <c r="AI956" s="116"/>
      <c r="AJ956" s="114"/>
      <c r="AK956" s="114"/>
      <c r="AL956" s="114"/>
      <c r="AM956" s="114"/>
      <c r="AN956" s="114"/>
      <c r="AO956" s="114"/>
      <c r="AP956" s="114"/>
      <c r="AQ956" s="114"/>
      <c r="AR956" s="114"/>
      <c r="AS956" s="114"/>
      <c r="AT956" s="114"/>
      <c r="AU956" s="114"/>
      <c r="AV956" s="114"/>
      <c r="AW956" s="114"/>
      <c r="AX956" s="114"/>
      <c r="AY956" s="114"/>
      <c r="AZ956" s="114"/>
      <c r="BA956" s="114"/>
      <c r="BB956" s="114"/>
      <c r="BC956" s="114"/>
      <c r="BD956" s="114"/>
      <c r="BE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5"/>
      <c r="Y957" s="114"/>
      <c r="Z957" s="117" t="s">
        <v>6610</v>
      </c>
      <c r="AA957" s="117" t="s">
        <v>4968</v>
      </c>
      <c r="AB957" s="114"/>
      <c r="AC957" s="114"/>
      <c r="AD957" s="114"/>
      <c r="AE957" s="114"/>
      <c r="AF957" s="114"/>
      <c r="AG957" s="114"/>
      <c r="AH957" s="114"/>
      <c r="AI957" s="116"/>
      <c r="AJ957" s="114"/>
      <c r="AK957" s="114"/>
      <c r="AL957" s="114"/>
      <c r="AM957" s="114"/>
      <c r="AN957" s="114"/>
      <c r="AO957" s="114"/>
      <c r="AP957" s="114"/>
      <c r="AQ957" s="114"/>
      <c r="AR957" s="114"/>
      <c r="AS957" s="114"/>
      <c r="AT957" s="114"/>
      <c r="AU957" s="114"/>
      <c r="AV957" s="114"/>
      <c r="AW957" s="114"/>
      <c r="AX957" s="114"/>
      <c r="AY957" s="114"/>
      <c r="AZ957" s="114"/>
      <c r="BA957" s="114"/>
      <c r="BB957" s="114"/>
      <c r="BC957" s="114"/>
      <c r="BD957" s="114"/>
      <c r="BE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5"/>
      <c r="Y958" s="114"/>
      <c r="Z958" s="117" t="s">
        <v>6611</v>
      </c>
      <c r="AA958" s="117" t="s">
        <v>4966</v>
      </c>
      <c r="AB958" s="114"/>
      <c r="AC958" s="114"/>
      <c r="AD958" s="114"/>
      <c r="AE958" s="114"/>
      <c r="AF958" s="114"/>
      <c r="AG958" s="114"/>
      <c r="AH958" s="114"/>
      <c r="AI958" s="116"/>
      <c r="AJ958" s="114"/>
      <c r="AK958" s="114"/>
      <c r="AL958" s="114"/>
      <c r="AM958" s="114"/>
      <c r="AN958" s="114"/>
      <c r="AO958" s="114"/>
      <c r="AP958" s="114"/>
      <c r="AQ958" s="114"/>
      <c r="AR958" s="114"/>
      <c r="AS958" s="114"/>
      <c r="AT958" s="114"/>
      <c r="AU958" s="114"/>
      <c r="AV958" s="114"/>
      <c r="AW958" s="114"/>
      <c r="AX958" s="114"/>
      <c r="AY958" s="114"/>
      <c r="AZ958" s="114"/>
      <c r="BA958" s="114"/>
      <c r="BB958" s="114"/>
      <c r="BC958" s="114"/>
      <c r="BD958" s="114"/>
      <c r="BE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5"/>
      <c r="Y959" s="114"/>
      <c r="Z959" s="117" t="s">
        <v>6612</v>
      </c>
      <c r="AA959" s="117" t="s">
        <v>4976</v>
      </c>
      <c r="AB959" s="114"/>
      <c r="AC959" s="114"/>
      <c r="AD959" s="114"/>
      <c r="AE959" s="114"/>
      <c r="AF959" s="114"/>
      <c r="AG959" s="114"/>
      <c r="AH959" s="114"/>
      <c r="AI959" s="116"/>
      <c r="AJ959" s="114"/>
      <c r="AK959" s="114"/>
      <c r="AL959" s="114"/>
      <c r="AM959" s="114"/>
      <c r="AN959" s="114"/>
      <c r="AO959" s="114"/>
      <c r="AP959" s="114"/>
      <c r="AQ959" s="114"/>
      <c r="AR959" s="114"/>
      <c r="AS959" s="114"/>
      <c r="AT959" s="114"/>
      <c r="AU959" s="114"/>
      <c r="AV959" s="114"/>
      <c r="AW959" s="114"/>
      <c r="AX959" s="114"/>
      <c r="AY959" s="114"/>
      <c r="AZ959" s="114"/>
      <c r="BA959" s="114"/>
      <c r="BB959" s="114"/>
      <c r="BC959" s="114"/>
      <c r="BD959" s="114"/>
      <c r="BE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5"/>
      <c r="Y960" s="114"/>
      <c r="Z960" s="117" t="s">
        <v>6613</v>
      </c>
      <c r="AA960" s="117" t="s">
        <v>4978</v>
      </c>
      <c r="AB960" s="114"/>
      <c r="AC960" s="114"/>
      <c r="AD960" s="114"/>
      <c r="AE960" s="114"/>
      <c r="AF960" s="114"/>
      <c r="AG960" s="114"/>
      <c r="AH960" s="114"/>
      <c r="AI960" s="116"/>
      <c r="AJ960" s="114"/>
      <c r="AK960" s="114"/>
      <c r="AL960" s="114"/>
      <c r="AM960" s="114"/>
      <c r="AN960" s="114"/>
      <c r="AO960" s="114"/>
      <c r="AP960" s="114"/>
      <c r="AQ960" s="114"/>
      <c r="AR960" s="114"/>
      <c r="AS960" s="114"/>
      <c r="AT960" s="114"/>
      <c r="AU960" s="114"/>
      <c r="AV960" s="114"/>
      <c r="AW960" s="114"/>
      <c r="AX960" s="114"/>
      <c r="AY960" s="114"/>
      <c r="AZ960" s="114"/>
      <c r="BA960" s="114"/>
      <c r="BB960" s="114"/>
      <c r="BC960" s="114"/>
      <c r="BD960" s="114"/>
      <c r="BE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5"/>
      <c r="Y961" s="114"/>
      <c r="Z961" s="117" t="s">
        <v>6614</v>
      </c>
      <c r="AA961" s="117" t="s">
        <v>4979</v>
      </c>
      <c r="AB961" s="114"/>
      <c r="AC961" s="114"/>
      <c r="AD961" s="114"/>
      <c r="AE961" s="114"/>
      <c r="AF961" s="114"/>
      <c r="AG961" s="114"/>
      <c r="AH961" s="114"/>
      <c r="AI961" s="116"/>
      <c r="AJ961" s="114"/>
      <c r="AK961" s="114"/>
      <c r="AL961" s="114"/>
      <c r="AM961" s="114"/>
      <c r="AN961" s="114"/>
      <c r="AO961" s="114"/>
      <c r="AP961" s="114"/>
      <c r="AQ961" s="114"/>
      <c r="AR961" s="114"/>
      <c r="AS961" s="114"/>
      <c r="AT961" s="114"/>
      <c r="AU961" s="114"/>
      <c r="AV961" s="114"/>
      <c r="AW961" s="114"/>
      <c r="AX961" s="114"/>
      <c r="AY961" s="114"/>
      <c r="AZ961" s="114"/>
      <c r="BA961" s="114"/>
      <c r="BB961" s="114"/>
      <c r="BC961" s="114"/>
      <c r="BD961" s="114"/>
      <c r="BE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5"/>
      <c r="Y962" s="114"/>
      <c r="Z962" s="117" t="s">
        <v>6615</v>
      </c>
      <c r="AA962" s="117" t="s">
        <v>4977</v>
      </c>
      <c r="AB962" s="114"/>
      <c r="AC962" s="114"/>
      <c r="AD962" s="114"/>
      <c r="AE962" s="114"/>
      <c r="AF962" s="114"/>
      <c r="AG962" s="114"/>
      <c r="AH962" s="114"/>
      <c r="AI962" s="116"/>
      <c r="AJ962" s="114"/>
      <c r="AK962" s="114"/>
      <c r="AL962" s="114"/>
      <c r="AM962" s="114"/>
      <c r="AN962" s="114"/>
      <c r="AO962" s="114"/>
      <c r="AP962" s="114"/>
      <c r="AQ962" s="114"/>
      <c r="AR962" s="114"/>
      <c r="AS962" s="114"/>
      <c r="AT962" s="114"/>
      <c r="AU962" s="114"/>
      <c r="AV962" s="114"/>
      <c r="AW962" s="114"/>
      <c r="AX962" s="114"/>
      <c r="AY962" s="114"/>
      <c r="AZ962" s="114"/>
      <c r="BA962" s="114"/>
      <c r="BB962" s="114"/>
      <c r="BC962" s="114"/>
      <c r="BD962" s="114"/>
      <c r="BE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5"/>
      <c r="Y963" s="114"/>
      <c r="Z963" s="117" t="s">
        <v>6616</v>
      </c>
      <c r="AA963" s="117" t="s">
        <v>4987</v>
      </c>
      <c r="AB963" s="114"/>
      <c r="AC963" s="114"/>
      <c r="AD963" s="114"/>
      <c r="AE963" s="114"/>
      <c r="AF963" s="114"/>
      <c r="AG963" s="114"/>
      <c r="AH963" s="114"/>
      <c r="AI963" s="116"/>
      <c r="AJ963" s="114"/>
      <c r="AK963" s="114"/>
      <c r="AL963" s="114"/>
      <c r="AM963" s="114"/>
      <c r="AN963" s="114"/>
      <c r="AO963" s="114"/>
      <c r="AP963" s="114"/>
      <c r="AQ963" s="114"/>
      <c r="AR963" s="114"/>
      <c r="AS963" s="114"/>
      <c r="AT963" s="114"/>
      <c r="AU963" s="114"/>
      <c r="AV963" s="114"/>
      <c r="AW963" s="114"/>
      <c r="AX963" s="114"/>
      <c r="AY963" s="114"/>
      <c r="AZ963" s="114"/>
      <c r="BA963" s="114"/>
      <c r="BB963" s="114"/>
      <c r="BC963" s="114"/>
      <c r="BD963" s="114"/>
      <c r="BE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5"/>
      <c r="Y964" s="114"/>
      <c r="Z964" s="117" t="s">
        <v>6617</v>
      </c>
      <c r="AA964" s="117" t="s">
        <v>4989</v>
      </c>
      <c r="AB964" s="114"/>
      <c r="AC964" s="114"/>
      <c r="AD964" s="114"/>
      <c r="AE964" s="114"/>
      <c r="AF964" s="114"/>
      <c r="AG964" s="114"/>
      <c r="AH964" s="114"/>
      <c r="AI964" s="116"/>
      <c r="AJ964" s="114"/>
      <c r="AK964" s="114"/>
      <c r="AL964" s="114"/>
      <c r="AM964" s="114"/>
      <c r="AN964" s="114"/>
      <c r="AO964" s="114"/>
      <c r="AP964" s="114"/>
      <c r="AQ964" s="114"/>
      <c r="AR964" s="114"/>
      <c r="AS964" s="114"/>
      <c r="AT964" s="114"/>
      <c r="AU964" s="114"/>
      <c r="AV964" s="114"/>
      <c r="AW964" s="114"/>
      <c r="AX964" s="114"/>
      <c r="AY964" s="114"/>
      <c r="AZ964" s="114"/>
      <c r="BA964" s="114"/>
      <c r="BB964" s="114"/>
      <c r="BC964" s="114"/>
      <c r="BD964" s="114"/>
      <c r="BE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5"/>
      <c r="Y965" s="114"/>
      <c r="Z965" s="117" t="s">
        <v>6618</v>
      </c>
      <c r="AA965" s="117" t="s">
        <v>4990</v>
      </c>
      <c r="AB965" s="114"/>
      <c r="AC965" s="114"/>
      <c r="AD965" s="114"/>
      <c r="AE965" s="114"/>
      <c r="AF965" s="114"/>
      <c r="AG965" s="114"/>
      <c r="AH965" s="114"/>
      <c r="AI965" s="116"/>
      <c r="AJ965" s="114"/>
      <c r="AK965" s="114"/>
      <c r="AL965" s="114"/>
      <c r="AM965" s="114"/>
      <c r="AN965" s="114"/>
      <c r="AO965" s="114"/>
      <c r="AP965" s="114"/>
      <c r="AQ965" s="114"/>
      <c r="AR965" s="114"/>
      <c r="AS965" s="114"/>
      <c r="AT965" s="114"/>
      <c r="AU965" s="114"/>
      <c r="AV965" s="114"/>
      <c r="AW965" s="114"/>
      <c r="AX965" s="114"/>
      <c r="AY965" s="114"/>
      <c r="AZ965" s="114"/>
      <c r="BA965" s="114"/>
      <c r="BB965" s="114"/>
      <c r="BC965" s="114"/>
      <c r="BD965" s="114"/>
      <c r="BE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5"/>
      <c r="Y966" s="114"/>
      <c r="Z966" s="117" t="s">
        <v>6619</v>
      </c>
      <c r="AA966" s="117" t="s">
        <v>4988</v>
      </c>
      <c r="AB966" s="114"/>
      <c r="AC966" s="114"/>
      <c r="AD966" s="114"/>
      <c r="AE966" s="114"/>
      <c r="AF966" s="114"/>
      <c r="AG966" s="114"/>
      <c r="AH966" s="114"/>
      <c r="AI966" s="116"/>
      <c r="AJ966" s="114"/>
      <c r="AK966" s="114"/>
      <c r="AL966" s="114"/>
      <c r="AM966" s="114"/>
      <c r="AN966" s="114"/>
      <c r="AO966" s="114"/>
      <c r="AP966" s="114"/>
      <c r="AQ966" s="114"/>
      <c r="AR966" s="114"/>
      <c r="AS966" s="114"/>
      <c r="AT966" s="114"/>
      <c r="AU966" s="114"/>
      <c r="AV966" s="114"/>
      <c r="AW966" s="114"/>
      <c r="AX966" s="114"/>
      <c r="AY966" s="114"/>
      <c r="AZ966" s="114"/>
      <c r="BA966" s="114"/>
      <c r="BB966" s="114"/>
      <c r="BC966" s="114"/>
      <c r="BD966" s="114"/>
      <c r="BE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5"/>
      <c r="Y967" s="114"/>
      <c r="Z967" s="117" t="s">
        <v>6620</v>
      </c>
      <c r="AA967" s="117" t="s">
        <v>4998</v>
      </c>
      <c r="AB967" s="114"/>
      <c r="AC967" s="114"/>
      <c r="AD967" s="114"/>
      <c r="AE967" s="114"/>
      <c r="AF967" s="114"/>
      <c r="AG967" s="114"/>
      <c r="AH967" s="114"/>
      <c r="AI967" s="116"/>
      <c r="AJ967" s="114"/>
      <c r="AK967" s="114"/>
      <c r="AL967" s="114"/>
      <c r="AM967" s="114"/>
      <c r="AN967" s="114"/>
      <c r="AO967" s="114"/>
      <c r="AP967" s="114"/>
      <c r="AQ967" s="114"/>
      <c r="AR967" s="114"/>
      <c r="AS967" s="114"/>
      <c r="AT967" s="114"/>
      <c r="AU967" s="114"/>
      <c r="AV967" s="114"/>
      <c r="AW967" s="114"/>
      <c r="AX967" s="114"/>
      <c r="AY967" s="114"/>
      <c r="AZ967" s="114"/>
      <c r="BA967" s="114"/>
      <c r="BB967" s="114"/>
      <c r="BC967" s="114"/>
      <c r="BD967" s="114"/>
      <c r="BE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5"/>
      <c r="Y968" s="114"/>
      <c r="Z968" s="117" t="s">
        <v>6621</v>
      </c>
      <c r="AA968" s="117" t="s">
        <v>5000</v>
      </c>
      <c r="AB968" s="114"/>
      <c r="AC968" s="114"/>
      <c r="AD968" s="114"/>
      <c r="AE968" s="114"/>
      <c r="AF968" s="114"/>
      <c r="AG968" s="114"/>
      <c r="AH968" s="114"/>
      <c r="AI968" s="116"/>
      <c r="AJ968" s="114"/>
      <c r="AK968" s="114"/>
      <c r="AL968" s="114"/>
      <c r="AM968" s="114"/>
      <c r="AN968" s="114"/>
      <c r="AO968" s="114"/>
      <c r="AP968" s="114"/>
      <c r="AQ968" s="114"/>
      <c r="AR968" s="114"/>
      <c r="AS968" s="114"/>
      <c r="AT968" s="114"/>
      <c r="AU968" s="114"/>
      <c r="AV968" s="114"/>
      <c r="AW968" s="114"/>
      <c r="AX968" s="114"/>
      <c r="AY968" s="114"/>
      <c r="AZ968" s="114"/>
      <c r="BA968" s="114"/>
      <c r="BB968" s="114"/>
      <c r="BC968" s="114"/>
      <c r="BD968" s="114"/>
      <c r="BE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5"/>
      <c r="Y969" s="114"/>
      <c r="Z969" s="117" t="s">
        <v>6622</v>
      </c>
      <c r="AA969" s="117" t="s">
        <v>5001</v>
      </c>
      <c r="AB969" s="114"/>
      <c r="AC969" s="114"/>
      <c r="AD969" s="114"/>
      <c r="AE969" s="114"/>
      <c r="AF969" s="114"/>
      <c r="AG969" s="114"/>
      <c r="AH969" s="114"/>
      <c r="AI969" s="116"/>
      <c r="AJ969" s="114"/>
      <c r="AK969" s="114"/>
      <c r="AL969" s="114"/>
      <c r="AM969" s="114"/>
      <c r="AN969" s="114"/>
      <c r="AO969" s="114"/>
      <c r="AP969" s="114"/>
      <c r="AQ969" s="114"/>
      <c r="AR969" s="114"/>
      <c r="AS969" s="114"/>
      <c r="AT969" s="114"/>
      <c r="AU969" s="114"/>
      <c r="AV969" s="114"/>
      <c r="AW969" s="114"/>
      <c r="AX969" s="114"/>
      <c r="AY969" s="114"/>
      <c r="AZ969" s="114"/>
      <c r="BA969" s="114"/>
      <c r="BB969" s="114"/>
      <c r="BC969" s="114"/>
      <c r="BD969" s="114"/>
      <c r="BE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5"/>
      <c r="Y970" s="114"/>
      <c r="Z970" s="117" t="s">
        <v>6623</v>
      </c>
      <c r="AA970" s="117" t="s">
        <v>4999</v>
      </c>
      <c r="AB970" s="114"/>
      <c r="AC970" s="114"/>
      <c r="AD970" s="114"/>
      <c r="AE970" s="114"/>
      <c r="AF970" s="114"/>
      <c r="AG970" s="114"/>
      <c r="AH970" s="114"/>
      <c r="AI970" s="116"/>
      <c r="AJ970" s="114"/>
      <c r="AK970" s="114"/>
      <c r="AL970" s="114"/>
      <c r="AM970" s="114"/>
      <c r="AN970" s="114"/>
      <c r="AO970" s="114"/>
      <c r="AP970" s="114"/>
      <c r="AQ970" s="114"/>
      <c r="AR970" s="114"/>
      <c r="AS970" s="114"/>
      <c r="AT970" s="114"/>
      <c r="AU970" s="114"/>
      <c r="AV970" s="114"/>
      <c r="AW970" s="114"/>
      <c r="AX970" s="114"/>
      <c r="AY970" s="114"/>
      <c r="AZ970" s="114"/>
      <c r="BA970" s="114"/>
      <c r="BB970" s="114"/>
      <c r="BC970" s="114"/>
      <c r="BD970" s="114"/>
      <c r="BE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5"/>
      <c r="Y971" s="114"/>
      <c r="Z971" s="117" t="s">
        <v>6624</v>
      </c>
      <c r="AA971" s="117" t="s">
        <v>5009</v>
      </c>
      <c r="AB971" s="114"/>
      <c r="AC971" s="114"/>
      <c r="AD971" s="114"/>
      <c r="AE971" s="114"/>
      <c r="AF971" s="114"/>
      <c r="AG971" s="114"/>
      <c r="AH971" s="114"/>
      <c r="AI971" s="116"/>
      <c r="AJ971" s="114"/>
      <c r="AK971" s="114"/>
      <c r="AL971" s="114"/>
      <c r="AM971" s="114"/>
      <c r="AN971" s="114"/>
      <c r="AO971" s="114"/>
      <c r="AP971" s="114"/>
      <c r="AQ971" s="114"/>
      <c r="AR971" s="114"/>
      <c r="AS971" s="114"/>
      <c r="AT971" s="114"/>
      <c r="AU971" s="114"/>
      <c r="AV971" s="114"/>
      <c r="AW971" s="114"/>
      <c r="AX971" s="114"/>
      <c r="AY971" s="114"/>
      <c r="AZ971" s="114"/>
      <c r="BA971" s="114"/>
      <c r="BB971" s="114"/>
      <c r="BC971" s="114"/>
      <c r="BD971" s="114"/>
      <c r="BE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5"/>
      <c r="Y972" s="114"/>
      <c r="Z972" s="117" t="s">
        <v>6625</v>
      </c>
      <c r="AA972" s="117" t="s">
        <v>5011</v>
      </c>
      <c r="AB972" s="114"/>
      <c r="AC972" s="114"/>
      <c r="AD972" s="114"/>
      <c r="AE972" s="114"/>
      <c r="AF972" s="114"/>
      <c r="AG972" s="114"/>
      <c r="AH972" s="114"/>
      <c r="AI972" s="116"/>
      <c r="AJ972" s="114"/>
      <c r="AK972" s="114"/>
      <c r="AL972" s="114"/>
      <c r="AM972" s="114"/>
      <c r="AN972" s="114"/>
      <c r="AO972" s="114"/>
      <c r="AP972" s="114"/>
      <c r="AQ972" s="114"/>
      <c r="AR972" s="114"/>
      <c r="AS972" s="114"/>
      <c r="AT972" s="114"/>
      <c r="AU972" s="114"/>
      <c r="AV972" s="114"/>
      <c r="AW972" s="114"/>
      <c r="AX972" s="114"/>
      <c r="AY972" s="114"/>
      <c r="AZ972" s="114"/>
      <c r="BA972" s="114"/>
      <c r="BB972" s="114"/>
      <c r="BC972" s="114"/>
      <c r="BD972" s="114"/>
      <c r="BE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5"/>
      <c r="Y973" s="114"/>
      <c r="Z973" s="117" t="s">
        <v>6626</v>
      </c>
      <c r="AA973" s="117" t="s">
        <v>5012</v>
      </c>
      <c r="AB973" s="114"/>
      <c r="AC973" s="114"/>
      <c r="AD973" s="114"/>
      <c r="AE973" s="114"/>
      <c r="AF973" s="114"/>
      <c r="AG973" s="114"/>
      <c r="AH973" s="114"/>
      <c r="AI973" s="116"/>
      <c r="AJ973" s="114"/>
      <c r="AK973" s="114"/>
      <c r="AL973" s="114"/>
      <c r="AM973" s="114"/>
      <c r="AN973" s="114"/>
      <c r="AO973" s="114"/>
      <c r="AP973" s="114"/>
      <c r="AQ973" s="114"/>
      <c r="AR973" s="114"/>
      <c r="AS973" s="114"/>
      <c r="AT973" s="114"/>
      <c r="AU973" s="114"/>
      <c r="AV973" s="114"/>
      <c r="AW973" s="114"/>
      <c r="AX973" s="114"/>
      <c r="AY973" s="114"/>
      <c r="AZ973" s="114"/>
      <c r="BA973" s="114"/>
      <c r="BB973" s="114"/>
      <c r="BC973" s="114"/>
      <c r="BD973" s="114"/>
      <c r="BE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5"/>
      <c r="Y974" s="114"/>
      <c r="Z974" s="117" t="s">
        <v>6627</v>
      </c>
      <c r="AA974" s="117" t="s">
        <v>5010</v>
      </c>
      <c r="AB974" s="114"/>
      <c r="AC974" s="114"/>
      <c r="AD974" s="114"/>
      <c r="AE974" s="114"/>
      <c r="AF974" s="114"/>
      <c r="AG974" s="114"/>
      <c r="AH974" s="114"/>
      <c r="AI974" s="116"/>
      <c r="AJ974" s="114"/>
      <c r="AK974" s="114"/>
      <c r="AL974" s="114"/>
      <c r="AM974" s="114"/>
      <c r="AN974" s="114"/>
      <c r="AO974" s="114"/>
      <c r="AP974" s="114"/>
      <c r="AQ974" s="114"/>
      <c r="AR974" s="114"/>
      <c r="AS974" s="114"/>
      <c r="AT974" s="114"/>
      <c r="AU974" s="114"/>
      <c r="AV974" s="114"/>
      <c r="AW974" s="114"/>
      <c r="AX974" s="114"/>
      <c r="AY974" s="114"/>
      <c r="AZ974" s="114"/>
      <c r="BA974" s="114"/>
      <c r="BB974" s="114"/>
      <c r="BC974" s="114"/>
      <c r="BD974" s="114"/>
      <c r="BE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5"/>
      <c r="Y975" s="114"/>
      <c r="Z975" s="117" t="s">
        <v>6628</v>
      </c>
      <c r="AA975" s="117" t="s">
        <v>5020</v>
      </c>
      <c r="AB975" s="114"/>
      <c r="AC975" s="114"/>
      <c r="AD975" s="114"/>
      <c r="AE975" s="114"/>
      <c r="AF975" s="114"/>
      <c r="AG975" s="114"/>
      <c r="AH975" s="114"/>
      <c r="AI975" s="116"/>
      <c r="AJ975" s="114"/>
      <c r="AK975" s="114"/>
      <c r="AL975" s="114"/>
      <c r="AM975" s="114"/>
      <c r="AN975" s="114"/>
      <c r="AO975" s="114"/>
      <c r="AP975" s="114"/>
      <c r="AQ975" s="114"/>
      <c r="AR975" s="114"/>
      <c r="AS975" s="114"/>
      <c r="AT975" s="114"/>
      <c r="AU975" s="114"/>
      <c r="AV975" s="114"/>
      <c r="AW975" s="114"/>
      <c r="AX975" s="114"/>
      <c r="AY975" s="114"/>
      <c r="AZ975" s="114"/>
      <c r="BA975" s="114"/>
      <c r="BB975" s="114"/>
      <c r="BC975" s="114"/>
      <c r="BD975" s="114"/>
      <c r="BE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5"/>
      <c r="Y976" s="114"/>
      <c r="Z976" s="117" t="s">
        <v>6629</v>
      </c>
      <c r="AA976" s="117" t="s">
        <v>5022</v>
      </c>
      <c r="AB976" s="114"/>
      <c r="AC976" s="114"/>
      <c r="AD976" s="114"/>
      <c r="AE976" s="114"/>
      <c r="AF976" s="114"/>
      <c r="AG976" s="114"/>
      <c r="AH976" s="114"/>
      <c r="AI976" s="116"/>
      <c r="AJ976" s="114"/>
      <c r="AK976" s="114"/>
      <c r="AL976" s="114"/>
      <c r="AM976" s="114"/>
      <c r="AN976" s="114"/>
      <c r="AO976" s="114"/>
      <c r="AP976" s="114"/>
      <c r="AQ976" s="114"/>
      <c r="AR976" s="114"/>
      <c r="AS976" s="114"/>
      <c r="AT976" s="114"/>
      <c r="AU976" s="114"/>
      <c r="AV976" s="114"/>
      <c r="AW976" s="114"/>
      <c r="AX976" s="114"/>
      <c r="AY976" s="114"/>
      <c r="AZ976" s="114"/>
      <c r="BA976" s="114"/>
      <c r="BB976" s="114"/>
      <c r="BC976" s="114"/>
      <c r="BD976" s="114"/>
      <c r="BE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5"/>
      <c r="Y977" s="114"/>
      <c r="Z977" s="117" t="s">
        <v>6630</v>
      </c>
      <c r="AA977" s="117" t="s">
        <v>5023</v>
      </c>
      <c r="AB977" s="114"/>
      <c r="AC977" s="114"/>
      <c r="AD977" s="114"/>
      <c r="AE977" s="114"/>
      <c r="AF977" s="114"/>
      <c r="AG977" s="114"/>
      <c r="AH977" s="114"/>
      <c r="AI977" s="116"/>
      <c r="AJ977" s="114"/>
      <c r="AK977" s="114"/>
      <c r="AL977" s="114"/>
      <c r="AM977" s="114"/>
      <c r="AN977" s="114"/>
      <c r="AO977" s="114"/>
      <c r="AP977" s="114"/>
      <c r="AQ977" s="114"/>
      <c r="AR977" s="114"/>
      <c r="AS977" s="114"/>
      <c r="AT977" s="114"/>
      <c r="AU977" s="114"/>
      <c r="AV977" s="114"/>
      <c r="AW977" s="114"/>
      <c r="AX977" s="114"/>
      <c r="AY977" s="114"/>
      <c r="AZ977" s="114"/>
      <c r="BA977" s="114"/>
      <c r="BB977" s="114"/>
      <c r="BC977" s="114"/>
      <c r="BD977" s="114"/>
      <c r="BE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5"/>
      <c r="Y978" s="114"/>
      <c r="Z978" s="117" t="s">
        <v>6631</v>
      </c>
      <c r="AA978" s="117" t="s">
        <v>5021</v>
      </c>
      <c r="AB978" s="114"/>
      <c r="AC978" s="114"/>
      <c r="AD978" s="114"/>
      <c r="AE978" s="114"/>
      <c r="AF978" s="114"/>
      <c r="AG978" s="114"/>
      <c r="AH978" s="114"/>
      <c r="AI978" s="116"/>
      <c r="AJ978" s="114"/>
      <c r="AK978" s="114"/>
      <c r="AL978" s="114"/>
      <c r="AM978" s="114"/>
      <c r="AN978" s="114"/>
      <c r="AO978" s="114"/>
      <c r="AP978" s="114"/>
      <c r="AQ978" s="114"/>
      <c r="AR978" s="114"/>
      <c r="AS978" s="114"/>
      <c r="AT978" s="114"/>
      <c r="AU978" s="114"/>
      <c r="AV978" s="114"/>
      <c r="AW978" s="114"/>
      <c r="AX978" s="114"/>
      <c r="AY978" s="114"/>
      <c r="AZ978" s="114"/>
      <c r="BA978" s="114"/>
      <c r="BB978" s="114"/>
      <c r="BC978" s="114"/>
      <c r="BD978" s="114"/>
      <c r="BE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5"/>
      <c r="Y979" s="114"/>
      <c r="Z979" s="117" t="s">
        <v>6632</v>
      </c>
      <c r="AA979" s="117" t="s">
        <v>5031</v>
      </c>
      <c r="AB979" s="114"/>
      <c r="AC979" s="114"/>
      <c r="AD979" s="114"/>
      <c r="AE979" s="114"/>
      <c r="AF979" s="114"/>
      <c r="AG979" s="114"/>
      <c r="AH979" s="114"/>
      <c r="AI979" s="116"/>
      <c r="AJ979" s="114"/>
      <c r="AK979" s="114"/>
      <c r="AL979" s="114"/>
      <c r="AM979" s="114"/>
      <c r="AN979" s="114"/>
      <c r="AO979" s="114"/>
      <c r="AP979" s="114"/>
      <c r="AQ979" s="114"/>
      <c r="AR979" s="114"/>
      <c r="AS979" s="114"/>
      <c r="AT979" s="114"/>
      <c r="AU979" s="114"/>
      <c r="AV979" s="114"/>
      <c r="AW979" s="114"/>
      <c r="AX979" s="114"/>
      <c r="AY979" s="114"/>
      <c r="AZ979" s="114"/>
      <c r="BA979" s="114"/>
      <c r="BB979" s="114"/>
      <c r="BC979" s="114"/>
      <c r="BD979" s="114"/>
      <c r="BE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5"/>
      <c r="Y980" s="114"/>
      <c r="Z980" s="117" t="s">
        <v>6633</v>
      </c>
      <c r="AA980" s="117" t="s">
        <v>5033</v>
      </c>
      <c r="AB980" s="114"/>
      <c r="AC980" s="114"/>
      <c r="AD980" s="114"/>
      <c r="AE980" s="114"/>
      <c r="AF980" s="114"/>
      <c r="AG980" s="114"/>
      <c r="AH980" s="114"/>
      <c r="AI980" s="116"/>
      <c r="AJ980" s="114"/>
      <c r="AK980" s="114"/>
      <c r="AL980" s="114"/>
      <c r="AM980" s="114"/>
      <c r="AN980" s="114"/>
      <c r="AO980" s="114"/>
      <c r="AP980" s="114"/>
      <c r="AQ980" s="114"/>
      <c r="AR980" s="114"/>
      <c r="AS980" s="114"/>
      <c r="AT980" s="114"/>
      <c r="AU980" s="114"/>
      <c r="AV980" s="114"/>
      <c r="AW980" s="114"/>
      <c r="AX980" s="114"/>
      <c r="AY980" s="114"/>
      <c r="AZ980" s="114"/>
      <c r="BA980" s="114"/>
      <c r="BB980" s="114"/>
      <c r="BC980" s="114"/>
      <c r="BD980" s="114"/>
      <c r="BE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5"/>
      <c r="Y981" s="114"/>
      <c r="Z981" s="117" t="s">
        <v>6634</v>
      </c>
      <c r="AA981" s="117" t="s">
        <v>5034</v>
      </c>
      <c r="AB981" s="114"/>
      <c r="AC981" s="114"/>
      <c r="AD981" s="114"/>
      <c r="AE981" s="114"/>
      <c r="AF981" s="114"/>
      <c r="AG981" s="114"/>
      <c r="AH981" s="114"/>
      <c r="AI981" s="116"/>
      <c r="AJ981" s="114"/>
      <c r="AK981" s="114"/>
      <c r="AL981" s="114"/>
      <c r="AM981" s="114"/>
      <c r="AN981" s="114"/>
      <c r="AO981" s="114"/>
      <c r="AP981" s="114"/>
      <c r="AQ981" s="114"/>
      <c r="AR981" s="114"/>
      <c r="AS981" s="114"/>
      <c r="AT981" s="114"/>
      <c r="AU981" s="114"/>
      <c r="AV981" s="114"/>
      <c r="AW981" s="114"/>
      <c r="AX981" s="114"/>
      <c r="AY981" s="114"/>
      <c r="AZ981" s="114"/>
      <c r="BA981" s="114"/>
      <c r="BB981" s="114"/>
      <c r="BC981" s="114"/>
      <c r="BD981" s="114"/>
      <c r="BE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5"/>
      <c r="Y982" s="114"/>
      <c r="Z982" s="117" t="s">
        <v>6635</v>
      </c>
      <c r="AA982" s="117" t="s">
        <v>5032</v>
      </c>
      <c r="AB982" s="114"/>
      <c r="AC982" s="114"/>
      <c r="AD982" s="114"/>
      <c r="AE982" s="114"/>
      <c r="AF982" s="114"/>
      <c r="AG982" s="114"/>
      <c r="AH982" s="114"/>
      <c r="AI982" s="116"/>
      <c r="AJ982" s="114"/>
      <c r="AK982" s="114"/>
      <c r="AL982" s="114"/>
      <c r="AM982" s="114"/>
      <c r="AN982" s="114"/>
      <c r="AO982" s="114"/>
      <c r="AP982" s="114"/>
      <c r="AQ982" s="114"/>
      <c r="AR982" s="114"/>
      <c r="AS982" s="114"/>
      <c r="AT982" s="114"/>
      <c r="AU982" s="114"/>
      <c r="AV982" s="114"/>
      <c r="AW982" s="114"/>
      <c r="AX982" s="114"/>
      <c r="AY982" s="114"/>
      <c r="AZ982" s="114"/>
      <c r="BA982" s="114"/>
      <c r="BB982" s="114"/>
      <c r="BC982" s="114"/>
      <c r="BD982" s="114"/>
      <c r="BE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5"/>
      <c r="Y983" s="114"/>
      <c r="Z983" s="117" t="s">
        <v>6636</v>
      </c>
      <c r="AA983" s="117" t="s">
        <v>5042</v>
      </c>
      <c r="AB983" s="114"/>
      <c r="AC983" s="114"/>
      <c r="AD983" s="114"/>
      <c r="AE983" s="114"/>
      <c r="AF983" s="114"/>
      <c r="AG983" s="114"/>
      <c r="AH983" s="114"/>
      <c r="AI983" s="116"/>
      <c r="AJ983" s="114"/>
      <c r="AK983" s="114"/>
      <c r="AL983" s="114"/>
      <c r="AM983" s="114"/>
      <c r="AN983" s="114"/>
      <c r="AO983" s="114"/>
      <c r="AP983" s="114"/>
      <c r="AQ983" s="114"/>
      <c r="AR983" s="114"/>
      <c r="AS983" s="114"/>
      <c r="AT983" s="114"/>
      <c r="AU983" s="114"/>
      <c r="AV983" s="114"/>
      <c r="AW983" s="114"/>
      <c r="AX983" s="114"/>
      <c r="AY983" s="114"/>
      <c r="AZ983" s="114"/>
      <c r="BA983" s="114"/>
      <c r="BB983" s="114"/>
      <c r="BC983" s="114"/>
      <c r="BD983" s="114"/>
      <c r="BE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5"/>
      <c r="Y984" s="114"/>
      <c r="Z984" s="117" t="s">
        <v>6637</v>
      </c>
      <c r="AA984" s="117" t="s">
        <v>5044</v>
      </c>
      <c r="AB984" s="114"/>
      <c r="AC984" s="114"/>
      <c r="AD984" s="114"/>
      <c r="AE984" s="114"/>
      <c r="AF984" s="114"/>
      <c r="AG984" s="114"/>
      <c r="AH984" s="114"/>
      <c r="AI984" s="116"/>
      <c r="AJ984" s="114"/>
      <c r="AK984" s="114"/>
      <c r="AL984" s="114"/>
      <c r="AM984" s="114"/>
      <c r="AN984" s="114"/>
      <c r="AO984" s="114"/>
      <c r="AP984" s="114"/>
      <c r="AQ984" s="114"/>
      <c r="AR984" s="114"/>
      <c r="AS984" s="114"/>
      <c r="AT984" s="114"/>
      <c r="AU984" s="114"/>
      <c r="AV984" s="114"/>
      <c r="AW984" s="114"/>
      <c r="AX984" s="114"/>
      <c r="AY984" s="114"/>
      <c r="AZ984" s="114"/>
      <c r="BA984" s="114"/>
      <c r="BB984" s="114"/>
      <c r="BC984" s="114"/>
      <c r="BD984" s="114"/>
      <c r="BE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5"/>
      <c r="Y985" s="114"/>
      <c r="Z985" s="117" t="s">
        <v>6638</v>
      </c>
      <c r="AA985" s="117" t="s">
        <v>5045</v>
      </c>
      <c r="AB985" s="114"/>
      <c r="AC985" s="114"/>
      <c r="AD985" s="114"/>
      <c r="AE985" s="114"/>
      <c r="AF985" s="114"/>
      <c r="AG985" s="114"/>
      <c r="AH985" s="114"/>
      <c r="AI985" s="116"/>
      <c r="AJ985" s="114"/>
      <c r="AK985" s="114"/>
      <c r="AL985" s="114"/>
      <c r="AM985" s="114"/>
      <c r="AN985" s="114"/>
      <c r="AO985" s="114"/>
      <c r="AP985" s="114"/>
      <c r="AQ985" s="114"/>
      <c r="AR985" s="114"/>
      <c r="AS985" s="114"/>
      <c r="AT985" s="114"/>
      <c r="AU985" s="114"/>
      <c r="AV985" s="114"/>
      <c r="AW985" s="114"/>
      <c r="AX985" s="114"/>
      <c r="AY985" s="114"/>
      <c r="AZ985" s="114"/>
      <c r="BA985" s="114"/>
      <c r="BB985" s="114"/>
      <c r="BC985" s="114"/>
      <c r="BD985" s="114"/>
      <c r="BE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5"/>
      <c r="Y986" s="114"/>
      <c r="Z986" s="117" t="s">
        <v>6639</v>
      </c>
      <c r="AA986" s="117" t="s">
        <v>5043</v>
      </c>
      <c r="AB986" s="114"/>
      <c r="AC986" s="114"/>
      <c r="AD986" s="114"/>
      <c r="AE986" s="114"/>
      <c r="AF986" s="114"/>
      <c r="AG986" s="114"/>
      <c r="AH986" s="114"/>
      <c r="AI986" s="116"/>
      <c r="AJ986" s="114"/>
      <c r="AK986" s="114"/>
      <c r="AL986" s="114"/>
      <c r="AM986" s="114"/>
      <c r="AN986" s="114"/>
      <c r="AO986" s="114"/>
      <c r="AP986" s="114"/>
      <c r="AQ986" s="114"/>
      <c r="AR986" s="114"/>
      <c r="AS986" s="114"/>
      <c r="AT986" s="114"/>
      <c r="AU986" s="114"/>
      <c r="AV986" s="114"/>
      <c r="AW986" s="114"/>
      <c r="AX986" s="114"/>
      <c r="AY986" s="114"/>
      <c r="AZ986" s="114"/>
      <c r="BA986" s="114"/>
      <c r="BB986" s="114"/>
      <c r="BC986" s="114"/>
      <c r="BD986" s="114"/>
      <c r="BE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5"/>
      <c r="Y987" s="114"/>
      <c r="Z987" s="117" t="s">
        <v>6640</v>
      </c>
      <c r="AA987" s="117" t="s">
        <v>5053</v>
      </c>
      <c r="AB987" s="114"/>
      <c r="AC987" s="114"/>
      <c r="AD987" s="114"/>
      <c r="AE987" s="114"/>
      <c r="AF987" s="114"/>
      <c r="AG987" s="114"/>
      <c r="AH987" s="114"/>
      <c r="AI987" s="116"/>
      <c r="AJ987" s="114"/>
      <c r="AK987" s="114"/>
      <c r="AL987" s="114"/>
      <c r="AM987" s="114"/>
      <c r="AN987" s="114"/>
      <c r="AO987" s="114"/>
      <c r="AP987" s="114"/>
      <c r="AQ987" s="114"/>
      <c r="AR987" s="114"/>
      <c r="AS987" s="114"/>
      <c r="AT987" s="114"/>
      <c r="AU987" s="114"/>
      <c r="AV987" s="114"/>
      <c r="AW987" s="114"/>
      <c r="AX987" s="114"/>
      <c r="AY987" s="114"/>
      <c r="AZ987" s="114"/>
      <c r="BA987" s="114"/>
      <c r="BB987" s="114"/>
      <c r="BC987" s="114"/>
      <c r="BD987" s="114"/>
      <c r="BE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5"/>
      <c r="Y988" s="114"/>
      <c r="Z988" s="117" t="s">
        <v>6641</v>
      </c>
      <c r="AA988" s="117" t="s">
        <v>5055</v>
      </c>
      <c r="AB988" s="114"/>
      <c r="AC988" s="114"/>
      <c r="AD988" s="114"/>
      <c r="AE988" s="114"/>
      <c r="AF988" s="114"/>
      <c r="AG988" s="114"/>
      <c r="AH988" s="114"/>
      <c r="AI988" s="116"/>
      <c r="AJ988" s="114"/>
      <c r="AK988" s="114"/>
      <c r="AL988" s="114"/>
      <c r="AM988" s="114"/>
      <c r="AN988" s="114"/>
      <c r="AO988" s="114"/>
      <c r="AP988" s="114"/>
      <c r="AQ988" s="114"/>
      <c r="AR988" s="114"/>
      <c r="AS988" s="114"/>
      <c r="AT988" s="114"/>
      <c r="AU988" s="114"/>
      <c r="AV988" s="114"/>
      <c r="AW988" s="114"/>
      <c r="AX988" s="114"/>
      <c r="AY988" s="114"/>
      <c r="AZ988" s="114"/>
      <c r="BA988" s="114"/>
      <c r="BB988" s="114"/>
      <c r="BC988" s="114"/>
      <c r="BD988" s="114"/>
      <c r="BE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5"/>
      <c r="Y989" s="114"/>
      <c r="Z989" s="117" t="s">
        <v>6642</v>
      </c>
      <c r="AA989" s="117" t="s">
        <v>5056</v>
      </c>
      <c r="AB989" s="114"/>
      <c r="AC989" s="114"/>
      <c r="AD989" s="114"/>
      <c r="AE989" s="114"/>
      <c r="AF989" s="114"/>
      <c r="AG989" s="114"/>
      <c r="AH989" s="114"/>
      <c r="AI989" s="116"/>
      <c r="AJ989" s="114"/>
      <c r="AK989" s="114"/>
      <c r="AL989" s="114"/>
      <c r="AM989" s="114"/>
      <c r="AN989" s="114"/>
      <c r="AO989" s="114"/>
      <c r="AP989" s="114"/>
      <c r="AQ989" s="114"/>
      <c r="AR989" s="114"/>
      <c r="AS989" s="114"/>
      <c r="AT989" s="114"/>
      <c r="AU989" s="114"/>
      <c r="AV989" s="114"/>
      <c r="AW989" s="114"/>
      <c r="AX989" s="114"/>
      <c r="AY989" s="114"/>
      <c r="AZ989" s="114"/>
      <c r="BA989" s="114"/>
      <c r="BB989" s="114"/>
      <c r="BC989" s="114"/>
      <c r="BD989" s="114"/>
      <c r="BE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5"/>
      <c r="Y990" s="114"/>
      <c r="Z990" s="117" t="s">
        <v>6643</v>
      </c>
      <c r="AA990" s="117" t="s">
        <v>5054</v>
      </c>
      <c r="AB990" s="114"/>
      <c r="AC990" s="114"/>
      <c r="AD990" s="114"/>
      <c r="AE990" s="114"/>
      <c r="AF990" s="114"/>
      <c r="AG990" s="114"/>
      <c r="AH990" s="114"/>
      <c r="AI990" s="116"/>
      <c r="AJ990" s="114"/>
      <c r="AK990" s="114"/>
      <c r="AL990" s="114"/>
      <c r="AM990" s="114"/>
      <c r="AN990" s="114"/>
      <c r="AO990" s="114"/>
      <c r="AP990" s="114"/>
      <c r="AQ990" s="114"/>
      <c r="AR990" s="114"/>
      <c r="AS990" s="114"/>
      <c r="AT990" s="114"/>
      <c r="AU990" s="114"/>
      <c r="AV990" s="114"/>
      <c r="AW990" s="114"/>
      <c r="AX990" s="114"/>
      <c r="AY990" s="114"/>
      <c r="AZ990" s="114"/>
      <c r="BA990" s="114"/>
      <c r="BB990" s="114"/>
      <c r="BC990" s="114"/>
      <c r="BD990" s="114"/>
      <c r="BE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5"/>
      <c r="Y991" s="114"/>
      <c r="Z991" s="117" t="s">
        <v>6644</v>
      </c>
      <c r="AA991" s="117" t="s">
        <v>5064</v>
      </c>
      <c r="AB991" s="114"/>
      <c r="AC991" s="114"/>
      <c r="AD991" s="114"/>
      <c r="AE991" s="114"/>
      <c r="AF991" s="114"/>
      <c r="AG991" s="114"/>
      <c r="AH991" s="114"/>
      <c r="AI991" s="116"/>
      <c r="AJ991" s="114"/>
      <c r="AK991" s="114"/>
      <c r="AL991" s="114"/>
      <c r="AM991" s="114"/>
      <c r="AN991" s="114"/>
      <c r="AO991" s="114"/>
      <c r="AP991" s="114"/>
      <c r="AQ991" s="114"/>
      <c r="AR991" s="114"/>
      <c r="AS991" s="114"/>
      <c r="AT991" s="114"/>
      <c r="AU991" s="114"/>
      <c r="AV991" s="114"/>
      <c r="AW991" s="114"/>
      <c r="AX991" s="114"/>
      <c r="AY991" s="114"/>
      <c r="AZ991" s="114"/>
      <c r="BA991" s="114"/>
      <c r="BB991" s="114"/>
      <c r="BC991" s="114"/>
      <c r="BD991" s="114"/>
      <c r="BE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5"/>
      <c r="Y992" s="114"/>
      <c r="Z992" s="117" t="s">
        <v>6645</v>
      </c>
      <c r="AA992" s="117" t="s">
        <v>5066</v>
      </c>
      <c r="AB992" s="114"/>
      <c r="AC992" s="114"/>
      <c r="AD992" s="114"/>
      <c r="AE992" s="114"/>
      <c r="AF992" s="114"/>
      <c r="AG992" s="114"/>
      <c r="AH992" s="114"/>
      <c r="AI992" s="116"/>
      <c r="AJ992" s="114"/>
      <c r="AK992" s="114"/>
      <c r="AL992" s="114"/>
      <c r="AM992" s="114"/>
      <c r="AN992" s="114"/>
      <c r="AO992" s="114"/>
      <c r="AP992" s="114"/>
      <c r="AQ992" s="114"/>
      <c r="AR992" s="114"/>
      <c r="AS992" s="114"/>
      <c r="AT992" s="114"/>
      <c r="AU992" s="114"/>
      <c r="AV992" s="114"/>
      <c r="AW992" s="114"/>
      <c r="AX992" s="114"/>
      <c r="AY992" s="114"/>
      <c r="AZ992" s="114"/>
      <c r="BA992" s="114"/>
      <c r="BB992" s="114"/>
      <c r="BC992" s="114"/>
      <c r="BD992" s="114"/>
      <c r="BE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5"/>
      <c r="Y993" s="114"/>
      <c r="Z993" s="117" t="s">
        <v>6646</v>
      </c>
      <c r="AA993" s="117" t="s">
        <v>5067</v>
      </c>
      <c r="AB993" s="114"/>
      <c r="AC993" s="114"/>
      <c r="AD993" s="114"/>
      <c r="AE993" s="114"/>
      <c r="AF993" s="114"/>
      <c r="AG993" s="114"/>
      <c r="AH993" s="114"/>
      <c r="AI993" s="116"/>
      <c r="AJ993" s="114"/>
      <c r="AK993" s="114"/>
      <c r="AL993" s="114"/>
      <c r="AM993" s="114"/>
      <c r="AN993" s="114"/>
      <c r="AO993" s="114"/>
      <c r="AP993" s="114"/>
      <c r="AQ993" s="114"/>
      <c r="AR993" s="114"/>
      <c r="AS993" s="114"/>
      <c r="AT993" s="114"/>
      <c r="AU993" s="114"/>
      <c r="AV993" s="114"/>
      <c r="AW993" s="114"/>
      <c r="AX993" s="114"/>
      <c r="AY993" s="114"/>
      <c r="AZ993" s="114"/>
      <c r="BA993" s="114"/>
      <c r="BB993" s="114"/>
      <c r="BC993" s="114"/>
      <c r="BD993" s="114"/>
      <c r="BE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5"/>
      <c r="Y994" s="114"/>
      <c r="Z994" s="117" t="s">
        <v>6647</v>
      </c>
      <c r="AA994" s="117" t="s">
        <v>5065</v>
      </c>
      <c r="AB994" s="114"/>
      <c r="AC994" s="114"/>
      <c r="AD994" s="114"/>
      <c r="AE994" s="114"/>
      <c r="AF994" s="114"/>
      <c r="AG994" s="114"/>
      <c r="AH994" s="114"/>
      <c r="AI994" s="116"/>
      <c r="AJ994" s="114"/>
      <c r="AK994" s="114"/>
      <c r="AL994" s="114"/>
      <c r="AM994" s="114"/>
      <c r="AN994" s="114"/>
      <c r="AO994" s="114"/>
      <c r="AP994" s="114"/>
      <c r="AQ994" s="114"/>
      <c r="AR994" s="114"/>
      <c r="AS994" s="114"/>
      <c r="AT994" s="114"/>
      <c r="AU994" s="114"/>
      <c r="AV994" s="114"/>
      <c r="AW994" s="114"/>
      <c r="AX994" s="114"/>
      <c r="AY994" s="114"/>
      <c r="AZ994" s="114"/>
      <c r="BA994" s="114"/>
      <c r="BB994" s="114"/>
      <c r="BC994" s="114"/>
      <c r="BD994" s="114"/>
      <c r="BE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5"/>
      <c r="Y995" s="114"/>
      <c r="Z995" s="117" t="s">
        <v>6648</v>
      </c>
      <c r="AA995" s="117" t="s">
        <v>5075</v>
      </c>
      <c r="AB995" s="114"/>
      <c r="AC995" s="114"/>
      <c r="AD995" s="114"/>
      <c r="AE995" s="114"/>
      <c r="AF995" s="114"/>
      <c r="AG995" s="114"/>
      <c r="AH995" s="114"/>
      <c r="AI995" s="116"/>
      <c r="AJ995" s="114"/>
      <c r="AK995" s="114"/>
      <c r="AL995" s="114"/>
      <c r="AM995" s="114"/>
      <c r="AN995" s="114"/>
      <c r="AO995" s="114"/>
      <c r="AP995" s="114"/>
      <c r="AQ995" s="114"/>
      <c r="AR995" s="114"/>
      <c r="AS995" s="114"/>
      <c r="AT995" s="114"/>
      <c r="AU995" s="114"/>
      <c r="AV995" s="114"/>
      <c r="AW995" s="114"/>
      <c r="AX995" s="114"/>
      <c r="AY995" s="114"/>
      <c r="AZ995" s="114"/>
      <c r="BA995" s="114"/>
      <c r="BB995" s="114"/>
      <c r="BC995" s="114"/>
      <c r="BD995" s="114"/>
      <c r="BE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5"/>
      <c r="Y996" s="114"/>
      <c r="Z996" s="117" t="s">
        <v>6649</v>
      </c>
      <c r="AA996" s="117" t="s">
        <v>5077</v>
      </c>
      <c r="AB996" s="114"/>
      <c r="AC996" s="114"/>
      <c r="AD996" s="114"/>
      <c r="AE996" s="114"/>
      <c r="AF996" s="114"/>
      <c r="AG996" s="114"/>
      <c r="AH996" s="114"/>
      <c r="AI996" s="116"/>
      <c r="AJ996" s="114"/>
      <c r="AK996" s="114"/>
      <c r="AL996" s="114"/>
      <c r="AM996" s="114"/>
      <c r="AN996" s="114"/>
      <c r="AO996" s="114"/>
      <c r="AP996" s="114"/>
      <c r="AQ996" s="114"/>
      <c r="AR996" s="114"/>
      <c r="AS996" s="114"/>
      <c r="AT996" s="114"/>
      <c r="AU996" s="114"/>
      <c r="AV996" s="114"/>
      <c r="AW996" s="114"/>
      <c r="AX996" s="114"/>
      <c r="AY996" s="114"/>
      <c r="AZ996" s="114"/>
      <c r="BA996" s="114"/>
      <c r="BB996" s="114"/>
      <c r="BC996" s="114"/>
      <c r="BD996" s="114"/>
      <c r="BE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5"/>
      <c r="Y997" s="114"/>
      <c r="Z997" s="117" t="s">
        <v>6650</v>
      </c>
      <c r="AA997" s="117" t="s">
        <v>5078</v>
      </c>
      <c r="AB997" s="114"/>
      <c r="AC997" s="114"/>
      <c r="AD997" s="114"/>
      <c r="AE997" s="114"/>
      <c r="AF997" s="114"/>
      <c r="AG997" s="114"/>
      <c r="AH997" s="114"/>
      <c r="AI997" s="116"/>
      <c r="AJ997" s="114"/>
      <c r="AK997" s="114"/>
      <c r="AL997" s="114"/>
      <c r="AM997" s="114"/>
      <c r="AN997" s="114"/>
      <c r="AO997" s="114"/>
      <c r="AP997" s="114"/>
      <c r="AQ997" s="114"/>
      <c r="AR997" s="114"/>
      <c r="AS997" s="114"/>
      <c r="AT997" s="114"/>
      <c r="AU997" s="114"/>
      <c r="AV997" s="114"/>
      <c r="AW997" s="114"/>
      <c r="AX997" s="114"/>
      <c r="AY997" s="114"/>
      <c r="AZ997" s="114"/>
      <c r="BA997" s="114"/>
      <c r="BB997" s="114"/>
      <c r="BC997" s="114"/>
      <c r="BD997" s="114"/>
      <c r="BE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5"/>
      <c r="Y998" s="114"/>
      <c r="Z998" s="117" t="s">
        <v>6651</v>
      </c>
      <c r="AA998" s="117" t="s">
        <v>5076</v>
      </c>
      <c r="AB998" s="114"/>
      <c r="AC998" s="114"/>
      <c r="AD998" s="114"/>
      <c r="AE998" s="114"/>
      <c r="AF998" s="114"/>
      <c r="AG998" s="114"/>
      <c r="AH998" s="114"/>
      <c r="AI998" s="116"/>
      <c r="AJ998" s="114"/>
      <c r="AK998" s="114"/>
      <c r="AL998" s="114"/>
      <c r="AM998" s="114"/>
      <c r="AN998" s="114"/>
      <c r="AO998" s="114"/>
      <c r="AP998" s="114"/>
      <c r="AQ998" s="114"/>
      <c r="AR998" s="114"/>
      <c r="AS998" s="114"/>
      <c r="AT998" s="114"/>
      <c r="AU998" s="114"/>
      <c r="AV998" s="114"/>
      <c r="AW998" s="114"/>
      <c r="AX998" s="114"/>
      <c r="AY998" s="114"/>
      <c r="AZ998" s="114"/>
      <c r="BA998" s="114"/>
      <c r="BB998" s="114"/>
      <c r="BC998" s="114"/>
      <c r="BD998" s="114"/>
      <c r="BE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5"/>
      <c r="Y999" s="114"/>
      <c r="Z999" s="117" t="s">
        <v>6652</v>
      </c>
      <c r="AA999" s="117" t="s">
        <v>5086</v>
      </c>
      <c r="AB999" s="114"/>
      <c r="AC999" s="114"/>
      <c r="AD999" s="114"/>
      <c r="AE999" s="114"/>
      <c r="AF999" s="114"/>
      <c r="AG999" s="114"/>
      <c r="AH999" s="114"/>
      <c r="AI999" s="116"/>
      <c r="AJ999" s="114"/>
      <c r="AK999" s="114"/>
      <c r="AL999" s="114"/>
      <c r="AM999" s="114"/>
      <c r="AN999" s="114"/>
      <c r="AO999" s="114"/>
      <c r="AP999" s="114"/>
      <c r="AQ999" s="114"/>
      <c r="AR999" s="114"/>
      <c r="AS999" s="114"/>
      <c r="AT999" s="114"/>
      <c r="AU999" s="114"/>
      <c r="AV999" s="114"/>
      <c r="AW999" s="114"/>
      <c r="AX999" s="114"/>
      <c r="AY999" s="114"/>
      <c r="AZ999" s="114"/>
      <c r="BA999" s="114"/>
      <c r="BB999" s="114"/>
      <c r="BC999" s="114"/>
      <c r="BD999" s="114"/>
      <c r="BE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5"/>
      <c r="Y1000" s="114"/>
      <c r="Z1000" s="117" t="s">
        <v>6653</v>
      </c>
      <c r="AA1000" s="117" t="s">
        <v>5088</v>
      </c>
      <c r="AB1000" s="114"/>
      <c r="AC1000" s="114"/>
      <c r="AD1000" s="114"/>
      <c r="AE1000" s="114"/>
      <c r="AF1000" s="114"/>
      <c r="AG1000" s="114"/>
      <c r="AH1000" s="114"/>
      <c r="AI1000" s="116"/>
      <c r="AJ1000" s="114"/>
      <c r="AK1000" s="114"/>
      <c r="AL1000" s="114"/>
      <c r="AM1000" s="114"/>
      <c r="AN1000" s="114"/>
      <c r="AO1000" s="114"/>
      <c r="AP1000" s="114"/>
      <c r="AQ1000" s="114"/>
      <c r="AR1000" s="114"/>
      <c r="AS1000" s="114"/>
      <c r="AT1000" s="114"/>
      <c r="AU1000" s="114"/>
      <c r="AV1000" s="114"/>
      <c r="AW1000" s="114"/>
      <c r="AX1000" s="114"/>
      <c r="AY1000" s="114"/>
      <c r="AZ1000" s="114"/>
      <c r="BA1000" s="114"/>
      <c r="BB1000" s="114"/>
      <c r="BC1000" s="114"/>
      <c r="BD1000" s="114"/>
      <c r="BE1000" s="114"/>
    </row>
    <row r="100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5"/>
      <c r="Y1001" s="114"/>
      <c r="Z1001" s="117" t="s">
        <v>6654</v>
      </c>
      <c r="AA1001" s="117" t="s">
        <v>5089</v>
      </c>
      <c r="AB1001" s="114"/>
      <c r="AC1001" s="114"/>
      <c r="AD1001" s="114"/>
      <c r="AE1001" s="114"/>
      <c r="AF1001" s="114"/>
      <c r="AG1001" s="114"/>
      <c r="AH1001" s="114"/>
      <c r="AI1001" s="116"/>
      <c r="AJ1001" s="114"/>
      <c r="AK1001" s="114"/>
      <c r="AL1001" s="114"/>
      <c r="AM1001" s="114"/>
      <c r="AN1001" s="114"/>
      <c r="AO1001" s="114"/>
      <c r="AP1001" s="114"/>
      <c r="AQ1001" s="114"/>
      <c r="AR1001" s="114"/>
      <c r="AS1001" s="114"/>
      <c r="AT1001" s="114"/>
      <c r="AU1001" s="114"/>
      <c r="AV1001" s="114"/>
      <c r="AW1001" s="114"/>
      <c r="AX1001" s="114"/>
      <c r="AY1001" s="114"/>
      <c r="AZ1001" s="114"/>
      <c r="BA1001" s="114"/>
      <c r="BB1001" s="114"/>
      <c r="BC1001" s="114"/>
      <c r="BD1001" s="114"/>
      <c r="BE1001" s="114"/>
    </row>
    <row r="100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5"/>
      <c r="Y1002" s="114"/>
      <c r="Z1002" s="117" t="s">
        <v>6655</v>
      </c>
      <c r="AA1002" s="117" t="s">
        <v>5087</v>
      </c>
      <c r="AB1002" s="114"/>
      <c r="AC1002" s="114"/>
      <c r="AD1002" s="114"/>
      <c r="AE1002" s="114"/>
      <c r="AF1002" s="114"/>
      <c r="AG1002" s="114"/>
      <c r="AH1002" s="114"/>
      <c r="AI1002" s="116"/>
      <c r="AJ1002" s="114"/>
      <c r="AK1002" s="114"/>
      <c r="AL1002" s="114"/>
      <c r="AM1002" s="114"/>
      <c r="AN1002" s="114"/>
      <c r="AO1002" s="114"/>
      <c r="AP1002" s="114"/>
      <c r="AQ1002" s="114"/>
      <c r="AR1002" s="114"/>
      <c r="AS1002" s="114"/>
      <c r="AT1002" s="114"/>
      <c r="AU1002" s="114"/>
      <c r="AV1002" s="114"/>
      <c r="AW1002" s="114"/>
      <c r="AX1002" s="114"/>
      <c r="AY1002" s="114"/>
      <c r="AZ1002" s="114"/>
      <c r="BA1002" s="114"/>
      <c r="BB1002" s="114"/>
      <c r="BC1002" s="114"/>
      <c r="BD1002" s="114"/>
      <c r="BE1002" s="114"/>
    </row>
    <row r="1003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5"/>
      <c r="Y1003" s="114"/>
      <c r="Z1003" s="117" t="s">
        <v>6656</v>
      </c>
      <c r="AA1003" s="117" t="s">
        <v>5097</v>
      </c>
      <c r="AB1003" s="114"/>
      <c r="AC1003" s="114"/>
      <c r="AD1003" s="114"/>
      <c r="AE1003" s="114"/>
      <c r="AF1003" s="114"/>
      <c r="AG1003" s="114"/>
      <c r="AH1003" s="114"/>
      <c r="AI1003" s="116"/>
      <c r="AJ1003" s="114"/>
      <c r="AK1003" s="114"/>
      <c r="AL1003" s="114"/>
      <c r="AM1003" s="114"/>
      <c r="AN1003" s="114"/>
      <c r="AO1003" s="114"/>
      <c r="AP1003" s="114"/>
      <c r="AQ1003" s="114"/>
      <c r="AR1003" s="114"/>
      <c r="AS1003" s="114"/>
      <c r="AT1003" s="114"/>
      <c r="AU1003" s="114"/>
      <c r="AV1003" s="114"/>
      <c r="AW1003" s="114"/>
      <c r="AX1003" s="114"/>
      <c r="AY1003" s="114"/>
      <c r="AZ1003" s="114"/>
      <c r="BA1003" s="114"/>
      <c r="BB1003" s="114"/>
      <c r="BC1003" s="114"/>
      <c r="BD1003" s="114"/>
      <c r="BE1003" s="114"/>
    </row>
    <row r="1004">
      <c r="A1004" s="114"/>
      <c r="B1004" s="114"/>
      <c r="C1004" s="114"/>
      <c r="D1004" s="114"/>
      <c r="E1004" s="114"/>
      <c r="F1004" s="114"/>
      <c r="G1004" s="114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5"/>
      <c r="Y1004" s="114"/>
      <c r="Z1004" s="117" t="s">
        <v>6657</v>
      </c>
      <c r="AA1004" s="117" t="s">
        <v>5099</v>
      </c>
      <c r="AB1004" s="114"/>
      <c r="AC1004" s="114"/>
      <c r="AD1004" s="114"/>
      <c r="AE1004" s="114"/>
      <c r="AF1004" s="114"/>
      <c r="AG1004" s="114"/>
      <c r="AH1004" s="114"/>
      <c r="AI1004" s="116"/>
      <c r="AJ1004" s="114"/>
      <c r="AK1004" s="114"/>
      <c r="AL1004" s="114"/>
      <c r="AM1004" s="114"/>
      <c r="AN1004" s="114"/>
      <c r="AO1004" s="114"/>
      <c r="AP1004" s="114"/>
      <c r="AQ1004" s="114"/>
      <c r="AR1004" s="114"/>
      <c r="AS1004" s="114"/>
      <c r="AT1004" s="114"/>
      <c r="AU1004" s="114"/>
      <c r="AV1004" s="114"/>
      <c r="AW1004" s="114"/>
      <c r="AX1004" s="114"/>
      <c r="AY1004" s="114"/>
      <c r="AZ1004" s="114"/>
      <c r="BA1004" s="114"/>
      <c r="BB1004" s="114"/>
      <c r="BC1004" s="114"/>
      <c r="BD1004" s="114"/>
      <c r="BE1004" s="114"/>
    </row>
    <row r="1005">
      <c r="A1005" s="114"/>
      <c r="B1005" s="114"/>
      <c r="C1005" s="114"/>
      <c r="D1005" s="114"/>
      <c r="E1005" s="114"/>
      <c r="F1005" s="114"/>
      <c r="G1005" s="114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5"/>
      <c r="Y1005" s="114"/>
      <c r="Z1005" s="117" t="s">
        <v>6658</v>
      </c>
      <c r="AA1005" s="117" t="s">
        <v>5100</v>
      </c>
      <c r="AB1005" s="114"/>
      <c r="AC1005" s="114"/>
      <c r="AD1005" s="114"/>
      <c r="AE1005" s="114"/>
      <c r="AF1005" s="114"/>
      <c r="AG1005" s="114"/>
      <c r="AH1005" s="114"/>
      <c r="AI1005" s="116"/>
      <c r="AJ1005" s="114"/>
      <c r="AK1005" s="114"/>
      <c r="AL1005" s="114"/>
      <c r="AM1005" s="114"/>
      <c r="AN1005" s="114"/>
      <c r="AO1005" s="114"/>
      <c r="AP1005" s="114"/>
      <c r="AQ1005" s="114"/>
      <c r="AR1005" s="114"/>
      <c r="AS1005" s="114"/>
      <c r="AT1005" s="114"/>
      <c r="AU1005" s="114"/>
      <c r="AV1005" s="114"/>
      <c r="AW1005" s="114"/>
      <c r="AX1005" s="114"/>
      <c r="AY1005" s="114"/>
      <c r="AZ1005" s="114"/>
      <c r="BA1005" s="114"/>
      <c r="BB1005" s="114"/>
      <c r="BC1005" s="114"/>
      <c r="BD1005" s="114"/>
      <c r="BE1005" s="114"/>
    </row>
    <row r="1006">
      <c r="A1006" s="114"/>
      <c r="B1006" s="114"/>
      <c r="C1006" s="114"/>
      <c r="D1006" s="114"/>
      <c r="E1006" s="114"/>
      <c r="F1006" s="114"/>
      <c r="G1006" s="114"/>
      <c r="H1006" s="114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5"/>
      <c r="Y1006" s="114"/>
      <c r="Z1006" s="117" t="s">
        <v>6659</v>
      </c>
      <c r="AA1006" s="117" t="s">
        <v>5098</v>
      </c>
      <c r="AB1006" s="114"/>
      <c r="AC1006" s="114"/>
      <c r="AD1006" s="114"/>
      <c r="AE1006" s="114"/>
      <c r="AF1006" s="114"/>
      <c r="AG1006" s="114"/>
      <c r="AH1006" s="114"/>
      <c r="AI1006" s="116"/>
      <c r="AJ1006" s="114"/>
      <c r="AK1006" s="114"/>
      <c r="AL1006" s="114"/>
      <c r="AM1006" s="114"/>
      <c r="AN1006" s="114"/>
      <c r="AO1006" s="114"/>
      <c r="AP1006" s="114"/>
      <c r="AQ1006" s="114"/>
      <c r="AR1006" s="114"/>
      <c r="AS1006" s="114"/>
      <c r="AT1006" s="114"/>
      <c r="AU1006" s="114"/>
      <c r="AV1006" s="114"/>
      <c r="AW1006" s="114"/>
      <c r="AX1006" s="114"/>
      <c r="AY1006" s="114"/>
      <c r="AZ1006" s="114"/>
      <c r="BA1006" s="114"/>
      <c r="BB1006" s="114"/>
      <c r="BC1006" s="114"/>
      <c r="BD1006" s="114"/>
      <c r="BE1006" s="114"/>
    </row>
    <row r="1007">
      <c r="A1007" s="114"/>
      <c r="B1007" s="114"/>
      <c r="C1007" s="114"/>
      <c r="D1007" s="114"/>
      <c r="E1007" s="114"/>
      <c r="F1007" s="114"/>
      <c r="G1007" s="114"/>
      <c r="H1007" s="114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5"/>
      <c r="Y1007" s="114"/>
      <c r="Z1007" s="117" t="s">
        <v>6660</v>
      </c>
      <c r="AA1007" s="117" t="s">
        <v>5108</v>
      </c>
      <c r="AB1007" s="114"/>
      <c r="AC1007" s="114"/>
      <c r="AD1007" s="114"/>
      <c r="AE1007" s="114"/>
      <c r="AF1007" s="114"/>
      <c r="AG1007" s="114"/>
      <c r="AH1007" s="114"/>
      <c r="AI1007" s="116"/>
      <c r="AJ1007" s="114"/>
      <c r="AK1007" s="114"/>
      <c r="AL1007" s="114"/>
      <c r="AM1007" s="114"/>
      <c r="AN1007" s="114"/>
      <c r="AO1007" s="114"/>
      <c r="AP1007" s="114"/>
      <c r="AQ1007" s="114"/>
      <c r="AR1007" s="114"/>
      <c r="AS1007" s="114"/>
      <c r="AT1007" s="114"/>
      <c r="AU1007" s="114"/>
      <c r="AV1007" s="114"/>
      <c r="AW1007" s="114"/>
      <c r="AX1007" s="114"/>
      <c r="AY1007" s="114"/>
      <c r="AZ1007" s="114"/>
      <c r="BA1007" s="114"/>
      <c r="BB1007" s="114"/>
      <c r="BC1007" s="114"/>
      <c r="BD1007" s="114"/>
      <c r="BE1007" s="114"/>
    </row>
    <row r="1008">
      <c r="A1008" s="114"/>
      <c r="B1008" s="114"/>
      <c r="C1008" s="114"/>
      <c r="D1008" s="114"/>
      <c r="E1008" s="114"/>
      <c r="F1008" s="114"/>
      <c r="G1008" s="114"/>
      <c r="H1008" s="114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5"/>
      <c r="Y1008" s="114"/>
      <c r="Z1008" s="117" t="s">
        <v>6661</v>
      </c>
      <c r="AA1008" s="117" t="s">
        <v>5110</v>
      </c>
      <c r="AB1008" s="114"/>
      <c r="AC1008" s="114"/>
      <c r="AD1008" s="114"/>
      <c r="AE1008" s="114"/>
      <c r="AF1008" s="114"/>
      <c r="AG1008" s="114"/>
      <c r="AH1008" s="114"/>
      <c r="AI1008" s="116"/>
      <c r="AJ1008" s="114"/>
      <c r="AK1008" s="114"/>
      <c r="AL1008" s="114"/>
      <c r="AM1008" s="114"/>
      <c r="AN1008" s="114"/>
      <c r="AO1008" s="114"/>
      <c r="AP1008" s="114"/>
      <c r="AQ1008" s="114"/>
      <c r="AR1008" s="114"/>
      <c r="AS1008" s="114"/>
      <c r="AT1008" s="114"/>
      <c r="AU1008" s="114"/>
      <c r="AV1008" s="114"/>
      <c r="AW1008" s="114"/>
      <c r="AX1008" s="114"/>
      <c r="AY1008" s="114"/>
      <c r="AZ1008" s="114"/>
      <c r="BA1008" s="114"/>
      <c r="BB1008" s="114"/>
      <c r="BC1008" s="114"/>
      <c r="BD1008" s="114"/>
      <c r="BE1008" s="114"/>
    </row>
    <row r="1009">
      <c r="A1009" s="114"/>
      <c r="B1009" s="114"/>
      <c r="C1009" s="114"/>
      <c r="D1009" s="114"/>
      <c r="E1009" s="114"/>
      <c r="F1009" s="114"/>
      <c r="G1009" s="114"/>
      <c r="H1009" s="114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5"/>
      <c r="Y1009" s="114"/>
      <c r="Z1009" s="117" t="s">
        <v>6662</v>
      </c>
      <c r="AA1009" s="117" t="s">
        <v>5111</v>
      </c>
      <c r="AB1009" s="114"/>
      <c r="AC1009" s="114"/>
      <c r="AD1009" s="114"/>
      <c r="AE1009" s="114"/>
      <c r="AF1009" s="114"/>
      <c r="AG1009" s="114"/>
      <c r="AH1009" s="114"/>
      <c r="AI1009" s="116"/>
      <c r="AJ1009" s="114"/>
      <c r="AK1009" s="114"/>
      <c r="AL1009" s="114"/>
      <c r="AM1009" s="114"/>
      <c r="AN1009" s="114"/>
      <c r="AO1009" s="114"/>
      <c r="AP1009" s="114"/>
      <c r="AQ1009" s="114"/>
      <c r="AR1009" s="114"/>
      <c r="AS1009" s="114"/>
      <c r="AT1009" s="114"/>
      <c r="AU1009" s="114"/>
      <c r="AV1009" s="114"/>
      <c r="AW1009" s="114"/>
      <c r="AX1009" s="114"/>
      <c r="AY1009" s="114"/>
      <c r="AZ1009" s="114"/>
      <c r="BA1009" s="114"/>
      <c r="BB1009" s="114"/>
      <c r="BC1009" s="114"/>
      <c r="BD1009" s="114"/>
      <c r="BE1009" s="114"/>
    </row>
    <row r="1010">
      <c r="A1010" s="114"/>
      <c r="B1010" s="114"/>
      <c r="C1010" s="114"/>
      <c r="D1010" s="114"/>
      <c r="E1010" s="114"/>
      <c r="F1010" s="114"/>
      <c r="G1010" s="114"/>
      <c r="H1010" s="114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5"/>
      <c r="Y1010" s="114"/>
      <c r="Z1010" s="117" t="s">
        <v>6663</v>
      </c>
      <c r="AA1010" s="117" t="s">
        <v>5109</v>
      </c>
      <c r="AB1010" s="114"/>
      <c r="AC1010" s="114"/>
      <c r="AD1010" s="114"/>
      <c r="AE1010" s="114"/>
      <c r="AF1010" s="114"/>
      <c r="AG1010" s="114"/>
      <c r="AH1010" s="114"/>
      <c r="AI1010" s="116"/>
      <c r="AJ1010" s="114"/>
      <c r="AK1010" s="114"/>
      <c r="AL1010" s="114"/>
      <c r="AM1010" s="114"/>
      <c r="AN1010" s="114"/>
      <c r="AO1010" s="114"/>
      <c r="AP1010" s="114"/>
      <c r="AQ1010" s="114"/>
      <c r="AR1010" s="114"/>
      <c r="AS1010" s="114"/>
      <c r="AT1010" s="114"/>
      <c r="AU1010" s="114"/>
      <c r="AV1010" s="114"/>
      <c r="AW1010" s="114"/>
      <c r="AX1010" s="114"/>
      <c r="AY1010" s="114"/>
      <c r="AZ1010" s="114"/>
      <c r="BA1010" s="114"/>
      <c r="BB1010" s="114"/>
      <c r="BC1010" s="114"/>
      <c r="BD1010" s="114"/>
      <c r="BE1010" s="114"/>
    </row>
    <row r="1011">
      <c r="A1011" s="114"/>
      <c r="B1011" s="114"/>
      <c r="C1011" s="114"/>
      <c r="D1011" s="114"/>
      <c r="E1011" s="114"/>
      <c r="F1011" s="114"/>
      <c r="G1011" s="114"/>
      <c r="H1011" s="114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5"/>
      <c r="Y1011" s="114"/>
      <c r="Z1011" s="117" t="s">
        <v>6664</v>
      </c>
      <c r="AA1011" s="117" t="s">
        <v>5119</v>
      </c>
      <c r="AB1011" s="114"/>
      <c r="AC1011" s="114"/>
      <c r="AD1011" s="114"/>
      <c r="AE1011" s="114"/>
      <c r="AF1011" s="114"/>
      <c r="AG1011" s="114"/>
      <c r="AH1011" s="114"/>
      <c r="AI1011" s="116"/>
      <c r="AJ1011" s="114"/>
      <c r="AK1011" s="114"/>
      <c r="AL1011" s="114"/>
      <c r="AM1011" s="114"/>
      <c r="AN1011" s="114"/>
      <c r="AO1011" s="114"/>
      <c r="AP1011" s="114"/>
      <c r="AQ1011" s="114"/>
      <c r="AR1011" s="114"/>
      <c r="AS1011" s="114"/>
      <c r="AT1011" s="114"/>
      <c r="AU1011" s="114"/>
      <c r="AV1011" s="114"/>
      <c r="AW1011" s="114"/>
      <c r="AX1011" s="114"/>
      <c r="AY1011" s="114"/>
      <c r="AZ1011" s="114"/>
      <c r="BA1011" s="114"/>
      <c r="BB1011" s="114"/>
      <c r="BC1011" s="114"/>
      <c r="BD1011" s="114"/>
      <c r="BE1011" s="114"/>
    </row>
    <row r="1012">
      <c r="A1012" s="114"/>
      <c r="B1012" s="114"/>
      <c r="C1012" s="114"/>
      <c r="D1012" s="114"/>
      <c r="E1012" s="114"/>
      <c r="F1012" s="114"/>
      <c r="G1012" s="114"/>
      <c r="H1012" s="114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5"/>
      <c r="Y1012" s="114"/>
      <c r="Z1012" s="117" t="s">
        <v>6665</v>
      </c>
      <c r="AA1012" s="117" t="s">
        <v>5121</v>
      </c>
      <c r="AB1012" s="114"/>
      <c r="AC1012" s="114"/>
      <c r="AD1012" s="114"/>
      <c r="AE1012" s="114"/>
      <c r="AF1012" s="114"/>
      <c r="AG1012" s="114"/>
      <c r="AH1012" s="114"/>
      <c r="AI1012" s="116"/>
      <c r="AJ1012" s="114"/>
      <c r="AK1012" s="114"/>
      <c r="AL1012" s="114"/>
      <c r="AM1012" s="114"/>
      <c r="AN1012" s="114"/>
      <c r="AO1012" s="114"/>
      <c r="AP1012" s="114"/>
      <c r="AQ1012" s="114"/>
      <c r="AR1012" s="114"/>
      <c r="AS1012" s="114"/>
      <c r="AT1012" s="114"/>
      <c r="AU1012" s="114"/>
      <c r="AV1012" s="114"/>
      <c r="AW1012" s="114"/>
      <c r="AX1012" s="114"/>
      <c r="AY1012" s="114"/>
      <c r="AZ1012" s="114"/>
      <c r="BA1012" s="114"/>
      <c r="BB1012" s="114"/>
      <c r="BC1012" s="114"/>
      <c r="BD1012" s="114"/>
      <c r="BE1012" s="114"/>
    </row>
    <row r="1013">
      <c r="A1013" s="114"/>
      <c r="B1013" s="114"/>
      <c r="C1013" s="114"/>
      <c r="D1013" s="114"/>
      <c r="E1013" s="114"/>
      <c r="F1013" s="114"/>
      <c r="G1013" s="114"/>
      <c r="H1013" s="114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5"/>
      <c r="Y1013" s="114"/>
      <c r="Z1013" s="117" t="s">
        <v>6666</v>
      </c>
      <c r="AA1013" s="117" t="s">
        <v>5122</v>
      </c>
      <c r="AB1013" s="114"/>
      <c r="AC1013" s="114"/>
      <c r="AD1013" s="114"/>
      <c r="AE1013" s="114"/>
      <c r="AF1013" s="114"/>
      <c r="AG1013" s="114"/>
      <c r="AH1013" s="114"/>
      <c r="AI1013" s="116"/>
      <c r="AJ1013" s="114"/>
      <c r="AK1013" s="114"/>
      <c r="AL1013" s="114"/>
      <c r="AM1013" s="114"/>
      <c r="AN1013" s="114"/>
      <c r="AO1013" s="114"/>
      <c r="AP1013" s="114"/>
      <c r="AQ1013" s="114"/>
      <c r="AR1013" s="114"/>
      <c r="AS1013" s="114"/>
      <c r="AT1013" s="114"/>
      <c r="AU1013" s="114"/>
      <c r="AV1013" s="114"/>
      <c r="AW1013" s="114"/>
      <c r="AX1013" s="114"/>
      <c r="AY1013" s="114"/>
      <c r="AZ1013" s="114"/>
      <c r="BA1013" s="114"/>
      <c r="BB1013" s="114"/>
      <c r="BC1013" s="114"/>
      <c r="BD1013" s="114"/>
      <c r="BE1013" s="114"/>
    </row>
    <row r="1014">
      <c r="A1014" s="114"/>
      <c r="B1014" s="114"/>
      <c r="C1014" s="114"/>
      <c r="D1014" s="114"/>
      <c r="E1014" s="114"/>
      <c r="F1014" s="114"/>
      <c r="G1014" s="114"/>
      <c r="H1014" s="114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5"/>
      <c r="Y1014" s="114"/>
      <c r="Z1014" s="117" t="s">
        <v>6667</v>
      </c>
      <c r="AA1014" s="117" t="s">
        <v>5120</v>
      </c>
      <c r="AB1014" s="114"/>
      <c r="AC1014" s="114"/>
      <c r="AD1014" s="114"/>
      <c r="AE1014" s="114"/>
      <c r="AF1014" s="114"/>
      <c r="AG1014" s="114"/>
      <c r="AH1014" s="114"/>
      <c r="AI1014" s="116"/>
      <c r="AJ1014" s="114"/>
      <c r="AK1014" s="114"/>
      <c r="AL1014" s="114"/>
      <c r="AM1014" s="114"/>
      <c r="AN1014" s="114"/>
      <c r="AO1014" s="114"/>
      <c r="AP1014" s="114"/>
      <c r="AQ1014" s="114"/>
      <c r="AR1014" s="114"/>
      <c r="AS1014" s="114"/>
      <c r="AT1014" s="114"/>
      <c r="AU1014" s="114"/>
      <c r="AV1014" s="114"/>
      <c r="AW1014" s="114"/>
      <c r="AX1014" s="114"/>
      <c r="AY1014" s="114"/>
      <c r="AZ1014" s="114"/>
      <c r="BA1014" s="114"/>
      <c r="BB1014" s="114"/>
      <c r="BC1014" s="114"/>
      <c r="BD1014" s="114"/>
      <c r="BE1014" s="114"/>
    </row>
    <row r="1015">
      <c r="A1015" s="114"/>
      <c r="B1015" s="114"/>
      <c r="C1015" s="114"/>
      <c r="D1015" s="114"/>
      <c r="E1015" s="114"/>
      <c r="F1015" s="114"/>
      <c r="G1015" s="114"/>
      <c r="H1015" s="114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5"/>
      <c r="Y1015" s="114"/>
      <c r="Z1015" s="117" t="s">
        <v>6668</v>
      </c>
      <c r="AA1015" s="117" t="s">
        <v>5130</v>
      </c>
      <c r="AB1015" s="114"/>
      <c r="AC1015" s="114"/>
      <c r="AD1015" s="114"/>
      <c r="AE1015" s="114"/>
      <c r="AF1015" s="114"/>
      <c r="AG1015" s="114"/>
      <c r="AH1015" s="114"/>
      <c r="AI1015" s="116"/>
      <c r="AJ1015" s="114"/>
      <c r="AK1015" s="114"/>
      <c r="AL1015" s="114"/>
      <c r="AM1015" s="114"/>
      <c r="AN1015" s="114"/>
      <c r="AO1015" s="114"/>
      <c r="AP1015" s="114"/>
      <c r="AQ1015" s="114"/>
      <c r="AR1015" s="114"/>
      <c r="AS1015" s="114"/>
      <c r="AT1015" s="114"/>
      <c r="AU1015" s="114"/>
      <c r="AV1015" s="114"/>
      <c r="AW1015" s="114"/>
      <c r="AX1015" s="114"/>
      <c r="AY1015" s="114"/>
      <c r="AZ1015" s="114"/>
      <c r="BA1015" s="114"/>
      <c r="BB1015" s="114"/>
      <c r="BC1015" s="114"/>
      <c r="BD1015" s="114"/>
      <c r="BE1015" s="114"/>
    </row>
    <row r="1016">
      <c r="A1016" s="114"/>
      <c r="B1016" s="114"/>
      <c r="C1016" s="114"/>
      <c r="D1016" s="114"/>
      <c r="E1016" s="114"/>
      <c r="F1016" s="114"/>
      <c r="G1016" s="114"/>
      <c r="H1016" s="114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5"/>
      <c r="Y1016" s="114"/>
      <c r="Z1016" s="117" t="s">
        <v>6669</v>
      </c>
      <c r="AA1016" s="117" t="s">
        <v>5132</v>
      </c>
      <c r="AB1016" s="114"/>
      <c r="AC1016" s="114"/>
      <c r="AD1016" s="114"/>
      <c r="AE1016" s="114"/>
      <c r="AF1016" s="114"/>
      <c r="AG1016" s="114"/>
      <c r="AH1016" s="114"/>
      <c r="AI1016" s="116"/>
      <c r="AJ1016" s="114"/>
      <c r="AK1016" s="114"/>
      <c r="AL1016" s="114"/>
      <c r="AM1016" s="114"/>
      <c r="AN1016" s="114"/>
      <c r="AO1016" s="114"/>
      <c r="AP1016" s="114"/>
      <c r="AQ1016" s="114"/>
      <c r="AR1016" s="114"/>
      <c r="AS1016" s="114"/>
      <c r="AT1016" s="114"/>
      <c r="AU1016" s="114"/>
      <c r="AV1016" s="114"/>
      <c r="AW1016" s="114"/>
      <c r="AX1016" s="114"/>
      <c r="AY1016" s="114"/>
      <c r="AZ1016" s="114"/>
      <c r="BA1016" s="114"/>
      <c r="BB1016" s="114"/>
      <c r="BC1016" s="114"/>
      <c r="BD1016" s="114"/>
      <c r="BE1016" s="114"/>
    </row>
    <row r="1017">
      <c r="A1017" s="114"/>
      <c r="B1017" s="114"/>
      <c r="C1017" s="114"/>
      <c r="D1017" s="114"/>
      <c r="E1017" s="114"/>
      <c r="F1017" s="114"/>
      <c r="G1017" s="114"/>
      <c r="H1017" s="114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5"/>
      <c r="Y1017" s="114"/>
      <c r="Z1017" s="117" t="s">
        <v>6670</v>
      </c>
      <c r="AA1017" s="117" t="s">
        <v>5133</v>
      </c>
      <c r="AB1017" s="114"/>
      <c r="AC1017" s="114"/>
      <c r="AD1017" s="114"/>
      <c r="AE1017" s="114"/>
      <c r="AF1017" s="114"/>
      <c r="AG1017" s="114"/>
      <c r="AH1017" s="114"/>
      <c r="AI1017" s="116"/>
      <c r="AJ1017" s="114"/>
      <c r="AK1017" s="114"/>
      <c r="AL1017" s="114"/>
      <c r="AM1017" s="114"/>
      <c r="AN1017" s="114"/>
      <c r="AO1017" s="114"/>
      <c r="AP1017" s="114"/>
      <c r="AQ1017" s="114"/>
      <c r="AR1017" s="114"/>
      <c r="AS1017" s="114"/>
      <c r="AT1017" s="114"/>
      <c r="AU1017" s="114"/>
      <c r="AV1017" s="114"/>
      <c r="AW1017" s="114"/>
      <c r="AX1017" s="114"/>
      <c r="AY1017" s="114"/>
      <c r="AZ1017" s="114"/>
      <c r="BA1017" s="114"/>
      <c r="BB1017" s="114"/>
      <c r="BC1017" s="114"/>
      <c r="BD1017" s="114"/>
      <c r="BE1017" s="114"/>
    </row>
    <row r="1018">
      <c r="A1018" s="114"/>
      <c r="B1018" s="114"/>
      <c r="C1018" s="114"/>
      <c r="D1018" s="114"/>
      <c r="E1018" s="114"/>
      <c r="F1018" s="114"/>
      <c r="G1018" s="114"/>
      <c r="H1018" s="114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5"/>
      <c r="Y1018" s="114"/>
      <c r="Z1018" s="117" t="s">
        <v>6671</v>
      </c>
      <c r="AA1018" s="117" t="s">
        <v>5131</v>
      </c>
      <c r="AB1018" s="114"/>
      <c r="AC1018" s="114"/>
      <c r="AD1018" s="114"/>
      <c r="AE1018" s="114"/>
      <c r="AF1018" s="114"/>
      <c r="AG1018" s="114"/>
      <c r="AH1018" s="114"/>
      <c r="AI1018" s="116"/>
      <c r="AJ1018" s="114"/>
      <c r="AK1018" s="114"/>
      <c r="AL1018" s="114"/>
      <c r="AM1018" s="114"/>
      <c r="AN1018" s="114"/>
      <c r="AO1018" s="114"/>
      <c r="AP1018" s="114"/>
      <c r="AQ1018" s="114"/>
      <c r="AR1018" s="114"/>
      <c r="AS1018" s="114"/>
      <c r="AT1018" s="114"/>
      <c r="AU1018" s="114"/>
      <c r="AV1018" s="114"/>
      <c r="AW1018" s="114"/>
      <c r="AX1018" s="114"/>
      <c r="AY1018" s="114"/>
      <c r="AZ1018" s="114"/>
      <c r="BA1018" s="114"/>
      <c r="BB1018" s="114"/>
      <c r="BC1018" s="114"/>
      <c r="BD1018" s="114"/>
      <c r="BE1018" s="114"/>
    </row>
    <row r="1019">
      <c r="A1019" s="114"/>
      <c r="B1019" s="114"/>
      <c r="C1019" s="114"/>
      <c r="D1019" s="114"/>
      <c r="E1019" s="114"/>
      <c r="F1019" s="114"/>
      <c r="G1019" s="114"/>
      <c r="H1019" s="114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5"/>
      <c r="Y1019" s="114"/>
      <c r="Z1019" s="117" t="s">
        <v>6672</v>
      </c>
      <c r="AA1019" s="117" t="s">
        <v>5141</v>
      </c>
      <c r="AB1019" s="114"/>
      <c r="AC1019" s="114"/>
      <c r="AD1019" s="114"/>
      <c r="AE1019" s="114"/>
      <c r="AF1019" s="114"/>
      <c r="AG1019" s="114"/>
      <c r="AH1019" s="114"/>
      <c r="AI1019" s="116"/>
      <c r="AJ1019" s="114"/>
      <c r="AK1019" s="114"/>
      <c r="AL1019" s="114"/>
      <c r="AM1019" s="114"/>
      <c r="AN1019" s="114"/>
      <c r="AO1019" s="114"/>
      <c r="AP1019" s="114"/>
      <c r="AQ1019" s="114"/>
      <c r="AR1019" s="114"/>
      <c r="AS1019" s="114"/>
      <c r="AT1019" s="114"/>
      <c r="AU1019" s="114"/>
      <c r="AV1019" s="114"/>
      <c r="AW1019" s="114"/>
      <c r="AX1019" s="114"/>
      <c r="AY1019" s="114"/>
      <c r="AZ1019" s="114"/>
      <c r="BA1019" s="114"/>
      <c r="BB1019" s="114"/>
      <c r="BC1019" s="114"/>
      <c r="BD1019" s="114"/>
      <c r="BE1019" s="114"/>
    </row>
    <row r="1020">
      <c r="A1020" s="114"/>
      <c r="B1020" s="114"/>
      <c r="C1020" s="114"/>
      <c r="D1020" s="114"/>
      <c r="E1020" s="114"/>
      <c r="F1020" s="114"/>
      <c r="G1020" s="114"/>
      <c r="H1020" s="114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5"/>
      <c r="Y1020" s="114"/>
      <c r="Z1020" s="117" t="s">
        <v>6673</v>
      </c>
      <c r="AA1020" s="117" t="s">
        <v>5143</v>
      </c>
      <c r="AB1020" s="114"/>
      <c r="AC1020" s="114"/>
      <c r="AD1020" s="114"/>
      <c r="AE1020" s="114"/>
      <c r="AF1020" s="114"/>
      <c r="AG1020" s="114"/>
      <c r="AH1020" s="114"/>
      <c r="AI1020" s="116"/>
      <c r="AJ1020" s="114"/>
      <c r="AK1020" s="114"/>
      <c r="AL1020" s="114"/>
      <c r="AM1020" s="114"/>
      <c r="AN1020" s="114"/>
      <c r="AO1020" s="114"/>
      <c r="AP1020" s="114"/>
      <c r="AQ1020" s="114"/>
      <c r="AR1020" s="114"/>
      <c r="AS1020" s="114"/>
      <c r="AT1020" s="114"/>
      <c r="AU1020" s="114"/>
      <c r="AV1020" s="114"/>
      <c r="AW1020" s="114"/>
      <c r="AX1020" s="114"/>
      <c r="AY1020" s="114"/>
      <c r="AZ1020" s="114"/>
      <c r="BA1020" s="114"/>
      <c r="BB1020" s="114"/>
      <c r="BC1020" s="114"/>
      <c r="BD1020" s="114"/>
      <c r="BE1020" s="114"/>
    </row>
    <row r="1021">
      <c r="A1021" s="114"/>
      <c r="B1021" s="114"/>
      <c r="C1021" s="114"/>
      <c r="D1021" s="114"/>
      <c r="E1021" s="114"/>
      <c r="F1021" s="114"/>
      <c r="G1021" s="114"/>
      <c r="H1021" s="114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5"/>
      <c r="Y1021" s="114"/>
      <c r="Z1021" s="117" t="s">
        <v>6674</v>
      </c>
      <c r="AA1021" s="117" t="s">
        <v>5144</v>
      </c>
      <c r="AB1021" s="114"/>
      <c r="AC1021" s="114"/>
      <c r="AD1021" s="114"/>
      <c r="AE1021" s="114"/>
      <c r="AF1021" s="114"/>
      <c r="AG1021" s="114"/>
      <c r="AH1021" s="114"/>
      <c r="AI1021" s="116"/>
      <c r="AJ1021" s="114"/>
      <c r="AK1021" s="114"/>
      <c r="AL1021" s="114"/>
      <c r="AM1021" s="114"/>
      <c r="AN1021" s="114"/>
      <c r="AO1021" s="114"/>
      <c r="AP1021" s="114"/>
      <c r="AQ1021" s="114"/>
      <c r="AR1021" s="114"/>
      <c r="AS1021" s="114"/>
      <c r="AT1021" s="114"/>
      <c r="AU1021" s="114"/>
      <c r="AV1021" s="114"/>
      <c r="AW1021" s="114"/>
      <c r="AX1021" s="114"/>
      <c r="AY1021" s="114"/>
      <c r="AZ1021" s="114"/>
      <c r="BA1021" s="114"/>
      <c r="BB1021" s="114"/>
      <c r="BC1021" s="114"/>
      <c r="BD1021" s="114"/>
      <c r="BE1021" s="114"/>
    </row>
    <row r="1022">
      <c r="A1022" s="114"/>
      <c r="B1022" s="114"/>
      <c r="C1022" s="114"/>
      <c r="D1022" s="114"/>
      <c r="E1022" s="114"/>
      <c r="F1022" s="114"/>
      <c r="G1022" s="114"/>
      <c r="H1022" s="114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5"/>
      <c r="Y1022" s="114"/>
      <c r="Z1022" s="117" t="s">
        <v>6675</v>
      </c>
      <c r="AA1022" s="117" t="s">
        <v>5142</v>
      </c>
      <c r="AB1022" s="114"/>
      <c r="AC1022" s="114"/>
      <c r="AD1022" s="114"/>
      <c r="AE1022" s="114"/>
      <c r="AF1022" s="114"/>
      <c r="AG1022" s="114"/>
      <c r="AH1022" s="114"/>
      <c r="AI1022" s="116"/>
      <c r="AJ1022" s="114"/>
      <c r="AK1022" s="114"/>
      <c r="AL1022" s="114"/>
      <c r="AM1022" s="114"/>
      <c r="AN1022" s="114"/>
      <c r="AO1022" s="114"/>
      <c r="AP1022" s="114"/>
      <c r="AQ1022" s="114"/>
      <c r="AR1022" s="114"/>
      <c r="AS1022" s="114"/>
      <c r="AT1022" s="114"/>
      <c r="AU1022" s="114"/>
      <c r="AV1022" s="114"/>
      <c r="AW1022" s="114"/>
      <c r="AX1022" s="114"/>
      <c r="AY1022" s="114"/>
      <c r="AZ1022" s="114"/>
      <c r="BA1022" s="114"/>
      <c r="BB1022" s="114"/>
      <c r="BC1022" s="114"/>
      <c r="BD1022" s="114"/>
      <c r="BE1022" s="114"/>
    </row>
    <row r="1023">
      <c r="A1023" s="114"/>
      <c r="B1023" s="114"/>
      <c r="C1023" s="114"/>
      <c r="D1023" s="114"/>
      <c r="E1023" s="114"/>
      <c r="F1023" s="114"/>
      <c r="G1023" s="114"/>
      <c r="H1023" s="114"/>
      <c r="I1023" s="114"/>
      <c r="J1023" s="114"/>
      <c r="K1023" s="114"/>
      <c r="L1023" s="114"/>
      <c r="M1023" s="114"/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5"/>
      <c r="Y1023" s="114"/>
      <c r="Z1023" s="117" t="s">
        <v>6676</v>
      </c>
      <c r="AA1023" s="117" t="s">
        <v>5152</v>
      </c>
      <c r="AB1023" s="114"/>
      <c r="AC1023" s="114"/>
      <c r="AD1023" s="114"/>
      <c r="AE1023" s="114"/>
      <c r="AF1023" s="114"/>
      <c r="AG1023" s="114"/>
      <c r="AH1023" s="114"/>
      <c r="AI1023" s="116"/>
      <c r="AJ1023" s="114"/>
      <c r="AK1023" s="114"/>
      <c r="AL1023" s="114"/>
      <c r="AM1023" s="114"/>
      <c r="AN1023" s="114"/>
      <c r="AO1023" s="114"/>
      <c r="AP1023" s="114"/>
      <c r="AQ1023" s="114"/>
      <c r="AR1023" s="114"/>
      <c r="AS1023" s="114"/>
      <c r="AT1023" s="114"/>
      <c r="AU1023" s="114"/>
      <c r="AV1023" s="114"/>
      <c r="AW1023" s="114"/>
      <c r="AX1023" s="114"/>
      <c r="AY1023" s="114"/>
      <c r="AZ1023" s="114"/>
      <c r="BA1023" s="114"/>
      <c r="BB1023" s="114"/>
      <c r="BC1023" s="114"/>
      <c r="BD1023" s="114"/>
      <c r="BE1023" s="114"/>
    </row>
    <row r="1024">
      <c r="A1024" s="114"/>
      <c r="B1024" s="114"/>
      <c r="C1024" s="114"/>
      <c r="D1024" s="114"/>
      <c r="E1024" s="114"/>
      <c r="F1024" s="114"/>
      <c r="G1024" s="114"/>
      <c r="H1024" s="114"/>
      <c r="I1024" s="114"/>
      <c r="J1024" s="114"/>
      <c r="K1024" s="114"/>
      <c r="L1024" s="114"/>
      <c r="M1024" s="114"/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5"/>
      <c r="Y1024" s="114"/>
      <c r="Z1024" s="117" t="s">
        <v>6677</v>
      </c>
      <c r="AA1024" s="117" t="s">
        <v>5154</v>
      </c>
      <c r="AB1024" s="114"/>
      <c r="AC1024" s="114"/>
      <c r="AD1024" s="114"/>
      <c r="AE1024" s="114"/>
      <c r="AF1024" s="114"/>
      <c r="AG1024" s="114"/>
      <c r="AH1024" s="114"/>
      <c r="AI1024" s="116"/>
      <c r="AJ1024" s="114"/>
      <c r="AK1024" s="114"/>
      <c r="AL1024" s="114"/>
      <c r="AM1024" s="114"/>
      <c r="AN1024" s="114"/>
      <c r="AO1024" s="114"/>
      <c r="AP1024" s="114"/>
      <c r="AQ1024" s="114"/>
      <c r="AR1024" s="114"/>
      <c r="AS1024" s="114"/>
      <c r="AT1024" s="114"/>
      <c r="AU1024" s="114"/>
      <c r="AV1024" s="114"/>
      <c r="AW1024" s="114"/>
      <c r="AX1024" s="114"/>
      <c r="AY1024" s="114"/>
      <c r="AZ1024" s="114"/>
      <c r="BA1024" s="114"/>
      <c r="BB1024" s="114"/>
      <c r="BC1024" s="114"/>
      <c r="BD1024" s="114"/>
      <c r="BE1024" s="114"/>
    </row>
    <row r="1025">
      <c r="A1025" s="114"/>
      <c r="B1025" s="114"/>
      <c r="C1025" s="114"/>
      <c r="D1025" s="114"/>
      <c r="E1025" s="114"/>
      <c r="F1025" s="114"/>
      <c r="G1025" s="114"/>
      <c r="H1025" s="114"/>
      <c r="I1025" s="114"/>
      <c r="J1025" s="114"/>
      <c r="K1025" s="114"/>
      <c r="L1025" s="114"/>
      <c r="M1025" s="114"/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5"/>
      <c r="Y1025" s="114"/>
      <c r="Z1025" s="117" t="s">
        <v>6678</v>
      </c>
      <c r="AA1025" s="117" t="s">
        <v>5155</v>
      </c>
      <c r="AB1025" s="114"/>
      <c r="AC1025" s="114"/>
      <c r="AD1025" s="114"/>
      <c r="AE1025" s="114"/>
      <c r="AF1025" s="114"/>
      <c r="AG1025" s="114"/>
      <c r="AH1025" s="114"/>
      <c r="AI1025" s="116"/>
      <c r="AJ1025" s="114"/>
      <c r="AK1025" s="114"/>
      <c r="AL1025" s="114"/>
      <c r="AM1025" s="114"/>
      <c r="AN1025" s="114"/>
      <c r="AO1025" s="114"/>
      <c r="AP1025" s="114"/>
      <c r="AQ1025" s="114"/>
      <c r="AR1025" s="114"/>
      <c r="AS1025" s="114"/>
      <c r="AT1025" s="114"/>
      <c r="AU1025" s="114"/>
      <c r="AV1025" s="114"/>
      <c r="AW1025" s="114"/>
      <c r="AX1025" s="114"/>
      <c r="AY1025" s="114"/>
      <c r="AZ1025" s="114"/>
      <c r="BA1025" s="114"/>
      <c r="BB1025" s="114"/>
      <c r="BC1025" s="114"/>
      <c r="BD1025" s="114"/>
      <c r="BE1025" s="114"/>
    </row>
    <row r="1026">
      <c r="A1026" s="114"/>
      <c r="B1026" s="114"/>
      <c r="C1026" s="114"/>
      <c r="D1026" s="114"/>
      <c r="E1026" s="114"/>
      <c r="F1026" s="114"/>
      <c r="G1026" s="114"/>
      <c r="H1026" s="114"/>
      <c r="I1026" s="114"/>
      <c r="J1026" s="114"/>
      <c r="K1026" s="114"/>
      <c r="L1026" s="114"/>
      <c r="M1026" s="114"/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5"/>
      <c r="Y1026" s="114"/>
      <c r="Z1026" s="117" t="s">
        <v>6679</v>
      </c>
      <c r="AA1026" s="117" t="s">
        <v>5153</v>
      </c>
      <c r="AB1026" s="114"/>
      <c r="AC1026" s="114"/>
      <c r="AD1026" s="114"/>
      <c r="AE1026" s="114"/>
      <c r="AF1026" s="114"/>
      <c r="AG1026" s="114"/>
      <c r="AH1026" s="114"/>
      <c r="AI1026" s="116"/>
      <c r="AJ1026" s="114"/>
      <c r="AK1026" s="114"/>
      <c r="AL1026" s="114"/>
      <c r="AM1026" s="114"/>
      <c r="AN1026" s="114"/>
      <c r="AO1026" s="114"/>
      <c r="AP1026" s="114"/>
      <c r="AQ1026" s="114"/>
      <c r="AR1026" s="114"/>
      <c r="AS1026" s="114"/>
      <c r="AT1026" s="114"/>
      <c r="AU1026" s="114"/>
      <c r="AV1026" s="114"/>
      <c r="AW1026" s="114"/>
      <c r="AX1026" s="114"/>
      <c r="AY1026" s="114"/>
      <c r="AZ1026" s="114"/>
      <c r="BA1026" s="114"/>
      <c r="BB1026" s="114"/>
      <c r="BC1026" s="114"/>
      <c r="BD1026" s="114"/>
      <c r="BE1026" s="114"/>
    </row>
    <row r="1027">
      <c r="A1027" s="114"/>
      <c r="B1027" s="114"/>
      <c r="C1027" s="114"/>
      <c r="D1027" s="114"/>
      <c r="E1027" s="114"/>
      <c r="F1027" s="114"/>
      <c r="G1027" s="114"/>
      <c r="H1027" s="114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5"/>
      <c r="Y1027" s="114"/>
      <c r="Z1027" s="117" t="s">
        <v>6680</v>
      </c>
      <c r="AA1027" s="117" t="s">
        <v>5163</v>
      </c>
      <c r="AB1027" s="114"/>
      <c r="AC1027" s="114"/>
      <c r="AD1027" s="114"/>
      <c r="AE1027" s="114"/>
      <c r="AF1027" s="114"/>
      <c r="AG1027" s="114"/>
      <c r="AH1027" s="114"/>
      <c r="AI1027" s="116"/>
      <c r="AJ1027" s="114"/>
      <c r="AK1027" s="114"/>
      <c r="AL1027" s="114"/>
      <c r="AM1027" s="114"/>
      <c r="AN1027" s="114"/>
      <c r="AO1027" s="114"/>
      <c r="AP1027" s="114"/>
      <c r="AQ1027" s="114"/>
      <c r="AR1027" s="114"/>
      <c r="AS1027" s="114"/>
      <c r="AT1027" s="114"/>
      <c r="AU1027" s="114"/>
      <c r="AV1027" s="114"/>
      <c r="AW1027" s="114"/>
      <c r="AX1027" s="114"/>
      <c r="AY1027" s="114"/>
      <c r="AZ1027" s="114"/>
      <c r="BA1027" s="114"/>
      <c r="BB1027" s="114"/>
      <c r="BC1027" s="114"/>
      <c r="BD1027" s="114"/>
      <c r="BE1027" s="114"/>
    </row>
    <row r="1028">
      <c r="A1028" s="114"/>
      <c r="B1028" s="114"/>
      <c r="C1028" s="114"/>
      <c r="D1028" s="114"/>
      <c r="E1028" s="114"/>
      <c r="F1028" s="114"/>
      <c r="G1028" s="114"/>
      <c r="H1028" s="114"/>
      <c r="I1028" s="114"/>
      <c r="J1028" s="114"/>
      <c r="K1028" s="114"/>
      <c r="L1028" s="114"/>
      <c r="M1028" s="114"/>
      <c r="N1028" s="114"/>
      <c r="O1028" s="114"/>
      <c r="P1028" s="114"/>
      <c r="Q1028" s="114"/>
      <c r="R1028" s="114"/>
      <c r="S1028" s="114"/>
      <c r="T1028" s="114"/>
      <c r="U1028" s="114"/>
      <c r="V1028" s="114"/>
      <c r="W1028" s="114"/>
      <c r="X1028" s="115"/>
      <c r="Y1028" s="114"/>
      <c r="Z1028" s="117" t="s">
        <v>6681</v>
      </c>
      <c r="AA1028" s="117" t="s">
        <v>5165</v>
      </c>
      <c r="AB1028" s="114"/>
      <c r="AC1028" s="114"/>
      <c r="AD1028" s="114"/>
      <c r="AE1028" s="114"/>
      <c r="AF1028" s="114"/>
      <c r="AG1028" s="114"/>
      <c r="AH1028" s="114"/>
      <c r="AI1028" s="116"/>
      <c r="AJ1028" s="114"/>
      <c r="AK1028" s="114"/>
      <c r="AL1028" s="114"/>
      <c r="AM1028" s="114"/>
      <c r="AN1028" s="114"/>
      <c r="AO1028" s="114"/>
      <c r="AP1028" s="114"/>
      <c r="AQ1028" s="114"/>
      <c r="AR1028" s="114"/>
      <c r="AS1028" s="114"/>
      <c r="AT1028" s="114"/>
      <c r="AU1028" s="114"/>
      <c r="AV1028" s="114"/>
      <c r="AW1028" s="114"/>
      <c r="AX1028" s="114"/>
      <c r="AY1028" s="114"/>
      <c r="AZ1028" s="114"/>
      <c r="BA1028" s="114"/>
      <c r="BB1028" s="114"/>
      <c r="BC1028" s="114"/>
      <c r="BD1028" s="114"/>
      <c r="BE1028" s="114"/>
    </row>
    <row r="1029">
      <c r="A1029" s="114"/>
      <c r="B1029" s="114"/>
      <c r="C1029" s="114"/>
      <c r="D1029" s="114"/>
      <c r="E1029" s="114"/>
      <c r="F1029" s="114"/>
      <c r="G1029" s="114"/>
      <c r="H1029" s="114"/>
      <c r="I1029" s="114"/>
      <c r="J1029" s="114"/>
      <c r="K1029" s="114"/>
      <c r="L1029" s="114"/>
      <c r="M1029" s="114"/>
      <c r="N1029" s="114"/>
      <c r="O1029" s="114"/>
      <c r="P1029" s="114"/>
      <c r="Q1029" s="114"/>
      <c r="R1029" s="114"/>
      <c r="S1029" s="114"/>
      <c r="T1029" s="114"/>
      <c r="U1029" s="114"/>
      <c r="V1029" s="114"/>
      <c r="W1029" s="114"/>
      <c r="X1029" s="115"/>
      <c r="Y1029" s="114"/>
      <c r="Z1029" s="117" t="s">
        <v>6682</v>
      </c>
      <c r="AA1029" s="117" t="s">
        <v>5166</v>
      </c>
      <c r="AB1029" s="114"/>
      <c r="AC1029" s="114"/>
      <c r="AD1029" s="114"/>
      <c r="AE1029" s="114"/>
      <c r="AF1029" s="114"/>
      <c r="AG1029" s="114"/>
      <c r="AH1029" s="114"/>
      <c r="AI1029" s="116"/>
      <c r="AJ1029" s="114"/>
      <c r="AK1029" s="114"/>
      <c r="AL1029" s="114"/>
      <c r="AM1029" s="114"/>
      <c r="AN1029" s="114"/>
      <c r="AO1029" s="114"/>
      <c r="AP1029" s="114"/>
      <c r="AQ1029" s="114"/>
      <c r="AR1029" s="114"/>
      <c r="AS1029" s="114"/>
      <c r="AT1029" s="114"/>
      <c r="AU1029" s="114"/>
      <c r="AV1029" s="114"/>
      <c r="AW1029" s="114"/>
      <c r="AX1029" s="114"/>
      <c r="AY1029" s="114"/>
      <c r="AZ1029" s="114"/>
      <c r="BA1029" s="114"/>
      <c r="BB1029" s="114"/>
      <c r="BC1029" s="114"/>
      <c r="BD1029" s="114"/>
      <c r="BE1029" s="114"/>
    </row>
    <row r="1030">
      <c r="A1030" s="114"/>
      <c r="B1030" s="114"/>
      <c r="C1030" s="114"/>
      <c r="D1030" s="114"/>
      <c r="E1030" s="114"/>
      <c r="F1030" s="114"/>
      <c r="G1030" s="114"/>
      <c r="H1030" s="114"/>
      <c r="I1030" s="114"/>
      <c r="J1030" s="114"/>
      <c r="K1030" s="114"/>
      <c r="L1030" s="114"/>
      <c r="M1030" s="114"/>
      <c r="N1030" s="114"/>
      <c r="O1030" s="114"/>
      <c r="P1030" s="114"/>
      <c r="Q1030" s="114"/>
      <c r="R1030" s="114"/>
      <c r="S1030" s="114"/>
      <c r="T1030" s="114"/>
      <c r="U1030" s="114"/>
      <c r="V1030" s="114"/>
      <c r="W1030" s="114"/>
      <c r="X1030" s="115"/>
      <c r="Y1030" s="114"/>
      <c r="Z1030" s="117" t="s">
        <v>6683</v>
      </c>
      <c r="AA1030" s="117" t="s">
        <v>5164</v>
      </c>
      <c r="AB1030" s="114"/>
      <c r="AC1030" s="114"/>
      <c r="AD1030" s="114"/>
      <c r="AE1030" s="114"/>
      <c r="AF1030" s="114"/>
      <c r="AG1030" s="114"/>
      <c r="AH1030" s="114"/>
      <c r="AI1030" s="116"/>
      <c r="AJ1030" s="114"/>
      <c r="AK1030" s="114"/>
      <c r="AL1030" s="114"/>
      <c r="AM1030" s="114"/>
      <c r="AN1030" s="114"/>
      <c r="AO1030" s="114"/>
      <c r="AP1030" s="114"/>
      <c r="AQ1030" s="114"/>
      <c r="AR1030" s="114"/>
      <c r="AS1030" s="114"/>
      <c r="AT1030" s="114"/>
      <c r="AU1030" s="114"/>
      <c r="AV1030" s="114"/>
      <c r="AW1030" s="114"/>
      <c r="AX1030" s="114"/>
      <c r="AY1030" s="114"/>
      <c r="AZ1030" s="114"/>
      <c r="BA1030" s="114"/>
      <c r="BB1030" s="114"/>
      <c r="BC1030" s="114"/>
      <c r="BD1030" s="114"/>
      <c r="BE1030" s="114"/>
    </row>
    <row r="1031">
      <c r="A1031" s="114"/>
      <c r="B1031" s="114"/>
      <c r="C1031" s="114"/>
      <c r="D1031" s="114"/>
      <c r="E1031" s="114"/>
      <c r="F1031" s="114"/>
      <c r="G1031" s="114"/>
      <c r="H1031" s="114"/>
      <c r="I1031" s="114"/>
      <c r="J1031" s="114"/>
      <c r="K1031" s="114"/>
      <c r="L1031" s="114"/>
      <c r="M1031" s="114"/>
      <c r="N1031" s="114"/>
      <c r="O1031" s="114"/>
      <c r="P1031" s="114"/>
      <c r="Q1031" s="114"/>
      <c r="R1031" s="114"/>
      <c r="S1031" s="114"/>
      <c r="T1031" s="114"/>
      <c r="U1031" s="114"/>
      <c r="V1031" s="114"/>
      <c r="W1031" s="114"/>
      <c r="X1031" s="115"/>
      <c r="Y1031" s="114"/>
      <c r="Z1031" s="117" t="s">
        <v>6684</v>
      </c>
      <c r="AA1031" s="117" t="s">
        <v>5174</v>
      </c>
      <c r="AB1031" s="114"/>
      <c r="AC1031" s="114"/>
      <c r="AD1031" s="114"/>
      <c r="AE1031" s="114"/>
      <c r="AF1031" s="114"/>
      <c r="AG1031" s="114"/>
      <c r="AH1031" s="114"/>
      <c r="AI1031" s="116"/>
      <c r="AJ1031" s="114"/>
      <c r="AK1031" s="114"/>
      <c r="AL1031" s="114"/>
      <c r="AM1031" s="114"/>
      <c r="AN1031" s="114"/>
      <c r="AO1031" s="114"/>
      <c r="AP1031" s="114"/>
      <c r="AQ1031" s="114"/>
      <c r="AR1031" s="114"/>
      <c r="AS1031" s="114"/>
      <c r="AT1031" s="114"/>
      <c r="AU1031" s="114"/>
      <c r="AV1031" s="114"/>
      <c r="AW1031" s="114"/>
      <c r="AX1031" s="114"/>
      <c r="AY1031" s="114"/>
      <c r="AZ1031" s="114"/>
      <c r="BA1031" s="114"/>
      <c r="BB1031" s="114"/>
      <c r="BC1031" s="114"/>
      <c r="BD1031" s="114"/>
      <c r="BE1031" s="114"/>
    </row>
    <row r="1032">
      <c r="A1032" s="114"/>
      <c r="B1032" s="114"/>
      <c r="C1032" s="114"/>
      <c r="D1032" s="114"/>
      <c r="E1032" s="114"/>
      <c r="F1032" s="114"/>
      <c r="G1032" s="114"/>
      <c r="H1032" s="114"/>
      <c r="I1032" s="114"/>
      <c r="J1032" s="114"/>
      <c r="K1032" s="114"/>
      <c r="L1032" s="114"/>
      <c r="M1032" s="114"/>
      <c r="N1032" s="114"/>
      <c r="O1032" s="114"/>
      <c r="P1032" s="114"/>
      <c r="Q1032" s="114"/>
      <c r="R1032" s="114"/>
      <c r="S1032" s="114"/>
      <c r="T1032" s="114"/>
      <c r="U1032" s="114"/>
      <c r="V1032" s="114"/>
      <c r="W1032" s="114"/>
      <c r="X1032" s="115"/>
      <c r="Y1032" s="114"/>
      <c r="Z1032" s="117" t="s">
        <v>6685</v>
      </c>
      <c r="AA1032" s="117" t="s">
        <v>5176</v>
      </c>
      <c r="AB1032" s="114"/>
      <c r="AC1032" s="114"/>
      <c r="AD1032" s="114"/>
      <c r="AE1032" s="114"/>
      <c r="AF1032" s="114"/>
      <c r="AG1032" s="114"/>
      <c r="AH1032" s="114"/>
      <c r="AI1032" s="116"/>
      <c r="AJ1032" s="114"/>
      <c r="AK1032" s="114"/>
      <c r="AL1032" s="114"/>
      <c r="AM1032" s="114"/>
      <c r="AN1032" s="114"/>
      <c r="AO1032" s="114"/>
      <c r="AP1032" s="114"/>
      <c r="AQ1032" s="114"/>
      <c r="AR1032" s="114"/>
      <c r="AS1032" s="114"/>
      <c r="AT1032" s="114"/>
      <c r="AU1032" s="114"/>
      <c r="AV1032" s="114"/>
      <c r="AW1032" s="114"/>
      <c r="AX1032" s="114"/>
      <c r="AY1032" s="114"/>
      <c r="AZ1032" s="114"/>
      <c r="BA1032" s="114"/>
      <c r="BB1032" s="114"/>
      <c r="BC1032" s="114"/>
      <c r="BD1032" s="114"/>
      <c r="BE1032" s="114"/>
    </row>
    <row r="1033">
      <c r="A1033" s="114"/>
      <c r="B1033" s="114"/>
      <c r="C1033" s="114"/>
      <c r="D1033" s="114"/>
      <c r="E1033" s="114"/>
      <c r="F1033" s="114"/>
      <c r="G1033" s="114"/>
      <c r="H1033" s="114"/>
      <c r="I1033" s="114"/>
      <c r="J1033" s="114"/>
      <c r="K1033" s="114"/>
      <c r="L1033" s="114"/>
      <c r="M1033" s="114"/>
      <c r="N1033" s="114"/>
      <c r="O1033" s="114"/>
      <c r="P1033" s="114"/>
      <c r="Q1033" s="114"/>
      <c r="R1033" s="114"/>
      <c r="S1033" s="114"/>
      <c r="T1033" s="114"/>
      <c r="U1033" s="114"/>
      <c r="V1033" s="114"/>
      <c r="W1033" s="114"/>
      <c r="X1033" s="115"/>
      <c r="Y1033" s="114"/>
      <c r="Z1033" s="117" t="s">
        <v>6686</v>
      </c>
      <c r="AA1033" s="117" t="s">
        <v>5177</v>
      </c>
      <c r="AB1033" s="114"/>
      <c r="AC1033" s="114"/>
      <c r="AD1033" s="114"/>
      <c r="AE1033" s="114"/>
      <c r="AF1033" s="114"/>
      <c r="AG1033" s="114"/>
      <c r="AH1033" s="114"/>
      <c r="AI1033" s="116"/>
      <c r="AJ1033" s="114"/>
      <c r="AK1033" s="114"/>
      <c r="AL1033" s="114"/>
      <c r="AM1033" s="114"/>
      <c r="AN1033" s="114"/>
      <c r="AO1033" s="114"/>
      <c r="AP1033" s="114"/>
      <c r="AQ1033" s="114"/>
      <c r="AR1033" s="114"/>
      <c r="AS1033" s="114"/>
      <c r="AT1033" s="114"/>
      <c r="AU1033" s="114"/>
      <c r="AV1033" s="114"/>
      <c r="AW1033" s="114"/>
      <c r="AX1033" s="114"/>
      <c r="AY1033" s="114"/>
      <c r="AZ1033" s="114"/>
      <c r="BA1033" s="114"/>
      <c r="BB1033" s="114"/>
      <c r="BC1033" s="114"/>
      <c r="BD1033" s="114"/>
      <c r="BE1033" s="114"/>
    </row>
    <row r="1034">
      <c r="A1034" s="114"/>
      <c r="B1034" s="114"/>
      <c r="C1034" s="114"/>
      <c r="D1034" s="114"/>
      <c r="E1034" s="114"/>
      <c r="F1034" s="114"/>
      <c r="G1034" s="114"/>
      <c r="H1034" s="114"/>
      <c r="I1034" s="114"/>
      <c r="J1034" s="114"/>
      <c r="K1034" s="114"/>
      <c r="L1034" s="114"/>
      <c r="M1034" s="114"/>
      <c r="N1034" s="114"/>
      <c r="O1034" s="114"/>
      <c r="P1034" s="114"/>
      <c r="Q1034" s="114"/>
      <c r="R1034" s="114"/>
      <c r="S1034" s="114"/>
      <c r="T1034" s="114"/>
      <c r="U1034" s="114"/>
      <c r="V1034" s="114"/>
      <c r="W1034" s="114"/>
      <c r="X1034" s="115"/>
      <c r="Y1034" s="114"/>
      <c r="Z1034" s="117" t="s">
        <v>6687</v>
      </c>
      <c r="AA1034" s="117" t="s">
        <v>5175</v>
      </c>
      <c r="AB1034" s="114"/>
      <c r="AC1034" s="114"/>
      <c r="AD1034" s="114"/>
      <c r="AE1034" s="114"/>
      <c r="AF1034" s="114"/>
      <c r="AG1034" s="114"/>
      <c r="AH1034" s="114"/>
      <c r="AI1034" s="116"/>
      <c r="AJ1034" s="114"/>
      <c r="AK1034" s="114"/>
      <c r="AL1034" s="114"/>
      <c r="AM1034" s="114"/>
      <c r="AN1034" s="114"/>
      <c r="AO1034" s="114"/>
      <c r="AP1034" s="114"/>
      <c r="AQ1034" s="114"/>
      <c r="AR1034" s="114"/>
      <c r="AS1034" s="114"/>
      <c r="AT1034" s="114"/>
      <c r="AU1034" s="114"/>
      <c r="AV1034" s="114"/>
      <c r="AW1034" s="114"/>
      <c r="AX1034" s="114"/>
      <c r="AY1034" s="114"/>
      <c r="AZ1034" s="114"/>
      <c r="BA1034" s="114"/>
      <c r="BB1034" s="114"/>
      <c r="BC1034" s="114"/>
      <c r="BD1034" s="114"/>
      <c r="BE1034" s="114"/>
    </row>
    <row r="1035">
      <c r="A1035" s="114"/>
      <c r="B1035" s="114"/>
      <c r="C1035" s="114"/>
      <c r="D1035" s="114"/>
      <c r="E1035" s="114"/>
      <c r="F1035" s="114"/>
      <c r="G1035" s="114"/>
      <c r="H1035" s="114"/>
      <c r="I1035" s="114"/>
      <c r="J1035" s="114"/>
      <c r="K1035" s="114"/>
      <c r="L1035" s="114"/>
      <c r="M1035" s="114"/>
      <c r="N1035" s="114"/>
      <c r="O1035" s="114"/>
      <c r="P1035" s="114"/>
      <c r="Q1035" s="114"/>
      <c r="R1035" s="114"/>
      <c r="S1035" s="114"/>
      <c r="T1035" s="114"/>
      <c r="U1035" s="114"/>
      <c r="V1035" s="114"/>
      <c r="W1035" s="114"/>
      <c r="X1035" s="115"/>
      <c r="Y1035" s="114"/>
      <c r="Z1035" s="117" t="s">
        <v>6688</v>
      </c>
      <c r="AA1035" s="117" t="s">
        <v>5185</v>
      </c>
      <c r="AB1035" s="114"/>
      <c r="AC1035" s="114"/>
      <c r="AD1035" s="114"/>
      <c r="AE1035" s="114"/>
      <c r="AF1035" s="114"/>
      <c r="AG1035" s="114"/>
      <c r="AH1035" s="114"/>
      <c r="AI1035" s="116"/>
      <c r="AJ1035" s="114"/>
      <c r="AK1035" s="114"/>
      <c r="AL1035" s="114"/>
      <c r="AM1035" s="114"/>
      <c r="AN1035" s="114"/>
      <c r="AO1035" s="114"/>
      <c r="AP1035" s="114"/>
      <c r="AQ1035" s="114"/>
      <c r="AR1035" s="114"/>
      <c r="AS1035" s="114"/>
      <c r="AT1035" s="114"/>
      <c r="AU1035" s="114"/>
      <c r="AV1035" s="114"/>
      <c r="AW1035" s="114"/>
      <c r="AX1035" s="114"/>
      <c r="AY1035" s="114"/>
      <c r="AZ1035" s="114"/>
      <c r="BA1035" s="114"/>
      <c r="BB1035" s="114"/>
      <c r="BC1035" s="114"/>
      <c r="BD1035" s="114"/>
      <c r="BE1035" s="114"/>
    </row>
    <row r="1036">
      <c r="A1036" s="114"/>
      <c r="B1036" s="114"/>
      <c r="C1036" s="114"/>
      <c r="D1036" s="114"/>
      <c r="E1036" s="114"/>
      <c r="F1036" s="114"/>
      <c r="G1036" s="114"/>
      <c r="H1036" s="114"/>
      <c r="I1036" s="114"/>
      <c r="J1036" s="114"/>
      <c r="K1036" s="114"/>
      <c r="L1036" s="114"/>
      <c r="M1036" s="114"/>
      <c r="N1036" s="114"/>
      <c r="O1036" s="114"/>
      <c r="P1036" s="114"/>
      <c r="Q1036" s="114"/>
      <c r="R1036" s="114"/>
      <c r="S1036" s="114"/>
      <c r="T1036" s="114"/>
      <c r="U1036" s="114"/>
      <c r="V1036" s="114"/>
      <c r="W1036" s="114"/>
      <c r="X1036" s="115"/>
      <c r="Y1036" s="114"/>
      <c r="Z1036" s="117" t="s">
        <v>6689</v>
      </c>
      <c r="AA1036" s="117" t="s">
        <v>5187</v>
      </c>
      <c r="AB1036" s="114"/>
      <c r="AC1036" s="114"/>
      <c r="AD1036" s="114"/>
      <c r="AE1036" s="114"/>
      <c r="AF1036" s="114"/>
      <c r="AG1036" s="114"/>
      <c r="AH1036" s="114"/>
      <c r="AI1036" s="116"/>
      <c r="AJ1036" s="114"/>
      <c r="AK1036" s="114"/>
      <c r="AL1036" s="114"/>
      <c r="AM1036" s="114"/>
      <c r="AN1036" s="114"/>
      <c r="AO1036" s="114"/>
      <c r="AP1036" s="114"/>
      <c r="AQ1036" s="114"/>
      <c r="AR1036" s="114"/>
      <c r="AS1036" s="114"/>
      <c r="AT1036" s="114"/>
      <c r="AU1036" s="114"/>
      <c r="AV1036" s="114"/>
      <c r="AW1036" s="114"/>
      <c r="AX1036" s="114"/>
      <c r="AY1036" s="114"/>
      <c r="AZ1036" s="114"/>
      <c r="BA1036" s="114"/>
      <c r="BB1036" s="114"/>
      <c r="BC1036" s="114"/>
      <c r="BD1036" s="114"/>
      <c r="BE1036" s="114"/>
    </row>
    <row r="1037">
      <c r="A1037" s="114"/>
      <c r="B1037" s="114"/>
      <c r="C1037" s="114"/>
      <c r="D1037" s="114"/>
      <c r="E1037" s="114"/>
      <c r="F1037" s="114"/>
      <c r="G1037" s="114"/>
      <c r="H1037" s="114"/>
      <c r="I1037" s="114"/>
      <c r="J1037" s="114"/>
      <c r="K1037" s="114"/>
      <c r="L1037" s="114"/>
      <c r="M1037" s="114"/>
      <c r="N1037" s="114"/>
      <c r="O1037" s="114"/>
      <c r="P1037" s="114"/>
      <c r="Q1037" s="114"/>
      <c r="R1037" s="114"/>
      <c r="S1037" s="114"/>
      <c r="T1037" s="114"/>
      <c r="U1037" s="114"/>
      <c r="V1037" s="114"/>
      <c r="W1037" s="114"/>
      <c r="X1037" s="115"/>
      <c r="Y1037" s="114"/>
      <c r="Z1037" s="117" t="s">
        <v>6690</v>
      </c>
      <c r="AA1037" s="117" t="s">
        <v>5188</v>
      </c>
      <c r="AB1037" s="114"/>
      <c r="AC1037" s="114"/>
      <c r="AD1037" s="114"/>
      <c r="AE1037" s="114"/>
      <c r="AF1037" s="114"/>
      <c r="AG1037" s="114"/>
      <c r="AH1037" s="114"/>
      <c r="AI1037" s="116"/>
      <c r="AJ1037" s="114"/>
      <c r="AK1037" s="114"/>
      <c r="AL1037" s="114"/>
      <c r="AM1037" s="114"/>
      <c r="AN1037" s="114"/>
      <c r="AO1037" s="114"/>
      <c r="AP1037" s="114"/>
      <c r="AQ1037" s="114"/>
      <c r="AR1037" s="114"/>
      <c r="AS1037" s="114"/>
      <c r="AT1037" s="114"/>
      <c r="AU1037" s="114"/>
      <c r="AV1037" s="114"/>
      <c r="AW1037" s="114"/>
      <c r="AX1037" s="114"/>
      <c r="AY1037" s="114"/>
      <c r="AZ1037" s="114"/>
      <c r="BA1037" s="114"/>
      <c r="BB1037" s="114"/>
      <c r="BC1037" s="114"/>
      <c r="BD1037" s="114"/>
      <c r="BE1037" s="114"/>
    </row>
    <row r="1038">
      <c r="A1038" s="114"/>
      <c r="B1038" s="114"/>
      <c r="C1038" s="114"/>
      <c r="D1038" s="114"/>
      <c r="E1038" s="114"/>
      <c r="F1038" s="114"/>
      <c r="G1038" s="114"/>
      <c r="H1038" s="114"/>
      <c r="I1038" s="114"/>
      <c r="J1038" s="114"/>
      <c r="K1038" s="114"/>
      <c r="L1038" s="114"/>
      <c r="M1038" s="114"/>
      <c r="N1038" s="114"/>
      <c r="O1038" s="114"/>
      <c r="P1038" s="114"/>
      <c r="Q1038" s="114"/>
      <c r="R1038" s="114"/>
      <c r="S1038" s="114"/>
      <c r="T1038" s="114"/>
      <c r="U1038" s="114"/>
      <c r="V1038" s="114"/>
      <c r="W1038" s="114"/>
      <c r="X1038" s="115"/>
      <c r="Y1038" s="114"/>
      <c r="Z1038" s="117" t="s">
        <v>6691</v>
      </c>
      <c r="AA1038" s="117" t="s">
        <v>5186</v>
      </c>
      <c r="AB1038" s="114"/>
      <c r="AC1038" s="114"/>
      <c r="AD1038" s="114"/>
      <c r="AE1038" s="114"/>
      <c r="AF1038" s="114"/>
      <c r="AG1038" s="114"/>
      <c r="AH1038" s="114"/>
      <c r="AI1038" s="116"/>
      <c r="AJ1038" s="114"/>
      <c r="AK1038" s="114"/>
      <c r="AL1038" s="114"/>
      <c r="AM1038" s="114"/>
      <c r="AN1038" s="114"/>
      <c r="AO1038" s="114"/>
      <c r="AP1038" s="114"/>
      <c r="AQ1038" s="114"/>
      <c r="AR1038" s="114"/>
      <c r="AS1038" s="114"/>
      <c r="AT1038" s="114"/>
      <c r="AU1038" s="114"/>
      <c r="AV1038" s="114"/>
      <c r="AW1038" s="114"/>
      <c r="AX1038" s="114"/>
      <c r="AY1038" s="114"/>
      <c r="AZ1038" s="114"/>
      <c r="BA1038" s="114"/>
      <c r="BB1038" s="114"/>
      <c r="BC1038" s="114"/>
      <c r="BD1038" s="114"/>
      <c r="BE1038" s="114"/>
    </row>
    <row r="1039">
      <c r="A1039" s="114"/>
      <c r="B1039" s="114"/>
      <c r="C1039" s="114"/>
      <c r="D1039" s="114"/>
      <c r="E1039" s="114"/>
      <c r="F1039" s="114"/>
      <c r="G1039" s="114"/>
      <c r="H1039" s="114"/>
      <c r="I1039" s="114"/>
      <c r="J1039" s="114"/>
      <c r="K1039" s="114"/>
      <c r="L1039" s="114"/>
      <c r="M1039" s="114"/>
      <c r="N1039" s="114"/>
      <c r="O1039" s="114"/>
      <c r="P1039" s="114"/>
      <c r="Q1039" s="114"/>
      <c r="R1039" s="114"/>
      <c r="S1039" s="114"/>
      <c r="T1039" s="114"/>
      <c r="U1039" s="114"/>
      <c r="V1039" s="114"/>
      <c r="W1039" s="114"/>
      <c r="X1039" s="115"/>
      <c r="Y1039" s="114"/>
      <c r="Z1039" s="117" t="s">
        <v>6692</v>
      </c>
      <c r="AA1039" s="117" t="s">
        <v>5196</v>
      </c>
      <c r="AB1039" s="114"/>
      <c r="AC1039" s="114"/>
      <c r="AD1039" s="114"/>
      <c r="AE1039" s="114"/>
      <c r="AF1039" s="114"/>
      <c r="AG1039" s="114"/>
      <c r="AH1039" s="114"/>
      <c r="AI1039" s="116"/>
      <c r="AJ1039" s="114"/>
      <c r="AK1039" s="114"/>
      <c r="AL1039" s="114"/>
      <c r="AM1039" s="114"/>
      <c r="AN1039" s="114"/>
      <c r="AO1039" s="114"/>
      <c r="AP1039" s="114"/>
      <c r="AQ1039" s="114"/>
      <c r="AR1039" s="114"/>
      <c r="AS1039" s="114"/>
      <c r="AT1039" s="114"/>
      <c r="AU1039" s="114"/>
      <c r="AV1039" s="114"/>
      <c r="AW1039" s="114"/>
      <c r="AX1039" s="114"/>
      <c r="AY1039" s="114"/>
      <c r="AZ1039" s="114"/>
      <c r="BA1039" s="114"/>
      <c r="BB1039" s="114"/>
      <c r="BC1039" s="114"/>
      <c r="BD1039" s="114"/>
      <c r="BE1039" s="114"/>
    </row>
    <row r="1040">
      <c r="A1040" s="114"/>
      <c r="B1040" s="114"/>
      <c r="C1040" s="114"/>
      <c r="D1040" s="114"/>
      <c r="E1040" s="114"/>
      <c r="F1040" s="114"/>
      <c r="G1040" s="114"/>
      <c r="H1040" s="114"/>
      <c r="I1040" s="114"/>
      <c r="J1040" s="114"/>
      <c r="K1040" s="114"/>
      <c r="L1040" s="114"/>
      <c r="M1040" s="114"/>
      <c r="N1040" s="114"/>
      <c r="O1040" s="114"/>
      <c r="P1040" s="114"/>
      <c r="Q1040" s="114"/>
      <c r="R1040" s="114"/>
      <c r="S1040" s="114"/>
      <c r="T1040" s="114"/>
      <c r="U1040" s="114"/>
      <c r="V1040" s="114"/>
      <c r="W1040" s="114"/>
      <c r="X1040" s="115"/>
      <c r="Y1040" s="114"/>
      <c r="Z1040" s="117" t="s">
        <v>6693</v>
      </c>
      <c r="AA1040" s="117" t="s">
        <v>5198</v>
      </c>
      <c r="AB1040" s="114"/>
      <c r="AC1040" s="114"/>
      <c r="AD1040" s="114"/>
      <c r="AE1040" s="114"/>
      <c r="AF1040" s="114"/>
      <c r="AG1040" s="114"/>
      <c r="AH1040" s="114"/>
      <c r="AI1040" s="116"/>
      <c r="AJ1040" s="114"/>
      <c r="AK1040" s="114"/>
      <c r="AL1040" s="114"/>
      <c r="AM1040" s="114"/>
      <c r="AN1040" s="114"/>
      <c r="AO1040" s="114"/>
      <c r="AP1040" s="114"/>
      <c r="AQ1040" s="114"/>
      <c r="AR1040" s="114"/>
      <c r="AS1040" s="114"/>
      <c r="AT1040" s="114"/>
      <c r="AU1040" s="114"/>
      <c r="AV1040" s="114"/>
      <c r="AW1040" s="114"/>
      <c r="AX1040" s="114"/>
      <c r="AY1040" s="114"/>
      <c r="AZ1040" s="114"/>
      <c r="BA1040" s="114"/>
      <c r="BB1040" s="114"/>
      <c r="BC1040" s="114"/>
      <c r="BD1040" s="114"/>
      <c r="BE1040" s="114"/>
    </row>
    <row r="1041">
      <c r="A1041" s="114"/>
      <c r="B1041" s="114"/>
      <c r="C1041" s="114"/>
      <c r="D1041" s="114"/>
      <c r="E1041" s="114"/>
      <c r="F1041" s="114"/>
      <c r="G1041" s="114"/>
      <c r="H1041" s="114"/>
      <c r="I1041" s="114"/>
      <c r="J1041" s="114"/>
      <c r="K1041" s="114"/>
      <c r="L1041" s="114"/>
      <c r="M1041" s="114"/>
      <c r="N1041" s="114"/>
      <c r="O1041" s="114"/>
      <c r="P1041" s="114"/>
      <c r="Q1041" s="114"/>
      <c r="R1041" s="114"/>
      <c r="S1041" s="114"/>
      <c r="T1041" s="114"/>
      <c r="U1041" s="114"/>
      <c r="V1041" s="114"/>
      <c r="W1041" s="114"/>
      <c r="X1041" s="115"/>
      <c r="Y1041" s="114"/>
      <c r="Z1041" s="117" t="s">
        <v>6694</v>
      </c>
      <c r="AA1041" s="117" t="s">
        <v>5199</v>
      </c>
      <c r="AB1041" s="114"/>
      <c r="AC1041" s="114"/>
      <c r="AD1041" s="114"/>
      <c r="AE1041" s="114"/>
      <c r="AF1041" s="114"/>
      <c r="AG1041" s="114"/>
      <c r="AH1041" s="114"/>
      <c r="AI1041" s="116"/>
      <c r="AJ1041" s="114"/>
      <c r="AK1041" s="114"/>
      <c r="AL1041" s="114"/>
      <c r="AM1041" s="114"/>
      <c r="AN1041" s="114"/>
      <c r="AO1041" s="114"/>
      <c r="AP1041" s="114"/>
      <c r="AQ1041" s="114"/>
      <c r="AR1041" s="114"/>
      <c r="AS1041" s="114"/>
      <c r="AT1041" s="114"/>
      <c r="AU1041" s="114"/>
      <c r="AV1041" s="114"/>
      <c r="AW1041" s="114"/>
      <c r="AX1041" s="114"/>
      <c r="AY1041" s="114"/>
      <c r="AZ1041" s="114"/>
      <c r="BA1041" s="114"/>
      <c r="BB1041" s="114"/>
      <c r="BC1041" s="114"/>
      <c r="BD1041" s="114"/>
      <c r="BE1041" s="114"/>
    </row>
    <row r="1042">
      <c r="A1042" s="114"/>
      <c r="B1042" s="114"/>
      <c r="C1042" s="114"/>
      <c r="D1042" s="114"/>
      <c r="E1042" s="114"/>
      <c r="F1042" s="114"/>
      <c r="G1042" s="114"/>
      <c r="H1042" s="114"/>
      <c r="I1042" s="114"/>
      <c r="J1042" s="114"/>
      <c r="K1042" s="114"/>
      <c r="L1042" s="114"/>
      <c r="M1042" s="114"/>
      <c r="N1042" s="114"/>
      <c r="O1042" s="114"/>
      <c r="P1042" s="114"/>
      <c r="Q1042" s="114"/>
      <c r="R1042" s="114"/>
      <c r="S1042" s="114"/>
      <c r="T1042" s="114"/>
      <c r="U1042" s="114"/>
      <c r="V1042" s="114"/>
      <c r="W1042" s="114"/>
      <c r="X1042" s="115"/>
      <c r="Y1042" s="114"/>
      <c r="Z1042" s="117" t="s">
        <v>6695</v>
      </c>
      <c r="AA1042" s="117" t="s">
        <v>5197</v>
      </c>
      <c r="AB1042" s="114"/>
      <c r="AC1042" s="114"/>
      <c r="AD1042" s="114"/>
      <c r="AE1042" s="114"/>
      <c r="AF1042" s="114"/>
      <c r="AG1042" s="114"/>
      <c r="AH1042" s="114"/>
      <c r="AI1042" s="116"/>
      <c r="AJ1042" s="114"/>
      <c r="AK1042" s="114"/>
      <c r="AL1042" s="114"/>
      <c r="AM1042" s="114"/>
      <c r="AN1042" s="114"/>
      <c r="AO1042" s="114"/>
      <c r="AP1042" s="114"/>
      <c r="AQ1042" s="114"/>
      <c r="AR1042" s="114"/>
      <c r="AS1042" s="114"/>
      <c r="AT1042" s="114"/>
      <c r="AU1042" s="114"/>
      <c r="AV1042" s="114"/>
      <c r="AW1042" s="114"/>
      <c r="AX1042" s="114"/>
      <c r="AY1042" s="114"/>
      <c r="AZ1042" s="114"/>
      <c r="BA1042" s="114"/>
      <c r="BB1042" s="114"/>
      <c r="BC1042" s="114"/>
      <c r="BD1042" s="114"/>
      <c r="BE1042" s="114"/>
    </row>
    <row r="1043">
      <c r="A1043" s="114"/>
      <c r="B1043" s="114"/>
      <c r="C1043" s="114"/>
      <c r="D1043" s="114"/>
      <c r="E1043" s="114"/>
      <c r="F1043" s="114"/>
      <c r="G1043" s="114"/>
      <c r="H1043" s="114"/>
      <c r="I1043" s="114"/>
      <c r="J1043" s="114"/>
      <c r="K1043" s="114"/>
      <c r="L1043" s="114"/>
      <c r="M1043" s="114"/>
      <c r="N1043" s="114"/>
      <c r="O1043" s="114"/>
      <c r="P1043" s="114"/>
      <c r="Q1043" s="114"/>
      <c r="R1043" s="114"/>
      <c r="S1043" s="114"/>
      <c r="T1043" s="114"/>
      <c r="U1043" s="114"/>
      <c r="V1043" s="114"/>
      <c r="W1043" s="114"/>
      <c r="X1043" s="115"/>
      <c r="Y1043" s="114"/>
      <c r="Z1043" s="117" t="s">
        <v>6696</v>
      </c>
      <c r="AA1043" s="117" t="s">
        <v>5207</v>
      </c>
      <c r="AB1043" s="114"/>
      <c r="AC1043" s="114"/>
      <c r="AD1043" s="114"/>
      <c r="AE1043" s="114"/>
      <c r="AF1043" s="114"/>
      <c r="AG1043" s="114"/>
      <c r="AH1043" s="114"/>
      <c r="AI1043" s="116"/>
      <c r="AJ1043" s="114"/>
      <c r="AK1043" s="114"/>
      <c r="AL1043" s="114"/>
      <c r="AM1043" s="114"/>
      <c r="AN1043" s="114"/>
      <c r="AO1043" s="114"/>
      <c r="AP1043" s="114"/>
      <c r="AQ1043" s="114"/>
      <c r="AR1043" s="114"/>
      <c r="AS1043" s="114"/>
      <c r="AT1043" s="114"/>
      <c r="AU1043" s="114"/>
      <c r="AV1043" s="114"/>
      <c r="AW1043" s="114"/>
      <c r="AX1043" s="114"/>
      <c r="AY1043" s="114"/>
      <c r="AZ1043" s="114"/>
      <c r="BA1043" s="114"/>
      <c r="BB1043" s="114"/>
      <c r="BC1043" s="114"/>
      <c r="BD1043" s="114"/>
      <c r="BE1043" s="114"/>
    </row>
    <row r="1044">
      <c r="A1044" s="114"/>
      <c r="B1044" s="114"/>
      <c r="C1044" s="114"/>
      <c r="D1044" s="114"/>
      <c r="E1044" s="114"/>
      <c r="F1044" s="114"/>
      <c r="G1044" s="114"/>
      <c r="H1044" s="114"/>
      <c r="I1044" s="114"/>
      <c r="J1044" s="114"/>
      <c r="K1044" s="114"/>
      <c r="L1044" s="114"/>
      <c r="M1044" s="114"/>
      <c r="N1044" s="114"/>
      <c r="O1044" s="114"/>
      <c r="P1044" s="114"/>
      <c r="Q1044" s="114"/>
      <c r="R1044" s="114"/>
      <c r="S1044" s="114"/>
      <c r="T1044" s="114"/>
      <c r="U1044" s="114"/>
      <c r="V1044" s="114"/>
      <c r="W1044" s="114"/>
      <c r="X1044" s="115"/>
      <c r="Y1044" s="114"/>
      <c r="Z1044" s="117" t="s">
        <v>6697</v>
      </c>
      <c r="AA1044" s="117" t="s">
        <v>5209</v>
      </c>
      <c r="AB1044" s="114"/>
      <c r="AC1044" s="114"/>
      <c r="AD1044" s="114"/>
      <c r="AE1044" s="114"/>
      <c r="AF1044" s="114"/>
      <c r="AG1044" s="114"/>
      <c r="AH1044" s="114"/>
      <c r="AI1044" s="116"/>
      <c r="AJ1044" s="114"/>
      <c r="AK1044" s="114"/>
      <c r="AL1044" s="114"/>
      <c r="AM1044" s="114"/>
      <c r="AN1044" s="114"/>
      <c r="AO1044" s="114"/>
      <c r="AP1044" s="114"/>
      <c r="AQ1044" s="114"/>
      <c r="AR1044" s="114"/>
      <c r="AS1044" s="114"/>
      <c r="AT1044" s="114"/>
      <c r="AU1044" s="114"/>
      <c r="AV1044" s="114"/>
      <c r="AW1044" s="114"/>
      <c r="AX1044" s="114"/>
      <c r="AY1044" s="114"/>
      <c r="AZ1044" s="114"/>
      <c r="BA1044" s="114"/>
      <c r="BB1044" s="114"/>
      <c r="BC1044" s="114"/>
      <c r="BD1044" s="114"/>
      <c r="BE1044" s="114"/>
    </row>
    <row r="1045">
      <c r="A1045" s="114"/>
      <c r="B1045" s="114"/>
      <c r="C1045" s="114"/>
      <c r="D1045" s="114"/>
      <c r="E1045" s="114"/>
      <c r="F1045" s="114"/>
      <c r="G1045" s="114"/>
      <c r="H1045" s="114"/>
      <c r="I1045" s="114"/>
      <c r="J1045" s="114"/>
      <c r="K1045" s="114"/>
      <c r="L1045" s="114"/>
      <c r="M1045" s="114"/>
      <c r="N1045" s="114"/>
      <c r="O1045" s="114"/>
      <c r="P1045" s="114"/>
      <c r="Q1045" s="114"/>
      <c r="R1045" s="114"/>
      <c r="S1045" s="114"/>
      <c r="T1045" s="114"/>
      <c r="U1045" s="114"/>
      <c r="V1045" s="114"/>
      <c r="W1045" s="114"/>
      <c r="X1045" s="115"/>
      <c r="Y1045" s="114"/>
      <c r="Z1045" s="117" t="s">
        <v>6698</v>
      </c>
      <c r="AA1045" s="117" t="s">
        <v>5210</v>
      </c>
      <c r="AB1045" s="114"/>
      <c r="AC1045" s="114"/>
      <c r="AD1045" s="114"/>
      <c r="AE1045" s="114"/>
      <c r="AF1045" s="114"/>
      <c r="AG1045" s="114"/>
      <c r="AH1045" s="114"/>
      <c r="AI1045" s="116"/>
      <c r="AJ1045" s="114"/>
      <c r="AK1045" s="114"/>
      <c r="AL1045" s="114"/>
      <c r="AM1045" s="114"/>
      <c r="AN1045" s="114"/>
      <c r="AO1045" s="114"/>
      <c r="AP1045" s="114"/>
      <c r="AQ1045" s="114"/>
      <c r="AR1045" s="114"/>
      <c r="AS1045" s="114"/>
      <c r="AT1045" s="114"/>
      <c r="AU1045" s="114"/>
      <c r="AV1045" s="114"/>
      <c r="AW1045" s="114"/>
      <c r="AX1045" s="114"/>
      <c r="AY1045" s="114"/>
      <c r="AZ1045" s="114"/>
      <c r="BA1045" s="114"/>
      <c r="BB1045" s="114"/>
      <c r="BC1045" s="114"/>
      <c r="BD1045" s="114"/>
      <c r="BE1045" s="114"/>
    </row>
    <row r="1046">
      <c r="A1046" s="114"/>
      <c r="B1046" s="114"/>
      <c r="C1046" s="114"/>
      <c r="D1046" s="114"/>
      <c r="E1046" s="114"/>
      <c r="F1046" s="114"/>
      <c r="G1046" s="114"/>
      <c r="H1046" s="114"/>
      <c r="I1046" s="114"/>
      <c r="J1046" s="114"/>
      <c r="K1046" s="114"/>
      <c r="L1046" s="114"/>
      <c r="M1046" s="114"/>
      <c r="N1046" s="114"/>
      <c r="O1046" s="114"/>
      <c r="P1046" s="114"/>
      <c r="Q1046" s="114"/>
      <c r="R1046" s="114"/>
      <c r="S1046" s="114"/>
      <c r="T1046" s="114"/>
      <c r="U1046" s="114"/>
      <c r="V1046" s="114"/>
      <c r="W1046" s="114"/>
      <c r="X1046" s="115"/>
      <c r="Y1046" s="114"/>
      <c r="Z1046" s="117" t="s">
        <v>6699</v>
      </c>
      <c r="AA1046" s="117" t="s">
        <v>5208</v>
      </c>
      <c r="AB1046" s="114"/>
      <c r="AC1046" s="114"/>
      <c r="AD1046" s="114"/>
      <c r="AE1046" s="114"/>
      <c r="AF1046" s="114"/>
      <c r="AG1046" s="114"/>
      <c r="AH1046" s="114"/>
      <c r="AI1046" s="116"/>
      <c r="AJ1046" s="114"/>
      <c r="AK1046" s="114"/>
      <c r="AL1046" s="114"/>
      <c r="AM1046" s="114"/>
      <c r="AN1046" s="114"/>
      <c r="AO1046" s="114"/>
      <c r="AP1046" s="114"/>
      <c r="AQ1046" s="114"/>
      <c r="AR1046" s="114"/>
      <c r="AS1046" s="114"/>
      <c r="AT1046" s="114"/>
      <c r="AU1046" s="114"/>
      <c r="AV1046" s="114"/>
      <c r="AW1046" s="114"/>
      <c r="AX1046" s="114"/>
      <c r="AY1046" s="114"/>
      <c r="AZ1046" s="114"/>
      <c r="BA1046" s="114"/>
      <c r="BB1046" s="114"/>
      <c r="BC1046" s="114"/>
      <c r="BD1046" s="114"/>
      <c r="BE1046" s="114"/>
    </row>
    <row r="1047">
      <c r="A1047" s="114"/>
      <c r="B1047" s="114"/>
      <c r="C1047" s="114"/>
      <c r="D1047" s="114"/>
      <c r="E1047" s="114"/>
      <c r="F1047" s="114"/>
      <c r="G1047" s="114"/>
      <c r="H1047" s="114"/>
      <c r="I1047" s="114"/>
      <c r="J1047" s="114"/>
      <c r="K1047" s="114"/>
      <c r="L1047" s="114"/>
      <c r="M1047" s="114"/>
      <c r="N1047" s="114"/>
      <c r="O1047" s="114"/>
      <c r="P1047" s="114"/>
      <c r="Q1047" s="114"/>
      <c r="R1047" s="114"/>
      <c r="S1047" s="114"/>
      <c r="T1047" s="114"/>
      <c r="U1047" s="114"/>
      <c r="V1047" s="114"/>
      <c r="W1047" s="114"/>
      <c r="X1047" s="115"/>
      <c r="Y1047" s="114"/>
      <c r="Z1047" s="117" t="s">
        <v>6700</v>
      </c>
      <c r="AA1047" s="117" t="s">
        <v>5218</v>
      </c>
      <c r="AB1047" s="114"/>
      <c r="AC1047" s="114"/>
      <c r="AD1047" s="114"/>
      <c r="AE1047" s="114"/>
      <c r="AF1047" s="114"/>
      <c r="AG1047" s="114"/>
      <c r="AH1047" s="114"/>
      <c r="AI1047" s="116"/>
      <c r="AJ1047" s="114"/>
      <c r="AK1047" s="114"/>
      <c r="AL1047" s="114"/>
      <c r="AM1047" s="114"/>
      <c r="AN1047" s="114"/>
      <c r="AO1047" s="114"/>
      <c r="AP1047" s="114"/>
      <c r="AQ1047" s="114"/>
      <c r="AR1047" s="114"/>
      <c r="AS1047" s="114"/>
      <c r="AT1047" s="114"/>
      <c r="AU1047" s="114"/>
      <c r="AV1047" s="114"/>
      <c r="AW1047" s="114"/>
      <c r="AX1047" s="114"/>
      <c r="AY1047" s="114"/>
      <c r="AZ1047" s="114"/>
      <c r="BA1047" s="114"/>
      <c r="BB1047" s="114"/>
      <c r="BC1047" s="114"/>
      <c r="BD1047" s="114"/>
      <c r="BE1047" s="114"/>
    </row>
    <row r="1048">
      <c r="A1048" s="114"/>
      <c r="B1048" s="114"/>
      <c r="C1048" s="114"/>
      <c r="D1048" s="114"/>
      <c r="E1048" s="114"/>
      <c r="F1048" s="114"/>
      <c r="G1048" s="114"/>
      <c r="H1048" s="114"/>
      <c r="I1048" s="114"/>
      <c r="J1048" s="114"/>
      <c r="K1048" s="114"/>
      <c r="L1048" s="114"/>
      <c r="M1048" s="114"/>
      <c r="N1048" s="114"/>
      <c r="O1048" s="114"/>
      <c r="P1048" s="114"/>
      <c r="Q1048" s="114"/>
      <c r="R1048" s="114"/>
      <c r="S1048" s="114"/>
      <c r="T1048" s="114"/>
      <c r="U1048" s="114"/>
      <c r="V1048" s="114"/>
      <c r="W1048" s="114"/>
      <c r="X1048" s="115"/>
      <c r="Y1048" s="114"/>
      <c r="Z1048" s="117" t="s">
        <v>6701</v>
      </c>
      <c r="AA1048" s="117" t="s">
        <v>5220</v>
      </c>
      <c r="AB1048" s="114"/>
      <c r="AC1048" s="114"/>
      <c r="AD1048" s="114"/>
      <c r="AE1048" s="114"/>
      <c r="AF1048" s="114"/>
      <c r="AG1048" s="114"/>
      <c r="AH1048" s="114"/>
      <c r="AI1048" s="116"/>
      <c r="AJ1048" s="114"/>
      <c r="AK1048" s="114"/>
      <c r="AL1048" s="114"/>
      <c r="AM1048" s="114"/>
      <c r="AN1048" s="114"/>
      <c r="AO1048" s="114"/>
      <c r="AP1048" s="114"/>
      <c r="AQ1048" s="114"/>
      <c r="AR1048" s="114"/>
      <c r="AS1048" s="114"/>
      <c r="AT1048" s="114"/>
      <c r="AU1048" s="114"/>
      <c r="AV1048" s="114"/>
      <c r="AW1048" s="114"/>
      <c r="AX1048" s="114"/>
      <c r="AY1048" s="114"/>
      <c r="AZ1048" s="114"/>
      <c r="BA1048" s="114"/>
      <c r="BB1048" s="114"/>
      <c r="BC1048" s="114"/>
      <c r="BD1048" s="114"/>
      <c r="BE1048" s="114"/>
    </row>
    <row r="1049">
      <c r="A1049" s="114"/>
      <c r="B1049" s="114"/>
      <c r="C1049" s="114"/>
      <c r="D1049" s="114"/>
      <c r="E1049" s="114"/>
      <c r="F1049" s="114"/>
      <c r="G1049" s="114"/>
      <c r="H1049" s="114"/>
      <c r="I1049" s="114"/>
      <c r="J1049" s="114"/>
      <c r="K1049" s="114"/>
      <c r="L1049" s="114"/>
      <c r="M1049" s="114"/>
      <c r="N1049" s="114"/>
      <c r="O1049" s="114"/>
      <c r="P1049" s="114"/>
      <c r="Q1049" s="114"/>
      <c r="R1049" s="114"/>
      <c r="S1049" s="114"/>
      <c r="T1049" s="114"/>
      <c r="U1049" s="114"/>
      <c r="V1049" s="114"/>
      <c r="W1049" s="114"/>
      <c r="X1049" s="115"/>
      <c r="Y1049" s="114"/>
      <c r="Z1049" s="117" t="s">
        <v>6702</v>
      </c>
      <c r="AA1049" s="117" t="s">
        <v>5221</v>
      </c>
      <c r="AB1049" s="114"/>
      <c r="AC1049" s="114"/>
      <c r="AD1049" s="114"/>
      <c r="AE1049" s="114"/>
      <c r="AF1049" s="114"/>
      <c r="AG1049" s="114"/>
      <c r="AH1049" s="114"/>
      <c r="AI1049" s="116"/>
      <c r="AJ1049" s="114"/>
      <c r="AK1049" s="114"/>
      <c r="AL1049" s="114"/>
      <c r="AM1049" s="114"/>
      <c r="AN1049" s="114"/>
      <c r="AO1049" s="114"/>
      <c r="AP1049" s="114"/>
      <c r="AQ1049" s="114"/>
      <c r="AR1049" s="114"/>
      <c r="AS1049" s="114"/>
      <c r="AT1049" s="114"/>
      <c r="AU1049" s="114"/>
      <c r="AV1049" s="114"/>
      <c r="AW1049" s="114"/>
      <c r="AX1049" s="114"/>
      <c r="AY1049" s="114"/>
      <c r="AZ1049" s="114"/>
      <c r="BA1049" s="114"/>
      <c r="BB1049" s="114"/>
      <c r="BC1049" s="114"/>
      <c r="BD1049" s="114"/>
      <c r="BE1049" s="114"/>
    </row>
    <row r="1050">
      <c r="A1050" s="114"/>
      <c r="B1050" s="114"/>
      <c r="C1050" s="114"/>
      <c r="D1050" s="114"/>
      <c r="E1050" s="114"/>
      <c r="F1050" s="114"/>
      <c r="G1050" s="114"/>
      <c r="H1050" s="114"/>
      <c r="I1050" s="114"/>
      <c r="J1050" s="114"/>
      <c r="K1050" s="114"/>
      <c r="L1050" s="114"/>
      <c r="M1050" s="114"/>
      <c r="N1050" s="114"/>
      <c r="O1050" s="114"/>
      <c r="P1050" s="114"/>
      <c r="Q1050" s="114"/>
      <c r="R1050" s="114"/>
      <c r="S1050" s="114"/>
      <c r="T1050" s="114"/>
      <c r="U1050" s="114"/>
      <c r="V1050" s="114"/>
      <c r="W1050" s="114"/>
      <c r="X1050" s="115"/>
      <c r="Y1050" s="114"/>
      <c r="Z1050" s="117" t="s">
        <v>6703</v>
      </c>
      <c r="AA1050" s="117" t="s">
        <v>5219</v>
      </c>
      <c r="AB1050" s="114"/>
      <c r="AC1050" s="114"/>
      <c r="AD1050" s="114"/>
      <c r="AE1050" s="114"/>
      <c r="AF1050" s="114"/>
      <c r="AG1050" s="114"/>
      <c r="AH1050" s="114"/>
      <c r="AI1050" s="116"/>
      <c r="AJ1050" s="114"/>
      <c r="AK1050" s="114"/>
      <c r="AL1050" s="114"/>
      <c r="AM1050" s="114"/>
      <c r="AN1050" s="114"/>
      <c r="AO1050" s="114"/>
      <c r="AP1050" s="114"/>
      <c r="AQ1050" s="114"/>
      <c r="AR1050" s="114"/>
      <c r="AS1050" s="114"/>
      <c r="AT1050" s="114"/>
      <c r="AU1050" s="114"/>
      <c r="AV1050" s="114"/>
      <c r="AW1050" s="114"/>
      <c r="AX1050" s="114"/>
      <c r="AY1050" s="114"/>
      <c r="AZ1050" s="114"/>
      <c r="BA1050" s="114"/>
      <c r="BB1050" s="114"/>
      <c r="BC1050" s="114"/>
      <c r="BD1050" s="114"/>
      <c r="BE1050" s="114"/>
    </row>
    <row r="1051">
      <c r="A1051" s="114"/>
      <c r="B1051" s="114"/>
      <c r="C1051" s="114"/>
      <c r="D1051" s="114"/>
      <c r="E1051" s="114"/>
      <c r="F1051" s="114"/>
      <c r="G1051" s="114"/>
      <c r="H1051" s="114"/>
      <c r="I1051" s="114"/>
      <c r="J1051" s="114"/>
      <c r="K1051" s="114"/>
      <c r="L1051" s="114"/>
      <c r="M1051" s="114"/>
      <c r="N1051" s="114"/>
      <c r="O1051" s="114"/>
      <c r="P1051" s="114"/>
      <c r="Q1051" s="114"/>
      <c r="R1051" s="114"/>
      <c r="S1051" s="114"/>
      <c r="T1051" s="114"/>
      <c r="U1051" s="114"/>
      <c r="V1051" s="114"/>
      <c r="W1051" s="114"/>
      <c r="X1051" s="115"/>
      <c r="Y1051" s="114"/>
      <c r="Z1051" s="117" t="s">
        <v>6704</v>
      </c>
      <c r="AA1051" s="117" t="s">
        <v>5229</v>
      </c>
      <c r="AB1051" s="114"/>
      <c r="AC1051" s="114"/>
      <c r="AD1051" s="114"/>
      <c r="AE1051" s="114"/>
      <c r="AF1051" s="114"/>
      <c r="AG1051" s="114"/>
      <c r="AH1051" s="114"/>
      <c r="AI1051" s="116"/>
      <c r="AJ1051" s="114"/>
      <c r="AK1051" s="114"/>
      <c r="AL1051" s="114"/>
      <c r="AM1051" s="114"/>
      <c r="AN1051" s="114"/>
      <c r="AO1051" s="114"/>
      <c r="AP1051" s="114"/>
      <c r="AQ1051" s="114"/>
      <c r="AR1051" s="114"/>
      <c r="AS1051" s="114"/>
      <c r="AT1051" s="114"/>
      <c r="AU1051" s="114"/>
      <c r="AV1051" s="114"/>
      <c r="AW1051" s="114"/>
      <c r="AX1051" s="114"/>
      <c r="AY1051" s="114"/>
      <c r="AZ1051" s="114"/>
      <c r="BA1051" s="114"/>
      <c r="BB1051" s="114"/>
      <c r="BC1051" s="114"/>
      <c r="BD1051" s="114"/>
      <c r="BE1051" s="114"/>
    </row>
    <row r="1052">
      <c r="A1052" s="114"/>
      <c r="B1052" s="114"/>
      <c r="C1052" s="114"/>
      <c r="D1052" s="114"/>
      <c r="E1052" s="114"/>
      <c r="F1052" s="114"/>
      <c r="G1052" s="114"/>
      <c r="H1052" s="114"/>
      <c r="I1052" s="114"/>
      <c r="J1052" s="114"/>
      <c r="K1052" s="114"/>
      <c r="L1052" s="114"/>
      <c r="M1052" s="114"/>
      <c r="N1052" s="114"/>
      <c r="O1052" s="114"/>
      <c r="P1052" s="114"/>
      <c r="Q1052" s="114"/>
      <c r="R1052" s="114"/>
      <c r="S1052" s="114"/>
      <c r="T1052" s="114"/>
      <c r="U1052" s="114"/>
      <c r="V1052" s="114"/>
      <c r="W1052" s="114"/>
      <c r="X1052" s="115"/>
      <c r="Y1052" s="114"/>
      <c r="Z1052" s="117" t="s">
        <v>6705</v>
      </c>
      <c r="AA1052" s="117" t="s">
        <v>5231</v>
      </c>
      <c r="AB1052" s="114"/>
      <c r="AC1052" s="114"/>
      <c r="AD1052" s="114"/>
      <c r="AE1052" s="114"/>
      <c r="AF1052" s="114"/>
      <c r="AG1052" s="114"/>
      <c r="AH1052" s="114"/>
      <c r="AI1052" s="116"/>
      <c r="AJ1052" s="114"/>
      <c r="AK1052" s="114"/>
      <c r="AL1052" s="114"/>
      <c r="AM1052" s="114"/>
      <c r="AN1052" s="114"/>
      <c r="AO1052" s="114"/>
      <c r="AP1052" s="114"/>
      <c r="AQ1052" s="114"/>
      <c r="AR1052" s="114"/>
      <c r="AS1052" s="114"/>
      <c r="AT1052" s="114"/>
      <c r="AU1052" s="114"/>
      <c r="AV1052" s="114"/>
      <c r="AW1052" s="114"/>
      <c r="AX1052" s="114"/>
      <c r="AY1052" s="114"/>
      <c r="AZ1052" s="114"/>
      <c r="BA1052" s="114"/>
      <c r="BB1052" s="114"/>
      <c r="BC1052" s="114"/>
      <c r="BD1052" s="114"/>
      <c r="BE1052" s="114"/>
    </row>
    <row r="1053">
      <c r="A1053" s="114"/>
      <c r="B1053" s="114"/>
      <c r="C1053" s="114"/>
      <c r="D1053" s="114"/>
      <c r="E1053" s="114"/>
      <c r="F1053" s="114"/>
      <c r="G1053" s="114"/>
      <c r="H1053" s="114"/>
      <c r="I1053" s="114"/>
      <c r="J1053" s="114"/>
      <c r="K1053" s="114"/>
      <c r="L1053" s="114"/>
      <c r="M1053" s="114"/>
      <c r="N1053" s="114"/>
      <c r="O1053" s="114"/>
      <c r="P1053" s="114"/>
      <c r="Q1053" s="114"/>
      <c r="R1053" s="114"/>
      <c r="S1053" s="114"/>
      <c r="T1053" s="114"/>
      <c r="U1053" s="114"/>
      <c r="V1053" s="114"/>
      <c r="W1053" s="114"/>
      <c r="X1053" s="115"/>
      <c r="Y1053" s="114"/>
      <c r="Z1053" s="117" t="s">
        <v>6706</v>
      </c>
      <c r="AA1053" s="117" t="s">
        <v>5232</v>
      </c>
      <c r="AB1053" s="114"/>
      <c r="AC1053" s="114"/>
      <c r="AD1053" s="114"/>
      <c r="AE1053" s="114"/>
      <c r="AF1053" s="114"/>
      <c r="AG1053" s="114"/>
      <c r="AH1053" s="114"/>
      <c r="AI1053" s="116"/>
      <c r="AJ1053" s="114"/>
      <c r="AK1053" s="114"/>
      <c r="AL1053" s="114"/>
      <c r="AM1053" s="114"/>
      <c r="AN1053" s="114"/>
      <c r="AO1053" s="114"/>
      <c r="AP1053" s="114"/>
      <c r="AQ1053" s="114"/>
      <c r="AR1053" s="114"/>
      <c r="AS1053" s="114"/>
      <c r="AT1053" s="114"/>
      <c r="AU1053" s="114"/>
      <c r="AV1053" s="114"/>
      <c r="AW1053" s="114"/>
      <c r="AX1053" s="114"/>
      <c r="AY1053" s="114"/>
      <c r="AZ1053" s="114"/>
      <c r="BA1053" s="114"/>
      <c r="BB1053" s="114"/>
      <c r="BC1053" s="114"/>
      <c r="BD1053" s="114"/>
      <c r="BE1053" s="114"/>
    </row>
    <row r="1054">
      <c r="A1054" s="114"/>
      <c r="B1054" s="114"/>
      <c r="C1054" s="114"/>
      <c r="D1054" s="114"/>
      <c r="E1054" s="114"/>
      <c r="F1054" s="114"/>
      <c r="G1054" s="114"/>
      <c r="H1054" s="114"/>
      <c r="I1054" s="114"/>
      <c r="J1054" s="114"/>
      <c r="K1054" s="114"/>
      <c r="L1054" s="114"/>
      <c r="M1054" s="114"/>
      <c r="N1054" s="114"/>
      <c r="O1054" s="114"/>
      <c r="P1054" s="114"/>
      <c r="Q1054" s="114"/>
      <c r="R1054" s="114"/>
      <c r="S1054" s="114"/>
      <c r="T1054" s="114"/>
      <c r="U1054" s="114"/>
      <c r="V1054" s="114"/>
      <c r="W1054" s="114"/>
      <c r="X1054" s="115"/>
      <c r="Y1054" s="114"/>
      <c r="Z1054" s="117" t="s">
        <v>6707</v>
      </c>
      <c r="AA1054" s="117" t="s">
        <v>5230</v>
      </c>
      <c r="AB1054" s="114"/>
      <c r="AC1054" s="114"/>
      <c r="AD1054" s="114"/>
      <c r="AE1054" s="114"/>
      <c r="AF1054" s="114"/>
      <c r="AG1054" s="114"/>
      <c r="AH1054" s="114"/>
      <c r="AI1054" s="116"/>
      <c r="AJ1054" s="114"/>
      <c r="AK1054" s="114"/>
      <c r="AL1054" s="114"/>
      <c r="AM1054" s="114"/>
      <c r="AN1054" s="114"/>
      <c r="AO1054" s="114"/>
      <c r="AP1054" s="114"/>
      <c r="AQ1054" s="114"/>
      <c r="AR1054" s="114"/>
      <c r="AS1054" s="114"/>
      <c r="AT1054" s="114"/>
      <c r="AU1054" s="114"/>
      <c r="AV1054" s="114"/>
      <c r="AW1054" s="114"/>
      <c r="AX1054" s="114"/>
      <c r="AY1054" s="114"/>
      <c r="AZ1054" s="114"/>
      <c r="BA1054" s="114"/>
      <c r="BB1054" s="114"/>
      <c r="BC1054" s="114"/>
      <c r="BD1054" s="114"/>
      <c r="BE1054" s="114"/>
    </row>
    <row r="1055">
      <c r="A1055" s="114"/>
      <c r="B1055" s="114"/>
      <c r="C1055" s="114"/>
      <c r="D1055" s="114"/>
      <c r="E1055" s="114"/>
      <c r="F1055" s="114"/>
      <c r="G1055" s="114"/>
      <c r="H1055" s="114"/>
      <c r="I1055" s="114"/>
      <c r="J1055" s="114"/>
      <c r="K1055" s="114"/>
      <c r="L1055" s="114"/>
      <c r="M1055" s="114"/>
      <c r="N1055" s="114"/>
      <c r="O1055" s="114"/>
      <c r="P1055" s="114"/>
      <c r="Q1055" s="114"/>
      <c r="R1055" s="114"/>
      <c r="S1055" s="114"/>
      <c r="T1055" s="114"/>
      <c r="U1055" s="114"/>
      <c r="V1055" s="114"/>
      <c r="W1055" s="114"/>
      <c r="X1055" s="115"/>
      <c r="Y1055" s="114"/>
      <c r="Z1055" s="117" t="s">
        <v>6708</v>
      </c>
      <c r="AA1055" s="117" t="s">
        <v>5240</v>
      </c>
      <c r="AB1055" s="114"/>
      <c r="AC1055" s="114"/>
      <c r="AD1055" s="114"/>
      <c r="AE1055" s="114"/>
      <c r="AF1055" s="114"/>
      <c r="AG1055" s="114"/>
      <c r="AH1055" s="114"/>
      <c r="AI1055" s="116"/>
      <c r="AJ1055" s="114"/>
      <c r="AK1055" s="114"/>
      <c r="AL1055" s="114"/>
      <c r="AM1055" s="114"/>
      <c r="AN1055" s="114"/>
      <c r="AO1055" s="114"/>
      <c r="AP1055" s="114"/>
      <c r="AQ1055" s="114"/>
      <c r="AR1055" s="114"/>
      <c r="AS1055" s="114"/>
      <c r="AT1055" s="114"/>
      <c r="AU1055" s="114"/>
      <c r="AV1055" s="114"/>
      <c r="AW1055" s="114"/>
      <c r="AX1055" s="114"/>
      <c r="AY1055" s="114"/>
      <c r="AZ1055" s="114"/>
      <c r="BA1055" s="114"/>
      <c r="BB1055" s="114"/>
      <c r="BC1055" s="114"/>
      <c r="BD1055" s="114"/>
      <c r="BE1055" s="114"/>
    </row>
    <row r="1056">
      <c r="A1056" s="114"/>
      <c r="B1056" s="114"/>
      <c r="C1056" s="114"/>
      <c r="D1056" s="114"/>
      <c r="E1056" s="114"/>
      <c r="F1056" s="114"/>
      <c r="G1056" s="114"/>
      <c r="H1056" s="114"/>
      <c r="I1056" s="114"/>
      <c r="J1056" s="114"/>
      <c r="K1056" s="114"/>
      <c r="L1056" s="114"/>
      <c r="M1056" s="114"/>
      <c r="N1056" s="114"/>
      <c r="O1056" s="114"/>
      <c r="P1056" s="114"/>
      <c r="Q1056" s="114"/>
      <c r="R1056" s="114"/>
      <c r="S1056" s="114"/>
      <c r="T1056" s="114"/>
      <c r="U1056" s="114"/>
      <c r="V1056" s="114"/>
      <c r="W1056" s="114"/>
      <c r="X1056" s="115"/>
      <c r="Y1056" s="114"/>
      <c r="Z1056" s="117" t="s">
        <v>6709</v>
      </c>
      <c r="AA1056" s="117" t="s">
        <v>5242</v>
      </c>
      <c r="AB1056" s="114"/>
      <c r="AC1056" s="114"/>
      <c r="AD1056" s="114"/>
      <c r="AE1056" s="114"/>
      <c r="AF1056" s="114"/>
      <c r="AG1056" s="114"/>
      <c r="AH1056" s="114"/>
      <c r="AI1056" s="116"/>
      <c r="AJ1056" s="114"/>
      <c r="AK1056" s="114"/>
      <c r="AL1056" s="114"/>
      <c r="AM1056" s="114"/>
      <c r="AN1056" s="114"/>
      <c r="AO1056" s="114"/>
      <c r="AP1056" s="114"/>
      <c r="AQ1056" s="114"/>
      <c r="AR1056" s="114"/>
      <c r="AS1056" s="114"/>
      <c r="AT1056" s="114"/>
      <c r="AU1056" s="114"/>
      <c r="AV1056" s="114"/>
      <c r="AW1056" s="114"/>
      <c r="AX1056" s="114"/>
      <c r="AY1056" s="114"/>
      <c r="AZ1056" s="114"/>
      <c r="BA1056" s="114"/>
      <c r="BB1056" s="114"/>
      <c r="BC1056" s="114"/>
      <c r="BD1056" s="114"/>
      <c r="BE1056" s="114"/>
    </row>
    <row r="1057">
      <c r="A1057" s="114"/>
      <c r="B1057" s="114"/>
      <c r="C1057" s="114"/>
      <c r="D1057" s="114"/>
      <c r="E1057" s="114"/>
      <c r="F1057" s="114"/>
      <c r="G1057" s="114"/>
      <c r="H1057" s="114"/>
      <c r="I1057" s="114"/>
      <c r="J1057" s="114"/>
      <c r="K1057" s="114"/>
      <c r="L1057" s="114"/>
      <c r="M1057" s="114"/>
      <c r="N1057" s="114"/>
      <c r="O1057" s="114"/>
      <c r="P1057" s="114"/>
      <c r="Q1057" s="114"/>
      <c r="R1057" s="114"/>
      <c r="S1057" s="114"/>
      <c r="T1057" s="114"/>
      <c r="U1057" s="114"/>
      <c r="V1057" s="114"/>
      <c r="W1057" s="114"/>
      <c r="X1057" s="115"/>
      <c r="Y1057" s="114"/>
      <c r="Z1057" s="117" t="s">
        <v>6710</v>
      </c>
      <c r="AA1057" s="117" t="s">
        <v>5243</v>
      </c>
      <c r="AB1057" s="114"/>
      <c r="AC1057" s="114"/>
      <c r="AD1057" s="114"/>
      <c r="AE1057" s="114"/>
      <c r="AF1057" s="114"/>
      <c r="AG1057" s="114"/>
      <c r="AH1057" s="114"/>
      <c r="AI1057" s="116"/>
      <c r="AJ1057" s="114"/>
      <c r="AK1057" s="114"/>
      <c r="AL1057" s="114"/>
      <c r="AM1057" s="114"/>
      <c r="AN1057" s="114"/>
      <c r="AO1057" s="114"/>
      <c r="AP1057" s="114"/>
      <c r="AQ1057" s="114"/>
      <c r="AR1057" s="114"/>
      <c r="AS1057" s="114"/>
      <c r="AT1057" s="114"/>
      <c r="AU1057" s="114"/>
      <c r="AV1057" s="114"/>
      <c r="AW1057" s="114"/>
      <c r="AX1057" s="114"/>
      <c r="AY1057" s="114"/>
      <c r="AZ1057" s="114"/>
      <c r="BA1057" s="114"/>
      <c r="BB1057" s="114"/>
      <c r="BC1057" s="114"/>
      <c r="BD1057" s="114"/>
      <c r="BE1057" s="114"/>
    </row>
    <row r="1058">
      <c r="A1058" s="114"/>
      <c r="B1058" s="114"/>
      <c r="C1058" s="114"/>
      <c r="D1058" s="114"/>
      <c r="E1058" s="114"/>
      <c r="F1058" s="114"/>
      <c r="G1058" s="114"/>
      <c r="H1058" s="114"/>
      <c r="I1058" s="114"/>
      <c r="J1058" s="114"/>
      <c r="K1058" s="114"/>
      <c r="L1058" s="114"/>
      <c r="M1058" s="114"/>
      <c r="N1058" s="114"/>
      <c r="O1058" s="114"/>
      <c r="P1058" s="114"/>
      <c r="Q1058" s="114"/>
      <c r="R1058" s="114"/>
      <c r="S1058" s="114"/>
      <c r="T1058" s="114"/>
      <c r="U1058" s="114"/>
      <c r="V1058" s="114"/>
      <c r="W1058" s="114"/>
      <c r="X1058" s="115"/>
      <c r="Y1058" s="114"/>
      <c r="Z1058" s="117" t="s">
        <v>6711</v>
      </c>
      <c r="AA1058" s="117" t="s">
        <v>5241</v>
      </c>
      <c r="AB1058" s="114"/>
      <c r="AC1058" s="114"/>
      <c r="AD1058" s="114"/>
      <c r="AE1058" s="114"/>
      <c r="AF1058" s="114"/>
      <c r="AG1058" s="114"/>
      <c r="AH1058" s="114"/>
      <c r="AI1058" s="116"/>
      <c r="AJ1058" s="114"/>
      <c r="AK1058" s="114"/>
      <c r="AL1058" s="114"/>
      <c r="AM1058" s="114"/>
      <c r="AN1058" s="114"/>
      <c r="AO1058" s="114"/>
      <c r="AP1058" s="114"/>
      <c r="AQ1058" s="114"/>
      <c r="AR1058" s="114"/>
      <c r="AS1058" s="114"/>
      <c r="AT1058" s="114"/>
      <c r="AU1058" s="114"/>
      <c r="AV1058" s="114"/>
      <c r="AW1058" s="114"/>
      <c r="AX1058" s="114"/>
      <c r="AY1058" s="114"/>
      <c r="AZ1058" s="114"/>
      <c r="BA1058" s="114"/>
      <c r="BB1058" s="114"/>
      <c r="BC1058" s="114"/>
      <c r="BD1058" s="114"/>
      <c r="BE1058" s="114"/>
    </row>
    <row r="1059">
      <c r="A1059" s="114"/>
      <c r="B1059" s="114"/>
      <c r="C1059" s="114"/>
      <c r="D1059" s="114"/>
      <c r="E1059" s="114"/>
      <c r="F1059" s="114"/>
      <c r="G1059" s="114"/>
      <c r="H1059" s="114"/>
      <c r="I1059" s="114"/>
      <c r="J1059" s="114"/>
      <c r="K1059" s="114"/>
      <c r="L1059" s="114"/>
      <c r="M1059" s="114"/>
      <c r="N1059" s="114"/>
      <c r="O1059" s="114"/>
      <c r="P1059" s="114"/>
      <c r="Q1059" s="114"/>
      <c r="R1059" s="114"/>
      <c r="S1059" s="114"/>
      <c r="T1059" s="114"/>
      <c r="U1059" s="114"/>
      <c r="V1059" s="114"/>
      <c r="W1059" s="114"/>
      <c r="X1059" s="115"/>
      <c r="Y1059" s="114"/>
      <c r="Z1059" s="117" t="s">
        <v>6712</v>
      </c>
      <c r="AA1059" s="117" t="s">
        <v>5251</v>
      </c>
      <c r="AB1059" s="114"/>
      <c r="AC1059" s="114"/>
      <c r="AD1059" s="114"/>
      <c r="AE1059" s="114"/>
      <c r="AF1059" s="114"/>
      <c r="AG1059" s="114"/>
      <c r="AH1059" s="114"/>
      <c r="AI1059" s="116"/>
      <c r="AJ1059" s="114"/>
      <c r="AK1059" s="114"/>
      <c r="AL1059" s="114"/>
      <c r="AM1059" s="114"/>
      <c r="AN1059" s="114"/>
      <c r="AO1059" s="114"/>
      <c r="AP1059" s="114"/>
      <c r="AQ1059" s="114"/>
      <c r="AR1059" s="114"/>
      <c r="AS1059" s="114"/>
      <c r="AT1059" s="114"/>
      <c r="AU1059" s="114"/>
      <c r="AV1059" s="114"/>
      <c r="AW1059" s="114"/>
      <c r="AX1059" s="114"/>
      <c r="AY1059" s="114"/>
      <c r="AZ1059" s="114"/>
      <c r="BA1059" s="114"/>
      <c r="BB1059" s="114"/>
      <c r="BC1059" s="114"/>
      <c r="BD1059" s="114"/>
      <c r="BE1059" s="114"/>
    </row>
    <row r="1060">
      <c r="A1060" s="114"/>
      <c r="B1060" s="114"/>
      <c r="C1060" s="114"/>
      <c r="D1060" s="114"/>
      <c r="E1060" s="114"/>
      <c r="F1060" s="114"/>
      <c r="G1060" s="114"/>
      <c r="H1060" s="114"/>
      <c r="I1060" s="114"/>
      <c r="J1060" s="114"/>
      <c r="K1060" s="114"/>
      <c r="L1060" s="114"/>
      <c r="M1060" s="114"/>
      <c r="N1060" s="114"/>
      <c r="O1060" s="114"/>
      <c r="P1060" s="114"/>
      <c r="Q1060" s="114"/>
      <c r="R1060" s="114"/>
      <c r="S1060" s="114"/>
      <c r="T1060" s="114"/>
      <c r="U1060" s="114"/>
      <c r="V1060" s="114"/>
      <c r="W1060" s="114"/>
      <c r="X1060" s="115"/>
      <c r="Y1060" s="114"/>
      <c r="Z1060" s="117" t="s">
        <v>6713</v>
      </c>
      <c r="AA1060" s="117" t="s">
        <v>5253</v>
      </c>
      <c r="AB1060" s="114"/>
      <c r="AC1060" s="114"/>
      <c r="AD1060" s="114"/>
      <c r="AE1060" s="114"/>
      <c r="AF1060" s="114"/>
      <c r="AG1060" s="114"/>
      <c r="AH1060" s="114"/>
      <c r="AI1060" s="116"/>
      <c r="AJ1060" s="114"/>
      <c r="AK1060" s="114"/>
      <c r="AL1060" s="114"/>
      <c r="AM1060" s="114"/>
      <c r="AN1060" s="114"/>
      <c r="AO1060" s="114"/>
      <c r="AP1060" s="114"/>
      <c r="AQ1060" s="114"/>
      <c r="AR1060" s="114"/>
      <c r="AS1060" s="114"/>
      <c r="AT1060" s="114"/>
      <c r="AU1060" s="114"/>
      <c r="AV1060" s="114"/>
      <c r="AW1060" s="114"/>
      <c r="AX1060" s="114"/>
      <c r="AY1060" s="114"/>
      <c r="AZ1060" s="114"/>
      <c r="BA1060" s="114"/>
      <c r="BB1060" s="114"/>
      <c r="BC1060" s="114"/>
      <c r="BD1060" s="114"/>
      <c r="BE1060" s="114"/>
    </row>
    <row r="1061">
      <c r="A1061" s="114"/>
      <c r="B1061" s="114"/>
      <c r="C1061" s="114"/>
      <c r="D1061" s="114"/>
      <c r="E1061" s="114"/>
      <c r="F1061" s="114"/>
      <c r="G1061" s="114"/>
      <c r="H1061" s="114"/>
      <c r="I1061" s="114"/>
      <c r="J1061" s="114"/>
      <c r="K1061" s="114"/>
      <c r="L1061" s="114"/>
      <c r="M1061" s="114"/>
      <c r="N1061" s="114"/>
      <c r="O1061" s="114"/>
      <c r="P1061" s="114"/>
      <c r="Q1061" s="114"/>
      <c r="R1061" s="114"/>
      <c r="S1061" s="114"/>
      <c r="T1061" s="114"/>
      <c r="U1061" s="114"/>
      <c r="V1061" s="114"/>
      <c r="W1061" s="114"/>
      <c r="X1061" s="115"/>
      <c r="Y1061" s="114"/>
      <c r="Z1061" s="117" t="s">
        <v>6714</v>
      </c>
      <c r="AA1061" s="117" t="s">
        <v>5254</v>
      </c>
      <c r="AB1061" s="114"/>
      <c r="AC1061" s="114"/>
      <c r="AD1061" s="114"/>
      <c r="AE1061" s="114"/>
      <c r="AF1061" s="114"/>
      <c r="AG1061" s="114"/>
      <c r="AH1061" s="114"/>
      <c r="AI1061" s="116"/>
      <c r="AJ1061" s="114"/>
      <c r="AK1061" s="114"/>
      <c r="AL1061" s="114"/>
      <c r="AM1061" s="114"/>
      <c r="AN1061" s="114"/>
      <c r="AO1061" s="114"/>
      <c r="AP1061" s="114"/>
      <c r="AQ1061" s="114"/>
      <c r="AR1061" s="114"/>
      <c r="AS1061" s="114"/>
      <c r="AT1061" s="114"/>
      <c r="AU1061" s="114"/>
      <c r="AV1061" s="114"/>
      <c r="AW1061" s="114"/>
      <c r="AX1061" s="114"/>
      <c r="AY1061" s="114"/>
      <c r="AZ1061" s="114"/>
      <c r="BA1061" s="114"/>
      <c r="BB1061" s="114"/>
      <c r="BC1061" s="114"/>
      <c r="BD1061" s="114"/>
      <c r="BE1061" s="114"/>
    </row>
    <row r="1062">
      <c r="A1062" s="114"/>
      <c r="B1062" s="114"/>
      <c r="C1062" s="114"/>
      <c r="D1062" s="114"/>
      <c r="E1062" s="114"/>
      <c r="F1062" s="114"/>
      <c r="G1062" s="114"/>
      <c r="H1062" s="114"/>
      <c r="I1062" s="114"/>
      <c r="J1062" s="114"/>
      <c r="K1062" s="114"/>
      <c r="L1062" s="114"/>
      <c r="M1062" s="114"/>
      <c r="N1062" s="114"/>
      <c r="O1062" s="114"/>
      <c r="P1062" s="114"/>
      <c r="Q1062" s="114"/>
      <c r="R1062" s="114"/>
      <c r="S1062" s="114"/>
      <c r="T1062" s="114"/>
      <c r="U1062" s="114"/>
      <c r="V1062" s="114"/>
      <c r="W1062" s="114"/>
      <c r="X1062" s="115"/>
      <c r="Y1062" s="114"/>
      <c r="Z1062" s="117" t="s">
        <v>6715</v>
      </c>
      <c r="AA1062" s="117" t="s">
        <v>5252</v>
      </c>
      <c r="AB1062" s="114"/>
      <c r="AC1062" s="114"/>
      <c r="AD1062" s="114"/>
      <c r="AE1062" s="114"/>
      <c r="AF1062" s="114"/>
      <c r="AG1062" s="114"/>
      <c r="AH1062" s="114"/>
      <c r="AI1062" s="116"/>
      <c r="AJ1062" s="114"/>
      <c r="AK1062" s="114"/>
      <c r="AL1062" s="114"/>
      <c r="AM1062" s="114"/>
      <c r="AN1062" s="114"/>
      <c r="AO1062" s="114"/>
      <c r="AP1062" s="114"/>
      <c r="AQ1062" s="114"/>
      <c r="AR1062" s="114"/>
      <c r="AS1062" s="114"/>
      <c r="AT1062" s="114"/>
      <c r="AU1062" s="114"/>
      <c r="AV1062" s="114"/>
      <c r="AW1062" s="114"/>
      <c r="AX1062" s="114"/>
      <c r="AY1062" s="114"/>
      <c r="AZ1062" s="114"/>
      <c r="BA1062" s="114"/>
      <c r="BB1062" s="114"/>
      <c r="BC1062" s="114"/>
      <c r="BD1062" s="114"/>
      <c r="BE1062" s="114"/>
    </row>
    <row r="1063">
      <c r="A1063" s="114"/>
      <c r="B1063" s="114"/>
      <c r="C1063" s="114"/>
      <c r="D1063" s="114"/>
      <c r="E1063" s="114"/>
      <c r="F1063" s="114"/>
      <c r="G1063" s="114"/>
      <c r="H1063" s="114"/>
      <c r="I1063" s="114"/>
      <c r="J1063" s="114"/>
      <c r="K1063" s="114"/>
      <c r="L1063" s="114"/>
      <c r="M1063" s="114"/>
      <c r="N1063" s="114"/>
      <c r="O1063" s="114"/>
      <c r="P1063" s="114"/>
      <c r="Q1063" s="114"/>
      <c r="R1063" s="114"/>
      <c r="S1063" s="114"/>
      <c r="T1063" s="114"/>
      <c r="U1063" s="114"/>
      <c r="V1063" s="114"/>
      <c r="W1063" s="114"/>
      <c r="X1063" s="115"/>
      <c r="Y1063" s="114"/>
      <c r="Z1063" s="117" t="s">
        <v>6716</v>
      </c>
      <c r="AA1063" s="117" t="s">
        <v>5262</v>
      </c>
      <c r="AB1063" s="114"/>
      <c r="AC1063" s="114"/>
      <c r="AD1063" s="114"/>
      <c r="AE1063" s="114"/>
      <c r="AF1063" s="114"/>
      <c r="AG1063" s="114"/>
      <c r="AH1063" s="114"/>
      <c r="AI1063" s="116"/>
      <c r="AJ1063" s="114"/>
      <c r="AK1063" s="114"/>
      <c r="AL1063" s="114"/>
      <c r="AM1063" s="114"/>
      <c r="AN1063" s="114"/>
      <c r="AO1063" s="114"/>
      <c r="AP1063" s="114"/>
      <c r="AQ1063" s="114"/>
      <c r="AR1063" s="114"/>
      <c r="AS1063" s="114"/>
      <c r="AT1063" s="114"/>
      <c r="AU1063" s="114"/>
      <c r="AV1063" s="114"/>
      <c r="AW1063" s="114"/>
      <c r="AX1063" s="114"/>
      <c r="AY1063" s="114"/>
      <c r="AZ1063" s="114"/>
      <c r="BA1063" s="114"/>
      <c r="BB1063" s="114"/>
      <c r="BC1063" s="114"/>
      <c r="BD1063" s="114"/>
      <c r="BE1063" s="114"/>
    </row>
    <row r="1064">
      <c r="A1064" s="114"/>
      <c r="B1064" s="114"/>
      <c r="C1064" s="114"/>
      <c r="D1064" s="114"/>
      <c r="E1064" s="114"/>
      <c r="F1064" s="114"/>
      <c r="G1064" s="114"/>
      <c r="H1064" s="114"/>
      <c r="I1064" s="114"/>
      <c r="J1064" s="114"/>
      <c r="K1064" s="114"/>
      <c r="L1064" s="114"/>
      <c r="M1064" s="114"/>
      <c r="N1064" s="114"/>
      <c r="O1064" s="114"/>
      <c r="P1064" s="114"/>
      <c r="Q1064" s="114"/>
      <c r="R1064" s="114"/>
      <c r="S1064" s="114"/>
      <c r="T1064" s="114"/>
      <c r="U1064" s="114"/>
      <c r="V1064" s="114"/>
      <c r="W1064" s="114"/>
      <c r="X1064" s="115"/>
      <c r="Y1064" s="114"/>
      <c r="Z1064" s="117" t="s">
        <v>6717</v>
      </c>
      <c r="AA1064" s="117" t="s">
        <v>5264</v>
      </c>
      <c r="AB1064" s="114"/>
      <c r="AC1064" s="114"/>
      <c r="AD1064" s="114"/>
      <c r="AE1064" s="114"/>
      <c r="AF1064" s="114"/>
      <c r="AG1064" s="114"/>
      <c r="AH1064" s="114"/>
      <c r="AI1064" s="116"/>
      <c r="AJ1064" s="114"/>
      <c r="AK1064" s="114"/>
      <c r="AL1064" s="114"/>
      <c r="AM1064" s="114"/>
      <c r="AN1064" s="114"/>
      <c r="AO1064" s="114"/>
      <c r="AP1064" s="114"/>
      <c r="AQ1064" s="114"/>
      <c r="AR1064" s="114"/>
      <c r="AS1064" s="114"/>
      <c r="AT1064" s="114"/>
      <c r="AU1064" s="114"/>
      <c r="AV1064" s="114"/>
      <c r="AW1064" s="114"/>
      <c r="AX1064" s="114"/>
      <c r="AY1064" s="114"/>
      <c r="AZ1064" s="114"/>
      <c r="BA1064" s="114"/>
      <c r="BB1064" s="114"/>
      <c r="BC1064" s="114"/>
      <c r="BD1064" s="114"/>
      <c r="BE1064" s="114"/>
    </row>
    <row r="1065">
      <c r="A1065" s="114"/>
      <c r="B1065" s="114"/>
      <c r="C1065" s="114"/>
      <c r="D1065" s="114"/>
      <c r="E1065" s="114"/>
      <c r="F1065" s="114"/>
      <c r="G1065" s="114"/>
      <c r="H1065" s="114"/>
      <c r="I1065" s="114"/>
      <c r="J1065" s="114"/>
      <c r="K1065" s="114"/>
      <c r="L1065" s="114"/>
      <c r="M1065" s="114"/>
      <c r="N1065" s="114"/>
      <c r="O1065" s="114"/>
      <c r="P1065" s="114"/>
      <c r="Q1065" s="114"/>
      <c r="R1065" s="114"/>
      <c r="S1065" s="114"/>
      <c r="T1065" s="114"/>
      <c r="U1065" s="114"/>
      <c r="V1065" s="114"/>
      <c r="W1065" s="114"/>
      <c r="X1065" s="115"/>
      <c r="Y1065" s="114"/>
      <c r="Z1065" s="117" t="s">
        <v>6718</v>
      </c>
      <c r="AA1065" s="117" t="s">
        <v>5265</v>
      </c>
      <c r="AB1065" s="114"/>
      <c r="AC1065" s="114"/>
      <c r="AD1065" s="114"/>
      <c r="AE1065" s="114"/>
      <c r="AF1065" s="114"/>
      <c r="AG1065" s="114"/>
      <c r="AH1065" s="114"/>
      <c r="AI1065" s="116"/>
      <c r="AJ1065" s="114"/>
      <c r="AK1065" s="114"/>
      <c r="AL1065" s="114"/>
      <c r="AM1065" s="114"/>
      <c r="AN1065" s="114"/>
      <c r="AO1065" s="114"/>
      <c r="AP1065" s="114"/>
      <c r="AQ1065" s="114"/>
      <c r="AR1065" s="114"/>
      <c r="AS1065" s="114"/>
      <c r="AT1065" s="114"/>
      <c r="AU1065" s="114"/>
      <c r="AV1065" s="114"/>
      <c r="AW1065" s="114"/>
      <c r="AX1065" s="114"/>
      <c r="AY1065" s="114"/>
      <c r="AZ1065" s="114"/>
      <c r="BA1065" s="114"/>
      <c r="BB1065" s="114"/>
      <c r="BC1065" s="114"/>
      <c r="BD1065" s="114"/>
      <c r="BE1065" s="114"/>
    </row>
    <row r="1066">
      <c r="A1066" s="114"/>
      <c r="B1066" s="114"/>
      <c r="C1066" s="114"/>
      <c r="D1066" s="114"/>
      <c r="E1066" s="114"/>
      <c r="F1066" s="114"/>
      <c r="G1066" s="114"/>
      <c r="H1066" s="114"/>
      <c r="I1066" s="114"/>
      <c r="J1066" s="114"/>
      <c r="K1066" s="114"/>
      <c r="L1066" s="114"/>
      <c r="M1066" s="114"/>
      <c r="N1066" s="114"/>
      <c r="O1066" s="114"/>
      <c r="P1066" s="114"/>
      <c r="Q1066" s="114"/>
      <c r="R1066" s="114"/>
      <c r="S1066" s="114"/>
      <c r="T1066" s="114"/>
      <c r="U1066" s="114"/>
      <c r="V1066" s="114"/>
      <c r="W1066" s="114"/>
      <c r="X1066" s="115"/>
      <c r="Y1066" s="114"/>
      <c r="Z1066" s="117" t="s">
        <v>6719</v>
      </c>
      <c r="AA1066" s="117" t="s">
        <v>5263</v>
      </c>
      <c r="AB1066" s="114"/>
      <c r="AC1066" s="114"/>
      <c r="AD1066" s="114"/>
      <c r="AE1066" s="114"/>
      <c r="AF1066" s="114"/>
      <c r="AG1066" s="114"/>
      <c r="AH1066" s="114"/>
      <c r="AI1066" s="116"/>
      <c r="AJ1066" s="114"/>
      <c r="AK1066" s="114"/>
      <c r="AL1066" s="114"/>
      <c r="AM1066" s="114"/>
      <c r="AN1066" s="114"/>
      <c r="AO1066" s="114"/>
      <c r="AP1066" s="114"/>
      <c r="AQ1066" s="114"/>
      <c r="AR1066" s="114"/>
      <c r="AS1066" s="114"/>
      <c r="AT1066" s="114"/>
      <c r="AU1066" s="114"/>
      <c r="AV1066" s="114"/>
      <c r="AW1066" s="114"/>
      <c r="AX1066" s="114"/>
      <c r="AY1066" s="114"/>
      <c r="AZ1066" s="114"/>
      <c r="BA1066" s="114"/>
      <c r="BB1066" s="114"/>
      <c r="BC1066" s="114"/>
      <c r="BD1066" s="114"/>
      <c r="BE1066" s="114"/>
    </row>
    <row r="1067">
      <c r="A1067" s="114"/>
      <c r="B1067" s="114"/>
      <c r="C1067" s="114"/>
      <c r="D1067" s="114"/>
      <c r="E1067" s="114"/>
      <c r="F1067" s="114"/>
      <c r="G1067" s="114"/>
      <c r="H1067" s="114"/>
      <c r="I1067" s="114"/>
      <c r="J1067" s="114"/>
      <c r="K1067" s="114"/>
      <c r="L1067" s="114"/>
      <c r="M1067" s="114"/>
      <c r="N1067" s="114"/>
      <c r="O1067" s="114"/>
      <c r="P1067" s="114"/>
      <c r="Q1067" s="114"/>
      <c r="R1067" s="114"/>
      <c r="S1067" s="114"/>
      <c r="T1067" s="114"/>
      <c r="U1067" s="114"/>
      <c r="V1067" s="114"/>
      <c r="W1067" s="114"/>
      <c r="X1067" s="115"/>
      <c r="Y1067" s="114"/>
      <c r="Z1067" s="117" t="s">
        <v>6720</v>
      </c>
      <c r="AA1067" s="117" t="s">
        <v>5273</v>
      </c>
      <c r="AB1067" s="114"/>
      <c r="AC1067" s="114"/>
      <c r="AD1067" s="114"/>
      <c r="AE1067" s="114"/>
      <c r="AF1067" s="114"/>
      <c r="AG1067" s="114"/>
      <c r="AH1067" s="114"/>
      <c r="AI1067" s="116"/>
      <c r="AJ1067" s="114"/>
      <c r="AK1067" s="114"/>
      <c r="AL1067" s="114"/>
      <c r="AM1067" s="114"/>
      <c r="AN1067" s="114"/>
      <c r="AO1067" s="114"/>
      <c r="AP1067" s="114"/>
      <c r="AQ1067" s="114"/>
      <c r="AR1067" s="114"/>
      <c r="AS1067" s="114"/>
      <c r="AT1067" s="114"/>
      <c r="AU1067" s="114"/>
      <c r="AV1067" s="114"/>
      <c r="AW1067" s="114"/>
      <c r="AX1067" s="114"/>
      <c r="AY1067" s="114"/>
      <c r="AZ1067" s="114"/>
      <c r="BA1067" s="114"/>
      <c r="BB1067" s="114"/>
      <c r="BC1067" s="114"/>
      <c r="BD1067" s="114"/>
      <c r="BE1067" s="114"/>
    </row>
    <row r="1068">
      <c r="A1068" s="114"/>
      <c r="B1068" s="114"/>
      <c r="C1068" s="114"/>
      <c r="D1068" s="114"/>
      <c r="E1068" s="114"/>
      <c r="F1068" s="114"/>
      <c r="G1068" s="114"/>
      <c r="H1068" s="114"/>
      <c r="I1068" s="114"/>
      <c r="J1068" s="114"/>
      <c r="K1068" s="114"/>
      <c r="L1068" s="114"/>
      <c r="M1068" s="114"/>
      <c r="N1068" s="114"/>
      <c r="O1068" s="114"/>
      <c r="P1068" s="114"/>
      <c r="Q1068" s="114"/>
      <c r="R1068" s="114"/>
      <c r="S1068" s="114"/>
      <c r="T1068" s="114"/>
      <c r="U1068" s="114"/>
      <c r="V1068" s="114"/>
      <c r="W1068" s="114"/>
      <c r="X1068" s="115"/>
      <c r="Y1068" s="114"/>
      <c r="Z1068" s="117" t="s">
        <v>6721</v>
      </c>
      <c r="AA1068" s="117" t="s">
        <v>5275</v>
      </c>
      <c r="AB1068" s="114"/>
      <c r="AC1068" s="114"/>
      <c r="AD1068" s="114"/>
      <c r="AE1068" s="114"/>
      <c r="AF1068" s="114"/>
      <c r="AG1068" s="114"/>
      <c r="AH1068" s="114"/>
      <c r="AI1068" s="116"/>
      <c r="AJ1068" s="114"/>
      <c r="AK1068" s="114"/>
      <c r="AL1068" s="114"/>
      <c r="AM1068" s="114"/>
      <c r="AN1068" s="114"/>
      <c r="AO1068" s="114"/>
      <c r="AP1068" s="114"/>
      <c r="AQ1068" s="114"/>
      <c r="AR1068" s="114"/>
      <c r="AS1068" s="114"/>
      <c r="AT1068" s="114"/>
      <c r="AU1068" s="114"/>
      <c r="AV1068" s="114"/>
      <c r="AW1068" s="114"/>
      <c r="AX1068" s="114"/>
      <c r="AY1068" s="114"/>
      <c r="AZ1068" s="114"/>
      <c r="BA1068" s="114"/>
      <c r="BB1068" s="114"/>
      <c r="BC1068" s="114"/>
      <c r="BD1068" s="114"/>
      <c r="BE1068" s="114"/>
    </row>
    <row r="1069">
      <c r="A1069" s="114"/>
      <c r="B1069" s="114"/>
      <c r="C1069" s="114"/>
      <c r="D1069" s="114"/>
      <c r="E1069" s="114"/>
      <c r="F1069" s="114"/>
      <c r="G1069" s="114"/>
      <c r="H1069" s="114"/>
      <c r="I1069" s="114"/>
      <c r="J1069" s="114"/>
      <c r="K1069" s="114"/>
      <c r="L1069" s="114"/>
      <c r="M1069" s="114"/>
      <c r="N1069" s="114"/>
      <c r="O1069" s="114"/>
      <c r="P1069" s="114"/>
      <c r="Q1069" s="114"/>
      <c r="R1069" s="114"/>
      <c r="S1069" s="114"/>
      <c r="T1069" s="114"/>
      <c r="U1069" s="114"/>
      <c r="V1069" s="114"/>
      <c r="W1069" s="114"/>
      <c r="X1069" s="115"/>
      <c r="Y1069" s="114"/>
      <c r="Z1069" s="117" t="s">
        <v>6722</v>
      </c>
      <c r="AA1069" s="117" t="s">
        <v>5276</v>
      </c>
      <c r="AB1069" s="114"/>
      <c r="AC1069" s="114"/>
      <c r="AD1069" s="114"/>
      <c r="AE1069" s="114"/>
      <c r="AF1069" s="114"/>
      <c r="AG1069" s="114"/>
      <c r="AH1069" s="114"/>
      <c r="AI1069" s="116"/>
      <c r="AJ1069" s="114"/>
      <c r="AK1069" s="114"/>
      <c r="AL1069" s="114"/>
      <c r="AM1069" s="114"/>
      <c r="AN1069" s="114"/>
      <c r="AO1069" s="114"/>
      <c r="AP1069" s="114"/>
      <c r="AQ1069" s="114"/>
      <c r="AR1069" s="114"/>
      <c r="AS1069" s="114"/>
      <c r="AT1069" s="114"/>
      <c r="AU1069" s="114"/>
      <c r="AV1069" s="114"/>
      <c r="AW1069" s="114"/>
      <c r="AX1069" s="114"/>
      <c r="AY1069" s="114"/>
      <c r="AZ1069" s="114"/>
      <c r="BA1069" s="114"/>
      <c r="BB1069" s="114"/>
      <c r="BC1069" s="114"/>
      <c r="BD1069" s="114"/>
      <c r="BE1069" s="114"/>
    </row>
    <row r="1070">
      <c r="A1070" s="114"/>
      <c r="B1070" s="114"/>
      <c r="C1070" s="114"/>
      <c r="D1070" s="114"/>
      <c r="E1070" s="114"/>
      <c r="F1070" s="114"/>
      <c r="G1070" s="114"/>
      <c r="H1070" s="114"/>
      <c r="I1070" s="114"/>
      <c r="J1070" s="114"/>
      <c r="K1070" s="114"/>
      <c r="L1070" s="114"/>
      <c r="M1070" s="114"/>
      <c r="N1070" s="114"/>
      <c r="O1070" s="114"/>
      <c r="P1070" s="114"/>
      <c r="Q1070" s="114"/>
      <c r="R1070" s="114"/>
      <c r="S1070" s="114"/>
      <c r="T1070" s="114"/>
      <c r="U1070" s="114"/>
      <c r="V1070" s="114"/>
      <c r="W1070" s="114"/>
      <c r="X1070" s="115"/>
      <c r="Y1070" s="114"/>
      <c r="Z1070" s="117" t="s">
        <v>6723</v>
      </c>
      <c r="AA1070" s="117" t="s">
        <v>5274</v>
      </c>
      <c r="AB1070" s="114"/>
      <c r="AC1070" s="114"/>
      <c r="AD1070" s="114"/>
      <c r="AE1070" s="114"/>
      <c r="AF1070" s="114"/>
      <c r="AG1070" s="114"/>
      <c r="AH1070" s="114"/>
      <c r="AI1070" s="116"/>
      <c r="AJ1070" s="114"/>
      <c r="AK1070" s="114"/>
      <c r="AL1070" s="114"/>
      <c r="AM1070" s="114"/>
      <c r="AN1070" s="114"/>
      <c r="AO1070" s="114"/>
      <c r="AP1070" s="114"/>
      <c r="AQ1070" s="114"/>
      <c r="AR1070" s="114"/>
      <c r="AS1070" s="114"/>
      <c r="AT1070" s="114"/>
      <c r="AU1070" s="114"/>
      <c r="AV1070" s="114"/>
      <c r="AW1070" s="114"/>
      <c r="AX1070" s="114"/>
      <c r="AY1070" s="114"/>
      <c r="AZ1070" s="114"/>
      <c r="BA1070" s="114"/>
      <c r="BB1070" s="114"/>
      <c r="BC1070" s="114"/>
      <c r="BD1070" s="114"/>
      <c r="BE1070" s="114"/>
    </row>
    <row r="1071">
      <c r="A1071" s="114"/>
      <c r="B1071" s="114"/>
      <c r="C1071" s="114"/>
      <c r="D1071" s="114"/>
      <c r="E1071" s="114"/>
      <c r="F1071" s="114"/>
      <c r="G1071" s="114"/>
      <c r="H1071" s="114"/>
      <c r="I1071" s="114"/>
      <c r="J1071" s="114"/>
      <c r="K1071" s="114"/>
      <c r="L1071" s="114"/>
      <c r="M1071" s="114"/>
      <c r="N1071" s="114"/>
      <c r="O1071" s="114"/>
      <c r="P1071" s="114"/>
      <c r="Q1071" s="114"/>
      <c r="R1071" s="114"/>
      <c r="S1071" s="114"/>
      <c r="T1071" s="114"/>
      <c r="U1071" s="114"/>
      <c r="V1071" s="114"/>
      <c r="W1071" s="114"/>
      <c r="X1071" s="115"/>
      <c r="Y1071" s="114"/>
      <c r="Z1071" s="117" t="s">
        <v>6724</v>
      </c>
      <c r="AA1071" s="117" t="s">
        <v>5284</v>
      </c>
      <c r="AB1071" s="114"/>
      <c r="AC1071" s="114"/>
      <c r="AD1071" s="114"/>
      <c r="AE1071" s="114"/>
      <c r="AF1071" s="114"/>
      <c r="AG1071" s="114"/>
      <c r="AH1071" s="114"/>
      <c r="AI1071" s="116"/>
      <c r="AJ1071" s="114"/>
      <c r="AK1071" s="114"/>
      <c r="AL1071" s="114"/>
      <c r="AM1071" s="114"/>
      <c r="AN1071" s="114"/>
      <c r="AO1071" s="114"/>
      <c r="AP1071" s="114"/>
      <c r="AQ1071" s="114"/>
      <c r="AR1071" s="114"/>
      <c r="AS1071" s="114"/>
      <c r="AT1071" s="114"/>
      <c r="AU1071" s="114"/>
      <c r="AV1071" s="114"/>
      <c r="AW1071" s="114"/>
      <c r="AX1071" s="114"/>
      <c r="AY1071" s="114"/>
      <c r="AZ1071" s="114"/>
      <c r="BA1071" s="114"/>
      <c r="BB1071" s="114"/>
      <c r="BC1071" s="114"/>
      <c r="BD1071" s="114"/>
      <c r="BE1071" s="114"/>
    </row>
    <row r="1072">
      <c r="A1072" s="114"/>
      <c r="B1072" s="114"/>
      <c r="C1072" s="114"/>
      <c r="D1072" s="114"/>
      <c r="E1072" s="114"/>
      <c r="F1072" s="114"/>
      <c r="G1072" s="114"/>
      <c r="H1072" s="114"/>
      <c r="I1072" s="114"/>
      <c r="J1072" s="114"/>
      <c r="K1072" s="114"/>
      <c r="L1072" s="114"/>
      <c r="M1072" s="114"/>
      <c r="N1072" s="114"/>
      <c r="O1072" s="114"/>
      <c r="P1072" s="114"/>
      <c r="Q1072" s="114"/>
      <c r="R1072" s="114"/>
      <c r="S1072" s="114"/>
      <c r="T1072" s="114"/>
      <c r="U1072" s="114"/>
      <c r="V1072" s="114"/>
      <c r="W1072" s="114"/>
      <c r="X1072" s="115"/>
      <c r="Y1072" s="114"/>
      <c r="Z1072" s="117" t="s">
        <v>6725</v>
      </c>
      <c r="AA1072" s="117" t="s">
        <v>5286</v>
      </c>
      <c r="AB1072" s="114"/>
      <c r="AC1072" s="114"/>
      <c r="AD1072" s="114"/>
      <c r="AE1072" s="114"/>
      <c r="AF1072" s="114"/>
      <c r="AG1072" s="114"/>
      <c r="AH1072" s="114"/>
      <c r="AI1072" s="116"/>
      <c r="AJ1072" s="114"/>
      <c r="AK1072" s="114"/>
      <c r="AL1072" s="114"/>
      <c r="AM1072" s="114"/>
      <c r="AN1072" s="114"/>
      <c r="AO1072" s="114"/>
      <c r="AP1072" s="114"/>
      <c r="AQ1072" s="114"/>
      <c r="AR1072" s="114"/>
      <c r="AS1072" s="114"/>
      <c r="AT1072" s="114"/>
      <c r="AU1072" s="114"/>
      <c r="AV1072" s="114"/>
      <c r="AW1072" s="114"/>
      <c r="AX1072" s="114"/>
      <c r="AY1072" s="114"/>
      <c r="AZ1072" s="114"/>
      <c r="BA1072" s="114"/>
      <c r="BB1072" s="114"/>
      <c r="BC1072" s="114"/>
      <c r="BD1072" s="114"/>
      <c r="BE1072" s="114"/>
    </row>
    <row r="1073">
      <c r="A1073" s="114"/>
      <c r="B1073" s="114"/>
      <c r="C1073" s="114"/>
      <c r="D1073" s="114"/>
      <c r="E1073" s="114"/>
      <c r="F1073" s="114"/>
      <c r="G1073" s="114"/>
      <c r="H1073" s="114"/>
      <c r="I1073" s="114"/>
      <c r="J1073" s="114"/>
      <c r="K1073" s="114"/>
      <c r="L1073" s="114"/>
      <c r="M1073" s="114"/>
      <c r="N1073" s="114"/>
      <c r="O1073" s="114"/>
      <c r="P1073" s="114"/>
      <c r="Q1073" s="114"/>
      <c r="R1073" s="114"/>
      <c r="S1073" s="114"/>
      <c r="T1073" s="114"/>
      <c r="U1073" s="114"/>
      <c r="V1073" s="114"/>
      <c r="W1073" s="114"/>
      <c r="X1073" s="115"/>
      <c r="Y1073" s="114"/>
      <c r="Z1073" s="117" t="s">
        <v>6726</v>
      </c>
      <c r="AA1073" s="117" t="s">
        <v>5287</v>
      </c>
      <c r="AB1073" s="114"/>
      <c r="AC1073" s="114"/>
      <c r="AD1073" s="114"/>
      <c r="AE1073" s="114"/>
      <c r="AF1073" s="114"/>
      <c r="AG1073" s="114"/>
      <c r="AH1073" s="114"/>
      <c r="AI1073" s="116"/>
      <c r="AJ1073" s="114"/>
      <c r="AK1073" s="114"/>
      <c r="AL1073" s="114"/>
      <c r="AM1073" s="114"/>
      <c r="AN1073" s="114"/>
      <c r="AO1073" s="114"/>
      <c r="AP1073" s="114"/>
      <c r="AQ1073" s="114"/>
      <c r="AR1073" s="114"/>
      <c r="AS1073" s="114"/>
      <c r="AT1073" s="114"/>
      <c r="AU1073" s="114"/>
      <c r="AV1073" s="114"/>
      <c r="AW1073" s="114"/>
      <c r="AX1073" s="114"/>
      <c r="AY1073" s="114"/>
      <c r="AZ1073" s="114"/>
      <c r="BA1073" s="114"/>
      <c r="BB1073" s="114"/>
      <c r="BC1073" s="114"/>
      <c r="BD1073" s="114"/>
      <c r="BE1073" s="114"/>
    </row>
    <row r="1074">
      <c r="A1074" s="114"/>
      <c r="B1074" s="114"/>
      <c r="C1074" s="114"/>
      <c r="D1074" s="114"/>
      <c r="E1074" s="114"/>
      <c r="F1074" s="114"/>
      <c r="G1074" s="114"/>
      <c r="H1074" s="114"/>
      <c r="I1074" s="114"/>
      <c r="J1074" s="114"/>
      <c r="K1074" s="114"/>
      <c r="L1074" s="114"/>
      <c r="M1074" s="114"/>
      <c r="N1074" s="114"/>
      <c r="O1074" s="114"/>
      <c r="P1074" s="114"/>
      <c r="Q1074" s="114"/>
      <c r="R1074" s="114"/>
      <c r="S1074" s="114"/>
      <c r="T1074" s="114"/>
      <c r="U1074" s="114"/>
      <c r="V1074" s="114"/>
      <c r="W1074" s="114"/>
      <c r="X1074" s="115"/>
      <c r="Y1074" s="114"/>
      <c r="Z1074" s="117" t="s">
        <v>6727</v>
      </c>
      <c r="AA1074" s="117" t="s">
        <v>5285</v>
      </c>
      <c r="AB1074" s="114"/>
      <c r="AC1074" s="114"/>
      <c r="AD1074" s="114"/>
      <c r="AE1074" s="114"/>
      <c r="AF1074" s="114"/>
      <c r="AG1074" s="114"/>
      <c r="AH1074" s="114"/>
      <c r="AI1074" s="116"/>
      <c r="AJ1074" s="114"/>
      <c r="AK1074" s="114"/>
      <c r="AL1074" s="114"/>
      <c r="AM1074" s="114"/>
      <c r="AN1074" s="114"/>
      <c r="AO1074" s="114"/>
      <c r="AP1074" s="114"/>
      <c r="AQ1074" s="114"/>
      <c r="AR1074" s="114"/>
      <c r="AS1074" s="114"/>
      <c r="AT1074" s="114"/>
      <c r="AU1074" s="114"/>
      <c r="AV1074" s="114"/>
      <c r="AW1074" s="114"/>
      <c r="AX1074" s="114"/>
      <c r="AY1074" s="114"/>
      <c r="AZ1074" s="114"/>
      <c r="BA1074" s="114"/>
      <c r="BB1074" s="114"/>
      <c r="BC1074" s="114"/>
      <c r="BD1074" s="114"/>
      <c r="BE1074" s="114"/>
    </row>
    <row r="1075">
      <c r="A1075" s="114"/>
      <c r="B1075" s="114"/>
      <c r="C1075" s="114"/>
      <c r="D1075" s="114"/>
      <c r="E1075" s="114"/>
      <c r="F1075" s="114"/>
      <c r="G1075" s="114"/>
      <c r="H1075" s="114"/>
      <c r="I1075" s="114"/>
      <c r="J1075" s="114"/>
      <c r="K1075" s="114"/>
      <c r="L1075" s="114"/>
      <c r="M1075" s="114"/>
      <c r="N1075" s="114"/>
      <c r="O1075" s="114"/>
      <c r="P1075" s="114"/>
      <c r="Q1075" s="114"/>
      <c r="R1075" s="114"/>
      <c r="S1075" s="114"/>
      <c r="T1075" s="114"/>
      <c r="U1075" s="114"/>
      <c r="V1075" s="114"/>
      <c r="W1075" s="114"/>
      <c r="X1075" s="115"/>
      <c r="Y1075" s="114"/>
      <c r="Z1075" s="117" t="s">
        <v>6728</v>
      </c>
      <c r="AA1075" s="117" t="s">
        <v>5295</v>
      </c>
      <c r="AB1075" s="114"/>
      <c r="AC1075" s="114"/>
      <c r="AD1075" s="114"/>
      <c r="AE1075" s="114"/>
      <c r="AF1075" s="114"/>
      <c r="AG1075" s="114"/>
      <c r="AH1075" s="114"/>
      <c r="AI1075" s="116"/>
      <c r="AJ1075" s="114"/>
      <c r="AK1075" s="114"/>
      <c r="AL1075" s="114"/>
      <c r="AM1075" s="114"/>
      <c r="AN1075" s="114"/>
      <c r="AO1075" s="114"/>
      <c r="AP1075" s="114"/>
      <c r="AQ1075" s="114"/>
      <c r="AR1075" s="114"/>
      <c r="AS1075" s="114"/>
      <c r="AT1075" s="114"/>
      <c r="AU1075" s="114"/>
      <c r="AV1075" s="114"/>
      <c r="AW1075" s="114"/>
      <c r="AX1075" s="114"/>
      <c r="AY1075" s="114"/>
      <c r="AZ1075" s="114"/>
      <c r="BA1075" s="114"/>
      <c r="BB1075" s="114"/>
      <c r="BC1075" s="114"/>
      <c r="BD1075" s="114"/>
      <c r="BE1075" s="114"/>
    </row>
    <row r="1076">
      <c r="A1076" s="114"/>
      <c r="B1076" s="114"/>
      <c r="C1076" s="114"/>
      <c r="D1076" s="114"/>
      <c r="E1076" s="114"/>
      <c r="F1076" s="114"/>
      <c r="G1076" s="114"/>
      <c r="H1076" s="114"/>
      <c r="I1076" s="114"/>
      <c r="J1076" s="114"/>
      <c r="K1076" s="114"/>
      <c r="L1076" s="114"/>
      <c r="M1076" s="114"/>
      <c r="N1076" s="114"/>
      <c r="O1076" s="114"/>
      <c r="P1076" s="114"/>
      <c r="Q1076" s="114"/>
      <c r="R1076" s="114"/>
      <c r="S1076" s="114"/>
      <c r="T1076" s="114"/>
      <c r="U1076" s="114"/>
      <c r="V1076" s="114"/>
      <c r="W1076" s="114"/>
      <c r="X1076" s="115"/>
      <c r="Y1076" s="114"/>
      <c r="Z1076" s="117" t="s">
        <v>6729</v>
      </c>
      <c r="AA1076" s="117" t="s">
        <v>5297</v>
      </c>
      <c r="AB1076" s="114"/>
      <c r="AC1076" s="114"/>
      <c r="AD1076" s="114"/>
      <c r="AE1076" s="114"/>
      <c r="AF1076" s="114"/>
      <c r="AG1076" s="114"/>
      <c r="AH1076" s="114"/>
      <c r="AI1076" s="116"/>
      <c r="AJ1076" s="114"/>
      <c r="AK1076" s="114"/>
      <c r="AL1076" s="114"/>
      <c r="AM1076" s="114"/>
      <c r="AN1076" s="114"/>
      <c r="AO1076" s="114"/>
      <c r="AP1076" s="114"/>
      <c r="AQ1076" s="114"/>
      <c r="AR1076" s="114"/>
      <c r="AS1076" s="114"/>
      <c r="AT1076" s="114"/>
      <c r="AU1076" s="114"/>
      <c r="AV1076" s="114"/>
      <c r="AW1076" s="114"/>
      <c r="AX1076" s="114"/>
      <c r="AY1076" s="114"/>
      <c r="AZ1076" s="114"/>
      <c r="BA1076" s="114"/>
      <c r="BB1076" s="114"/>
      <c r="BC1076" s="114"/>
      <c r="BD1076" s="114"/>
      <c r="BE1076" s="114"/>
    </row>
    <row r="1077">
      <c r="A1077" s="114"/>
      <c r="B1077" s="114"/>
      <c r="C1077" s="114"/>
      <c r="D1077" s="114"/>
      <c r="E1077" s="114"/>
      <c r="F1077" s="114"/>
      <c r="G1077" s="114"/>
      <c r="H1077" s="114"/>
      <c r="I1077" s="114"/>
      <c r="J1077" s="114"/>
      <c r="K1077" s="114"/>
      <c r="L1077" s="114"/>
      <c r="M1077" s="114"/>
      <c r="N1077" s="114"/>
      <c r="O1077" s="114"/>
      <c r="P1077" s="114"/>
      <c r="Q1077" s="114"/>
      <c r="R1077" s="114"/>
      <c r="S1077" s="114"/>
      <c r="T1077" s="114"/>
      <c r="U1077" s="114"/>
      <c r="V1077" s="114"/>
      <c r="W1077" s="114"/>
      <c r="X1077" s="115"/>
      <c r="Y1077" s="114"/>
      <c r="Z1077" s="117" t="s">
        <v>6730</v>
      </c>
      <c r="AA1077" s="117" t="s">
        <v>5298</v>
      </c>
      <c r="AB1077" s="114"/>
      <c r="AC1077" s="114"/>
      <c r="AD1077" s="114"/>
      <c r="AE1077" s="114"/>
      <c r="AF1077" s="114"/>
      <c r="AG1077" s="114"/>
      <c r="AH1077" s="114"/>
      <c r="AI1077" s="116"/>
      <c r="AJ1077" s="114"/>
      <c r="AK1077" s="114"/>
      <c r="AL1077" s="114"/>
      <c r="AM1077" s="114"/>
      <c r="AN1077" s="114"/>
      <c r="AO1077" s="114"/>
      <c r="AP1077" s="114"/>
      <c r="AQ1077" s="114"/>
      <c r="AR1077" s="114"/>
      <c r="AS1077" s="114"/>
      <c r="AT1077" s="114"/>
      <c r="AU1077" s="114"/>
      <c r="AV1077" s="114"/>
      <c r="AW1077" s="114"/>
      <c r="AX1077" s="114"/>
      <c r="AY1077" s="114"/>
      <c r="AZ1077" s="114"/>
      <c r="BA1077" s="114"/>
      <c r="BB1077" s="114"/>
      <c r="BC1077" s="114"/>
      <c r="BD1077" s="114"/>
      <c r="BE1077" s="114"/>
    </row>
    <row r="1078">
      <c r="A1078" s="114"/>
      <c r="B1078" s="114"/>
      <c r="C1078" s="114"/>
      <c r="D1078" s="114"/>
      <c r="E1078" s="114"/>
      <c r="F1078" s="114"/>
      <c r="G1078" s="114"/>
      <c r="H1078" s="114"/>
      <c r="I1078" s="114"/>
      <c r="J1078" s="114"/>
      <c r="K1078" s="114"/>
      <c r="L1078" s="114"/>
      <c r="M1078" s="114"/>
      <c r="N1078" s="114"/>
      <c r="O1078" s="114"/>
      <c r="P1078" s="114"/>
      <c r="Q1078" s="114"/>
      <c r="R1078" s="114"/>
      <c r="S1078" s="114"/>
      <c r="T1078" s="114"/>
      <c r="U1078" s="114"/>
      <c r="V1078" s="114"/>
      <c r="W1078" s="114"/>
      <c r="X1078" s="115"/>
      <c r="Y1078" s="114"/>
      <c r="Z1078" s="117" t="s">
        <v>6731</v>
      </c>
      <c r="AA1078" s="117" t="s">
        <v>5296</v>
      </c>
      <c r="AB1078" s="114"/>
      <c r="AC1078" s="114"/>
      <c r="AD1078" s="114"/>
      <c r="AE1078" s="114"/>
      <c r="AF1078" s="114"/>
      <c r="AG1078" s="114"/>
      <c r="AH1078" s="114"/>
      <c r="AI1078" s="116"/>
      <c r="AJ1078" s="114"/>
      <c r="AK1078" s="114"/>
      <c r="AL1078" s="114"/>
      <c r="AM1078" s="114"/>
      <c r="AN1078" s="114"/>
      <c r="AO1078" s="114"/>
      <c r="AP1078" s="114"/>
      <c r="AQ1078" s="114"/>
      <c r="AR1078" s="114"/>
      <c r="AS1078" s="114"/>
      <c r="AT1078" s="114"/>
      <c r="AU1078" s="114"/>
      <c r="AV1078" s="114"/>
      <c r="AW1078" s="114"/>
      <c r="AX1078" s="114"/>
      <c r="AY1078" s="114"/>
      <c r="AZ1078" s="114"/>
      <c r="BA1078" s="114"/>
      <c r="BB1078" s="114"/>
      <c r="BC1078" s="114"/>
      <c r="BD1078" s="114"/>
      <c r="BE1078" s="114"/>
    </row>
    <row r="1079">
      <c r="A1079" s="114"/>
      <c r="B1079" s="114"/>
      <c r="C1079" s="114"/>
      <c r="D1079" s="114"/>
      <c r="E1079" s="114"/>
      <c r="F1079" s="114"/>
      <c r="G1079" s="114"/>
      <c r="H1079" s="114"/>
      <c r="I1079" s="114"/>
      <c r="J1079" s="114"/>
      <c r="K1079" s="114"/>
      <c r="L1079" s="114"/>
      <c r="M1079" s="114"/>
      <c r="N1079" s="114"/>
      <c r="O1079" s="114"/>
      <c r="P1079" s="114"/>
      <c r="Q1079" s="114"/>
      <c r="R1079" s="114"/>
      <c r="S1079" s="114"/>
      <c r="T1079" s="114"/>
      <c r="U1079" s="114"/>
      <c r="V1079" s="114"/>
      <c r="W1079" s="114"/>
      <c r="X1079" s="115"/>
      <c r="Y1079" s="114"/>
      <c r="Z1079" s="117" t="s">
        <v>6732</v>
      </c>
      <c r="AA1079" s="117" t="s">
        <v>5306</v>
      </c>
      <c r="AB1079" s="114"/>
      <c r="AC1079" s="114"/>
      <c r="AD1079" s="114"/>
      <c r="AE1079" s="114"/>
      <c r="AF1079" s="114"/>
      <c r="AG1079" s="114"/>
      <c r="AH1079" s="114"/>
      <c r="AI1079" s="116"/>
      <c r="AJ1079" s="114"/>
      <c r="AK1079" s="114"/>
      <c r="AL1079" s="114"/>
      <c r="AM1079" s="114"/>
      <c r="AN1079" s="114"/>
      <c r="AO1079" s="114"/>
      <c r="AP1079" s="114"/>
      <c r="AQ1079" s="114"/>
      <c r="AR1079" s="114"/>
      <c r="AS1079" s="114"/>
      <c r="AT1079" s="114"/>
      <c r="AU1079" s="114"/>
      <c r="AV1079" s="114"/>
      <c r="AW1079" s="114"/>
      <c r="AX1079" s="114"/>
      <c r="AY1079" s="114"/>
      <c r="AZ1079" s="114"/>
      <c r="BA1079" s="114"/>
      <c r="BB1079" s="114"/>
      <c r="BC1079" s="114"/>
      <c r="BD1079" s="114"/>
      <c r="BE1079" s="114"/>
    </row>
    <row r="1080">
      <c r="A1080" s="114"/>
      <c r="B1080" s="114"/>
      <c r="C1080" s="114"/>
      <c r="D1080" s="114"/>
      <c r="E1080" s="114"/>
      <c r="F1080" s="114"/>
      <c r="G1080" s="114"/>
      <c r="H1080" s="114"/>
      <c r="I1080" s="114"/>
      <c r="J1080" s="114"/>
      <c r="K1080" s="114"/>
      <c r="L1080" s="114"/>
      <c r="M1080" s="114"/>
      <c r="N1080" s="114"/>
      <c r="O1080" s="114"/>
      <c r="P1080" s="114"/>
      <c r="Q1080" s="114"/>
      <c r="R1080" s="114"/>
      <c r="S1080" s="114"/>
      <c r="T1080" s="114"/>
      <c r="U1080" s="114"/>
      <c r="V1080" s="114"/>
      <c r="W1080" s="114"/>
      <c r="X1080" s="115"/>
      <c r="Y1080" s="114"/>
      <c r="Z1080" s="117" t="s">
        <v>6733</v>
      </c>
      <c r="AA1080" s="117" t="s">
        <v>5308</v>
      </c>
      <c r="AB1080" s="114"/>
      <c r="AC1080" s="114"/>
      <c r="AD1080" s="114"/>
      <c r="AE1080" s="114"/>
      <c r="AF1080" s="114"/>
      <c r="AG1080" s="114"/>
      <c r="AH1080" s="114"/>
      <c r="AI1080" s="116"/>
      <c r="AJ1080" s="114"/>
      <c r="AK1080" s="114"/>
      <c r="AL1080" s="114"/>
      <c r="AM1080" s="114"/>
      <c r="AN1080" s="114"/>
      <c r="AO1080" s="114"/>
      <c r="AP1080" s="114"/>
      <c r="AQ1080" s="114"/>
      <c r="AR1080" s="114"/>
      <c r="AS1080" s="114"/>
      <c r="AT1080" s="114"/>
      <c r="AU1080" s="114"/>
      <c r="AV1080" s="114"/>
      <c r="AW1080" s="114"/>
      <c r="AX1080" s="114"/>
      <c r="AY1080" s="114"/>
      <c r="AZ1080" s="114"/>
      <c r="BA1080" s="114"/>
      <c r="BB1080" s="114"/>
      <c r="BC1080" s="114"/>
      <c r="BD1080" s="114"/>
      <c r="BE1080" s="114"/>
    </row>
    <row r="1081">
      <c r="A1081" s="114"/>
      <c r="B1081" s="114"/>
      <c r="C1081" s="114"/>
      <c r="D1081" s="114"/>
      <c r="E1081" s="114"/>
      <c r="F1081" s="114"/>
      <c r="G1081" s="114"/>
      <c r="H1081" s="114"/>
      <c r="I1081" s="114"/>
      <c r="J1081" s="114"/>
      <c r="K1081" s="114"/>
      <c r="L1081" s="114"/>
      <c r="M1081" s="114"/>
      <c r="N1081" s="114"/>
      <c r="O1081" s="114"/>
      <c r="P1081" s="114"/>
      <c r="Q1081" s="114"/>
      <c r="R1081" s="114"/>
      <c r="S1081" s="114"/>
      <c r="T1081" s="114"/>
      <c r="U1081" s="114"/>
      <c r="V1081" s="114"/>
      <c r="W1081" s="114"/>
      <c r="X1081" s="115"/>
      <c r="Y1081" s="114"/>
      <c r="Z1081" s="117" t="s">
        <v>6734</v>
      </c>
      <c r="AA1081" s="117" t="s">
        <v>5309</v>
      </c>
      <c r="AB1081" s="114"/>
      <c r="AC1081" s="114"/>
      <c r="AD1081" s="114"/>
      <c r="AE1081" s="114"/>
      <c r="AF1081" s="114"/>
      <c r="AG1081" s="114"/>
      <c r="AH1081" s="114"/>
      <c r="AI1081" s="116"/>
      <c r="AJ1081" s="114"/>
      <c r="AK1081" s="114"/>
      <c r="AL1081" s="114"/>
      <c r="AM1081" s="114"/>
      <c r="AN1081" s="114"/>
      <c r="AO1081" s="114"/>
      <c r="AP1081" s="114"/>
      <c r="AQ1081" s="114"/>
      <c r="AR1081" s="114"/>
      <c r="AS1081" s="114"/>
      <c r="AT1081" s="114"/>
      <c r="AU1081" s="114"/>
      <c r="AV1081" s="114"/>
      <c r="AW1081" s="114"/>
      <c r="AX1081" s="114"/>
      <c r="AY1081" s="114"/>
      <c r="AZ1081" s="114"/>
      <c r="BA1081" s="114"/>
      <c r="BB1081" s="114"/>
      <c r="BC1081" s="114"/>
      <c r="BD1081" s="114"/>
      <c r="BE1081" s="114"/>
    </row>
    <row r="1082">
      <c r="A1082" s="114"/>
      <c r="B1082" s="114"/>
      <c r="C1082" s="114"/>
      <c r="D1082" s="114"/>
      <c r="E1082" s="114"/>
      <c r="F1082" s="114"/>
      <c r="G1082" s="114"/>
      <c r="H1082" s="114"/>
      <c r="I1082" s="114"/>
      <c r="J1082" s="114"/>
      <c r="K1082" s="114"/>
      <c r="L1082" s="114"/>
      <c r="M1082" s="114"/>
      <c r="N1082" s="114"/>
      <c r="O1082" s="114"/>
      <c r="P1082" s="114"/>
      <c r="Q1082" s="114"/>
      <c r="R1082" s="114"/>
      <c r="S1082" s="114"/>
      <c r="T1082" s="114"/>
      <c r="U1082" s="114"/>
      <c r="V1082" s="114"/>
      <c r="W1082" s="114"/>
      <c r="X1082" s="115"/>
      <c r="Y1082" s="114"/>
      <c r="Z1082" s="117" t="s">
        <v>6735</v>
      </c>
      <c r="AA1082" s="117" t="s">
        <v>5307</v>
      </c>
      <c r="AB1082" s="114"/>
      <c r="AC1082" s="114"/>
      <c r="AD1082" s="114"/>
      <c r="AE1082" s="114"/>
      <c r="AF1082" s="114"/>
      <c r="AG1082" s="114"/>
      <c r="AH1082" s="114"/>
      <c r="AI1082" s="116"/>
      <c r="AJ1082" s="114"/>
      <c r="AK1082" s="114"/>
      <c r="AL1082" s="114"/>
      <c r="AM1082" s="114"/>
      <c r="AN1082" s="114"/>
      <c r="AO1082" s="114"/>
      <c r="AP1082" s="114"/>
      <c r="AQ1082" s="114"/>
      <c r="AR1082" s="114"/>
      <c r="AS1082" s="114"/>
      <c r="AT1082" s="114"/>
      <c r="AU1082" s="114"/>
      <c r="AV1082" s="114"/>
      <c r="AW1082" s="114"/>
      <c r="AX1082" s="114"/>
      <c r="AY1082" s="114"/>
      <c r="AZ1082" s="114"/>
      <c r="BA1082" s="114"/>
      <c r="BB1082" s="114"/>
      <c r="BC1082" s="114"/>
      <c r="BD1082" s="114"/>
      <c r="BE1082" s="114"/>
    </row>
    <row r="1083">
      <c r="A1083" s="114"/>
      <c r="B1083" s="114"/>
      <c r="C1083" s="114"/>
      <c r="D1083" s="114"/>
      <c r="E1083" s="114"/>
      <c r="F1083" s="114"/>
      <c r="G1083" s="114"/>
      <c r="H1083" s="114"/>
      <c r="I1083" s="114"/>
      <c r="J1083" s="114"/>
      <c r="K1083" s="114"/>
      <c r="L1083" s="114"/>
      <c r="M1083" s="114"/>
      <c r="N1083" s="114"/>
      <c r="O1083" s="114"/>
      <c r="P1083" s="114"/>
      <c r="Q1083" s="114"/>
      <c r="R1083" s="114"/>
      <c r="S1083" s="114"/>
      <c r="T1083" s="114"/>
      <c r="U1083" s="114"/>
      <c r="V1083" s="114"/>
      <c r="W1083" s="114"/>
      <c r="X1083" s="115"/>
      <c r="Y1083" s="114"/>
      <c r="Z1083" s="117" t="s">
        <v>6736</v>
      </c>
      <c r="AA1083" s="117" t="s">
        <v>5317</v>
      </c>
      <c r="AB1083" s="114"/>
      <c r="AC1083" s="114"/>
      <c r="AD1083" s="114"/>
      <c r="AE1083" s="114"/>
      <c r="AF1083" s="114"/>
      <c r="AG1083" s="114"/>
      <c r="AH1083" s="114"/>
      <c r="AI1083" s="116"/>
      <c r="AJ1083" s="114"/>
      <c r="AK1083" s="114"/>
      <c r="AL1083" s="114"/>
      <c r="AM1083" s="114"/>
      <c r="AN1083" s="114"/>
      <c r="AO1083" s="114"/>
      <c r="AP1083" s="114"/>
      <c r="AQ1083" s="114"/>
      <c r="AR1083" s="114"/>
      <c r="AS1083" s="114"/>
      <c r="AT1083" s="114"/>
      <c r="AU1083" s="114"/>
      <c r="AV1083" s="114"/>
      <c r="AW1083" s="114"/>
      <c r="AX1083" s="114"/>
      <c r="AY1083" s="114"/>
      <c r="AZ1083" s="114"/>
      <c r="BA1083" s="114"/>
      <c r="BB1083" s="114"/>
      <c r="BC1083" s="114"/>
      <c r="BD1083" s="114"/>
      <c r="BE1083" s="114"/>
    </row>
    <row r="1084">
      <c r="A1084" s="114"/>
      <c r="B1084" s="114"/>
      <c r="C1084" s="114"/>
      <c r="D1084" s="114"/>
      <c r="E1084" s="114"/>
      <c r="F1084" s="114"/>
      <c r="G1084" s="114"/>
      <c r="H1084" s="114"/>
      <c r="I1084" s="114"/>
      <c r="J1084" s="114"/>
      <c r="K1084" s="114"/>
      <c r="L1084" s="114"/>
      <c r="M1084" s="114"/>
      <c r="N1084" s="114"/>
      <c r="O1084" s="114"/>
      <c r="P1084" s="114"/>
      <c r="Q1084" s="114"/>
      <c r="R1084" s="114"/>
      <c r="S1084" s="114"/>
      <c r="T1084" s="114"/>
      <c r="U1084" s="114"/>
      <c r="V1084" s="114"/>
      <c r="W1084" s="114"/>
      <c r="X1084" s="115"/>
      <c r="Y1084" s="114"/>
      <c r="Z1084" s="117" t="s">
        <v>6737</v>
      </c>
      <c r="AA1084" s="117" t="s">
        <v>5319</v>
      </c>
      <c r="AB1084" s="114"/>
      <c r="AC1084" s="114"/>
      <c r="AD1084" s="114"/>
      <c r="AE1084" s="114"/>
      <c r="AF1084" s="114"/>
      <c r="AG1084" s="114"/>
      <c r="AH1084" s="114"/>
      <c r="AI1084" s="116"/>
      <c r="AJ1084" s="114"/>
      <c r="AK1084" s="114"/>
      <c r="AL1084" s="114"/>
      <c r="AM1084" s="114"/>
      <c r="AN1084" s="114"/>
      <c r="AO1084" s="114"/>
      <c r="AP1084" s="114"/>
      <c r="AQ1084" s="114"/>
      <c r="AR1084" s="114"/>
      <c r="AS1084" s="114"/>
      <c r="AT1084" s="114"/>
      <c r="AU1084" s="114"/>
      <c r="AV1084" s="114"/>
      <c r="AW1084" s="114"/>
      <c r="AX1084" s="114"/>
      <c r="AY1084" s="114"/>
      <c r="AZ1084" s="114"/>
      <c r="BA1084" s="114"/>
      <c r="BB1084" s="114"/>
      <c r="BC1084" s="114"/>
      <c r="BD1084" s="114"/>
      <c r="BE1084" s="114"/>
    </row>
    <row r="1085">
      <c r="A1085" s="114"/>
      <c r="B1085" s="114"/>
      <c r="C1085" s="114"/>
      <c r="D1085" s="114"/>
      <c r="E1085" s="114"/>
      <c r="F1085" s="114"/>
      <c r="G1085" s="114"/>
      <c r="H1085" s="114"/>
      <c r="I1085" s="114"/>
      <c r="J1085" s="114"/>
      <c r="K1085" s="114"/>
      <c r="L1085" s="114"/>
      <c r="M1085" s="114"/>
      <c r="N1085" s="114"/>
      <c r="O1085" s="114"/>
      <c r="P1085" s="114"/>
      <c r="Q1085" s="114"/>
      <c r="R1085" s="114"/>
      <c r="S1085" s="114"/>
      <c r="T1085" s="114"/>
      <c r="U1085" s="114"/>
      <c r="V1085" s="114"/>
      <c r="W1085" s="114"/>
      <c r="X1085" s="115"/>
      <c r="Y1085" s="114"/>
      <c r="Z1085" s="117" t="s">
        <v>6738</v>
      </c>
      <c r="AA1085" s="117" t="s">
        <v>5320</v>
      </c>
      <c r="AB1085" s="114"/>
      <c r="AC1085" s="114"/>
      <c r="AD1085" s="114"/>
      <c r="AE1085" s="114"/>
      <c r="AF1085" s="114"/>
      <c r="AG1085" s="114"/>
      <c r="AH1085" s="114"/>
      <c r="AI1085" s="116"/>
      <c r="AJ1085" s="114"/>
      <c r="AK1085" s="114"/>
      <c r="AL1085" s="114"/>
      <c r="AM1085" s="114"/>
      <c r="AN1085" s="114"/>
      <c r="AO1085" s="114"/>
      <c r="AP1085" s="114"/>
      <c r="AQ1085" s="114"/>
      <c r="AR1085" s="114"/>
      <c r="AS1085" s="114"/>
      <c r="AT1085" s="114"/>
      <c r="AU1085" s="114"/>
      <c r="AV1085" s="114"/>
      <c r="AW1085" s="114"/>
      <c r="AX1085" s="114"/>
      <c r="AY1085" s="114"/>
      <c r="AZ1085" s="114"/>
      <c r="BA1085" s="114"/>
      <c r="BB1085" s="114"/>
      <c r="BC1085" s="114"/>
      <c r="BD1085" s="114"/>
      <c r="BE1085" s="114"/>
    </row>
    <row r="1086">
      <c r="A1086" s="114"/>
      <c r="B1086" s="114"/>
      <c r="C1086" s="114"/>
      <c r="D1086" s="114"/>
      <c r="E1086" s="114"/>
      <c r="F1086" s="114"/>
      <c r="G1086" s="114"/>
      <c r="H1086" s="114"/>
      <c r="I1086" s="114"/>
      <c r="J1086" s="114"/>
      <c r="K1086" s="114"/>
      <c r="L1086" s="114"/>
      <c r="M1086" s="114"/>
      <c r="N1086" s="114"/>
      <c r="O1086" s="114"/>
      <c r="P1086" s="114"/>
      <c r="Q1086" s="114"/>
      <c r="R1086" s="114"/>
      <c r="S1086" s="114"/>
      <c r="T1086" s="114"/>
      <c r="U1086" s="114"/>
      <c r="V1086" s="114"/>
      <c r="W1086" s="114"/>
      <c r="X1086" s="115"/>
      <c r="Y1086" s="114"/>
      <c r="Z1086" s="117" t="s">
        <v>6739</v>
      </c>
      <c r="AA1086" s="117" t="s">
        <v>5318</v>
      </c>
      <c r="AB1086" s="114"/>
      <c r="AC1086" s="114"/>
      <c r="AD1086" s="114"/>
      <c r="AE1086" s="114"/>
      <c r="AF1086" s="114"/>
      <c r="AG1086" s="114"/>
      <c r="AH1086" s="114"/>
      <c r="AI1086" s="116"/>
      <c r="AJ1086" s="114"/>
      <c r="AK1086" s="114"/>
      <c r="AL1086" s="114"/>
      <c r="AM1086" s="114"/>
      <c r="AN1086" s="114"/>
      <c r="AO1086" s="114"/>
      <c r="AP1086" s="114"/>
      <c r="AQ1086" s="114"/>
      <c r="AR1086" s="114"/>
      <c r="AS1086" s="114"/>
      <c r="AT1086" s="114"/>
      <c r="AU1086" s="114"/>
      <c r="AV1086" s="114"/>
      <c r="AW1086" s="114"/>
      <c r="AX1086" s="114"/>
      <c r="AY1086" s="114"/>
      <c r="AZ1086" s="114"/>
      <c r="BA1086" s="114"/>
      <c r="BB1086" s="114"/>
      <c r="BC1086" s="114"/>
      <c r="BD1086" s="114"/>
      <c r="BE1086" s="114"/>
    </row>
    <row r="1087">
      <c r="A1087" s="114"/>
      <c r="B1087" s="114"/>
      <c r="C1087" s="114"/>
      <c r="D1087" s="114"/>
      <c r="E1087" s="114"/>
      <c r="F1087" s="114"/>
      <c r="G1087" s="114"/>
      <c r="H1087" s="114"/>
      <c r="I1087" s="114"/>
      <c r="J1087" s="114"/>
      <c r="K1087" s="114"/>
      <c r="L1087" s="114"/>
      <c r="M1087" s="114"/>
      <c r="N1087" s="114"/>
      <c r="O1087" s="114"/>
      <c r="P1087" s="114"/>
      <c r="Q1087" s="114"/>
      <c r="R1087" s="114"/>
      <c r="S1087" s="114"/>
      <c r="T1087" s="114"/>
      <c r="U1087" s="114"/>
      <c r="V1087" s="114"/>
      <c r="W1087" s="114"/>
      <c r="X1087" s="115"/>
      <c r="Y1087" s="114"/>
      <c r="Z1087" s="117" t="s">
        <v>6740</v>
      </c>
      <c r="AA1087" s="117" t="s">
        <v>5328</v>
      </c>
      <c r="AB1087" s="114"/>
      <c r="AC1087" s="114"/>
      <c r="AD1087" s="114"/>
      <c r="AE1087" s="114"/>
      <c r="AF1087" s="114"/>
      <c r="AG1087" s="114"/>
      <c r="AH1087" s="114"/>
      <c r="AI1087" s="116"/>
      <c r="AJ1087" s="114"/>
      <c r="AK1087" s="114"/>
      <c r="AL1087" s="114"/>
      <c r="AM1087" s="114"/>
      <c r="AN1087" s="114"/>
      <c r="AO1087" s="114"/>
      <c r="AP1087" s="114"/>
      <c r="AQ1087" s="114"/>
      <c r="AR1087" s="114"/>
      <c r="AS1087" s="114"/>
      <c r="AT1087" s="114"/>
      <c r="AU1087" s="114"/>
      <c r="AV1087" s="114"/>
      <c r="AW1087" s="114"/>
      <c r="AX1087" s="114"/>
      <c r="AY1087" s="114"/>
      <c r="AZ1087" s="114"/>
      <c r="BA1087" s="114"/>
      <c r="BB1087" s="114"/>
      <c r="BC1087" s="114"/>
      <c r="BD1087" s="114"/>
      <c r="BE1087" s="114"/>
    </row>
    <row r="1088">
      <c r="A1088" s="114"/>
      <c r="B1088" s="114"/>
      <c r="C1088" s="114"/>
      <c r="D1088" s="114"/>
      <c r="E1088" s="114"/>
      <c r="F1088" s="114"/>
      <c r="G1088" s="114"/>
      <c r="H1088" s="114"/>
      <c r="I1088" s="114"/>
      <c r="J1088" s="114"/>
      <c r="K1088" s="114"/>
      <c r="L1088" s="114"/>
      <c r="M1088" s="114"/>
      <c r="N1088" s="114"/>
      <c r="O1088" s="114"/>
      <c r="P1088" s="114"/>
      <c r="Q1088" s="114"/>
      <c r="R1088" s="114"/>
      <c r="S1088" s="114"/>
      <c r="T1088" s="114"/>
      <c r="U1088" s="114"/>
      <c r="V1088" s="114"/>
      <c r="W1088" s="114"/>
      <c r="X1088" s="115"/>
      <c r="Y1088" s="114"/>
      <c r="Z1088" s="117" t="s">
        <v>6741</v>
      </c>
      <c r="AA1088" s="117" t="s">
        <v>5330</v>
      </c>
      <c r="AB1088" s="114"/>
      <c r="AC1088" s="114"/>
      <c r="AD1088" s="114"/>
      <c r="AE1088" s="114"/>
      <c r="AF1088" s="114"/>
      <c r="AG1088" s="114"/>
      <c r="AH1088" s="114"/>
      <c r="AI1088" s="116"/>
      <c r="AJ1088" s="114"/>
      <c r="AK1088" s="114"/>
      <c r="AL1088" s="114"/>
      <c r="AM1088" s="114"/>
      <c r="AN1088" s="114"/>
      <c r="AO1088" s="114"/>
      <c r="AP1088" s="114"/>
      <c r="AQ1088" s="114"/>
      <c r="AR1088" s="114"/>
      <c r="AS1088" s="114"/>
      <c r="AT1088" s="114"/>
      <c r="AU1088" s="114"/>
      <c r="AV1088" s="114"/>
      <c r="AW1088" s="114"/>
      <c r="AX1088" s="114"/>
      <c r="AY1088" s="114"/>
      <c r="AZ1088" s="114"/>
      <c r="BA1088" s="114"/>
      <c r="BB1088" s="114"/>
      <c r="BC1088" s="114"/>
      <c r="BD1088" s="114"/>
      <c r="BE1088" s="114"/>
    </row>
    <row r="1089">
      <c r="A1089" s="114"/>
      <c r="B1089" s="114"/>
      <c r="C1089" s="114"/>
      <c r="D1089" s="114"/>
      <c r="E1089" s="114"/>
      <c r="F1089" s="114"/>
      <c r="G1089" s="114"/>
      <c r="H1089" s="114"/>
      <c r="I1089" s="114"/>
      <c r="J1089" s="114"/>
      <c r="K1089" s="114"/>
      <c r="L1089" s="114"/>
      <c r="M1089" s="114"/>
      <c r="N1089" s="114"/>
      <c r="O1089" s="114"/>
      <c r="P1089" s="114"/>
      <c r="Q1089" s="114"/>
      <c r="R1089" s="114"/>
      <c r="S1089" s="114"/>
      <c r="T1089" s="114"/>
      <c r="U1089" s="114"/>
      <c r="V1089" s="114"/>
      <c r="W1089" s="114"/>
      <c r="X1089" s="115"/>
      <c r="Y1089" s="114"/>
      <c r="Z1089" s="117" t="s">
        <v>6742</v>
      </c>
      <c r="AA1089" s="117" t="s">
        <v>5331</v>
      </c>
      <c r="AB1089" s="114"/>
      <c r="AC1089" s="114"/>
      <c r="AD1089" s="114"/>
      <c r="AE1089" s="114"/>
      <c r="AF1089" s="114"/>
      <c r="AG1089" s="114"/>
      <c r="AH1089" s="114"/>
      <c r="AI1089" s="116"/>
      <c r="AJ1089" s="114"/>
      <c r="AK1089" s="114"/>
      <c r="AL1089" s="114"/>
      <c r="AM1089" s="114"/>
      <c r="AN1089" s="114"/>
      <c r="AO1089" s="114"/>
      <c r="AP1089" s="114"/>
      <c r="AQ1089" s="114"/>
      <c r="AR1089" s="114"/>
      <c r="AS1089" s="114"/>
      <c r="AT1089" s="114"/>
      <c r="AU1089" s="114"/>
      <c r="AV1089" s="114"/>
      <c r="AW1089" s="114"/>
      <c r="AX1089" s="114"/>
      <c r="AY1089" s="114"/>
      <c r="AZ1089" s="114"/>
      <c r="BA1089" s="114"/>
      <c r="BB1089" s="114"/>
      <c r="BC1089" s="114"/>
      <c r="BD1089" s="114"/>
      <c r="BE1089" s="114"/>
    </row>
    <row r="1090">
      <c r="A1090" s="114"/>
      <c r="B1090" s="114"/>
      <c r="C1090" s="114"/>
      <c r="D1090" s="114"/>
      <c r="E1090" s="114"/>
      <c r="F1090" s="114"/>
      <c r="G1090" s="114"/>
      <c r="H1090" s="114"/>
      <c r="I1090" s="114"/>
      <c r="J1090" s="114"/>
      <c r="K1090" s="114"/>
      <c r="L1090" s="114"/>
      <c r="M1090" s="114"/>
      <c r="N1090" s="114"/>
      <c r="O1090" s="114"/>
      <c r="P1090" s="114"/>
      <c r="Q1090" s="114"/>
      <c r="R1090" s="114"/>
      <c r="S1090" s="114"/>
      <c r="T1090" s="114"/>
      <c r="U1090" s="114"/>
      <c r="V1090" s="114"/>
      <c r="W1090" s="114"/>
      <c r="X1090" s="115"/>
      <c r="Y1090" s="114"/>
      <c r="Z1090" s="117" t="s">
        <v>6743</v>
      </c>
      <c r="AA1090" s="117" t="s">
        <v>5329</v>
      </c>
      <c r="AB1090" s="114"/>
      <c r="AC1090" s="114"/>
      <c r="AD1090" s="114"/>
      <c r="AE1090" s="114"/>
      <c r="AF1090" s="114"/>
      <c r="AG1090" s="114"/>
      <c r="AH1090" s="114"/>
      <c r="AI1090" s="116"/>
      <c r="AJ1090" s="114"/>
      <c r="AK1090" s="114"/>
      <c r="AL1090" s="114"/>
      <c r="AM1090" s="114"/>
      <c r="AN1090" s="114"/>
      <c r="AO1090" s="114"/>
      <c r="AP1090" s="114"/>
      <c r="AQ1090" s="114"/>
      <c r="AR1090" s="114"/>
      <c r="AS1090" s="114"/>
      <c r="AT1090" s="114"/>
      <c r="AU1090" s="114"/>
      <c r="AV1090" s="114"/>
      <c r="AW1090" s="114"/>
      <c r="AX1090" s="114"/>
      <c r="AY1090" s="114"/>
      <c r="AZ1090" s="114"/>
      <c r="BA1090" s="114"/>
      <c r="BB1090" s="114"/>
      <c r="BC1090" s="114"/>
      <c r="BD1090" s="114"/>
      <c r="BE1090" s="114"/>
    </row>
    <row r="1091">
      <c r="A1091" s="114"/>
      <c r="B1091" s="114"/>
      <c r="C1091" s="114"/>
      <c r="D1091" s="114"/>
      <c r="E1091" s="114"/>
      <c r="F1091" s="114"/>
      <c r="G1091" s="114"/>
      <c r="H1091" s="114"/>
      <c r="I1091" s="114"/>
      <c r="J1091" s="114"/>
      <c r="K1091" s="114"/>
      <c r="L1091" s="114"/>
      <c r="M1091" s="114"/>
      <c r="N1091" s="114"/>
      <c r="O1091" s="114"/>
      <c r="P1091" s="114"/>
      <c r="Q1091" s="114"/>
      <c r="R1091" s="114"/>
      <c r="S1091" s="114"/>
      <c r="T1091" s="114"/>
      <c r="U1091" s="114"/>
      <c r="V1091" s="114"/>
      <c r="W1091" s="114"/>
      <c r="X1091" s="115"/>
      <c r="Y1091" s="114"/>
      <c r="Z1091" s="117" t="s">
        <v>6744</v>
      </c>
      <c r="AA1091" s="117" t="s">
        <v>5339</v>
      </c>
      <c r="AB1091" s="114"/>
      <c r="AC1091" s="114"/>
      <c r="AD1091" s="114"/>
      <c r="AE1091" s="114"/>
      <c r="AF1091" s="114"/>
      <c r="AG1091" s="114"/>
      <c r="AH1091" s="114"/>
      <c r="AI1091" s="116"/>
      <c r="AJ1091" s="114"/>
      <c r="AK1091" s="114"/>
      <c r="AL1091" s="114"/>
      <c r="AM1091" s="114"/>
      <c r="AN1091" s="114"/>
      <c r="AO1091" s="114"/>
      <c r="AP1091" s="114"/>
      <c r="AQ1091" s="114"/>
      <c r="AR1091" s="114"/>
      <c r="AS1091" s="114"/>
      <c r="AT1091" s="114"/>
      <c r="AU1091" s="114"/>
      <c r="AV1091" s="114"/>
      <c r="AW1091" s="114"/>
      <c r="AX1091" s="114"/>
      <c r="AY1091" s="114"/>
      <c r="AZ1091" s="114"/>
      <c r="BA1091" s="114"/>
      <c r="BB1091" s="114"/>
      <c r="BC1091" s="114"/>
      <c r="BD1091" s="114"/>
      <c r="BE1091" s="114"/>
    </row>
    <row r="1092">
      <c r="A1092" s="114"/>
      <c r="B1092" s="114"/>
      <c r="C1092" s="114"/>
      <c r="D1092" s="114"/>
      <c r="E1092" s="114"/>
      <c r="F1092" s="114"/>
      <c r="G1092" s="114"/>
      <c r="H1092" s="114"/>
      <c r="I1092" s="114"/>
      <c r="J1092" s="114"/>
      <c r="K1092" s="114"/>
      <c r="L1092" s="114"/>
      <c r="M1092" s="114"/>
      <c r="N1092" s="114"/>
      <c r="O1092" s="114"/>
      <c r="P1092" s="114"/>
      <c r="Q1092" s="114"/>
      <c r="R1092" s="114"/>
      <c r="S1092" s="114"/>
      <c r="T1092" s="114"/>
      <c r="U1092" s="114"/>
      <c r="V1092" s="114"/>
      <c r="W1092" s="114"/>
      <c r="X1092" s="115"/>
      <c r="Y1092" s="114"/>
      <c r="Z1092" s="117" t="s">
        <v>6745</v>
      </c>
      <c r="AA1092" s="117" t="s">
        <v>5341</v>
      </c>
      <c r="AB1092" s="114"/>
      <c r="AC1092" s="114"/>
      <c r="AD1092" s="114"/>
      <c r="AE1092" s="114"/>
      <c r="AF1092" s="114"/>
      <c r="AG1092" s="114"/>
      <c r="AH1092" s="114"/>
      <c r="AI1092" s="116"/>
      <c r="AJ1092" s="114"/>
      <c r="AK1092" s="114"/>
      <c r="AL1092" s="114"/>
      <c r="AM1092" s="114"/>
      <c r="AN1092" s="114"/>
      <c r="AO1092" s="114"/>
      <c r="AP1092" s="114"/>
      <c r="AQ1092" s="114"/>
      <c r="AR1092" s="114"/>
      <c r="AS1092" s="114"/>
      <c r="AT1092" s="114"/>
      <c r="AU1092" s="114"/>
      <c r="AV1092" s="114"/>
      <c r="AW1092" s="114"/>
      <c r="AX1092" s="114"/>
      <c r="AY1092" s="114"/>
      <c r="AZ1092" s="114"/>
      <c r="BA1092" s="114"/>
      <c r="BB1092" s="114"/>
      <c r="BC1092" s="114"/>
      <c r="BD1092" s="114"/>
      <c r="BE1092" s="114"/>
    </row>
    <row r="1093">
      <c r="A1093" s="114"/>
      <c r="B1093" s="114"/>
      <c r="C1093" s="114"/>
      <c r="D1093" s="114"/>
      <c r="E1093" s="114"/>
      <c r="F1093" s="114"/>
      <c r="G1093" s="114"/>
      <c r="H1093" s="114"/>
      <c r="I1093" s="114"/>
      <c r="J1093" s="114"/>
      <c r="K1093" s="114"/>
      <c r="L1093" s="114"/>
      <c r="M1093" s="114"/>
      <c r="N1093" s="114"/>
      <c r="O1093" s="114"/>
      <c r="P1093" s="114"/>
      <c r="Q1093" s="114"/>
      <c r="R1093" s="114"/>
      <c r="S1093" s="114"/>
      <c r="T1093" s="114"/>
      <c r="U1093" s="114"/>
      <c r="V1093" s="114"/>
      <c r="W1093" s="114"/>
      <c r="X1093" s="115"/>
      <c r="Y1093" s="114"/>
      <c r="Z1093" s="117" t="s">
        <v>6746</v>
      </c>
      <c r="AA1093" s="117" t="s">
        <v>5342</v>
      </c>
      <c r="AB1093" s="114"/>
      <c r="AC1093" s="114"/>
      <c r="AD1093" s="114"/>
      <c r="AE1093" s="114"/>
      <c r="AF1093" s="114"/>
      <c r="AG1093" s="114"/>
      <c r="AH1093" s="114"/>
      <c r="AI1093" s="116"/>
      <c r="AJ1093" s="114"/>
      <c r="AK1093" s="114"/>
      <c r="AL1093" s="114"/>
      <c r="AM1093" s="114"/>
      <c r="AN1093" s="114"/>
      <c r="AO1093" s="114"/>
      <c r="AP1093" s="114"/>
      <c r="AQ1093" s="114"/>
      <c r="AR1093" s="114"/>
      <c r="AS1093" s="114"/>
      <c r="AT1093" s="114"/>
      <c r="AU1093" s="114"/>
      <c r="AV1093" s="114"/>
      <c r="AW1093" s="114"/>
      <c r="AX1093" s="114"/>
      <c r="AY1093" s="114"/>
      <c r="AZ1093" s="114"/>
      <c r="BA1093" s="114"/>
      <c r="BB1093" s="114"/>
      <c r="BC1093" s="114"/>
      <c r="BD1093" s="114"/>
      <c r="BE1093" s="114"/>
    </row>
    <row r="1094">
      <c r="A1094" s="114"/>
      <c r="B1094" s="114"/>
      <c r="C1094" s="114"/>
      <c r="D1094" s="114"/>
      <c r="E1094" s="114"/>
      <c r="F1094" s="114"/>
      <c r="G1094" s="114"/>
      <c r="H1094" s="114"/>
      <c r="I1094" s="114"/>
      <c r="J1094" s="114"/>
      <c r="K1094" s="114"/>
      <c r="L1094" s="114"/>
      <c r="M1094" s="114"/>
      <c r="N1094" s="114"/>
      <c r="O1094" s="114"/>
      <c r="P1094" s="114"/>
      <c r="Q1094" s="114"/>
      <c r="R1094" s="114"/>
      <c r="S1094" s="114"/>
      <c r="T1094" s="114"/>
      <c r="U1094" s="114"/>
      <c r="V1094" s="114"/>
      <c r="W1094" s="114"/>
      <c r="X1094" s="115"/>
      <c r="Y1094" s="114"/>
      <c r="Z1094" s="117" t="s">
        <v>6747</v>
      </c>
      <c r="AA1094" s="117" t="s">
        <v>5340</v>
      </c>
      <c r="AB1094" s="114"/>
      <c r="AC1094" s="114"/>
      <c r="AD1094" s="114"/>
      <c r="AE1094" s="114"/>
      <c r="AF1094" s="114"/>
      <c r="AG1094" s="114"/>
      <c r="AH1094" s="114"/>
      <c r="AI1094" s="116"/>
      <c r="AJ1094" s="114"/>
      <c r="AK1094" s="114"/>
      <c r="AL1094" s="114"/>
      <c r="AM1094" s="114"/>
      <c r="AN1094" s="114"/>
      <c r="AO1094" s="114"/>
      <c r="AP1094" s="114"/>
      <c r="AQ1094" s="114"/>
      <c r="AR1094" s="114"/>
      <c r="AS1094" s="114"/>
      <c r="AT1094" s="114"/>
      <c r="AU1094" s="114"/>
      <c r="AV1094" s="114"/>
      <c r="AW1094" s="114"/>
      <c r="AX1094" s="114"/>
      <c r="AY1094" s="114"/>
      <c r="AZ1094" s="114"/>
      <c r="BA1094" s="114"/>
      <c r="BB1094" s="114"/>
      <c r="BC1094" s="114"/>
      <c r="BD1094" s="114"/>
      <c r="BE1094" s="114"/>
    </row>
    <row r="1095">
      <c r="A1095" s="114"/>
      <c r="B1095" s="114"/>
      <c r="C1095" s="114"/>
      <c r="D1095" s="114"/>
      <c r="E1095" s="114"/>
      <c r="F1095" s="114"/>
      <c r="G1095" s="114"/>
      <c r="H1095" s="114"/>
      <c r="I1095" s="114"/>
      <c r="J1095" s="114"/>
      <c r="K1095" s="114"/>
      <c r="L1095" s="114"/>
      <c r="M1095" s="114"/>
      <c r="N1095" s="114"/>
      <c r="O1095" s="114"/>
      <c r="P1095" s="114"/>
      <c r="Q1095" s="114"/>
      <c r="R1095" s="114"/>
      <c r="S1095" s="114"/>
      <c r="T1095" s="114"/>
      <c r="U1095" s="114"/>
      <c r="V1095" s="114"/>
      <c r="W1095" s="114"/>
      <c r="X1095" s="115"/>
      <c r="Y1095" s="114"/>
      <c r="Z1095" s="117" t="s">
        <v>6748</v>
      </c>
      <c r="AA1095" s="117" t="s">
        <v>5350</v>
      </c>
      <c r="AB1095" s="114"/>
      <c r="AC1095" s="114"/>
      <c r="AD1095" s="114"/>
      <c r="AE1095" s="114"/>
      <c r="AF1095" s="114"/>
      <c r="AG1095" s="114"/>
      <c r="AH1095" s="114"/>
      <c r="AI1095" s="116"/>
      <c r="AJ1095" s="114"/>
      <c r="AK1095" s="114"/>
      <c r="AL1095" s="114"/>
      <c r="AM1095" s="114"/>
      <c r="AN1095" s="114"/>
      <c r="AO1095" s="114"/>
      <c r="AP1095" s="114"/>
      <c r="AQ1095" s="114"/>
      <c r="AR1095" s="114"/>
      <c r="AS1095" s="114"/>
      <c r="AT1095" s="114"/>
      <c r="AU1095" s="114"/>
      <c r="AV1095" s="114"/>
      <c r="AW1095" s="114"/>
      <c r="AX1095" s="114"/>
      <c r="AY1095" s="114"/>
      <c r="AZ1095" s="114"/>
      <c r="BA1095" s="114"/>
      <c r="BB1095" s="114"/>
      <c r="BC1095" s="114"/>
      <c r="BD1095" s="114"/>
      <c r="BE1095" s="114"/>
    </row>
    <row r="1096">
      <c r="A1096" s="114"/>
      <c r="B1096" s="114"/>
      <c r="C1096" s="114"/>
      <c r="D1096" s="114"/>
      <c r="E1096" s="114"/>
      <c r="F1096" s="114"/>
      <c r="G1096" s="114"/>
      <c r="H1096" s="114"/>
      <c r="I1096" s="114"/>
      <c r="J1096" s="114"/>
      <c r="K1096" s="114"/>
      <c r="L1096" s="114"/>
      <c r="M1096" s="114"/>
      <c r="N1096" s="114"/>
      <c r="O1096" s="114"/>
      <c r="P1096" s="114"/>
      <c r="Q1096" s="114"/>
      <c r="R1096" s="114"/>
      <c r="S1096" s="114"/>
      <c r="T1096" s="114"/>
      <c r="U1096" s="114"/>
      <c r="V1096" s="114"/>
      <c r="W1096" s="114"/>
      <c r="X1096" s="115"/>
      <c r="Y1096" s="114"/>
      <c r="Z1096" s="117" t="s">
        <v>6749</v>
      </c>
      <c r="AA1096" s="117" t="s">
        <v>5352</v>
      </c>
      <c r="AB1096" s="114"/>
      <c r="AC1096" s="114"/>
      <c r="AD1096" s="114"/>
      <c r="AE1096" s="114"/>
      <c r="AF1096" s="114"/>
      <c r="AG1096" s="114"/>
      <c r="AH1096" s="114"/>
      <c r="AI1096" s="116"/>
      <c r="AJ1096" s="114"/>
      <c r="AK1096" s="114"/>
      <c r="AL1096" s="114"/>
      <c r="AM1096" s="114"/>
      <c r="AN1096" s="114"/>
      <c r="AO1096" s="114"/>
      <c r="AP1096" s="114"/>
      <c r="AQ1096" s="114"/>
      <c r="AR1096" s="114"/>
      <c r="AS1096" s="114"/>
      <c r="AT1096" s="114"/>
      <c r="AU1096" s="114"/>
      <c r="AV1096" s="114"/>
      <c r="AW1096" s="114"/>
      <c r="AX1096" s="114"/>
      <c r="AY1096" s="114"/>
      <c r="AZ1096" s="114"/>
      <c r="BA1096" s="114"/>
      <c r="BB1096" s="114"/>
      <c r="BC1096" s="114"/>
      <c r="BD1096" s="114"/>
      <c r="BE1096" s="114"/>
    </row>
    <row r="1097">
      <c r="A1097" s="114"/>
      <c r="B1097" s="114"/>
      <c r="C1097" s="114"/>
      <c r="D1097" s="114"/>
      <c r="E1097" s="114"/>
      <c r="F1097" s="114"/>
      <c r="G1097" s="114"/>
      <c r="H1097" s="114"/>
      <c r="I1097" s="114"/>
      <c r="J1097" s="114"/>
      <c r="K1097" s="114"/>
      <c r="L1097" s="114"/>
      <c r="M1097" s="114"/>
      <c r="N1097" s="114"/>
      <c r="O1097" s="114"/>
      <c r="P1097" s="114"/>
      <c r="Q1097" s="114"/>
      <c r="R1097" s="114"/>
      <c r="S1097" s="114"/>
      <c r="T1097" s="114"/>
      <c r="U1097" s="114"/>
      <c r="V1097" s="114"/>
      <c r="W1097" s="114"/>
      <c r="X1097" s="115"/>
      <c r="Y1097" s="114"/>
      <c r="Z1097" s="117" t="s">
        <v>6750</v>
      </c>
      <c r="AA1097" s="117" t="s">
        <v>5353</v>
      </c>
      <c r="AB1097" s="114"/>
      <c r="AC1097" s="114"/>
      <c r="AD1097" s="114"/>
      <c r="AE1097" s="114"/>
      <c r="AF1097" s="114"/>
      <c r="AG1097" s="114"/>
      <c r="AH1097" s="114"/>
      <c r="AI1097" s="116"/>
      <c r="AJ1097" s="114"/>
      <c r="AK1097" s="114"/>
      <c r="AL1097" s="114"/>
      <c r="AM1097" s="114"/>
      <c r="AN1097" s="114"/>
      <c r="AO1097" s="114"/>
      <c r="AP1097" s="114"/>
      <c r="AQ1097" s="114"/>
      <c r="AR1097" s="114"/>
      <c r="AS1097" s="114"/>
      <c r="AT1097" s="114"/>
      <c r="AU1097" s="114"/>
      <c r="AV1097" s="114"/>
      <c r="AW1097" s="114"/>
      <c r="AX1097" s="114"/>
      <c r="AY1097" s="114"/>
      <c r="AZ1097" s="114"/>
      <c r="BA1097" s="114"/>
      <c r="BB1097" s="114"/>
      <c r="BC1097" s="114"/>
      <c r="BD1097" s="114"/>
      <c r="BE1097" s="114"/>
    </row>
    <row r="1098">
      <c r="A1098" s="114"/>
      <c r="B1098" s="114"/>
      <c r="C1098" s="114"/>
      <c r="D1098" s="114"/>
      <c r="E1098" s="114"/>
      <c r="F1098" s="114"/>
      <c r="G1098" s="114"/>
      <c r="H1098" s="114"/>
      <c r="I1098" s="114"/>
      <c r="J1098" s="114"/>
      <c r="K1098" s="114"/>
      <c r="L1098" s="114"/>
      <c r="M1098" s="114"/>
      <c r="N1098" s="114"/>
      <c r="O1098" s="114"/>
      <c r="P1098" s="114"/>
      <c r="Q1098" s="114"/>
      <c r="R1098" s="114"/>
      <c r="S1098" s="114"/>
      <c r="T1098" s="114"/>
      <c r="U1098" s="114"/>
      <c r="V1098" s="114"/>
      <c r="W1098" s="114"/>
      <c r="X1098" s="115"/>
      <c r="Y1098" s="114"/>
      <c r="Z1098" s="117" t="s">
        <v>6751</v>
      </c>
      <c r="AA1098" s="117" t="s">
        <v>5351</v>
      </c>
      <c r="AB1098" s="114"/>
      <c r="AC1098" s="114"/>
      <c r="AD1098" s="114"/>
      <c r="AE1098" s="114"/>
      <c r="AF1098" s="114"/>
      <c r="AG1098" s="114"/>
      <c r="AH1098" s="114"/>
      <c r="AI1098" s="116"/>
      <c r="AJ1098" s="114"/>
      <c r="AK1098" s="114"/>
      <c r="AL1098" s="114"/>
      <c r="AM1098" s="114"/>
      <c r="AN1098" s="114"/>
      <c r="AO1098" s="114"/>
      <c r="AP1098" s="114"/>
      <c r="AQ1098" s="114"/>
      <c r="AR1098" s="114"/>
      <c r="AS1098" s="114"/>
      <c r="AT1098" s="114"/>
      <c r="AU1098" s="114"/>
      <c r="AV1098" s="114"/>
      <c r="AW1098" s="114"/>
      <c r="AX1098" s="114"/>
      <c r="AY1098" s="114"/>
      <c r="AZ1098" s="114"/>
      <c r="BA1098" s="114"/>
      <c r="BB1098" s="114"/>
      <c r="BC1098" s="114"/>
      <c r="BD1098" s="114"/>
      <c r="BE1098" s="114"/>
    </row>
    <row r="1099">
      <c r="A1099" s="114"/>
      <c r="B1099" s="114"/>
      <c r="C1099" s="114"/>
      <c r="D1099" s="114"/>
      <c r="E1099" s="114"/>
      <c r="F1099" s="114"/>
      <c r="G1099" s="114"/>
      <c r="H1099" s="114"/>
      <c r="I1099" s="114"/>
      <c r="J1099" s="114"/>
      <c r="K1099" s="114"/>
      <c r="L1099" s="114"/>
      <c r="M1099" s="114"/>
      <c r="N1099" s="114"/>
      <c r="O1099" s="114"/>
      <c r="P1099" s="114"/>
      <c r="Q1099" s="114"/>
      <c r="R1099" s="114"/>
      <c r="S1099" s="114"/>
      <c r="T1099" s="114"/>
      <c r="U1099" s="114"/>
      <c r="V1099" s="114"/>
      <c r="W1099" s="114"/>
      <c r="X1099" s="115"/>
      <c r="Y1099" s="114"/>
      <c r="Z1099" s="117" t="s">
        <v>6752</v>
      </c>
      <c r="AA1099" s="117" t="s">
        <v>5361</v>
      </c>
      <c r="AB1099" s="114"/>
      <c r="AC1099" s="114"/>
      <c r="AD1099" s="114"/>
      <c r="AE1099" s="114"/>
      <c r="AF1099" s="114"/>
      <c r="AG1099" s="114"/>
      <c r="AH1099" s="114"/>
      <c r="AI1099" s="116"/>
      <c r="AJ1099" s="114"/>
      <c r="AK1099" s="114"/>
      <c r="AL1099" s="114"/>
      <c r="AM1099" s="114"/>
      <c r="AN1099" s="114"/>
      <c r="AO1099" s="114"/>
      <c r="AP1099" s="114"/>
      <c r="AQ1099" s="114"/>
      <c r="AR1099" s="114"/>
      <c r="AS1099" s="114"/>
      <c r="AT1099" s="114"/>
      <c r="AU1099" s="114"/>
      <c r="AV1099" s="114"/>
      <c r="AW1099" s="114"/>
      <c r="AX1099" s="114"/>
      <c r="AY1099" s="114"/>
      <c r="AZ1099" s="114"/>
      <c r="BA1099" s="114"/>
      <c r="BB1099" s="114"/>
      <c r="BC1099" s="114"/>
      <c r="BD1099" s="114"/>
      <c r="BE1099" s="114"/>
    </row>
    <row r="1100">
      <c r="A1100" s="114"/>
      <c r="B1100" s="114"/>
      <c r="C1100" s="114"/>
      <c r="D1100" s="114"/>
      <c r="E1100" s="114"/>
      <c r="F1100" s="114"/>
      <c r="G1100" s="114"/>
      <c r="H1100" s="114"/>
      <c r="I1100" s="114"/>
      <c r="J1100" s="114"/>
      <c r="K1100" s="114"/>
      <c r="L1100" s="114"/>
      <c r="M1100" s="114"/>
      <c r="N1100" s="114"/>
      <c r="O1100" s="114"/>
      <c r="P1100" s="114"/>
      <c r="Q1100" s="114"/>
      <c r="R1100" s="114"/>
      <c r="S1100" s="114"/>
      <c r="T1100" s="114"/>
      <c r="U1100" s="114"/>
      <c r="V1100" s="114"/>
      <c r="W1100" s="114"/>
      <c r="X1100" s="115"/>
      <c r="Y1100" s="114"/>
      <c r="Z1100" s="117" t="s">
        <v>6753</v>
      </c>
      <c r="AA1100" s="117" t="s">
        <v>5363</v>
      </c>
      <c r="AB1100" s="114"/>
      <c r="AC1100" s="114"/>
      <c r="AD1100" s="114"/>
      <c r="AE1100" s="114"/>
      <c r="AF1100" s="114"/>
      <c r="AG1100" s="114"/>
      <c r="AH1100" s="114"/>
      <c r="AI1100" s="116"/>
      <c r="AJ1100" s="114"/>
      <c r="AK1100" s="114"/>
      <c r="AL1100" s="114"/>
      <c r="AM1100" s="114"/>
      <c r="AN1100" s="114"/>
      <c r="AO1100" s="114"/>
      <c r="AP1100" s="114"/>
      <c r="AQ1100" s="114"/>
      <c r="AR1100" s="114"/>
      <c r="AS1100" s="114"/>
      <c r="AT1100" s="114"/>
      <c r="AU1100" s="114"/>
      <c r="AV1100" s="114"/>
      <c r="AW1100" s="114"/>
      <c r="AX1100" s="114"/>
      <c r="AY1100" s="114"/>
      <c r="AZ1100" s="114"/>
      <c r="BA1100" s="114"/>
      <c r="BB1100" s="114"/>
      <c r="BC1100" s="114"/>
      <c r="BD1100" s="114"/>
      <c r="BE1100" s="114"/>
    </row>
    <row r="1101">
      <c r="A1101" s="114"/>
      <c r="B1101" s="114"/>
      <c r="C1101" s="114"/>
      <c r="D1101" s="114"/>
      <c r="E1101" s="114"/>
      <c r="F1101" s="114"/>
      <c r="G1101" s="114"/>
      <c r="H1101" s="114"/>
      <c r="I1101" s="114"/>
      <c r="J1101" s="114"/>
      <c r="K1101" s="114"/>
      <c r="L1101" s="114"/>
      <c r="M1101" s="114"/>
      <c r="N1101" s="114"/>
      <c r="O1101" s="114"/>
      <c r="P1101" s="114"/>
      <c r="Q1101" s="114"/>
      <c r="R1101" s="114"/>
      <c r="S1101" s="114"/>
      <c r="T1101" s="114"/>
      <c r="U1101" s="114"/>
      <c r="V1101" s="114"/>
      <c r="W1101" s="114"/>
      <c r="X1101" s="115"/>
      <c r="Y1101" s="114"/>
      <c r="Z1101" s="117" t="s">
        <v>6754</v>
      </c>
      <c r="AA1101" s="117" t="s">
        <v>5364</v>
      </c>
      <c r="AB1101" s="114"/>
      <c r="AC1101" s="114"/>
      <c r="AD1101" s="114"/>
      <c r="AE1101" s="114"/>
      <c r="AF1101" s="114"/>
      <c r="AG1101" s="114"/>
      <c r="AH1101" s="114"/>
      <c r="AI1101" s="116"/>
      <c r="AJ1101" s="114"/>
      <c r="AK1101" s="114"/>
      <c r="AL1101" s="114"/>
      <c r="AM1101" s="114"/>
      <c r="AN1101" s="114"/>
      <c r="AO1101" s="114"/>
      <c r="AP1101" s="114"/>
      <c r="AQ1101" s="114"/>
      <c r="AR1101" s="114"/>
      <c r="AS1101" s="114"/>
      <c r="AT1101" s="114"/>
      <c r="AU1101" s="114"/>
      <c r="AV1101" s="114"/>
      <c r="AW1101" s="114"/>
      <c r="AX1101" s="114"/>
      <c r="AY1101" s="114"/>
      <c r="AZ1101" s="114"/>
      <c r="BA1101" s="114"/>
      <c r="BB1101" s="114"/>
      <c r="BC1101" s="114"/>
      <c r="BD1101" s="114"/>
      <c r="BE1101" s="114"/>
    </row>
    <row r="1102">
      <c r="A1102" s="114"/>
      <c r="B1102" s="114"/>
      <c r="C1102" s="114"/>
      <c r="D1102" s="114"/>
      <c r="E1102" s="114"/>
      <c r="F1102" s="114"/>
      <c r="G1102" s="114"/>
      <c r="H1102" s="114"/>
      <c r="I1102" s="114"/>
      <c r="J1102" s="114"/>
      <c r="K1102" s="114"/>
      <c r="L1102" s="114"/>
      <c r="M1102" s="114"/>
      <c r="N1102" s="114"/>
      <c r="O1102" s="114"/>
      <c r="P1102" s="114"/>
      <c r="Q1102" s="114"/>
      <c r="R1102" s="114"/>
      <c r="S1102" s="114"/>
      <c r="T1102" s="114"/>
      <c r="U1102" s="114"/>
      <c r="V1102" s="114"/>
      <c r="W1102" s="114"/>
      <c r="X1102" s="115"/>
      <c r="Y1102" s="114"/>
      <c r="Z1102" s="117" t="s">
        <v>6755</v>
      </c>
      <c r="AA1102" s="117" t="s">
        <v>5362</v>
      </c>
      <c r="AB1102" s="114"/>
      <c r="AC1102" s="114"/>
      <c r="AD1102" s="114"/>
      <c r="AE1102" s="114"/>
      <c r="AF1102" s="114"/>
      <c r="AG1102" s="114"/>
      <c r="AH1102" s="114"/>
      <c r="AI1102" s="116"/>
      <c r="AJ1102" s="114"/>
      <c r="AK1102" s="114"/>
      <c r="AL1102" s="114"/>
      <c r="AM1102" s="114"/>
      <c r="AN1102" s="114"/>
      <c r="AO1102" s="114"/>
      <c r="AP1102" s="114"/>
      <c r="AQ1102" s="114"/>
      <c r="AR1102" s="114"/>
      <c r="AS1102" s="114"/>
      <c r="AT1102" s="114"/>
      <c r="AU1102" s="114"/>
      <c r="AV1102" s="114"/>
      <c r="AW1102" s="114"/>
      <c r="AX1102" s="114"/>
      <c r="AY1102" s="114"/>
      <c r="AZ1102" s="114"/>
      <c r="BA1102" s="114"/>
      <c r="BB1102" s="114"/>
      <c r="BC1102" s="114"/>
      <c r="BD1102" s="114"/>
      <c r="BE1102" s="114"/>
    </row>
    <row r="1103">
      <c r="A1103" s="114"/>
      <c r="B1103" s="114"/>
      <c r="C1103" s="114"/>
      <c r="D1103" s="114"/>
      <c r="E1103" s="114"/>
      <c r="F1103" s="114"/>
      <c r="G1103" s="114"/>
      <c r="H1103" s="114"/>
      <c r="I1103" s="114"/>
      <c r="J1103" s="114"/>
      <c r="K1103" s="114"/>
      <c r="L1103" s="114"/>
      <c r="M1103" s="114"/>
      <c r="N1103" s="114"/>
      <c r="O1103" s="114"/>
      <c r="P1103" s="114"/>
      <c r="Q1103" s="114"/>
      <c r="R1103" s="114"/>
      <c r="S1103" s="114"/>
      <c r="T1103" s="114"/>
      <c r="U1103" s="114"/>
      <c r="V1103" s="114"/>
      <c r="W1103" s="114"/>
      <c r="X1103" s="115"/>
      <c r="Y1103" s="114"/>
      <c r="Z1103" s="117" t="s">
        <v>6756</v>
      </c>
      <c r="AA1103" s="117" t="s">
        <v>5372</v>
      </c>
      <c r="AB1103" s="114"/>
      <c r="AC1103" s="114"/>
      <c r="AD1103" s="114"/>
      <c r="AE1103" s="114"/>
      <c r="AF1103" s="114"/>
      <c r="AG1103" s="114"/>
      <c r="AH1103" s="114"/>
      <c r="AI1103" s="116"/>
      <c r="AJ1103" s="114"/>
      <c r="AK1103" s="114"/>
      <c r="AL1103" s="114"/>
      <c r="AM1103" s="114"/>
      <c r="AN1103" s="114"/>
      <c r="AO1103" s="114"/>
      <c r="AP1103" s="114"/>
      <c r="AQ1103" s="114"/>
      <c r="AR1103" s="114"/>
      <c r="AS1103" s="114"/>
      <c r="AT1103" s="114"/>
      <c r="AU1103" s="114"/>
      <c r="AV1103" s="114"/>
      <c r="AW1103" s="114"/>
      <c r="AX1103" s="114"/>
      <c r="AY1103" s="114"/>
      <c r="AZ1103" s="114"/>
      <c r="BA1103" s="114"/>
      <c r="BB1103" s="114"/>
      <c r="BC1103" s="114"/>
      <c r="BD1103" s="114"/>
      <c r="BE1103" s="114"/>
    </row>
    <row r="1104">
      <c r="A1104" s="114"/>
      <c r="B1104" s="114"/>
      <c r="C1104" s="114"/>
      <c r="D1104" s="114"/>
      <c r="E1104" s="114"/>
      <c r="F1104" s="114"/>
      <c r="G1104" s="114"/>
      <c r="H1104" s="114"/>
      <c r="I1104" s="114"/>
      <c r="J1104" s="114"/>
      <c r="K1104" s="114"/>
      <c r="L1104" s="114"/>
      <c r="M1104" s="114"/>
      <c r="N1104" s="114"/>
      <c r="O1104" s="114"/>
      <c r="P1104" s="114"/>
      <c r="Q1104" s="114"/>
      <c r="R1104" s="114"/>
      <c r="S1104" s="114"/>
      <c r="T1104" s="114"/>
      <c r="U1104" s="114"/>
      <c r="V1104" s="114"/>
      <c r="W1104" s="114"/>
      <c r="X1104" s="115"/>
      <c r="Y1104" s="114"/>
      <c r="Z1104" s="117" t="s">
        <v>6757</v>
      </c>
      <c r="AA1104" s="117" t="s">
        <v>5374</v>
      </c>
      <c r="AB1104" s="114"/>
      <c r="AC1104" s="114"/>
      <c r="AD1104" s="114"/>
      <c r="AE1104" s="114"/>
      <c r="AF1104" s="114"/>
      <c r="AG1104" s="114"/>
      <c r="AH1104" s="114"/>
      <c r="AI1104" s="116"/>
      <c r="AJ1104" s="114"/>
      <c r="AK1104" s="114"/>
      <c r="AL1104" s="114"/>
      <c r="AM1104" s="114"/>
      <c r="AN1104" s="114"/>
      <c r="AO1104" s="114"/>
      <c r="AP1104" s="114"/>
      <c r="AQ1104" s="114"/>
      <c r="AR1104" s="114"/>
      <c r="AS1104" s="114"/>
      <c r="AT1104" s="114"/>
      <c r="AU1104" s="114"/>
      <c r="AV1104" s="114"/>
      <c r="AW1104" s="114"/>
      <c r="AX1104" s="114"/>
      <c r="AY1104" s="114"/>
      <c r="AZ1104" s="114"/>
      <c r="BA1104" s="114"/>
      <c r="BB1104" s="114"/>
      <c r="BC1104" s="114"/>
      <c r="BD1104" s="114"/>
      <c r="BE1104" s="114"/>
    </row>
    <row r="1105">
      <c r="A1105" s="114"/>
      <c r="B1105" s="114"/>
      <c r="C1105" s="114"/>
      <c r="D1105" s="114"/>
      <c r="E1105" s="114"/>
      <c r="F1105" s="114"/>
      <c r="G1105" s="114"/>
      <c r="H1105" s="114"/>
      <c r="I1105" s="114"/>
      <c r="J1105" s="114"/>
      <c r="K1105" s="114"/>
      <c r="L1105" s="114"/>
      <c r="M1105" s="114"/>
      <c r="N1105" s="114"/>
      <c r="O1105" s="114"/>
      <c r="P1105" s="114"/>
      <c r="Q1105" s="114"/>
      <c r="R1105" s="114"/>
      <c r="S1105" s="114"/>
      <c r="T1105" s="114"/>
      <c r="U1105" s="114"/>
      <c r="V1105" s="114"/>
      <c r="W1105" s="114"/>
      <c r="X1105" s="115"/>
      <c r="Y1105" s="114"/>
      <c r="Z1105" s="117" t="s">
        <v>6758</v>
      </c>
      <c r="AA1105" s="117" t="s">
        <v>5375</v>
      </c>
      <c r="AB1105" s="114"/>
      <c r="AC1105" s="114"/>
      <c r="AD1105" s="114"/>
      <c r="AE1105" s="114"/>
      <c r="AF1105" s="114"/>
      <c r="AG1105" s="114"/>
      <c r="AH1105" s="114"/>
      <c r="AI1105" s="116"/>
      <c r="AJ1105" s="114"/>
      <c r="AK1105" s="114"/>
      <c r="AL1105" s="114"/>
      <c r="AM1105" s="114"/>
      <c r="AN1105" s="114"/>
      <c r="AO1105" s="114"/>
      <c r="AP1105" s="114"/>
      <c r="AQ1105" s="114"/>
      <c r="AR1105" s="114"/>
      <c r="AS1105" s="114"/>
      <c r="AT1105" s="114"/>
      <c r="AU1105" s="114"/>
      <c r="AV1105" s="114"/>
      <c r="AW1105" s="114"/>
      <c r="AX1105" s="114"/>
      <c r="AY1105" s="114"/>
      <c r="AZ1105" s="114"/>
      <c r="BA1105" s="114"/>
      <c r="BB1105" s="114"/>
      <c r="BC1105" s="114"/>
      <c r="BD1105" s="114"/>
      <c r="BE1105" s="114"/>
    </row>
    <row r="1106">
      <c r="A1106" s="114"/>
      <c r="B1106" s="114"/>
      <c r="C1106" s="114"/>
      <c r="D1106" s="114"/>
      <c r="E1106" s="114"/>
      <c r="F1106" s="114"/>
      <c r="G1106" s="114"/>
      <c r="H1106" s="114"/>
      <c r="I1106" s="114"/>
      <c r="J1106" s="114"/>
      <c r="K1106" s="114"/>
      <c r="L1106" s="114"/>
      <c r="M1106" s="114"/>
      <c r="N1106" s="114"/>
      <c r="O1106" s="114"/>
      <c r="P1106" s="114"/>
      <c r="Q1106" s="114"/>
      <c r="R1106" s="114"/>
      <c r="S1106" s="114"/>
      <c r="T1106" s="114"/>
      <c r="U1106" s="114"/>
      <c r="V1106" s="114"/>
      <c r="W1106" s="114"/>
      <c r="X1106" s="115"/>
      <c r="Y1106" s="114"/>
      <c r="Z1106" s="117" t="s">
        <v>6759</v>
      </c>
      <c r="AA1106" s="117" t="s">
        <v>5373</v>
      </c>
      <c r="AB1106" s="114"/>
      <c r="AC1106" s="114"/>
      <c r="AD1106" s="114"/>
      <c r="AE1106" s="114"/>
      <c r="AF1106" s="114"/>
      <c r="AG1106" s="114"/>
      <c r="AH1106" s="114"/>
      <c r="AI1106" s="116"/>
      <c r="AJ1106" s="114"/>
      <c r="AK1106" s="114"/>
      <c r="AL1106" s="114"/>
      <c r="AM1106" s="114"/>
      <c r="AN1106" s="114"/>
      <c r="AO1106" s="114"/>
      <c r="AP1106" s="114"/>
      <c r="AQ1106" s="114"/>
      <c r="AR1106" s="114"/>
      <c r="AS1106" s="114"/>
      <c r="AT1106" s="114"/>
      <c r="AU1106" s="114"/>
      <c r="AV1106" s="114"/>
      <c r="AW1106" s="114"/>
      <c r="AX1106" s="114"/>
      <c r="AY1106" s="114"/>
      <c r="AZ1106" s="114"/>
      <c r="BA1106" s="114"/>
      <c r="BB1106" s="114"/>
      <c r="BC1106" s="114"/>
      <c r="BD1106" s="114"/>
      <c r="BE1106" s="114"/>
    </row>
    <row r="1107">
      <c r="A1107" s="114"/>
      <c r="B1107" s="114"/>
      <c r="C1107" s="114"/>
      <c r="D1107" s="114"/>
      <c r="E1107" s="114"/>
      <c r="F1107" s="114"/>
      <c r="G1107" s="114"/>
      <c r="H1107" s="114"/>
      <c r="I1107" s="114"/>
      <c r="J1107" s="114"/>
      <c r="K1107" s="114"/>
      <c r="L1107" s="114"/>
      <c r="M1107" s="114"/>
      <c r="N1107" s="114"/>
      <c r="O1107" s="114"/>
      <c r="P1107" s="114"/>
      <c r="Q1107" s="114"/>
      <c r="R1107" s="114"/>
      <c r="S1107" s="114"/>
      <c r="T1107" s="114"/>
      <c r="U1107" s="114"/>
      <c r="V1107" s="114"/>
      <c r="W1107" s="114"/>
      <c r="X1107" s="115"/>
      <c r="Y1107" s="114"/>
      <c r="Z1107" s="117" t="s">
        <v>6760</v>
      </c>
      <c r="AA1107" s="117" t="s">
        <v>5383</v>
      </c>
      <c r="AB1107" s="114"/>
      <c r="AC1107" s="114"/>
      <c r="AD1107" s="114"/>
      <c r="AE1107" s="114"/>
      <c r="AF1107" s="114"/>
      <c r="AG1107" s="114"/>
      <c r="AH1107" s="114"/>
      <c r="AI1107" s="116"/>
      <c r="AJ1107" s="114"/>
      <c r="AK1107" s="114"/>
      <c r="AL1107" s="114"/>
      <c r="AM1107" s="114"/>
      <c r="AN1107" s="114"/>
      <c r="AO1107" s="114"/>
      <c r="AP1107" s="114"/>
      <c r="AQ1107" s="114"/>
      <c r="AR1107" s="114"/>
      <c r="AS1107" s="114"/>
      <c r="AT1107" s="114"/>
      <c r="AU1107" s="114"/>
      <c r="AV1107" s="114"/>
      <c r="AW1107" s="114"/>
      <c r="AX1107" s="114"/>
      <c r="AY1107" s="114"/>
      <c r="AZ1107" s="114"/>
      <c r="BA1107" s="114"/>
      <c r="BB1107" s="114"/>
      <c r="BC1107" s="114"/>
      <c r="BD1107" s="114"/>
      <c r="BE1107" s="114"/>
    </row>
    <row r="1108">
      <c r="A1108" s="114"/>
      <c r="B1108" s="114"/>
      <c r="C1108" s="114"/>
      <c r="D1108" s="114"/>
      <c r="E1108" s="114"/>
      <c r="F1108" s="114"/>
      <c r="G1108" s="114"/>
      <c r="H1108" s="114"/>
      <c r="I1108" s="114"/>
      <c r="J1108" s="114"/>
      <c r="K1108" s="114"/>
      <c r="L1108" s="114"/>
      <c r="M1108" s="114"/>
      <c r="N1108" s="114"/>
      <c r="O1108" s="114"/>
      <c r="P1108" s="114"/>
      <c r="Q1108" s="114"/>
      <c r="R1108" s="114"/>
      <c r="S1108" s="114"/>
      <c r="T1108" s="114"/>
      <c r="U1108" s="114"/>
      <c r="V1108" s="114"/>
      <c r="W1108" s="114"/>
      <c r="X1108" s="115"/>
      <c r="Y1108" s="114"/>
      <c r="Z1108" s="117" t="s">
        <v>6761</v>
      </c>
      <c r="AA1108" s="117" t="s">
        <v>5385</v>
      </c>
      <c r="AB1108" s="114"/>
      <c r="AC1108" s="114"/>
      <c r="AD1108" s="114"/>
      <c r="AE1108" s="114"/>
      <c r="AF1108" s="114"/>
      <c r="AG1108" s="114"/>
      <c r="AH1108" s="114"/>
      <c r="AI1108" s="116"/>
      <c r="AJ1108" s="114"/>
      <c r="AK1108" s="114"/>
      <c r="AL1108" s="114"/>
      <c r="AM1108" s="114"/>
      <c r="AN1108" s="114"/>
      <c r="AO1108" s="114"/>
      <c r="AP1108" s="114"/>
      <c r="AQ1108" s="114"/>
      <c r="AR1108" s="114"/>
      <c r="AS1108" s="114"/>
      <c r="AT1108" s="114"/>
      <c r="AU1108" s="114"/>
      <c r="AV1108" s="114"/>
      <c r="AW1108" s="114"/>
      <c r="AX1108" s="114"/>
      <c r="AY1108" s="114"/>
      <c r="AZ1108" s="114"/>
      <c r="BA1108" s="114"/>
      <c r="BB1108" s="114"/>
      <c r="BC1108" s="114"/>
      <c r="BD1108" s="114"/>
      <c r="BE1108" s="114"/>
    </row>
    <row r="1109">
      <c r="A1109" s="114"/>
      <c r="B1109" s="114"/>
      <c r="C1109" s="114"/>
      <c r="D1109" s="114"/>
      <c r="E1109" s="114"/>
      <c r="F1109" s="114"/>
      <c r="G1109" s="114"/>
      <c r="H1109" s="114"/>
      <c r="I1109" s="114"/>
      <c r="J1109" s="114"/>
      <c r="K1109" s="114"/>
      <c r="L1109" s="114"/>
      <c r="M1109" s="114"/>
      <c r="N1109" s="114"/>
      <c r="O1109" s="114"/>
      <c r="P1109" s="114"/>
      <c r="Q1109" s="114"/>
      <c r="R1109" s="114"/>
      <c r="S1109" s="114"/>
      <c r="T1109" s="114"/>
      <c r="U1109" s="114"/>
      <c r="V1109" s="114"/>
      <c r="W1109" s="114"/>
      <c r="X1109" s="115"/>
      <c r="Y1109" s="114"/>
      <c r="Z1109" s="117" t="s">
        <v>6762</v>
      </c>
      <c r="AA1109" s="117" t="s">
        <v>5386</v>
      </c>
      <c r="AB1109" s="114"/>
      <c r="AC1109" s="114"/>
      <c r="AD1109" s="114"/>
      <c r="AE1109" s="114"/>
      <c r="AF1109" s="114"/>
      <c r="AG1109" s="114"/>
      <c r="AH1109" s="114"/>
      <c r="AI1109" s="116"/>
      <c r="AJ1109" s="114"/>
      <c r="AK1109" s="114"/>
      <c r="AL1109" s="114"/>
      <c r="AM1109" s="114"/>
      <c r="AN1109" s="114"/>
      <c r="AO1109" s="114"/>
      <c r="AP1109" s="114"/>
      <c r="AQ1109" s="114"/>
      <c r="AR1109" s="114"/>
      <c r="AS1109" s="114"/>
      <c r="AT1109" s="114"/>
      <c r="AU1109" s="114"/>
      <c r="AV1109" s="114"/>
      <c r="AW1109" s="114"/>
      <c r="AX1109" s="114"/>
      <c r="AY1109" s="114"/>
      <c r="AZ1109" s="114"/>
      <c r="BA1109" s="114"/>
      <c r="BB1109" s="114"/>
      <c r="BC1109" s="114"/>
      <c r="BD1109" s="114"/>
      <c r="BE1109" s="114"/>
    </row>
    <row r="1110">
      <c r="A1110" s="114"/>
      <c r="B1110" s="114"/>
      <c r="C1110" s="114"/>
      <c r="D1110" s="114"/>
      <c r="E1110" s="114"/>
      <c r="F1110" s="114"/>
      <c r="G1110" s="114"/>
      <c r="H1110" s="114"/>
      <c r="I1110" s="114"/>
      <c r="J1110" s="114"/>
      <c r="K1110" s="114"/>
      <c r="L1110" s="114"/>
      <c r="M1110" s="114"/>
      <c r="N1110" s="114"/>
      <c r="O1110" s="114"/>
      <c r="P1110" s="114"/>
      <c r="Q1110" s="114"/>
      <c r="R1110" s="114"/>
      <c r="S1110" s="114"/>
      <c r="T1110" s="114"/>
      <c r="U1110" s="114"/>
      <c r="V1110" s="114"/>
      <c r="W1110" s="114"/>
      <c r="X1110" s="115"/>
      <c r="Y1110" s="114"/>
      <c r="Z1110" s="117" t="s">
        <v>6763</v>
      </c>
      <c r="AA1110" s="117" t="s">
        <v>5384</v>
      </c>
      <c r="AB1110" s="114"/>
      <c r="AC1110" s="114"/>
      <c r="AD1110" s="114"/>
      <c r="AE1110" s="114"/>
      <c r="AF1110" s="114"/>
      <c r="AG1110" s="114"/>
      <c r="AH1110" s="114"/>
      <c r="AI1110" s="116"/>
      <c r="AJ1110" s="114"/>
      <c r="AK1110" s="114"/>
      <c r="AL1110" s="114"/>
      <c r="AM1110" s="114"/>
      <c r="AN1110" s="114"/>
      <c r="AO1110" s="114"/>
      <c r="AP1110" s="114"/>
      <c r="AQ1110" s="114"/>
      <c r="AR1110" s="114"/>
      <c r="AS1110" s="114"/>
      <c r="AT1110" s="114"/>
      <c r="AU1110" s="114"/>
      <c r="AV1110" s="114"/>
      <c r="AW1110" s="114"/>
      <c r="AX1110" s="114"/>
      <c r="AY1110" s="114"/>
      <c r="AZ1110" s="114"/>
      <c r="BA1110" s="114"/>
      <c r="BB1110" s="114"/>
      <c r="BC1110" s="114"/>
      <c r="BD1110" s="114"/>
      <c r="BE1110" s="114"/>
    </row>
    <row r="1111">
      <c r="A1111" s="114"/>
      <c r="B1111" s="114"/>
      <c r="C1111" s="114"/>
      <c r="D1111" s="114"/>
      <c r="E1111" s="114"/>
      <c r="F1111" s="114"/>
      <c r="G1111" s="114"/>
      <c r="H1111" s="114"/>
      <c r="I1111" s="114"/>
      <c r="J1111" s="114"/>
      <c r="K1111" s="114"/>
      <c r="L1111" s="114"/>
      <c r="M1111" s="114"/>
      <c r="N1111" s="114"/>
      <c r="O1111" s="114"/>
      <c r="P1111" s="114"/>
      <c r="Q1111" s="114"/>
      <c r="R1111" s="114"/>
      <c r="S1111" s="114"/>
      <c r="T1111" s="114"/>
      <c r="U1111" s="114"/>
      <c r="V1111" s="114"/>
      <c r="W1111" s="114"/>
      <c r="X1111" s="115"/>
      <c r="Y1111" s="114"/>
      <c r="Z1111" s="117" t="s">
        <v>6764</v>
      </c>
      <c r="AA1111" s="117" t="s">
        <v>5394</v>
      </c>
      <c r="AB1111" s="114"/>
      <c r="AC1111" s="114"/>
      <c r="AD1111" s="114"/>
      <c r="AE1111" s="114"/>
      <c r="AF1111" s="114"/>
      <c r="AG1111" s="114"/>
      <c r="AH1111" s="114"/>
      <c r="AI1111" s="116"/>
      <c r="AJ1111" s="114"/>
      <c r="AK1111" s="114"/>
      <c r="AL1111" s="114"/>
      <c r="AM1111" s="114"/>
      <c r="AN1111" s="114"/>
      <c r="AO1111" s="114"/>
      <c r="AP1111" s="114"/>
      <c r="AQ1111" s="114"/>
      <c r="AR1111" s="114"/>
      <c r="AS1111" s="114"/>
      <c r="AT1111" s="114"/>
      <c r="AU1111" s="114"/>
      <c r="AV1111" s="114"/>
      <c r="AW1111" s="114"/>
      <c r="AX1111" s="114"/>
      <c r="AY1111" s="114"/>
      <c r="AZ1111" s="114"/>
      <c r="BA1111" s="114"/>
      <c r="BB1111" s="114"/>
      <c r="BC1111" s="114"/>
      <c r="BD1111" s="114"/>
      <c r="BE1111" s="114"/>
    </row>
    <row r="1112">
      <c r="A1112" s="114"/>
      <c r="B1112" s="114"/>
      <c r="C1112" s="114"/>
      <c r="D1112" s="114"/>
      <c r="E1112" s="114"/>
      <c r="F1112" s="114"/>
      <c r="G1112" s="114"/>
      <c r="H1112" s="114"/>
      <c r="I1112" s="114"/>
      <c r="J1112" s="114"/>
      <c r="K1112" s="114"/>
      <c r="L1112" s="114"/>
      <c r="M1112" s="114"/>
      <c r="N1112" s="114"/>
      <c r="O1112" s="114"/>
      <c r="P1112" s="114"/>
      <c r="Q1112" s="114"/>
      <c r="R1112" s="114"/>
      <c r="S1112" s="114"/>
      <c r="T1112" s="114"/>
      <c r="U1112" s="114"/>
      <c r="V1112" s="114"/>
      <c r="W1112" s="114"/>
      <c r="X1112" s="115"/>
      <c r="Y1112" s="114"/>
      <c r="Z1112" s="117" t="s">
        <v>6765</v>
      </c>
      <c r="AA1112" s="117" t="s">
        <v>5396</v>
      </c>
      <c r="AB1112" s="114"/>
      <c r="AC1112" s="114"/>
      <c r="AD1112" s="114"/>
      <c r="AE1112" s="114"/>
      <c r="AF1112" s="114"/>
      <c r="AG1112" s="114"/>
      <c r="AH1112" s="114"/>
      <c r="AI1112" s="116"/>
      <c r="AJ1112" s="114"/>
      <c r="AK1112" s="114"/>
      <c r="AL1112" s="114"/>
      <c r="AM1112" s="114"/>
      <c r="AN1112" s="114"/>
      <c r="AO1112" s="114"/>
      <c r="AP1112" s="114"/>
      <c r="AQ1112" s="114"/>
      <c r="AR1112" s="114"/>
      <c r="AS1112" s="114"/>
      <c r="AT1112" s="114"/>
      <c r="AU1112" s="114"/>
      <c r="AV1112" s="114"/>
      <c r="AW1112" s="114"/>
      <c r="AX1112" s="114"/>
      <c r="AY1112" s="114"/>
      <c r="AZ1112" s="114"/>
      <c r="BA1112" s="114"/>
      <c r="BB1112" s="114"/>
      <c r="BC1112" s="114"/>
      <c r="BD1112" s="114"/>
      <c r="BE1112" s="114"/>
    </row>
    <row r="1113">
      <c r="A1113" s="114"/>
      <c r="B1113" s="114"/>
      <c r="C1113" s="114"/>
      <c r="D1113" s="114"/>
      <c r="E1113" s="114"/>
      <c r="F1113" s="114"/>
      <c r="G1113" s="114"/>
      <c r="H1113" s="114"/>
      <c r="I1113" s="114"/>
      <c r="J1113" s="114"/>
      <c r="K1113" s="114"/>
      <c r="L1113" s="114"/>
      <c r="M1113" s="114"/>
      <c r="N1113" s="114"/>
      <c r="O1113" s="114"/>
      <c r="P1113" s="114"/>
      <c r="Q1113" s="114"/>
      <c r="R1113" s="114"/>
      <c r="S1113" s="114"/>
      <c r="T1113" s="114"/>
      <c r="U1113" s="114"/>
      <c r="V1113" s="114"/>
      <c r="W1113" s="114"/>
      <c r="X1113" s="115"/>
      <c r="Y1113" s="114"/>
      <c r="Z1113" s="117" t="s">
        <v>6766</v>
      </c>
      <c r="AA1113" s="117" t="s">
        <v>5397</v>
      </c>
      <c r="AB1113" s="114"/>
      <c r="AC1113" s="114"/>
      <c r="AD1113" s="114"/>
      <c r="AE1113" s="114"/>
      <c r="AF1113" s="114"/>
      <c r="AG1113" s="114"/>
      <c r="AH1113" s="114"/>
      <c r="AI1113" s="116"/>
      <c r="AJ1113" s="114"/>
      <c r="AK1113" s="114"/>
      <c r="AL1113" s="114"/>
      <c r="AM1113" s="114"/>
      <c r="AN1113" s="114"/>
      <c r="AO1113" s="114"/>
      <c r="AP1113" s="114"/>
      <c r="AQ1113" s="114"/>
      <c r="AR1113" s="114"/>
      <c r="AS1113" s="114"/>
      <c r="AT1113" s="114"/>
      <c r="AU1113" s="114"/>
      <c r="AV1113" s="114"/>
      <c r="AW1113" s="114"/>
      <c r="AX1113" s="114"/>
      <c r="AY1113" s="114"/>
      <c r="AZ1113" s="114"/>
      <c r="BA1113" s="114"/>
      <c r="BB1113" s="114"/>
      <c r="BC1113" s="114"/>
      <c r="BD1113" s="114"/>
      <c r="BE1113" s="114"/>
    </row>
    <row r="1114">
      <c r="A1114" s="114"/>
      <c r="B1114" s="114"/>
      <c r="C1114" s="114"/>
      <c r="D1114" s="114"/>
      <c r="E1114" s="114"/>
      <c r="F1114" s="114"/>
      <c r="G1114" s="114"/>
      <c r="H1114" s="114"/>
      <c r="I1114" s="114"/>
      <c r="J1114" s="114"/>
      <c r="K1114" s="114"/>
      <c r="L1114" s="114"/>
      <c r="M1114" s="114"/>
      <c r="N1114" s="114"/>
      <c r="O1114" s="114"/>
      <c r="P1114" s="114"/>
      <c r="Q1114" s="114"/>
      <c r="R1114" s="114"/>
      <c r="S1114" s="114"/>
      <c r="T1114" s="114"/>
      <c r="U1114" s="114"/>
      <c r="V1114" s="114"/>
      <c r="W1114" s="114"/>
      <c r="X1114" s="115"/>
      <c r="Y1114" s="114"/>
      <c r="Z1114" s="117" t="s">
        <v>6767</v>
      </c>
      <c r="AA1114" s="117" t="s">
        <v>5395</v>
      </c>
      <c r="AB1114" s="114"/>
      <c r="AC1114" s="114"/>
      <c r="AD1114" s="114"/>
      <c r="AE1114" s="114"/>
      <c r="AF1114" s="114"/>
      <c r="AG1114" s="114"/>
      <c r="AH1114" s="114"/>
      <c r="AI1114" s="116"/>
      <c r="AJ1114" s="114"/>
      <c r="AK1114" s="114"/>
      <c r="AL1114" s="114"/>
      <c r="AM1114" s="114"/>
      <c r="AN1114" s="114"/>
      <c r="AO1114" s="114"/>
      <c r="AP1114" s="114"/>
      <c r="AQ1114" s="114"/>
      <c r="AR1114" s="114"/>
      <c r="AS1114" s="114"/>
      <c r="AT1114" s="114"/>
      <c r="AU1114" s="114"/>
      <c r="AV1114" s="114"/>
      <c r="AW1114" s="114"/>
      <c r="AX1114" s="114"/>
      <c r="AY1114" s="114"/>
      <c r="AZ1114" s="114"/>
      <c r="BA1114" s="114"/>
      <c r="BB1114" s="114"/>
      <c r="BC1114" s="114"/>
      <c r="BD1114" s="114"/>
      <c r="BE1114" s="114"/>
    </row>
    <row r="1115">
      <c r="A1115" s="114"/>
      <c r="B1115" s="114"/>
      <c r="C1115" s="114"/>
      <c r="D1115" s="114"/>
      <c r="E1115" s="114"/>
      <c r="F1115" s="114"/>
      <c r="G1115" s="114"/>
      <c r="H1115" s="114"/>
      <c r="I1115" s="114"/>
      <c r="J1115" s="114"/>
      <c r="K1115" s="114"/>
      <c r="L1115" s="114"/>
      <c r="M1115" s="114"/>
      <c r="N1115" s="114"/>
      <c r="O1115" s="114"/>
      <c r="P1115" s="114"/>
      <c r="Q1115" s="114"/>
      <c r="R1115" s="114"/>
      <c r="S1115" s="114"/>
      <c r="T1115" s="114"/>
      <c r="U1115" s="114"/>
      <c r="V1115" s="114"/>
      <c r="W1115" s="114"/>
      <c r="X1115" s="115"/>
      <c r="Y1115" s="114"/>
      <c r="Z1115" s="117" t="s">
        <v>6768</v>
      </c>
      <c r="AA1115" s="117" t="s">
        <v>5406</v>
      </c>
      <c r="AB1115" s="114"/>
      <c r="AC1115" s="114"/>
      <c r="AD1115" s="114"/>
      <c r="AE1115" s="114"/>
      <c r="AF1115" s="114"/>
      <c r="AG1115" s="114"/>
      <c r="AH1115" s="114"/>
      <c r="AI1115" s="116"/>
      <c r="AJ1115" s="114"/>
      <c r="AK1115" s="114"/>
      <c r="AL1115" s="114"/>
      <c r="AM1115" s="114"/>
      <c r="AN1115" s="114"/>
      <c r="AO1115" s="114"/>
      <c r="AP1115" s="114"/>
      <c r="AQ1115" s="114"/>
      <c r="AR1115" s="114"/>
      <c r="AS1115" s="114"/>
      <c r="AT1115" s="114"/>
      <c r="AU1115" s="114"/>
      <c r="AV1115" s="114"/>
      <c r="AW1115" s="114"/>
      <c r="AX1115" s="114"/>
      <c r="AY1115" s="114"/>
      <c r="AZ1115" s="114"/>
      <c r="BA1115" s="114"/>
      <c r="BB1115" s="114"/>
      <c r="BC1115" s="114"/>
      <c r="BD1115" s="114"/>
      <c r="BE1115" s="114"/>
    </row>
    <row r="1116">
      <c r="A1116" s="114"/>
      <c r="B1116" s="114"/>
      <c r="C1116" s="114"/>
      <c r="D1116" s="114"/>
      <c r="E1116" s="114"/>
      <c r="F1116" s="114"/>
      <c r="G1116" s="114"/>
      <c r="H1116" s="114"/>
      <c r="I1116" s="114"/>
      <c r="J1116" s="114"/>
      <c r="K1116" s="114"/>
      <c r="L1116" s="114"/>
      <c r="M1116" s="114"/>
      <c r="N1116" s="114"/>
      <c r="O1116" s="114"/>
      <c r="P1116" s="114"/>
      <c r="Q1116" s="114"/>
      <c r="R1116" s="114"/>
      <c r="S1116" s="114"/>
      <c r="T1116" s="114"/>
      <c r="U1116" s="114"/>
      <c r="V1116" s="114"/>
      <c r="W1116" s="114"/>
      <c r="X1116" s="115"/>
      <c r="Y1116" s="114"/>
      <c r="Z1116" s="117" t="s">
        <v>6769</v>
      </c>
      <c r="AA1116" s="117" t="s">
        <v>5408</v>
      </c>
      <c r="AB1116" s="114"/>
      <c r="AC1116" s="114"/>
      <c r="AD1116" s="114"/>
      <c r="AE1116" s="114"/>
      <c r="AF1116" s="114"/>
      <c r="AG1116" s="114"/>
      <c r="AH1116" s="114"/>
      <c r="AI1116" s="116"/>
      <c r="AJ1116" s="114"/>
      <c r="AK1116" s="114"/>
      <c r="AL1116" s="114"/>
      <c r="AM1116" s="114"/>
      <c r="AN1116" s="114"/>
      <c r="AO1116" s="114"/>
      <c r="AP1116" s="114"/>
      <c r="AQ1116" s="114"/>
      <c r="AR1116" s="114"/>
      <c r="AS1116" s="114"/>
      <c r="AT1116" s="114"/>
      <c r="AU1116" s="114"/>
      <c r="AV1116" s="114"/>
      <c r="AW1116" s="114"/>
      <c r="AX1116" s="114"/>
      <c r="AY1116" s="114"/>
      <c r="AZ1116" s="114"/>
      <c r="BA1116" s="114"/>
      <c r="BB1116" s="114"/>
      <c r="BC1116" s="114"/>
      <c r="BD1116" s="114"/>
      <c r="BE1116" s="114"/>
    </row>
    <row r="1117">
      <c r="A1117" s="114"/>
      <c r="B1117" s="114"/>
      <c r="C1117" s="114"/>
      <c r="D1117" s="114"/>
      <c r="E1117" s="114"/>
      <c r="F1117" s="114"/>
      <c r="G1117" s="114"/>
      <c r="H1117" s="114"/>
      <c r="I1117" s="114"/>
      <c r="J1117" s="114"/>
      <c r="K1117" s="114"/>
      <c r="L1117" s="114"/>
      <c r="M1117" s="114"/>
      <c r="N1117" s="114"/>
      <c r="O1117" s="114"/>
      <c r="P1117" s="114"/>
      <c r="Q1117" s="114"/>
      <c r="R1117" s="114"/>
      <c r="S1117" s="114"/>
      <c r="T1117" s="114"/>
      <c r="U1117" s="114"/>
      <c r="V1117" s="114"/>
      <c r="W1117" s="114"/>
      <c r="X1117" s="115"/>
      <c r="Y1117" s="114"/>
      <c r="Z1117" s="117" t="s">
        <v>6770</v>
      </c>
      <c r="AA1117" s="117" t="s">
        <v>5409</v>
      </c>
      <c r="AB1117" s="114"/>
      <c r="AC1117" s="114"/>
      <c r="AD1117" s="114"/>
      <c r="AE1117" s="114"/>
      <c r="AF1117" s="114"/>
      <c r="AG1117" s="114"/>
      <c r="AH1117" s="114"/>
      <c r="AI1117" s="116"/>
      <c r="AJ1117" s="114"/>
      <c r="AK1117" s="114"/>
      <c r="AL1117" s="114"/>
      <c r="AM1117" s="114"/>
      <c r="AN1117" s="114"/>
      <c r="AO1117" s="114"/>
      <c r="AP1117" s="114"/>
      <c r="AQ1117" s="114"/>
      <c r="AR1117" s="114"/>
      <c r="AS1117" s="114"/>
      <c r="AT1117" s="114"/>
      <c r="AU1117" s="114"/>
      <c r="AV1117" s="114"/>
      <c r="AW1117" s="114"/>
      <c r="AX1117" s="114"/>
      <c r="AY1117" s="114"/>
      <c r="AZ1117" s="114"/>
      <c r="BA1117" s="114"/>
      <c r="BB1117" s="114"/>
      <c r="BC1117" s="114"/>
      <c r="BD1117" s="114"/>
      <c r="BE1117" s="114"/>
    </row>
    <row r="1118">
      <c r="A1118" s="114"/>
      <c r="B1118" s="114"/>
      <c r="C1118" s="114"/>
      <c r="D1118" s="114"/>
      <c r="E1118" s="114"/>
      <c r="F1118" s="114"/>
      <c r="G1118" s="114"/>
      <c r="H1118" s="114"/>
      <c r="I1118" s="114"/>
      <c r="J1118" s="114"/>
      <c r="K1118" s="114"/>
      <c r="L1118" s="114"/>
      <c r="M1118" s="114"/>
      <c r="N1118" s="114"/>
      <c r="O1118" s="114"/>
      <c r="P1118" s="114"/>
      <c r="Q1118" s="114"/>
      <c r="R1118" s="114"/>
      <c r="S1118" s="114"/>
      <c r="T1118" s="114"/>
      <c r="U1118" s="114"/>
      <c r="V1118" s="114"/>
      <c r="W1118" s="114"/>
      <c r="X1118" s="115"/>
      <c r="Y1118" s="114"/>
      <c r="Z1118" s="117" t="s">
        <v>6771</v>
      </c>
      <c r="AA1118" s="117" t="s">
        <v>5407</v>
      </c>
      <c r="AB1118" s="114"/>
      <c r="AC1118" s="114"/>
      <c r="AD1118" s="114"/>
      <c r="AE1118" s="114"/>
      <c r="AF1118" s="114"/>
      <c r="AG1118" s="114"/>
      <c r="AH1118" s="114"/>
      <c r="AI1118" s="116"/>
      <c r="AJ1118" s="114"/>
      <c r="AK1118" s="114"/>
      <c r="AL1118" s="114"/>
      <c r="AM1118" s="114"/>
      <c r="AN1118" s="114"/>
      <c r="AO1118" s="114"/>
      <c r="AP1118" s="114"/>
      <c r="AQ1118" s="114"/>
      <c r="AR1118" s="114"/>
      <c r="AS1118" s="114"/>
      <c r="AT1118" s="114"/>
      <c r="AU1118" s="114"/>
      <c r="AV1118" s="114"/>
      <c r="AW1118" s="114"/>
      <c r="AX1118" s="114"/>
      <c r="AY1118" s="114"/>
      <c r="AZ1118" s="114"/>
      <c r="BA1118" s="114"/>
      <c r="BB1118" s="114"/>
      <c r="BC1118" s="114"/>
      <c r="BD1118" s="114"/>
      <c r="BE1118" s="114"/>
    </row>
    <row r="1119">
      <c r="A1119" s="114"/>
      <c r="B1119" s="114"/>
      <c r="C1119" s="114"/>
      <c r="D1119" s="114"/>
      <c r="E1119" s="114"/>
      <c r="F1119" s="114"/>
      <c r="G1119" s="114"/>
      <c r="H1119" s="114"/>
      <c r="I1119" s="114"/>
      <c r="J1119" s="114"/>
      <c r="K1119" s="114"/>
      <c r="L1119" s="114"/>
      <c r="M1119" s="114"/>
      <c r="N1119" s="114"/>
      <c r="O1119" s="114"/>
      <c r="P1119" s="114"/>
      <c r="Q1119" s="114"/>
      <c r="R1119" s="114"/>
      <c r="S1119" s="114"/>
      <c r="T1119" s="114"/>
      <c r="U1119" s="114"/>
      <c r="V1119" s="114"/>
      <c r="W1119" s="114"/>
      <c r="X1119" s="115"/>
      <c r="Y1119" s="114"/>
      <c r="Z1119" s="117" t="s">
        <v>6772</v>
      </c>
      <c r="AA1119" s="117" t="s">
        <v>5417</v>
      </c>
      <c r="AB1119" s="114"/>
      <c r="AC1119" s="114"/>
      <c r="AD1119" s="114"/>
      <c r="AE1119" s="114"/>
      <c r="AF1119" s="114"/>
      <c r="AG1119" s="114"/>
      <c r="AH1119" s="114"/>
      <c r="AI1119" s="116"/>
      <c r="AJ1119" s="114"/>
      <c r="AK1119" s="114"/>
      <c r="AL1119" s="114"/>
      <c r="AM1119" s="114"/>
      <c r="AN1119" s="114"/>
      <c r="AO1119" s="114"/>
      <c r="AP1119" s="114"/>
      <c r="AQ1119" s="114"/>
      <c r="AR1119" s="114"/>
      <c r="AS1119" s="114"/>
      <c r="AT1119" s="114"/>
      <c r="AU1119" s="114"/>
      <c r="AV1119" s="114"/>
      <c r="AW1119" s="114"/>
      <c r="AX1119" s="114"/>
      <c r="AY1119" s="114"/>
      <c r="AZ1119" s="114"/>
      <c r="BA1119" s="114"/>
      <c r="BB1119" s="114"/>
      <c r="BC1119" s="114"/>
      <c r="BD1119" s="114"/>
      <c r="BE1119" s="114"/>
    </row>
    <row r="1120">
      <c r="A1120" s="114"/>
      <c r="B1120" s="114"/>
      <c r="C1120" s="114"/>
      <c r="D1120" s="114"/>
      <c r="E1120" s="114"/>
      <c r="F1120" s="114"/>
      <c r="G1120" s="114"/>
      <c r="H1120" s="114"/>
      <c r="I1120" s="114"/>
      <c r="J1120" s="114"/>
      <c r="K1120" s="114"/>
      <c r="L1120" s="114"/>
      <c r="M1120" s="114"/>
      <c r="N1120" s="114"/>
      <c r="O1120" s="114"/>
      <c r="P1120" s="114"/>
      <c r="Q1120" s="114"/>
      <c r="R1120" s="114"/>
      <c r="S1120" s="114"/>
      <c r="T1120" s="114"/>
      <c r="U1120" s="114"/>
      <c r="V1120" s="114"/>
      <c r="W1120" s="114"/>
      <c r="X1120" s="115"/>
      <c r="Y1120" s="114"/>
      <c r="Z1120" s="117" t="s">
        <v>6773</v>
      </c>
      <c r="AA1120" s="117" t="s">
        <v>5419</v>
      </c>
      <c r="AB1120" s="114"/>
      <c r="AC1120" s="114"/>
      <c r="AD1120" s="114"/>
      <c r="AE1120" s="114"/>
      <c r="AF1120" s="114"/>
      <c r="AG1120" s="114"/>
      <c r="AH1120" s="114"/>
      <c r="AI1120" s="116"/>
      <c r="AJ1120" s="114"/>
      <c r="AK1120" s="114"/>
      <c r="AL1120" s="114"/>
      <c r="AM1120" s="114"/>
      <c r="AN1120" s="114"/>
      <c r="AO1120" s="114"/>
      <c r="AP1120" s="114"/>
      <c r="AQ1120" s="114"/>
      <c r="AR1120" s="114"/>
      <c r="AS1120" s="114"/>
      <c r="AT1120" s="114"/>
      <c r="AU1120" s="114"/>
      <c r="AV1120" s="114"/>
      <c r="AW1120" s="114"/>
      <c r="AX1120" s="114"/>
      <c r="AY1120" s="114"/>
      <c r="AZ1120" s="114"/>
      <c r="BA1120" s="114"/>
      <c r="BB1120" s="114"/>
      <c r="BC1120" s="114"/>
      <c r="BD1120" s="114"/>
      <c r="BE1120" s="114"/>
    </row>
    <row r="1121">
      <c r="A1121" s="114"/>
      <c r="B1121" s="114"/>
      <c r="C1121" s="114"/>
      <c r="D1121" s="114"/>
      <c r="E1121" s="114"/>
      <c r="F1121" s="114"/>
      <c r="G1121" s="114"/>
      <c r="H1121" s="114"/>
      <c r="I1121" s="114"/>
      <c r="J1121" s="114"/>
      <c r="K1121" s="114"/>
      <c r="L1121" s="114"/>
      <c r="M1121" s="114"/>
      <c r="N1121" s="114"/>
      <c r="O1121" s="114"/>
      <c r="P1121" s="114"/>
      <c r="Q1121" s="114"/>
      <c r="R1121" s="114"/>
      <c r="S1121" s="114"/>
      <c r="T1121" s="114"/>
      <c r="U1121" s="114"/>
      <c r="V1121" s="114"/>
      <c r="W1121" s="114"/>
      <c r="X1121" s="115"/>
      <c r="Y1121" s="114"/>
      <c r="Z1121" s="117" t="s">
        <v>6774</v>
      </c>
      <c r="AA1121" s="117" t="s">
        <v>5420</v>
      </c>
      <c r="AB1121" s="114"/>
      <c r="AC1121" s="114"/>
      <c r="AD1121" s="114"/>
      <c r="AE1121" s="114"/>
      <c r="AF1121" s="114"/>
      <c r="AG1121" s="114"/>
      <c r="AH1121" s="114"/>
      <c r="AI1121" s="116"/>
      <c r="AJ1121" s="114"/>
      <c r="AK1121" s="114"/>
      <c r="AL1121" s="114"/>
      <c r="AM1121" s="114"/>
      <c r="AN1121" s="114"/>
      <c r="AO1121" s="114"/>
      <c r="AP1121" s="114"/>
      <c r="AQ1121" s="114"/>
      <c r="AR1121" s="114"/>
      <c r="AS1121" s="114"/>
      <c r="AT1121" s="114"/>
      <c r="AU1121" s="114"/>
      <c r="AV1121" s="114"/>
      <c r="AW1121" s="114"/>
      <c r="AX1121" s="114"/>
      <c r="AY1121" s="114"/>
      <c r="AZ1121" s="114"/>
      <c r="BA1121" s="114"/>
      <c r="BB1121" s="114"/>
      <c r="BC1121" s="114"/>
      <c r="BD1121" s="114"/>
      <c r="BE1121" s="114"/>
    </row>
    <row r="1122">
      <c r="A1122" s="114"/>
      <c r="B1122" s="114"/>
      <c r="C1122" s="114"/>
      <c r="D1122" s="114"/>
      <c r="E1122" s="114"/>
      <c r="F1122" s="114"/>
      <c r="G1122" s="114"/>
      <c r="H1122" s="114"/>
      <c r="I1122" s="114"/>
      <c r="J1122" s="114"/>
      <c r="K1122" s="114"/>
      <c r="L1122" s="114"/>
      <c r="M1122" s="114"/>
      <c r="N1122" s="114"/>
      <c r="O1122" s="114"/>
      <c r="P1122" s="114"/>
      <c r="Q1122" s="114"/>
      <c r="R1122" s="114"/>
      <c r="S1122" s="114"/>
      <c r="T1122" s="114"/>
      <c r="U1122" s="114"/>
      <c r="V1122" s="114"/>
      <c r="W1122" s="114"/>
      <c r="X1122" s="115"/>
      <c r="Y1122" s="114"/>
      <c r="Z1122" s="117" t="s">
        <v>6775</v>
      </c>
      <c r="AA1122" s="117" t="s">
        <v>5418</v>
      </c>
      <c r="AB1122" s="114"/>
      <c r="AC1122" s="114"/>
      <c r="AD1122" s="114"/>
      <c r="AE1122" s="114"/>
      <c r="AF1122" s="114"/>
      <c r="AG1122" s="114"/>
      <c r="AH1122" s="114"/>
      <c r="AI1122" s="116"/>
      <c r="AJ1122" s="114"/>
      <c r="AK1122" s="114"/>
      <c r="AL1122" s="114"/>
      <c r="AM1122" s="114"/>
      <c r="AN1122" s="114"/>
      <c r="AO1122" s="114"/>
      <c r="AP1122" s="114"/>
      <c r="AQ1122" s="114"/>
      <c r="AR1122" s="114"/>
      <c r="AS1122" s="114"/>
      <c r="AT1122" s="114"/>
      <c r="AU1122" s="114"/>
      <c r="AV1122" s="114"/>
      <c r="AW1122" s="114"/>
      <c r="AX1122" s="114"/>
      <c r="AY1122" s="114"/>
      <c r="AZ1122" s="114"/>
      <c r="BA1122" s="114"/>
      <c r="BB1122" s="114"/>
      <c r="BC1122" s="114"/>
      <c r="BD1122" s="114"/>
      <c r="BE1122" s="114"/>
    </row>
    <row r="1123">
      <c r="A1123" s="114"/>
      <c r="B1123" s="114"/>
      <c r="C1123" s="114"/>
      <c r="D1123" s="114"/>
      <c r="E1123" s="114"/>
      <c r="F1123" s="114"/>
      <c r="G1123" s="114"/>
      <c r="H1123" s="114"/>
      <c r="I1123" s="114"/>
      <c r="J1123" s="114"/>
      <c r="K1123" s="114"/>
      <c r="L1123" s="114"/>
      <c r="M1123" s="114"/>
      <c r="N1123" s="114"/>
      <c r="O1123" s="114"/>
      <c r="P1123" s="114"/>
      <c r="Q1123" s="114"/>
      <c r="R1123" s="114"/>
      <c r="S1123" s="114"/>
      <c r="T1123" s="114"/>
      <c r="U1123" s="114"/>
      <c r="V1123" s="114"/>
      <c r="W1123" s="114"/>
      <c r="X1123" s="115"/>
      <c r="Y1123" s="114"/>
      <c r="Z1123" s="117" t="s">
        <v>6776</v>
      </c>
      <c r="AA1123" s="117" t="s">
        <v>5428</v>
      </c>
      <c r="AB1123" s="114"/>
      <c r="AC1123" s="114"/>
      <c r="AD1123" s="114"/>
      <c r="AE1123" s="114"/>
      <c r="AF1123" s="114"/>
      <c r="AG1123" s="114"/>
      <c r="AH1123" s="114"/>
      <c r="AI1123" s="116"/>
      <c r="AJ1123" s="114"/>
      <c r="AK1123" s="114"/>
      <c r="AL1123" s="114"/>
      <c r="AM1123" s="114"/>
      <c r="AN1123" s="114"/>
      <c r="AO1123" s="114"/>
      <c r="AP1123" s="114"/>
      <c r="AQ1123" s="114"/>
      <c r="AR1123" s="114"/>
      <c r="AS1123" s="114"/>
      <c r="AT1123" s="114"/>
      <c r="AU1123" s="114"/>
      <c r="AV1123" s="114"/>
      <c r="AW1123" s="114"/>
      <c r="AX1123" s="114"/>
      <c r="AY1123" s="114"/>
      <c r="AZ1123" s="114"/>
      <c r="BA1123" s="114"/>
      <c r="BB1123" s="114"/>
      <c r="BC1123" s="114"/>
      <c r="BD1123" s="114"/>
      <c r="BE1123" s="114"/>
    </row>
    <row r="1124">
      <c r="A1124" s="114"/>
      <c r="B1124" s="114"/>
      <c r="C1124" s="114"/>
      <c r="D1124" s="114"/>
      <c r="E1124" s="114"/>
      <c r="F1124" s="114"/>
      <c r="G1124" s="114"/>
      <c r="H1124" s="114"/>
      <c r="I1124" s="114"/>
      <c r="J1124" s="114"/>
      <c r="K1124" s="114"/>
      <c r="L1124" s="114"/>
      <c r="M1124" s="114"/>
      <c r="N1124" s="114"/>
      <c r="O1124" s="114"/>
      <c r="P1124" s="114"/>
      <c r="Q1124" s="114"/>
      <c r="R1124" s="114"/>
      <c r="S1124" s="114"/>
      <c r="T1124" s="114"/>
      <c r="U1124" s="114"/>
      <c r="V1124" s="114"/>
      <c r="W1124" s="114"/>
      <c r="X1124" s="115"/>
      <c r="Y1124" s="114"/>
      <c r="Z1124" s="117" t="s">
        <v>6777</v>
      </c>
      <c r="AA1124" s="117" t="s">
        <v>5430</v>
      </c>
      <c r="AB1124" s="114"/>
      <c r="AC1124" s="114"/>
      <c r="AD1124" s="114"/>
      <c r="AE1124" s="114"/>
      <c r="AF1124" s="114"/>
      <c r="AG1124" s="114"/>
      <c r="AH1124" s="114"/>
      <c r="AI1124" s="116"/>
      <c r="AJ1124" s="114"/>
      <c r="AK1124" s="114"/>
      <c r="AL1124" s="114"/>
      <c r="AM1124" s="114"/>
      <c r="AN1124" s="114"/>
      <c r="AO1124" s="114"/>
      <c r="AP1124" s="114"/>
      <c r="AQ1124" s="114"/>
      <c r="AR1124" s="114"/>
      <c r="AS1124" s="114"/>
      <c r="AT1124" s="114"/>
      <c r="AU1124" s="114"/>
      <c r="AV1124" s="114"/>
      <c r="AW1124" s="114"/>
      <c r="AX1124" s="114"/>
      <c r="AY1124" s="114"/>
      <c r="AZ1124" s="114"/>
      <c r="BA1124" s="114"/>
      <c r="BB1124" s="114"/>
      <c r="BC1124" s="114"/>
      <c r="BD1124" s="114"/>
      <c r="BE1124" s="114"/>
    </row>
    <row r="1125">
      <c r="A1125" s="114"/>
      <c r="B1125" s="114"/>
      <c r="C1125" s="114"/>
      <c r="D1125" s="114"/>
      <c r="E1125" s="114"/>
      <c r="F1125" s="114"/>
      <c r="G1125" s="114"/>
      <c r="H1125" s="114"/>
      <c r="I1125" s="114"/>
      <c r="J1125" s="114"/>
      <c r="K1125" s="114"/>
      <c r="L1125" s="114"/>
      <c r="M1125" s="114"/>
      <c r="N1125" s="114"/>
      <c r="O1125" s="114"/>
      <c r="P1125" s="114"/>
      <c r="Q1125" s="114"/>
      <c r="R1125" s="114"/>
      <c r="S1125" s="114"/>
      <c r="T1125" s="114"/>
      <c r="U1125" s="114"/>
      <c r="V1125" s="114"/>
      <c r="W1125" s="114"/>
      <c r="X1125" s="115"/>
      <c r="Y1125" s="114"/>
      <c r="Z1125" s="117" t="s">
        <v>6778</v>
      </c>
      <c r="AA1125" s="117" t="s">
        <v>5431</v>
      </c>
      <c r="AB1125" s="114"/>
      <c r="AC1125" s="114"/>
      <c r="AD1125" s="114"/>
      <c r="AE1125" s="114"/>
      <c r="AF1125" s="114"/>
      <c r="AG1125" s="114"/>
      <c r="AH1125" s="114"/>
      <c r="AI1125" s="116"/>
      <c r="AJ1125" s="114"/>
      <c r="AK1125" s="114"/>
      <c r="AL1125" s="114"/>
      <c r="AM1125" s="114"/>
      <c r="AN1125" s="114"/>
      <c r="AO1125" s="114"/>
      <c r="AP1125" s="114"/>
      <c r="AQ1125" s="114"/>
      <c r="AR1125" s="114"/>
      <c r="AS1125" s="114"/>
      <c r="AT1125" s="114"/>
      <c r="AU1125" s="114"/>
      <c r="AV1125" s="114"/>
      <c r="AW1125" s="114"/>
      <c r="AX1125" s="114"/>
      <c r="AY1125" s="114"/>
      <c r="AZ1125" s="114"/>
      <c r="BA1125" s="114"/>
      <c r="BB1125" s="114"/>
      <c r="BC1125" s="114"/>
      <c r="BD1125" s="114"/>
      <c r="BE1125" s="114"/>
    </row>
    <row r="1126">
      <c r="A1126" s="114"/>
      <c r="B1126" s="114"/>
      <c r="C1126" s="114"/>
      <c r="D1126" s="114"/>
      <c r="E1126" s="114"/>
      <c r="F1126" s="114"/>
      <c r="G1126" s="114"/>
      <c r="H1126" s="114"/>
      <c r="I1126" s="114"/>
      <c r="J1126" s="114"/>
      <c r="K1126" s="114"/>
      <c r="L1126" s="114"/>
      <c r="M1126" s="114"/>
      <c r="N1126" s="114"/>
      <c r="O1126" s="114"/>
      <c r="P1126" s="114"/>
      <c r="Q1126" s="114"/>
      <c r="R1126" s="114"/>
      <c r="S1126" s="114"/>
      <c r="T1126" s="114"/>
      <c r="U1126" s="114"/>
      <c r="V1126" s="114"/>
      <c r="W1126" s="114"/>
      <c r="X1126" s="115"/>
      <c r="Y1126" s="114"/>
      <c r="Z1126" s="117" t="s">
        <v>6779</v>
      </c>
      <c r="AA1126" s="117" t="s">
        <v>5429</v>
      </c>
      <c r="AB1126" s="114"/>
      <c r="AC1126" s="114"/>
      <c r="AD1126" s="114"/>
      <c r="AE1126" s="114"/>
      <c r="AF1126" s="114"/>
      <c r="AG1126" s="114"/>
      <c r="AH1126" s="114"/>
      <c r="AI1126" s="116"/>
      <c r="AJ1126" s="114"/>
      <c r="AK1126" s="114"/>
      <c r="AL1126" s="114"/>
      <c r="AM1126" s="114"/>
      <c r="AN1126" s="114"/>
      <c r="AO1126" s="114"/>
      <c r="AP1126" s="114"/>
      <c r="AQ1126" s="114"/>
      <c r="AR1126" s="114"/>
      <c r="AS1126" s="114"/>
      <c r="AT1126" s="114"/>
      <c r="AU1126" s="114"/>
      <c r="AV1126" s="114"/>
      <c r="AW1126" s="114"/>
      <c r="AX1126" s="114"/>
      <c r="AY1126" s="114"/>
      <c r="AZ1126" s="114"/>
      <c r="BA1126" s="114"/>
      <c r="BB1126" s="114"/>
      <c r="BC1126" s="114"/>
      <c r="BD1126" s="114"/>
      <c r="BE1126" s="114"/>
    </row>
    <row r="1127">
      <c r="A1127" s="114"/>
      <c r="B1127" s="114"/>
      <c r="C1127" s="114"/>
      <c r="D1127" s="114"/>
      <c r="E1127" s="114"/>
      <c r="F1127" s="114"/>
      <c r="G1127" s="114"/>
      <c r="H1127" s="114"/>
      <c r="I1127" s="114"/>
      <c r="J1127" s="114"/>
      <c r="K1127" s="114"/>
      <c r="L1127" s="114"/>
      <c r="M1127" s="114"/>
      <c r="N1127" s="114"/>
      <c r="O1127" s="114"/>
      <c r="P1127" s="114"/>
      <c r="Q1127" s="114"/>
      <c r="R1127" s="114"/>
      <c r="S1127" s="114"/>
      <c r="T1127" s="114"/>
      <c r="U1127" s="114"/>
      <c r="V1127" s="114"/>
      <c r="W1127" s="114"/>
      <c r="X1127" s="115"/>
      <c r="Y1127" s="114"/>
      <c r="Z1127" s="117" t="s">
        <v>6780</v>
      </c>
      <c r="AA1127" s="117" t="s">
        <v>5439</v>
      </c>
      <c r="AB1127" s="114"/>
      <c r="AC1127" s="114"/>
      <c r="AD1127" s="114"/>
      <c r="AE1127" s="114"/>
      <c r="AF1127" s="114"/>
      <c r="AG1127" s="114"/>
      <c r="AH1127" s="114"/>
      <c r="AI1127" s="116"/>
      <c r="AJ1127" s="114"/>
      <c r="AK1127" s="114"/>
      <c r="AL1127" s="114"/>
      <c r="AM1127" s="114"/>
      <c r="AN1127" s="114"/>
      <c r="AO1127" s="114"/>
      <c r="AP1127" s="114"/>
      <c r="AQ1127" s="114"/>
      <c r="AR1127" s="114"/>
      <c r="AS1127" s="114"/>
      <c r="AT1127" s="114"/>
      <c r="AU1127" s="114"/>
      <c r="AV1127" s="114"/>
      <c r="AW1127" s="114"/>
      <c r="AX1127" s="114"/>
      <c r="AY1127" s="114"/>
      <c r="AZ1127" s="114"/>
      <c r="BA1127" s="114"/>
      <c r="BB1127" s="114"/>
      <c r="BC1127" s="114"/>
      <c r="BD1127" s="114"/>
      <c r="BE1127" s="114"/>
    </row>
    <row r="1128">
      <c r="A1128" s="114"/>
      <c r="B1128" s="114"/>
      <c r="C1128" s="114"/>
      <c r="D1128" s="114"/>
      <c r="E1128" s="114"/>
      <c r="F1128" s="114"/>
      <c r="G1128" s="114"/>
      <c r="H1128" s="114"/>
      <c r="I1128" s="114"/>
      <c r="J1128" s="114"/>
      <c r="K1128" s="114"/>
      <c r="L1128" s="114"/>
      <c r="M1128" s="114"/>
      <c r="N1128" s="114"/>
      <c r="O1128" s="114"/>
      <c r="P1128" s="114"/>
      <c r="Q1128" s="114"/>
      <c r="R1128" s="114"/>
      <c r="S1128" s="114"/>
      <c r="T1128" s="114"/>
      <c r="U1128" s="114"/>
      <c r="V1128" s="114"/>
      <c r="W1128" s="114"/>
      <c r="X1128" s="115"/>
      <c r="Y1128" s="114"/>
      <c r="Z1128" s="117" t="s">
        <v>6781</v>
      </c>
      <c r="AA1128" s="117" t="s">
        <v>5441</v>
      </c>
      <c r="AB1128" s="114"/>
      <c r="AC1128" s="114"/>
      <c r="AD1128" s="114"/>
      <c r="AE1128" s="114"/>
      <c r="AF1128" s="114"/>
      <c r="AG1128" s="114"/>
      <c r="AH1128" s="114"/>
      <c r="AI1128" s="116"/>
      <c r="AJ1128" s="114"/>
      <c r="AK1128" s="114"/>
      <c r="AL1128" s="114"/>
      <c r="AM1128" s="114"/>
      <c r="AN1128" s="114"/>
      <c r="AO1128" s="114"/>
      <c r="AP1128" s="114"/>
      <c r="AQ1128" s="114"/>
      <c r="AR1128" s="114"/>
      <c r="AS1128" s="114"/>
      <c r="AT1128" s="114"/>
      <c r="AU1128" s="114"/>
      <c r="AV1128" s="114"/>
      <c r="AW1128" s="114"/>
      <c r="AX1128" s="114"/>
      <c r="AY1128" s="114"/>
      <c r="AZ1128" s="114"/>
      <c r="BA1128" s="114"/>
      <c r="BB1128" s="114"/>
      <c r="BC1128" s="114"/>
      <c r="BD1128" s="114"/>
      <c r="BE1128" s="114"/>
    </row>
    <row r="1129">
      <c r="A1129" s="114"/>
      <c r="B1129" s="114"/>
      <c r="C1129" s="114"/>
      <c r="D1129" s="114"/>
      <c r="E1129" s="114"/>
      <c r="F1129" s="114"/>
      <c r="G1129" s="114"/>
      <c r="H1129" s="114"/>
      <c r="I1129" s="114"/>
      <c r="J1129" s="114"/>
      <c r="K1129" s="114"/>
      <c r="L1129" s="114"/>
      <c r="M1129" s="114"/>
      <c r="N1129" s="114"/>
      <c r="O1129" s="114"/>
      <c r="P1129" s="114"/>
      <c r="Q1129" s="114"/>
      <c r="R1129" s="114"/>
      <c r="S1129" s="114"/>
      <c r="T1129" s="114"/>
      <c r="U1129" s="114"/>
      <c r="V1129" s="114"/>
      <c r="W1129" s="114"/>
      <c r="X1129" s="115"/>
      <c r="Y1129" s="114"/>
      <c r="Z1129" s="117" t="s">
        <v>6782</v>
      </c>
      <c r="AA1129" s="117" t="s">
        <v>5442</v>
      </c>
      <c r="AB1129" s="114"/>
      <c r="AC1129" s="114"/>
      <c r="AD1129" s="114"/>
      <c r="AE1129" s="114"/>
      <c r="AF1129" s="114"/>
      <c r="AG1129" s="114"/>
      <c r="AH1129" s="114"/>
      <c r="AI1129" s="116"/>
      <c r="AJ1129" s="114"/>
      <c r="AK1129" s="114"/>
      <c r="AL1129" s="114"/>
      <c r="AM1129" s="114"/>
      <c r="AN1129" s="114"/>
      <c r="AO1129" s="114"/>
      <c r="AP1129" s="114"/>
      <c r="AQ1129" s="114"/>
      <c r="AR1129" s="114"/>
      <c r="AS1129" s="114"/>
      <c r="AT1129" s="114"/>
      <c r="AU1129" s="114"/>
      <c r="AV1129" s="114"/>
      <c r="AW1129" s="114"/>
      <c r="AX1129" s="114"/>
      <c r="AY1129" s="114"/>
      <c r="AZ1129" s="114"/>
      <c r="BA1129" s="114"/>
      <c r="BB1129" s="114"/>
      <c r="BC1129" s="114"/>
      <c r="BD1129" s="114"/>
      <c r="BE1129" s="114"/>
    </row>
    <row r="1130">
      <c r="A1130" s="114"/>
      <c r="B1130" s="114"/>
      <c r="C1130" s="114"/>
      <c r="D1130" s="114"/>
      <c r="E1130" s="114"/>
      <c r="F1130" s="114"/>
      <c r="G1130" s="114"/>
      <c r="H1130" s="114"/>
      <c r="I1130" s="114"/>
      <c r="J1130" s="114"/>
      <c r="K1130" s="114"/>
      <c r="L1130" s="114"/>
      <c r="M1130" s="114"/>
      <c r="N1130" s="114"/>
      <c r="O1130" s="114"/>
      <c r="P1130" s="114"/>
      <c r="Q1130" s="114"/>
      <c r="R1130" s="114"/>
      <c r="S1130" s="114"/>
      <c r="T1130" s="114"/>
      <c r="U1130" s="114"/>
      <c r="V1130" s="114"/>
      <c r="W1130" s="114"/>
      <c r="X1130" s="115"/>
      <c r="Y1130" s="114"/>
      <c r="Z1130" s="117" t="s">
        <v>6783</v>
      </c>
      <c r="AA1130" s="117" t="s">
        <v>5440</v>
      </c>
      <c r="AB1130" s="114"/>
      <c r="AC1130" s="114"/>
      <c r="AD1130" s="114"/>
      <c r="AE1130" s="114"/>
      <c r="AF1130" s="114"/>
      <c r="AG1130" s="114"/>
      <c r="AH1130" s="114"/>
      <c r="AI1130" s="116"/>
      <c r="AJ1130" s="114"/>
      <c r="AK1130" s="114"/>
      <c r="AL1130" s="114"/>
      <c r="AM1130" s="114"/>
      <c r="AN1130" s="114"/>
      <c r="AO1130" s="114"/>
      <c r="AP1130" s="114"/>
      <c r="AQ1130" s="114"/>
      <c r="AR1130" s="114"/>
      <c r="AS1130" s="114"/>
      <c r="AT1130" s="114"/>
      <c r="AU1130" s="114"/>
      <c r="AV1130" s="114"/>
      <c r="AW1130" s="114"/>
      <c r="AX1130" s="114"/>
      <c r="AY1130" s="114"/>
      <c r="AZ1130" s="114"/>
      <c r="BA1130" s="114"/>
      <c r="BB1130" s="114"/>
      <c r="BC1130" s="114"/>
      <c r="BD1130" s="114"/>
      <c r="BE1130" s="114"/>
    </row>
    <row r="1131">
      <c r="A1131" s="114"/>
      <c r="B1131" s="114"/>
      <c r="C1131" s="114"/>
      <c r="D1131" s="114"/>
      <c r="E1131" s="114"/>
      <c r="F1131" s="114"/>
      <c r="G1131" s="114"/>
      <c r="H1131" s="114"/>
      <c r="I1131" s="114"/>
      <c r="J1131" s="114"/>
      <c r="K1131" s="114"/>
      <c r="L1131" s="114"/>
      <c r="M1131" s="114"/>
      <c r="N1131" s="114"/>
      <c r="O1131" s="114"/>
      <c r="P1131" s="114"/>
      <c r="Q1131" s="114"/>
      <c r="R1131" s="114"/>
      <c r="S1131" s="114"/>
      <c r="T1131" s="114"/>
      <c r="U1131" s="114"/>
      <c r="V1131" s="114"/>
      <c r="W1131" s="114"/>
      <c r="X1131" s="115"/>
      <c r="Y1131" s="114"/>
      <c r="Z1131" s="117" t="s">
        <v>6784</v>
      </c>
      <c r="AA1131" s="117" t="s">
        <v>5450</v>
      </c>
      <c r="AB1131" s="114"/>
      <c r="AC1131" s="114"/>
      <c r="AD1131" s="114"/>
      <c r="AE1131" s="114"/>
      <c r="AF1131" s="114"/>
      <c r="AG1131" s="114"/>
      <c r="AH1131" s="114"/>
      <c r="AI1131" s="116"/>
      <c r="AJ1131" s="114"/>
      <c r="AK1131" s="114"/>
      <c r="AL1131" s="114"/>
      <c r="AM1131" s="114"/>
      <c r="AN1131" s="114"/>
      <c r="AO1131" s="114"/>
      <c r="AP1131" s="114"/>
      <c r="AQ1131" s="114"/>
      <c r="AR1131" s="114"/>
      <c r="AS1131" s="114"/>
      <c r="AT1131" s="114"/>
      <c r="AU1131" s="114"/>
      <c r="AV1131" s="114"/>
      <c r="AW1131" s="114"/>
      <c r="AX1131" s="114"/>
      <c r="AY1131" s="114"/>
      <c r="AZ1131" s="114"/>
      <c r="BA1131" s="114"/>
      <c r="BB1131" s="114"/>
      <c r="BC1131" s="114"/>
      <c r="BD1131" s="114"/>
      <c r="BE1131" s="114"/>
    </row>
    <row r="1132">
      <c r="A1132" s="114"/>
      <c r="B1132" s="114"/>
      <c r="C1132" s="114"/>
      <c r="D1132" s="114"/>
      <c r="E1132" s="114"/>
      <c r="F1132" s="114"/>
      <c r="G1132" s="114"/>
      <c r="H1132" s="114"/>
      <c r="I1132" s="114"/>
      <c r="J1132" s="114"/>
      <c r="K1132" s="114"/>
      <c r="L1132" s="114"/>
      <c r="M1132" s="114"/>
      <c r="N1132" s="114"/>
      <c r="O1132" s="114"/>
      <c r="P1132" s="114"/>
      <c r="Q1132" s="114"/>
      <c r="R1132" s="114"/>
      <c r="S1132" s="114"/>
      <c r="T1132" s="114"/>
      <c r="U1132" s="114"/>
      <c r="V1132" s="114"/>
      <c r="W1132" s="114"/>
      <c r="X1132" s="115"/>
      <c r="Y1132" s="114"/>
      <c r="Z1132" s="117" t="s">
        <v>6785</v>
      </c>
      <c r="AA1132" s="117" t="s">
        <v>5452</v>
      </c>
      <c r="AB1132" s="114"/>
      <c r="AC1132" s="114"/>
      <c r="AD1132" s="114"/>
      <c r="AE1132" s="114"/>
      <c r="AF1132" s="114"/>
      <c r="AG1132" s="114"/>
      <c r="AH1132" s="114"/>
      <c r="AI1132" s="116"/>
      <c r="AJ1132" s="114"/>
      <c r="AK1132" s="114"/>
      <c r="AL1132" s="114"/>
      <c r="AM1132" s="114"/>
      <c r="AN1132" s="114"/>
      <c r="AO1132" s="114"/>
      <c r="AP1132" s="114"/>
      <c r="AQ1132" s="114"/>
      <c r="AR1132" s="114"/>
      <c r="AS1132" s="114"/>
      <c r="AT1132" s="114"/>
      <c r="AU1132" s="114"/>
      <c r="AV1132" s="114"/>
      <c r="AW1132" s="114"/>
      <c r="AX1132" s="114"/>
      <c r="AY1132" s="114"/>
      <c r="AZ1132" s="114"/>
      <c r="BA1132" s="114"/>
      <c r="BB1132" s="114"/>
      <c r="BC1132" s="114"/>
      <c r="BD1132" s="114"/>
      <c r="BE1132" s="114"/>
    </row>
    <row r="1133">
      <c r="A1133" s="114"/>
      <c r="B1133" s="114"/>
      <c r="C1133" s="114"/>
      <c r="D1133" s="114"/>
      <c r="E1133" s="114"/>
      <c r="F1133" s="114"/>
      <c r="G1133" s="114"/>
      <c r="H1133" s="114"/>
      <c r="I1133" s="114"/>
      <c r="J1133" s="114"/>
      <c r="K1133" s="114"/>
      <c r="L1133" s="114"/>
      <c r="M1133" s="114"/>
      <c r="N1133" s="114"/>
      <c r="O1133" s="114"/>
      <c r="P1133" s="114"/>
      <c r="Q1133" s="114"/>
      <c r="R1133" s="114"/>
      <c r="S1133" s="114"/>
      <c r="T1133" s="114"/>
      <c r="U1133" s="114"/>
      <c r="V1133" s="114"/>
      <c r="W1133" s="114"/>
      <c r="X1133" s="115"/>
      <c r="Y1133" s="114"/>
      <c r="Z1133" s="117" t="s">
        <v>6786</v>
      </c>
      <c r="AA1133" s="117" t="s">
        <v>5453</v>
      </c>
      <c r="AB1133" s="114"/>
      <c r="AC1133" s="114"/>
      <c r="AD1133" s="114"/>
      <c r="AE1133" s="114"/>
      <c r="AF1133" s="114"/>
      <c r="AG1133" s="114"/>
      <c r="AH1133" s="114"/>
      <c r="AI1133" s="116"/>
      <c r="AJ1133" s="114"/>
      <c r="AK1133" s="114"/>
      <c r="AL1133" s="114"/>
      <c r="AM1133" s="114"/>
      <c r="AN1133" s="114"/>
      <c r="AO1133" s="114"/>
      <c r="AP1133" s="114"/>
      <c r="AQ1133" s="114"/>
      <c r="AR1133" s="114"/>
      <c r="AS1133" s="114"/>
      <c r="AT1133" s="114"/>
      <c r="AU1133" s="114"/>
      <c r="AV1133" s="114"/>
      <c r="AW1133" s="114"/>
      <c r="AX1133" s="114"/>
      <c r="AY1133" s="114"/>
      <c r="AZ1133" s="114"/>
      <c r="BA1133" s="114"/>
      <c r="BB1133" s="114"/>
      <c r="BC1133" s="114"/>
      <c r="BD1133" s="114"/>
      <c r="BE1133" s="114"/>
    </row>
    <row r="1134">
      <c r="A1134" s="114"/>
      <c r="B1134" s="114"/>
      <c r="C1134" s="114"/>
      <c r="D1134" s="114"/>
      <c r="E1134" s="114"/>
      <c r="F1134" s="114"/>
      <c r="G1134" s="114"/>
      <c r="H1134" s="114"/>
      <c r="I1134" s="114"/>
      <c r="J1134" s="114"/>
      <c r="K1134" s="114"/>
      <c r="L1134" s="114"/>
      <c r="M1134" s="114"/>
      <c r="N1134" s="114"/>
      <c r="O1134" s="114"/>
      <c r="P1134" s="114"/>
      <c r="Q1134" s="114"/>
      <c r="R1134" s="114"/>
      <c r="S1134" s="114"/>
      <c r="T1134" s="114"/>
      <c r="U1134" s="114"/>
      <c r="V1134" s="114"/>
      <c r="W1134" s="114"/>
      <c r="X1134" s="115"/>
      <c r="Y1134" s="114"/>
      <c r="Z1134" s="117" t="s">
        <v>6787</v>
      </c>
      <c r="AA1134" s="117" t="s">
        <v>5451</v>
      </c>
      <c r="AB1134" s="114"/>
      <c r="AC1134" s="114"/>
      <c r="AD1134" s="114"/>
      <c r="AE1134" s="114"/>
      <c r="AF1134" s="114"/>
      <c r="AG1134" s="114"/>
      <c r="AH1134" s="114"/>
      <c r="AI1134" s="116"/>
      <c r="AJ1134" s="114"/>
      <c r="AK1134" s="114"/>
      <c r="AL1134" s="114"/>
      <c r="AM1134" s="114"/>
      <c r="AN1134" s="114"/>
      <c r="AO1134" s="114"/>
      <c r="AP1134" s="114"/>
      <c r="AQ1134" s="114"/>
      <c r="AR1134" s="114"/>
      <c r="AS1134" s="114"/>
      <c r="AT1134" s="114"/>
      <c r="AU1134" s="114"/>
      <c r="AV1134" s="114"/>
      <c r="AW1134" s="114"/>
      <c r="AX1134" s="114"/>
      <c r="AY1134" s="114"/>
      <c r="AZ1134" s="114"/>
      <c r="BA1134" s="114"/>
      <c r="BB1134" s="114"/>
      <c r="BC1134" s="114"/>
      <c r="BD1134" s="114"/>
      <c r="BE1134" s="114"/>
    </row>
    <row r="1135">
      <c r="A1135" s="114"/>
      <c r="B1135" s="114"/>
      <c r="C1135" s="114"/>
      <c r="D1135" s="114"/>
      <c r="E1135" s="114"/>
      <c r="F1135" s="114"/>
      <c r="G1135" s="114"/>
      <c r="H1135" s="114"/>
      <c r="I1135" s="114"/>
      <c r="J1135" s="114"/>
      <c r="K1135" s="114"/>
      <c r="L1135" s="114"/>
      <c r="M1135" s="114"/>
      <c r="N1135" s="114"/>
      <c r="O1135" s="114"/>
      <c r="P1135" s="114"/>
      <c r="Q1135" s="114"/>
      <c r="R1135" s="114"/>
      <c r="S1135" s="114"/>
      <c r="T1135" s="114"/>
      <c r="U1135" s="114"/>
      <c r="V1135" s="114"/>
      <c r="W1135" s="114"/>
      <c r="X1135" s="115"/>
      <c r="Y1135" s="114"/>
      <c r="Z1135" s="117" t="s">
        <v>6788</v>
      </c>
      <c r="AA1135" s="117" t="s">
        <v>5461</v>
      </c>
      <c r="AB1135" s="114"/>
      <c r="AC1135" s="114"/>
      <c r="AD1135" s="114"/>
      <c r="AE1135" s="114"/>
      <c r="AF1135" s="114"/>
      <c r="AG1135" s="114"/>
      <c r="AH1135" s="114"/>
      <c r="AI1135" s="116"/>
      <c r="AJ1135" s="114"/>
      <c r="AK1135" s="114"/>
      <c r="AL1135" s="114"/>
      <c r="AM1135" s="114"/>
      <c r="AN1135" s="114"/>
      <c r="AO1135" s="114"/>
      <c r="AP1135" s="114"/>
      <c r="AQ1135" s="114"/>
      <c r="AR1135" s="114"/>
      <c r="AS1135" s="114"/>
      <c r="AT1135" s="114"/>
      <c r="AU1135" s="114"/>
      <c r="AV1135" s="114"/>
      <c r="AW1135" s="114"/>
      <c r="AX1135" s="114"/>
      <c r="AY1135" s="114"/>
      <c r="AZ1135" s="114"/>
      <c r="BA1135" s="114"/>
      <c r="BB1135" s="114"/>
      <c r="BC1135" s="114"/>
      <c r="BD1135" s="114"/>
      <c r="BE1135" s="114"/>
    </row>
    <row r="1136">
      <c r="A1136" s="114"/>
      <c r="B1136" s="114"/>
      <c r="C1136" s="114"/>
      <c r="D1136" s="114"/>
      <c r="E1136" s="114"/>
      <c r="F1136" s="114"/>
      <c r="G1136" s="114"/>
      <c r="H1136" s="114"/>
      <c r="I1136" s="114"/>
      <c r="J1136" s="114"/>
      <c r="K1136" s="114"/>
      <c r="L1136" s="114"/>
      <c r="M1136" s="114"/>
      <c r="N1136" s="114"/>
      <c r="O1136" s="114"/>
      <c r="P1136" s="114"/>
      <c r="Q1136" s="114"/>
      <c r="R1136" s="114"/>
      <c r="S1136" s="114"/>
      <c r="T1136" s="114"/>
      <c r="U1136" s="114"/>
      <c r="V1136" s="114"/>
      <c r="W1136" s="114"/>
      <c r="X1136" s="115"/>
      <c r="Y1136" s="114"/>
      <c r="Z1136" s="117" t="s">
        <v>6789</v>
      </c>
      <c r="AA1136" s="117" t="s">
        <v>5463</v>
      </c>
      <c r="AB1136" s="114"/>
      <c r="AC1136" s="114"/>
      <c r="AD1136" s="114"/>
      <c r="AE1136" s="114"/>
      <c r="AF1136" s="114"/>
      <c r="AG1136" s="114"/>
      <c r="AH1136" s="114"/>
      <c r="AI1136" s="116"/>
      <c r="AJ1136" s="114"/>
      <c r="AK1136" s="114"/>
      <c r="AL1136" s="114"/>
      <c r="AM1136" s="114"/>
      <c r="AN1136" s="114"/>
      <c r="AO1136" s="114"/>
      <c r="AP1136" s="114"/>
      <c r="AQ1136" s="114"/>
      <c r="AR1136" s="114"/>
      <c r="AS1136" s="114"/>
      <c r="AT1136" s="114"/>
      <c r="AU1136" s="114"/>
      <c r="AV1136" s="114"/>
      <c r="AW1136" s="114"/>
      <c r="AX1136" s="114"/>
      <c r="AY1136" s="114"/>
      <c r="AZ1136" s="114"/>
      <c r="BA1136" s="114"/>
      <c r="BB1136" s="114"/>
      <c r="BC1136" s="114"/>
      <c r="BD1136" s="114"/>
      <c r="BE1136" s="114"/>
    </row>
    <row r="1137">
      <c r="A1137" s="114"/>
      <c r="B1137" s="114"/>
      <c r="C1137" s="114"/>
      <c r="D1137" s="114"/>
      <c r="E1137" s="114"/>
      <c r="F1137" s="114"/>
      <c r="G1137" s="114"/>
      <c r="H1137" s="114"/>
      <c r="I1137" s="114"/>
      <c r="J1137" s="114"/>
      <c r="K1137" s="114"/>
      <c r="L1137" s="114"/>
      <c r="M1137" s="114"/>
      <c r="N1137" s="114"/>
      <c r="O1137" s="114"/>
      <c r="P1137" s="114"/>
      <c r="Q1137" s="114"/>
      <c r="R1137" s="114"/>
      <c r="S1137" s="114"/>
      <c r="T1137" s="114"/>
      <c r="U1137" s="114"/>
      <c r="V1137" s="114"/>
      <c r="W1137" s="114"/>
      <c r="X1137" s="115"/>
      <c r="Y1137" s="114"/>
      <c r="Z1137" s="117" t="s">
        <v>6790</v>
      </c>
      <c r="AA1137" s="117" t="s">
        <v>5464</v>
      </c>
      <c r="AB1137" s="114"/>
      <c r="AC1137" s="114"/>
      <c r="AD1137" s="114"/>
      <c r="AE1137" s="114"/>
      <c r="AF1137" s="114"/>
      <c r="AG1137" s="114"/>
      <c r="AH1137" s="114"/>
      <c r="AI1137" s="116"/>
      <c r="AJ1137" s="114"/>
      <c r="AK1137" s="114"/>
      <c r="AL1137" s="114"/>
      <c r="AM1137" s="114"/>
      <c r="AN1137" s="114"/>
      <c r="AO1137" s="114"/>
      <c r="AP1137" s="114"/>
      <c r="AQ1137" s="114"/>
      <c r="AR1137" s="114"/>
      <c r="AS1137" s="114"/>
      <c r="AT1137" s="114"/>
      <c r="AU1137" s="114"/>
      <c r="AV1137" s="114"/>
      <c r="AW1137" s="114"/>
      <c r="AX1137" s="114"/>
      <c r="AY1137" s="114"/>
      <c r="AZ1137" s="114"/>
      <c r="BA1137" s="114"/>
      <c r="BB1137" s="114"/>
      <c r="BC1137" s="114"/>
      <c r="BD1137" s="114"/>
      <c r="BE1137" s="114"/>
    </row>
    <row r="1138">
      <c r="A1138" s="114"/>
      <c r="B1138" s="114"/>
      <c r="C1138" s="114"/>
      <c r="D1138" s="114"/>
      <c r="E1138" s="114"/>
      <c r="F1138" s="114"/>
      <c r="G1138" s="114"/>
      <c r="H1138" s="114"/>
      <c r="I1138" s="114"/>
      <c r="J1138" s="114"/>
      <c r="K1138" s="114"/>
      <c r="L1138" s="114"/>
      <c r="M1138" s="114"/>
      <c r="N1138" s="114"/>
      <c r="O1138" s="114"/>
      <c r="P1138" s="114"/>
      <c r="Q1138" s="114"/>
      <c r="R1138" s="114"/>
      <c r="S1138" s="114"/>
      <c r="T1138" s="114"/>
      <c r="U1138" s="114"/>
      <c r="V1138" s="114"/>
      <c r="W1138" s="114"/>
      <c r="X1138" s="115"/>
      <c r="Y1138" s="114"/>
      <c r="Z1138" s="117" t="s">
        <v>6791</v>
      </c>
      <c r="AA1138" s="117" t="s">
        <v>5462</v>
      </c>
      <c r="AB1138" s="114"/>
      <c r="AC1138" s="114"/>
      <c r="AD1138" s="114"/>
      <c r="AE1138" s="114"/>
      <c r="AF1138" s="114"/>
      <c r="AG1138" s="114"/>
      <c r="AH1138" s="114"/>
      <c r="AI1138" s="116"/>
      <c r="AJ1138" s="114"/>
      <c r="AK1138" s="114"/>
      <c r="AL1138" s="114"/>
      <c r="AM1138" s="114"/>
      <c r="AN1138" s="114"/>
      <c r="AO1138" s="114"/>
      <c r="AP1138" s="114"/>
      <c r="AQ1138" s="114"/>
      <c r="AR1138" s="114"/>
      <c r="AS1138" s="114"/>
      <c r="AT1138" s="114"/>
      <c r="AU1138" s="114"/>
      <c r="AV1138" s="114"/>
      <c r="AW1138" s="114"/>
      <c r="AX1138" s="114"/>
      <c r="AY1138" s="114"/>
      <c r="AZ1138" s="114"/>
      <c r="BA1138" s="114"/>
      <c r="BB1138" s="114"/>
      <c r="BC1138" s="114"/>
      <c r="BD1138" s="114"/>
      <c r="BE1138" s="114"/>
    </row>
    <row r="1139">
      <c r="A1139" s="114"/>
      <c r="B1139" s="114"/>
      <c r="C1139" s="114"/>
      <c r="D1139" s="114"/>
      <c r="E1139" s="114"/>
      <c r="F1139" s="114"/>
      <c r="G1139" s="114"/>
      <c r="H1139" s="114"/>
      <c r="I1139" s="114"/>
      <c r="J1139" s="114"/>
      <c r="K1139" s="114"/>
      <c r="L1139" s="114"/>
      <c r="M1139" s="114"/>
      <c r="N1139" s="114"/>
      <c r="O1139" s="114"/>
      <c r="P1139" s="114"/>
      <c r="Q1139" s="114"/>
      <c r="R1139" s="114"/>
      <c r="S1139" s="114"/>
      <c r="T1139" s="114"/>
      <c r="U1139" s="114"/>
      <c r="V1139" s="114"/>
      <c r="W1139" s="114"/>
      <c r="X1139" s="115"/>
      <c r="Y1139" s="114"/>
      <c r="Z1139" s="117" t="s">
        <v>6792</v>
      </c>
      <c r="AA1139" s="117" t="s">
        <v>5472</v>
      </c>
      <c r="AB1139" s="114"/>
      <c r="AC1139" s="114"/>
      <c r="AD1139" s="114"/>
      <c r="AE1139" s="114"/>
      <c r="AF1139" s="114"/>
      <c r="AG1139" s="114"/>
      <c r="AH1139" s="114"/>
      <c r="AI1139" s="116"/>
      <c r="AJ1139" s="114"/>
      <c r="AK1139" s="114"/>
      <c r="AL1139" s="114"/>
      <c r="AM1139" s="114"/>
      <c r="AN1139" s="114"/>
      <c r="AO1139" s="114"/>
      <c r="AP1139" s="114"/>
      <c r="AQ1139" s="114"/>
      <c r="AR1139" s="114"/>
      <c r="AS1139" s="114"/>
      <c r="AT1139" s="114"/>
      <c r="AU1139" s="114"/>
      <c r="AV1139" s="114"/>
      <c r="AW1139" s="114"/>
      <c r="AX1139" s="114"/>
      <c r="AY1139" s="114"/>
      <c r="AZ1139" s="114"/>
      <c r="BA1139" s="114"/>
      <c r="BB1139" s="114"/>
      <c r="BC1139" s="114"/>
      <c r="BD1139" s="114"/>
      <c r="BE1139" s="114"/>
    </row>
    <row r="1140">
      <c r="A1140" s="114"/>
      <c r="B1140" s="114"/>
      <c r="C1140" s="114"/>
      <c r="D1140" s="114"/>
      <c r="E1140" s="114"/>
      <c r="F1140" s="114"/>
      <c r="G1140" s="114"/>
      <c r="H1140" s="114"/>
      <c r="I1140" s="114"/>
      <c r="J1140" s="114"/>
      <c r="K1140" s="114"/>
      <c r="L1140" s="114"/>
      <c r="M1140" s="114"/>
      <c r="N1140" s="114"/>
      <c r="O1140" s="114"/>
      <c r="P1140" s="114"/>
      <c r="Q1140" s="114"/>
      <c r="R1140" s="114"/>
      <c r="S1140" s="114"/>
      <c r="T1140" s="114"/>
      <c r="U1140" s="114"/>
      <c r="V1140" s="114"/>
      <c r="W1140" s="114"/>
      <c r="X1140" s="115"/>
      <c r="Y1140" s="114"/>
      <c r="Z1140" s="117" t="s">
        <v>6793</v>
      </c>
      <c r="AA1140" s="117" t="s">
        <v>5474</v>
      </c>
      <c r="AB1140" s="114"/>
      <c r="AC1140" s="114"/>
      <c r="AD1140" s="114"/>
      <c r="AE1140" s="114"/>
      <c r="AF1140" s="114"/>
      <c r="AG1140" s="114"/>
      <c r="AH1140" s="114"/>
      <c r="AI1140" s="116"/>
      <c r="AJ1140" s="114"/>
      <c r="AK1140" s="114"/>
      <c r="AL1140" s="114"/>
      <c r="AM1140" s="114"/>
      <c r="AN1140" s="114"/>
      <c r="AO1140" s="114"/>
      <c r="AP1140" s="114"/>
      <c r="AQ1140" s="114"/>
      <c r="AR1140" s="114"/>
      <c r="AS1140" s="114"/>
      <c r="AT1140" s="114"/>
      <c r="AU1140" s="114"/>
      <c r="AV1140" s="114"/>
      <c r="AW1140" s="114"/>
      <c r="AX1140" s="114"/>
      <c r="AY1140" s="114"/>
      <c r="AZ1140" s="114"/>
      <c r="BA1140" s="114"/>
      <c r="BB1140" s="114"/>
      <c r="BC1140" s="114"/>
      <c r="BD1140" s="114"/>
      <c r="BE1140" s="114"/>
    </row>
    <row r="1141">
      <c r="A1141" s="114"/>
      <c r="B1141" s="114"/>
      <c r="C1141" s="114"/>
      <c r="D1141" s="114"/>
      <c r="E1141" s="114"/>
      <c r="F1141" s="114"/>
      <c r="G1141" s="114"/>
      <c r="H1141" s="114"/>
      <c r="I1141" s="114"/>
      <c r="J1141" s="114"/>
      <c r="K1141" s="114"/>
      <c r="L1141" s="114"/>
      <c r="M1141" s="114"/>
      <c r="N1141" s="114"/>
      <c r="O1141" s="114"/>
      <c r="P1141" s="114"/>
      <c r="Q1141" s="114"/>
      <c r="R1141" s="114"/>
      <c r="S1141" s="114"/>
      <c r="T1141" s="114"/>
      <c r="U1141" s="114"/>
      <c r="V1141" s="114"/>
      <c r="W1141" s="114"/>
      <c r="X1141" s="115"/>
      <c r="Y1141" s="114"/>
      <c r="Z1141" s="117" t="s">
        <v>6794</v>
      </c>
      <c r="AA1141" s="117" t="s">
        <v>5475</v>
      </c>
      <c r="AB1141" s="114"/>
      <c r="AC1141" s="114"/>
      <c r="AD1141" s="114"/>
      <c r="AE1141" s="114"/>
      <c r="AF1141" s="114"/>
      <c r="AG1141" s="114"/>
      <c r="AH1141" s="114"/>
      <c r="AI1141" s="116"/>
      <c r="AJ1141" s="114"/>
      <c r="AK1141" s="114"/>
      <c r="AL1141" s="114"/>
      <c r="AM1141" s="114"/>
      <c r="AN1141" s="114"/>
      <c r="AO1141" s="114"/>
      <c r="AP1141" s="114"/>
      <c r="AQ1141" s="114"/>
      <c r="AR1141" s="114"/>
      <c r="AS1141" s="114"/>
      <c r="AT1141" s="114"/>
      <c r="AU1141" s="114"/>
      <c r="AV1141" s="114"/>
      <c r="AW1141" s="114"/>
      <c r="AX1141" s="114"/>
      <c r="AY1141" s="114"/>
      <c r="AZ1141" s="114"/>
      <c r="BA1141" s="114"/>
      <c r="BB1141" s="114"/>
      <c r="BC1141" s="114"/>
      <c r="BD1141" s="114"/>
      <c r="BE1141" s="114"/>
    </row>
    <row r="1142">
      <c r="A1142" s="114"/>
      <c r="B1142" s="114"/>
      <c r="C1142" s="114"/>
      <c r="D1142" s="114"/>
      <c r="E1142" s="114"/>
      <c r="F1142" s="114"/>
      <c r="G1142" s="114"/>
      <c r="H1142" s="114"/>
      <c r="I1142" s="114"/>
      <c r="J1142" s="114"/>
      <c r="K1142" s="114"/>
      <c r="L1142" s="114"/>
      <c r="M1142" s="114"/>
      <c r="N1142" s="114"/>
      <c r="O1142" s="114"/>
      <c r="P1142" s="114"/>
      <c r="Q1142" s="114"/>
      <c r="R1142" s="114"/>
      <c r="S1142" s="114"/>
      <c r="T1142" s="114"/>
      <c r="U1142" s="114"/>
      <c r="V1142" s="114"/>
      <c r="W1142" s="114"/>
      <c r="X1142" s="115"/>
      <c r="Y1142" s="114"/>
      <c r="Z1142" s="117" t="s">
        <v>6795</v>
      </c>
      <c r="AA1142" s="117" t="s">
        <v>5473</v>
      </c>
      <c r="AB1142" s="114"/>
      <c r="AC1142" s="114"/>
      <c r="AD1142" s="114"/>
      <c r="AE1142" s="114"/>
      <c r="AF1142" s="114"/>
      <c r="AG1142" s="114"/>
      <c r="AH1142" s="114"/>
      <c r="AI1142" s="116"/>
      <c r="AJ1142" s="114"/>
      <c r="AK1142" s="114"/>
      <c r="AL1142" s="114"/>
      <c r="AM1142" s="114"/>
      <c r="AN1142" s="114"/>
      <c r="AO1142" s="114"/>
      <c r="AP1142" s="114"/>
      <c r="AQ1142" s="114"/>
      <c r="AR1142" s="114"/>
      <c r="AS1142" s="114"/>
      <c r="AT1142" s="114"/>
      <c r="AU1142" s="114"/>
      <c r="AV1142" s="114"/>
      <c r="AW1142" s="114"/>
      <c r="AX1142" s="114"/>
      <c r="AY1142" s="114"/>
      <c r="AZ1142" s="114"/>
      <c r="BA1142" s="114"/>
      <c r="BB1142" s="114"/>
      <c r="BC1142" s="114"/>
      <c r="BD1142" s="114"/>
      <c r="BE1142" s="114"/>
    </row>
    <row r="1143">
      <c r="A1143" s="114"/>
      <c r="B1143" s="114"/>
      <c r="C1143" s="114"/>
      <c r="D1143" s="114"/>
      <c r="E1143" s="114"/>
      <c r="F1143" s="114"/>
      <c r="G1143" s="114"/>
      <c r="H1143" s="114"/>
      <c r="I1143" s="114"/>
      <c r="J1143" s="114"/>
      <c r="K1143" s="114"/>
      <c r="L1143" s="114"/>
      <c r="M1143" s="114"/>
      <c r="N1143" s="114"/>
      <c r="O1143" s="114"/>
      <c r="P1143" s="114"/>
      <c r="Q1143" s="114"/>
      <c r="R1143" s="114"/>
      <c r="S1143" s="114"/>
      <c r="T1143" s="114"/>
      <c r="U1143" s="114"/>
      <c r="V1143" s="114"/>
      <c r="W1143" s="114"/>
      <c r="X1143" s="115"/>
      <c r="Y1143" s="114"/>
      <c r="Z1143" s="117" t="s">
        <v>6796</v>
      </c>
      <c r="AA1143" s="117" t="s">
        <v>5483</v>
      </c>
      <c r="AB1143" s="114"/>
      <c r="AC1143" s="114"/>
      <c r="AD1143" s="114"/>
      <c r="AE1143" s="114"/>
      <c r="AF1143" s="114"/>
      <c r="AG1143" s="114"/>
      <c r="AH1143" s="114"/>
      <c r="AI1143" s="116"/>
      <c r="AJ1143" s="114"/>
      <c r="AK1143" s="114"/>
      <c r="AL1143" s="114"/>
      <c r="AM1143" s="114"/>
      <c r="AN1143" s="114"/>
      <c r="AO1143" s="114"/>
      <c r="AP1143" s="114"/>
      <c r="AQ1143" s="114"/>
      <c r="AR1143" s="114"/>
      <c r="AS1143" s="114"/>
      <c r="AT1143" s="114"/>
      <c r="AU1143" s="114"/>
      <c r="AV1143" s="114"/>
      <c r="AW1143" s="114"/>
      <c r="AX1143" s="114"/>
      <c r="AY1143" s="114"/>
      <c r="AZ1143" s="114"/>
      <c r="BA1143" s="114"/>
      <c r="BB1143" s="114"/>
      <c r="BC1143" s="114"/>
      <c r="BD1143" s="114"/>
      <c r="BE1143" s="114"/>
    </row>
    <row r="1144">
      <c r="A1144" s="114"/>
      <c r="B1144" s="114"/>
      <c r="C1144" s="114"/>
      <c r="D1144" s="114"/>
      <c r="E1144" s="114"/>
      <c r="F1144" s="114"/>
      <c r="G1144" s="114"/>
      <c r="H1144" s="114"/>
      <c r="I1144" s="114"/>
      <c r="J1144" s="114"/>
      <c r="K1144" s="114"/>
      <c r="L1144" s="114"/>
      <c r="M1144" s="114"/>
      <c r="N1144" s="114"/>
      <c r="O1144" s="114"/>
      <c r="P1144" s="114"/>
      <c r="Q1144" s="114"/>
      <c r="R1144" s="114"/>
      <c r="S1144" s="114"/>
      <c r="T1144" s="114"/>
      <c r="U1144" s="114"/>
      <c r="V1144" s="114"/>
      <c r="W1144" s="114"/>
      <c r="X1144" s="115"/>
      <c r="Y1144" s="114"/>
      <c r="Z1144" s="117" t="s">
        <v>6797</v>
      </c>
      <c r="AA1144" s="117" t="s">
        <v>5485</v>
      </c>
      <c r="AB1144" s="114"/>
      <c r="AC1144" s="114"/>
      <c r="AD1144" s="114"/>
      <c r="AE1144" s="114"/>
      <c r="AF1144" s="114"/>
      <c r="AG1144" s="114"/>
      <c r="AH1144" s="114"/>
      <c r="AI1144" s="116"/>
      <c r="AJ1144" s="114"/>
      <c r="AK1144" s="114"/>
      <c r="AL1144" s="114"/>
      <c r="AM1144" s="114"/>
      <c r="AN1144" s="114"/>
      <c r="AO1144" s="114"/>
      <c r="AP1144" s="114"/>
      <c r="AQ1144" s="114"/>
      <c r="AR1144" s="114"/>
      <c r="AS1144" s="114"/>
      <c r="AT1144" s="114"/>
      <c r="AU1144" s="114"/>
      <c r="AV1144" s="114"/>
      <c r="AW1144" s="114"/>
      <c r="AX1144" s="114"/>
      <c r="AY1144" s="114"/>
      <c r="AZ1144" s="114"/>
      <c r="BA1144" s="114"/>
      <c r="BB1144" s="114"/>
      <c r="BC1144" s="114"/>
      <c r="BD1144" s="114"/>
      <c r="BE1144" s="114"/>
    </row>
    <row r="1145">
      <c r="A1145" s="114"/>
      <c r="B1145" s="114"/>
      <c r="C1145" s="114"/>
      <c r="D1145" s="114"/>
      <c r="E1145" s="114"/>
      <c r="F1145" s="114"/>
      <c r="G1145" s="114"/>
      <c r="H1145" s="114"/>
      <c r="I1145" s="114"/>
      <c r="J1145" s="114"/>
      <c r="K1145" s="114"/>
      <c r="L1145" s="114"/>
      <c r="M1145" s="114"/>
      <c r="N1145" s="114"/>
      <c r="O1145" s="114"/>
      <c r="P1145" s="114"/>
      <c r="Q1145" s="114"/>
      <c r="R1145" s="114"/>
      <c r="S1145" s="114"/>
      <c r="T1145" s="114"/>
      <c r="U1145" s="114"/>
      <c r="V1145" s="114"/>
      <c r="W1145" s="114"/>
      <c r="X1145" s="115"/>
      <c r="Y1145" s="114"/>
      <c r="Z1145" s="117" t="s">
        <v>6798</v>
      </c>
      <c r="AA1145" s="117" t="s">
        <v>5486</v>
      </c>
      <c r="AB1145" s="114"/>
      <c r="AC1145" s="114"/>
      <c r="AD1145" s="114"/>
      <c r="AE1145" s="114"/>
      <c r="AF1145" s="114"/>
      <c r="AG1145" s="114"/>
      <c r="AH1145" s="114"/>
      <c r="AI1145" s="116"/>
      <c r="AJ1145" s="114"/>
      <c r="AK1145" s="114"/>
      <c r="AL1145" s="114"/>
      <c r="AM1145" s="114"/>
      <c r="AN1145" s="114"/>
      <c r="AO1145" s="114"/>
      <c r="AP1145" s="114"/>
      <c r="AQ1145" s="114"/>
      <c r="AR1145" s="114"/>
      <c r="AS1145" s="114"/>
      <c r="AT1145" s="114"/>
      <c r="AU1145" s="114"/>
      <c r="AV1145" s="114"/>
      <c r="AW1145" s="114"/>
      <c r="AX1145" s="114"/>
      <c r="AY1145" s="114"/>
      <c r="AZ1145" s="114"/>
      <c r="BA1145" s="114"/>
      <c r="BB1145" s="114"/>
      <c r="BC1145" s="114"/>
      <c r="BD1145" s="114"/>
      <c r="BE1145" s="114"/>
    </row>
    <row r="1146">
      <c r="A1146" s="114"/>
      <c r="B1146" s="114"/>
      <c r="C1146" s="114"/>
      <c r="D1146" s="114"/>
      <c r="E1146" s="114"/>
      <c r="F1146" s="114"/>
      <c r="G1146" s="114"/>
      <c r="H1146" s="114"/>
      <c r="I1146" s="114"/>
      <c r="J1146" s="114"/>
      <c r="K1146" s="114"/>
      <c r="L1146" s="114"/>
      <c r="M1146" s="114"/>
      <c r="N1146" s="114"/>
      <c r="O1146" s="114"/>
      <c r="P1146" s="114"/>
      <c r="Q1146" s="114"/>
      <c r="R1146" s="114"/>
      <c r="S1146" s="114"/>
      <c r="T1146" s="114"/>
      <c r="U1146" s="114"/>
      <c r="V1146" s="114"/>
      <c r="W1146" s="114"/>
      <c r="X1146" s="115"/>
      <c r="Y1146" s="114"/>
      <c r="Z1146" s="117" t="s">
        <v>6799</v>
      </c>
      <c r="AA1146" s="117" t="s">
        <v>5484</v>
      </c>
      <c r="AB1146" s="114"/>
      <c r="AC1146" s="114"/>
      <c r="AD1146" s="114"/>
      <c r="AE1146" s="114"/>
      <c r="AF1146" s="114"/>
      <c r="AG1146" s="114"/>
      <c r="AH1146" s="114"/>
      <c r="AI1146" s="116"/>
      <c r="AJ1146" s="114"/>
      <c r="AK1146" s="114"/>
      <c r="AL1146" s="114"/>
      <c r="AM1146" s="114"/>
      <c r="AN1146" s="114"/>
      <c r="AO1146" s="114"/>
      <c r="AP1146" s="114"/>
      <c r="AQ1146" s="114"/>
      <c r="AR1146" s="114"/>
      <c r="AS1146" s="114"/>
      <c r="AT1146" s="114"/>
      <c r="AU1146" s="114"/>
      <c r="AV1146" s="114"/>
      <c r="AW1146" s="114"/>
      <c r="AX1146" s="114"/>
      <c r="AY1146" s="114"/>
      <c r="AZ1146" s="114"/>
      <c r="BA1146" s="114"/>
      <c r="BB1146" s="114"/>
      <c r="BC1146" s="114"/>
      <c r="BD1146" s="114"/>
      <c r="BE1146" s="114"/>
    </row>
    <row r="1147">
      <c r="A1147" s="114"/>
      <c r="B1147" s="114"/>
      <c r="C1147" s="114"/>
      <c r="D1147" s="114"/>
      <c r="E1147" s="114"/>
      <c r="F1147" s="114"/>
      <c r="G1147" s="114"/>
      <c r="H1147" s="114"/>
      <c r="I1147" s="114"/>
      <c r="J1147" s="114"/>
      <c r="K1147" s="114"/>
      <c r="L1147" s="114"/>
      <c r="M1147" s="114"/>
      <c r="N1147" s="114"/>
      <c r="O1147" s="114"/>
      <c r="P1147" s="114"/>
      <c r="Q1147" s="114"/>
      <c r="R1147" s="114"/>
      <c r="S1147" s="114"/>
      <c r="T1147" s="114"/>
      <c r="U1147" s="114"/>
      <c r="V1147" s="114"/>
      <c r="W1147" s="114"/>
      <c r="X1147" s="115"/>
      <c r="Y1147" s="114"/>
      <c r="Z1147" s="117" t="s">
        <v>6800</v>
      </c>
      <c r="AA1147" s="117" t="s">
        <v>5494</v>
      </c>
      <c r="AB1147" s="114"/>
      <c r="AC1147" s="114"/>
      <c r="AD1147" s="114"/>
      <c r="AE1147" s="114"/>
      <c r="AF1147" s="114"/>
      <c r="AG1147" s="114"/>
      <c r="AH1147" s="114"/>
      <c r="AI1147" s="116"/>
      <c r="AJ1147" s="114"/>
      <c r="AK1147" s="114"/>
      <c r="AL1147" s="114"/>
      <c r="AM1147" s="114"/>
      <c r="AN1147" s="114"/>
      <c r="AO1147" s="114"/>
      <c r="AP1147" s="114"/>
      <c r="AQ1147" s="114"/>
      <c r="AR1147" s="114"/>
      <c r="AS1147" s="114"/>
      <c r="AT1147" s="114"/>
      <c r="AU1147" s="114"/>
      <c r="AV1147" s="114"/>
      <c r="AW1147" s="114"/>
      <c r="AX1147" s="114"/>
      <c r="AY1147" s="114"/>
      <c r="AZ1147" s="114"/>
      <c r="BA1147" s="114"/>
      <c r="BB1147" s="114"/>
      <c r="BC1147" s="114"/>
      <c r="BD1147" s="114"/>
      <c r="BE1147" s="114"/>
    </row>
    <row r="1148">
      <c r="A1148" s="114"/>
      <c r="B1148" s="114"/>
      <c r="C1148" s="114"/>
      <c r="D1148" s="114"/>
      <c r="E1148" s="114"/>
      <c r="F1148" s="114"/>
      <c r="G1148" s="114"/>
      <c r="H1148" s="114"/>
      <c r="I1148" s="114"/>
      <c r="J1148" s="114"/>
      <c r="K1148" s="114"/>
      <c r="L1148" s="114"/>
      <c r="M1148" s="114"/>
      <c r="N1148" s="114"/>
      <c r="O1148" s="114"/>
      <c r="P1148" s="114"/>
      <c r="Q1148" s="114"/>
      <c r="R1148" s="114"/>
      <c r="S1148" s="114"/>
      <c r="T1148" s="114"/>
      <c r="U1148" s="114"/>
      <c r="V1148" s="114"/>
      <c r="W1148" s="114"/>
      <c r="X1148" s="115"/>
      <c r="Y1148" s="114"/>
      <c r="Z1148" s="117" t="s">
        <v>6801</v>
      </c>
      <c r="AA1148" s="117" t="s">
        <v>5496</v>
      </c>
      <c r="AB1148" s="114"/>
      <c r="AC1148" s="114"/>
      <c r="AD1148" s="114"/>
      <c r="AE1148" s="114"/>
      <c r="AF1148" s="114"/>
      <c r="AG1148" s="114"/>
      <c r="AH1148" s="114"/>
      <c r="AI1148" s="116"/>
      <c r="AJ1148" s="114"/>
      <c r="AK1148" s="114"/>
      <c r="AL1148" s="114"/>
      <c r="AM1148" s="114"/>
      <c r="AN1148" s="114"/>
      <c r="AO1148" s="114"/>
      <c r="AP1148" s="114"/>
      <c r="AQ1148" s="114"/>
      <c r="AR1148" s="114"/>
      <c r="AS1148" s="114"/>
      <c r="AT1148" s="114"/>
      <c r="AU1148" s="114"/>
      <c r="AV1148" s="114"/>
      <c r="AW1148" s="114"/>
      <c r="AX1148" s="114"/>
      <c r="AY1148" s="114"/>
      <c r="AZ1148" s="114"/>
      <c r="BA1148" s="114"/>
      <c r="BB1148" s="114"/>
      <c r="BC1148" s="114"/>
      <c r="BD1148" s="114"/>
      <c r="BE1148" s="114"/>
    </row>
    <row r="1149">
      <c r="A1149" s="114"/>
      <c r="B1149" s="114"/>
      <c r="C1149" s="114"/>
      <c r="D1149" s="114"/>
      <c r="E1149" s="114"/>
      <c r="F1149" s="114"/>
      <c r="G1149" s="114"/>
      <c r="H1149" s="114"/>
      <c r="I1149" s="114"/>
      <c r="J1149" s="114"/>
      <c r="K1149" s="114"/>
      <c r="L1149" s="114"/>
      <c r="M1149" s="114"/>
      <c r="N1149" s="114"/>
      <c r="O1149" s="114"/>
      <c r="P1149" s="114"/>
      <c r="Q1149" s="114"/>
      <c r="R1149" s="114"/>
      <c r="S1149" s="114"/>
      <c r="T1149" s="114"/>
      <c r="U1149" s="114"/>
      <c r="V1149" s="114"/>
      <c r="W1149" s="114"/>
      <c r="X1149" s="115"/>
      <c r="Y1149" s="114"/>
      <c r="Z1149" s="117" t="s">
        <v>6802</v>
      </c>
      <c r="AA1149" s="117" t="s">
        <v>5497</v>
      </c>
      <c r="AB1149" s="114"/>
      <c r="AC1149" s="114"/>
      <c r="AD1149" s="114"/>
      <c r="AE1149" s="114"/>
      <c r="AF1149" s="114"/>
      <c r="AG1149" s="114"/>
      <c r="AH1149" s="114"/>
      <c r="AI1149" s="116"/>
      <c r="AJ1149" s="114"/>
      <c r="AK1149" s="114"/>
      <c r="AL1149" s="114"/>
      <c r="AM1149" s="114"/>
      <c r="AN1149" s="114"/>
      <c r="AO1149" s="114"/>
      <c r="AP1149" s="114"/>
      <c r="AQ1149" s="114"/>
      <c r="AR1149" s="114"/>
      <c r="AS1149" s="114"/>
      <c r="AT1149" s="114"/>
      <c r="AU1149" s="114"/>
      <c r="AV1149" s="114"/>
      <c r="AW1149" s="114"/>
      <c r="AX1149" s="114"/>
      <c r="AY1149" s="114"/>
      <c r="AZ1149" s="114"/>
      <c r="BA1149" s="114"/>
      <c r="BB1149" s="114"/>
      <c r="BC1149" s="114"/>
      <c r="BD1149" s="114"/>
      <c r="BE1149" s="114"/>
    </row>
    <row r="1150">
      <c r="A1150" s="114"/>
      <c r="B1150" s="114"/>
      <c r="C1150" s="114"/>
      <c r="D1150" s="114"/>
      <c r="E1150" s="114"/>
      <c r="F1150" s="114"/>
      <c r="G1150" s="114"/>
      <c r="H1150" s="114"/>
      <c r="I1150" s="114"/>
      <c r="J1150" s="114"/>
      <c r="K1150" s="114"/>
      <c r="L1150" s="114"/>
      <c r="M1150" s="114"/>
      <c r="N1150" s="114"/>
      <c r="O1150" s="114"/>
      <c r="P1150" s="114"/>
      <c r="Q1150" s="114"/>
      <c r="R1150" s="114"/>
      <c r="S1150" s="114"/>
      <c r="T1150" s="114"/>
      <c r="U1150" s="114"/>
      <c r="V1150" s="114"/>
      <c r="W1150" s="114"/>
      <c r="X1150" s="115"/>
      <c r="Y1150" s="114"/>
      <c r="Z1150" s="117" t="s">
        <v>6803</v>
      </c>
      <c r="AA1150" s="117" t="s">
        <v>5495</v>
      </c>
      <c r="AB1150" s="114"/>
      <c r="AC1150" s="114"/>
      <c r="AD1150" s="114"/>
      <c r="AE1150" s="114"/>
      <c r="AF1150" s="114"/>
      <c r="AG1150" s="114"/>
      <c r="AH1150" s="114"/>
      <c r="AI1150" s="116"/>
      <c r="AJ1150" s="114"/>
      <c r="AK1150" s="114"/>
      <c r="AL1150" s="114"/>
      <c r="AM1150" s="114"/>
      <c r="AN1150" s="114"/>
      <c r="AO1150" s="114"/>
      <c r="AP1150" s="114"/>
      <c r="AQ1150" s="114"/>
      <c r="AR1150" s="114"/>
      <c r="AS1150" s="114"/>
      <c r="AT1150" s="114"/>
      <c r="AU1150" s="114"/>
      <c r="AV1150" s="114"/>
      <c r="AW1150" s="114"/>
      <c r="AX1150" s="114"/>
      <c r="AY1150" s="114"/>
      <c r="AZ1150" s="114"/>
      <c r="BA1150" s="114"/>
      <c r="BB1150" s="114"/>
      <c r="BC1150" s="114"/>
      <c r="BD1150" s="114"/>
      <c r="BE1150" s="114"/>
    </row>
    <row r="1151">
      <c r="A1151" s="114"/>
      <c r="B1151" s="114"/>
      <c r="C1151" s="114"/>
      <c r="D1151" s="114"/>
      <c r="E1151" s="114"/>
      <c r="F1151" s="114"/>
      <c r="G1151" s="114"/>
      <c r="H1151" s="114"/>
      <c r="I1151" s="114"/>
      <c r="J1151" s="114"/>
      <c r="K1151" s="114"/>
      <c r="L1151" s="114"/>
      <c r="M1151" s="114"/>
      <c r="N1151" s="114"/>
      <c r="O1151" s="114"/>
      <c r="P1151" s="114"/>
      <c r="Q1151" s="114"/>
      <c r="R1151" s="114"/>
      <c r="S1151" s="114"/>
      <c r="T1151" s="114"/>
      <c r="U1151" s="114"/>
      <c r="V1151" s="114"/>
      <c r="W1151" s="114"/>
      <c r="X1151" s="115"/>
      <c r="Y1151" s="114"/>
      <c r="Z1151" s="117" t="s">
        <v>6804</v>
      </c>
      <c r="AA1151" s="117" t="s">
        <v>5505</v>
      </c>
      <c r="AB1151" s="114"/>
      <c r="AC1151" s="114"/>
      <c r="AD1151" s="114"/>
      <c r="AE1151" s="114"/>
      <c r="AF1151" s="114"/>
      <c r="AG1151" s="114"/>
      <c r="AH1151" s="114"/>
      <c r="AI1151" s="116"/>
      <c r="AJ1151" s="114"/>
      <c r="AK1151" s="114"/>
      <c r="AL1151" s="114"/>
      <c r="AM1151" s="114"/>
      <c r="AN1151" s="114"/>
      <c r="AO1151" s="114"/>
      <c r="AP1151" s="114"/>
      <c r="AQ1151" s="114"/>
      <c r="AR1151" s="114"/>
      <c r="AS1151" s="114"/>
      <c r="AT1151" s="114"/>
      <c r="AU1151" s="114"/>
      <c r="AV1151" s="114"/>
      <c r="AW1151" s="114"/>
      <c r="AX1151" s="114"/>
      <c r="AY1151" s="114"/>
      <c r="AZ1151" s="114"/>
      <c r="BA1151" s="114"/>
      <c r="BB1151" s="114"/>
      <c r="BC1151" s="114"/>
      <c r="BD1151" s="114"/>
      <c r="BE1151" s="114"/>
    </row>
    <row r="1152">
      <c r="A1152" s="114"/>
      <c r="B1152" s="114"/>
      <c r="C1152" s="114"/>
      <c r="D1152" s="114"/>
      <c r="E1152" s="114"/>
      <c r="F1152" s="114"/>
      <c r="G1152" s="114"/>
      <c r="H1152" s="114"/>
      <c r="I1152" s="114"/>
      <c r="J1152" s="114"/>
      <c r="K1152" s="114"/>
      <c r="L1152" s="114"/>
      <c r="M1152" s="114"/>
      <c r="N1152" s="114"/>
      <c r="O1152" s="114"/>
      <c r="P1152" s="114"/>
      <c r="Q1152" s="114"/>
      <c r="R1152" s="114"/>
      <c r="S1152" s="114"/>
      <c r="T1152" s="114"/>
      <c r="U1152" s="114"/>
      <c r="V1152" s="114"/>
      <c r="W1152" s="114"/>
      <c r="X1152" s="115"/>
      <c r="Y1152" s="114"/>
      <c r="Z1152" s="117" t="s">
        <v>6805</v>
      </c>
      <c r="AA1152" s="117" t="s">
        <v>5507</v>
      </c>
      <c r="AB1152" s="114"/>
      <c r="AC1152" s="114"/>
      <c r="AD1152" s="114"/>
      <c r="AE1152" s="114"/>
      <c r="AF1152" s="114"/>
      <c r="AG1152" s="114"/>
      <c r="AH1152" s="114"/>
      <c r="AI1152" s="116"/>
      <c r="AJ1152" s="114"/>
      <c r="AK1152" s="114"/>
      <c r="AL1152" s="114"/>
      <c r="AM1152" s="114"/>
      <c r="AN1152" s="114"/>
      <c r="AO1152" s="114"/>
      <c r="AP1152" s="114"/>
      <c r="AQ1152" s="114"/>
      <c r="AR1152" s="114"/>
      <c r="AS1152" s="114"/>
      <c r="AT1152" s="114"/>
      <c r="AU1152" s="114"/>
      <c r="AV1152" s="114"/>
      <c r="AW1152" s="114"/>
      <c r="AX1152" s="114"/>
      <c r="AY1152" s="114"/>
      <c r="AZ1152" s="114"/>
      <c r="BA1152" s="114"/>
      <c r="BB1152" s="114"/>
      <c r="BC1152" s="114"/>
      <c r="BD1152" s="114"/>
      <c r="BE1152" s="114"/>
    </row>
    <row r="1153">
      <c r="A1153" s="114"/>
      <c r="B1153" s="114"/>
      <c r="C1153" s="114"/>
      <c r="D1153" s="114"/>
      <c r="E1153" s="114"/>
      <c r="F1153" s="114"/>
      <c r="G1153" s="114"/>
      <c r="H1153" s="114"/>
      <c r="I1153" s="114"/>
      <c r="J1153" s="114"/>
      <c r="K1153" s="114"/>
      <c r="L1153" s="114"/>
      <c r="M1153" s="114"/>
      <c r="N1153" s="114"/>
      <c r="O1153" s="114"/>
      <c r="P1153" s="114"/>
      <c r="Q1153" s="114"/>
      <c r="R1153" s="114"/>
      <c r="S1153" s="114"/>
      <c r="T1153" s="114"/>
      <c r="U1153" s="114"/>
      <c r="V1153" s="114"/>
      <c r="W1153" s="114"/>
      <c r="X1153" s="115"/>
      <c r="Y1153" s="114"/>
      <c r="Z1153" s="117" t="s">
        <v>6806</v>
      </c>
      <c r="AA1153" s="117" t="s">
        <v>5508</v>
      </c>
      <c r="AB1153" s="114"/>
      <c r="AC1153" s="114"/>
      <c r="AD1153" s="114"/>
      <c r="AE1153" s="114"/>
      <c r="AF1153" s="114"/>
      <c r="AG1153" s="114"/>
      <c r="AH1153" s="114"/>
      <c r="AI1153" s="116"/>
      <c r="AJ1153" s="114"/>
      <c r="AK1153" s="114"/>
      <c r="AL1153" s="114"/>
      <c r="AM1153" s="114"/>
      <c r="AN1153" s="114"/>
      <c r="AO1153" s="114"/>
      <c r="AP1153" s="114"/>
      <c r="AQ1153" s="114"/>
      <c r="AR1153" s="114"/>
      <c r="AS1153" s="114"/>
      <c r="AT1153" s="114"/>
      <c r="AU1153" s="114"/>
      <c r="AV1153" s="114"/>
      <c r="AW1153" s="114"/>
      <c r="AX1153" s="114"/>
      <c r="AY1153" s="114"/>
      <c r="AZ1153" s="114"/>
      <c r="BA1153" s="114"/>
      <c r="BB1153" s="114"/>
      <c r="BC1153" s="114"/>
      <c r="BD1153" s="114"/>
      <c r="BE1153" s="114"/>
    </row>
    <row r="1154">
      <c r="A1154" s="114"/>
      <c r="B1154" s="114"/>
      <c r="C1154" s="114"/>
      <c r="D1154" s="114"/>
      <c r="E1154" s="114"/>
      <c r="F1154" s="114"/>
      <c r="G1154" s="114"/>
      <c r="H1154" s="114"/>
      <c r="I1154" s="114"/>
      <c r="J1154" s="114"/>
      <c r="K1154" s="114"/>
      <c r="L1154" s="114"/>
      <c r="M1154" s="114"/>
      <c r="N1154" s="114"/>
      <c r="O1154" s="114"/>
      <c r="P1154" s="114"/>
      <c r="Q1154" s="114"/>
      <c r="R1154" s="114"/>
      <c r="S1154" s="114"/>
      <c r="T1154" s="114"/>
      <c r="U1154" s="114"/>
      <c r="V1154" s="114"/>
      <c r="W1154" s="114"/>
      <c r="X1154" s="115"/>
      <c r="Y1154" s="114"/>
      <c r="Z1154" s="117" t="s">
        <v>6807</v>
      </c>
      <c r="AA1154" s="117" t="s">
        <v>5506</v>
      </c>
      <c r="AB1154" s="114"/>
      <c r="AC1154" s="114"/>
      <c r="AD1154" s="114"/>
      <c r="AE1154" s="114"/>
      <c r="AF1154" s="114"/>
      <c r="AG1154" s="114"/>
      <c r="AH1154" s="114"/>
      <c r="AI1154" s="116"/>
      <c r="AJ1154" s="114"/>
      <c r="AK1154" s="114"/>
      <c r="AL1154" s="114"/>
      <c r="AM1154" s="114"/>
      <c r="AN1154" s="114"/>
      <c r="AO1154" s="114"/>
      <c r="AP1154" s="114"/>
      <c r="AQ1154" s="114"/>
      <c r="AR1154" s="114"/>
      <c r="AS1154" s="114"/>
      <c r="AT1154" s="114"/>
      <c r="AU1154" s="114"/>
      <c r="AV1154" s="114"/>
      <c r="AW1154" s="114"/>
      <c r="AX1154" s="114"/>
      <c r="AY1154" s="114"/>
      <c r="AZ1154" s="114"/>
      <c r="BA1154" s="114"/>
      <c r="BB1154" s="114"/>
      <c r="BC1154" s="114"/>
      <c r="BD1154" s="114"/>
      <c r="BE1154" s="114"/>
    </row>
    <row r="1155">
      <c r="A1155" s="114"/>
      <c r="B1155" s="114"/>
      <c r="C1155" s="114"/>
      <c r="D1155" s="114"/>
      <c r="E1155" s="114"/>
      <c r="F1155" s="114"/>
      <c r="G1155" s="114"/>
      <c r="H1155" s="114"/>
      <c r="I1155" s="114"/>
      <c r="J1155" s="114"/>
      <c r="K1155" s="114"/>
      <c r="L1155" s="114"/>
      <c r="M1155" s="114"/>
      <c r="N1155" s="114"/>
      <c r="O1155" s="114"/>
      <c r="P1155" s="114"/>
      <c r="Q1155" s="114"/>
      <c r="R1155" s="114"/>
      <c r="S1155" s="114"/>
      <c r="T1155" s="114"/>
      <c r="U1155" s="114"/>
      <c r="V1155" s="114"/>
      <c r="W1155" s="114"/>
      <c r="X1155" s="115"/>
      <c r="Y1155" s="114"/>
      <c r="Z1155" s="117" t="s">
        <v>6808</v>
      </c>
      <c r="AA1155" s="117" t="s">
        <v>5516</v>
      </c>
      <c r="AB1155" s="114"/>
      <c r="AC1155" s="114"/>
      <c r="AD1155" s="114"/>
      <c r="AE1155" s="114"/>
      <c r="AF1155" s="114"/>
      <c r="AG1155" s="114"/>
      <c r="AH1155" s="114"/>
      <c r="AI1155" s="116"/>
      <c r="AJ1155" s="114"/>
      <c r="AK1155" s="114"/>
      <c r="AL1155" s="114"/>
      <c r="AM1155" s="114"/>
      <c r="AN1155" s="114"/>
      <c r="AO1155" s="114"/>
      <c r="AP1155" s="114"/>
      <c r="AQ1155" s="114"/>
      <c r="AR1155" s="114"/>
      <c r="AS1155" s="114"/>
      <c r="AT1155" s="114"/>
      <c r="AU1155" s="114"/>
      <c r="AV1155" s="114"/>
      <c r="AW1155" s="114"/>
      <c r="AX1155" s="114"/>
      <c r="AY1155" s="114"/>
      <c r="AZ1155" s="114"/>
      <c r="BA1155" s="114"/>
      <c r="BB1155" s="114"/>
      <c r="BC1155" s="114"/>
      <c r="BD1155" s="114"/>
      <c r="BE1155" s="114"/>
    </row>
    <row r="1156">
      <c r="A1156" s="114"/>
      <c r="B1156" s="114"/>
      <c r="C1156" s="114"/>
      <c r="D1156" s="114"/>
      <c r="E1156" s="114"/>
      <c r="F1156" s="114"/>
      <c r="G1156" s="114"/>
      <c r="H1156" s="114"/>
      <c r="I1156" s="114"/>
      <c r="J1156" s="114"/>
      <c r="K1156" s="114"/>
      <c r="L1156" s="114"/>
      <c r="M1156" s="114"/>
      <c r="N1156" s="114"/>
      <c r="O1156" s="114"/>
      <c r="P1156" s="114"/>
      <c r="Q1156" s="114"/>
      <c r="R1156" s="114"/>
      <c r="S1156" s="114"/>
      <c r="T1156" s="114"/>
      <c r="U1156" s="114"/>
      <c r="V1156" s="114"/>
      <c r="W1156" s="114"/>
      <c r="X1156" s="115"/>
      <c r="Y1156" s="114"/>
      <c r="Z1156" s="117" t="s">
        <v>6809</v>
      </c>
      <c r="AA1156" s="117" t="s">
        <v>5518</v>
      </c>
      <c r="AB1156" s="114"/>
      <c r="AC1156" s="114"/>
      <c r="AD1156" s="114"/>
      <c r="AE1156" s="114"/>
      <c r="AF1156" s="114"/>
      <c r="AG1156" s="114"/>
      <c r="AH1156" s="114"/>
      <c r="AI1156" s="116"/>
      <c r="AJ1156" s="114"/>
      <c r="AK1156" s="114"/>
      <c r="AL1156" s="114"/>
      <c r="AM1156" s="114"/>
      <c r="AN1156" s="114"/>
      <c r="AO1156" s="114"/>
      <c r="AP1156" s="114"/>
      <c r="AQ1156" s="114"/>
      <c r="AR1156" s="114"/>
      <c r="AS1156" s="114"/>
      <c r="AT1156" s="114"/>
      <c r="AU1156" s="114"/>
      <c r="AV1156" s="114"/>
      <c r="AW1156" s="114"/>
      <c r="AX1156" s="114"/>
      <c r="AY1156" s="114"/>
      <c r="AZ1156" s="114"/>
      <c r="BA1156" s="114"/>
      <c r="BB1156" s="114"/>
      <c r="BC1156" s="114"/>
      <c r="BD1156" s="114"/>
      <c r="BE1156" s="114"/>
    </row>
    <row r="1157">
      <c r="A1157" s="114"/>
      <c r="B1157" s="114"/>
      <c r="C1157" s="114"/>
      <c r="D1157" s="114"/>
      <c r="E1157" s="114"/>
      <c r="F1157" s="114"/>
      <c r="G1157" s="114"/>
      <c r="H1157" s="114"/>
      <c r="I1157" s="114"/>
      <c r="J1157" s="114"/>
      <c r="K1157" s="114"/>
      <c r="L1157" s="114"/>
      <c r="M1157" s="114"/>
      <c r="N1157" s="114"/>
      <c r="O1157" s="114"/>
      <c r="P1157" s="114"/>
      <c r="Q1157" s="114"/>
      <c r="R1157" s="114"/>
      <c r="S1157" s="114"/>
      <c r="T1157" s="114"/>
      <c r="U1157" s="114"/>
      <c r="V1157" s="114"/>
      <c r="W1157" s="114"/>
      <c r="X1157" s="115"/>
      <c r="Y1157" s="114"/>
      <c r="Z1157" s="117" t="s">
        <v>6810</v>
      </c>
      <c r="AA1157" s="117" t="s">
        <v>5519</v>
      </c>
      <c r="AB1157" s="114"/>
      <c r="AC1157" s="114"/>
      <c r="AD1157" s="114"/>
      <c r="AE1157" s="114"/>
      <c r="AF1157" s="114"/>
      <c r="AG1157" s="114"/>
      <c r="AH1157" s="114"/>
      <c r="AI1157" s="116"/>
      <c r="AJ1157" s="114"/>
      <c r="AK1157" s="114"/>
      <c r="AL1157" s="114"/>
      <c r="AM1157" s="114"/>
      <c r="AN1157" s="114"/>
      <c r="AO1157" s="114"/>
      <c r="AP1157" s="114"/>
      <c r="AQ1157" s="114"/>
      <c r="AR1157" s="114"/>
      <c r="AS1157" s="114"/>
      <c r="AT1157" s="114"/>
      <c r="AU1157" s="114"/>
      <c r="AV1157" s="114"/>
      <c r="AW1157" s="114"/>
      <c r="AX1157" s="114"/>
      <c r="AY1157" s="114"/>
      <c r="AZ1157" s="114"/>
      <c r="BA1157" s="114"/>
      <c r="BB1157" s="114"/>
      <c r="BC1157" s="114"/>
      <c r="BD1157" s="114"/>
      <c r="BE1157" s="114"/>
    </row>
    <row r="1158">
      <c r="A1158" s="114"/>
      <c r="B1158" s="114"/>
      <c r="C1158" s="114"/>
      <c r="D1158" s="114"/>
      <c r="E1158" s="114"/>
      <c r="F1158" s="114"/>
      <c r="G1158" s="114"/>
      <c r="H1158" s="114"/>
      <c r="I1158" s="114"/>
      <c r="J1158" s="114"/>
      <c r="K1158" s="114"/>
      <c r="L1158" s="114"/>
      <c r="M1158" s="114"/>
      <c r="N1158" s="114"/>
      <c r="O1158" s="114"/>
      <c r="P1158" s="114"/>
      <c r="Q1158" s="114"/>
      <c r="R1158" s="114"/>
      <c r="S1158" s="114"/>
      <c r="T1158" s="114"/>
      <c r="U1158" s="114"/>
      <c r="V1158" s="114"/>
      <c r="W1158" s="114"/>
      <c r="X1158" s="115"/>
      <c r="Y1158" s="114"/>
      <c r="Z1158" s="117" t="s">
        <v>6811</v>
      </c>
      <c r="AA1158" s="117" t="s">
        <v>5517</v>
      </c>
      <c r="AB1158" s="114"/>
      <c r="AC1158" s="114"/>
      <c r="AD1158" s="114"/>
      <c r="AE1158" s="114"/>
      <c r="AF1158" s="114"/>
      <c r="AG1158" s="114"/>
      <c r="AH1158" s="114"/>
      <c r="AI1158" s="116"/>
      <c r="AJ1158" s="114"/>
      <c r="AK1158" s="114"/>
      <c r="AL1158" s="114"/>
      <c r="AM1158" s="114"/>
      <c r="AN1158" s="114"/>
      <c r="AO1158" s="114"/>
      <c r="AP1158" s="114"/>
      <c r="AQ1158" s="114"/>
      <c r="AR1158" s="114"/>
      <c r="AS1158" s="114"/>
      <c r="AT1158" s="114"/>
      <c r="AU1158" s="114"/>
      <c r="AV1158" s="114"/>
      <c r="AW1158" s="114"/>
      <c r="AX1158" s="114"/>
      <c r="AY1158" s="114"/>
      <c r="AZ1158" s="114"/>
      <c r="BA1158" s="114"/>
      <c r="BB1158" s="114"/>
      <c r="BC1158" s="114"/>
      <c r="BD1158" s="114"/>
      <c r="BE1158" s="114"/>
    </row>
    <row r="1159">
      <c r="A1159" s="114"/>
      <c r="B1159" s="114"/>
      <c r="C1159" s="114"/>
      <c r="D1159" s="114"/>
      <c r="E1159" s="114"/>
      <c r="F1159" s="114"/>
      <c r="G1159" s="114"/>
      <c r="H1159" s="114"/>
      <c r="I1159" s="114"/>
      <c r="J1159" s="114"/>
      <c r="K1159" s="114"/>
      <c r="L1159" s="114"/>
      <c r="M1159" s="114"/>
      <c r="N1159" s="114"/>
      <c r="O1159" s="114"/>
      <c r="P1159" s="114"/>
      <c r="Q1159" s="114"/>
      <c r="R1159" s="114"/>
      <c r="S1159" s="114"/>
      <c r="T1159" s="114"/>
      <c r="U1159" s="114"/>
      <c r="V1159" s="114"/>
      <c r="W1159" s="114"/>
      <c r="X1159" s="115"/>
      <c r="Y1159" s="114"/>
      <c r="Z1159" s="117" t="s">
        <v>6812</v>
      </c>
      <c r="AA1159" s="117" t="s">
        <v>5527</v>
      </c>
      <c r="AB1159" s="114"/>
      <c r="AC1159" s="114"/>
      <c r="AD1159" s="114"/>
      <c r="AE1159" s="114"/>
      <c r="AF1159" s="114"/>
      <c r="AG1159" s="114"/>
      <c r="AH1159" s="114"/>
      <c r="AI1159" s="116"/>
      <c r="AJ1159" s="114"/>
      <c r="AK1159" s="114"/>
      <c r="AL1159" s="114"/>
      <c r="AM1159" s="114"/>
      <c r="AN1159" s="114"/>
      <c r="AO1159" s="114"/>
      <c r="AP1159" s="114"/>
      <c r="AQ1159" s="114"/>
      <c r="AR1159" s="114"/>
      <c r="AS1159" s="114"/>
      <c r="AT1159" s="114"/>
      <c r="AU1159" s="114"/>
      <c r="AV1159" s="114"/>
      <c r="AW1159" s="114"/>
      <c r="AX1159" s="114"/>
      <c r="AY1159" s="114"/>
      <c r="AZ1159" s="114"/>
      <c r="BA1159" s="114"/>
      <c r="BB1159" s="114"/>
      <c r="BC1159" s="114"/>
      <c r="BD1159" s="114"/>
      <c r="BE1159" s="114"/>
    </row>
    <row r="1160">
      <c r="A1160" s="114"/>
      <c r="B1160" s="114"/>
      <c r="C1160" s="114"/>
      <c r="D1160" s="114"/>
      <c r="E1160" s="114"/>
      <c r="F1160" s="114"/>
      <c r="G1160" s="114"/>
      <c r="H1160" s="114"/>
      <c r="I1160" s="114"/>
      <c r="J1160" s="114"/>
      <c r="K1160" s="114"/>
      <c r="L1160" s="114"/>
      <c r="M1160" s="114"/>
      <c r="N1160" s="114"/>
      <c r="O1160" s="114"/>
      <c r="P1160" s="114"/>
      <c r="Q1160" s="114"/>
      <c r="R1160" s="114"/>
      <c r="S1160" s="114"/>
      <c r="T1160" s="114"/>
      <c r="U1160" s="114"/>
      <c r="V1160" s="114"/>
      <c r="W1160" s="114"/>
      <c r="X1160" s="115"/>
      <c r="Y1160" s="114"/>
      <c r="Z1160" s="117" t="s">
        <v>6813</v>
      </c>
      <c r="AA1160" s="117" t="s">
        <v>5529</v>
      </c>
      <c r="AB1160" s="114"/>
      <c r="AC1160" s="114"/>
      <c r="AD1160" s="114"/>
      <c r="AE1160" s="114"/>
      <c r="AF1160" s="114"/>
      <c r="AG1160" s="114"/>
      <c r="AH1160" s="114"/>
      <c r="AI1160" s="116"/>
      <c r="AJ1160" s="114"/>
      <c r="AK1160" s="114"/>
      <c r="AL1160" s="114"/>
      <c r="AM1160" s="114"/>
      <c r="AN1160" s="114"/>
      <c r="AO1160" s="114"/>
      <c r="AP1160" s="114"/>
      <c r="AQ1160" s="114"/>
      <c r="AR1160" s="114"/>
      <c r="AS1160" s="114"/>
      <c r="AT1160" s="114"/>
      <c r="AU1160" s="114"/>
      <c r="AV1160" s="114"/>
      <c r="AW1160" s="114"/>
      <c r="AX1160" s="114"/>
      <c r="AY1160" s="114"/>
      <c r="AZ1160" s="114"/>
      <c r="BA1160" s="114"/>
      <c r="BB1160" s="114"/>
      <c r="BC1160" s="114"/>
      <c r="BD1160" s="114"/>
      <c r="BE1160" s="114"/>
    </row>
    <row r="1161">
      <c r="A1161" s="114"/>
      <c r="B1161" s="114"/>
      <c r="C1161" s="114"/>
      <c r="D1161" s="114"/>
      <c r="E1161" s="114"/>
      <c r="F1161" s="114"/>
      <c r="G1161" s="114"/>
      <c r="H1161" s="114"/>
      <c r="I1161" s="114"/>
      <c r="J1161" s="114"/>
      <c r="K1161" s="114"/>
      <c r="L1161" s="114"/>
      <c r="M1161" s="114"/>
      <c r="N1161" s="114"/>
      <c r="O1161" s="114"/>
      <c r="P1161" s="114"/>
      <c r="Q1161" s="114"/>
      <c r="R1161" s="114"/>
      <c r="S1161" s="114"/>
      <c r="T1161" s="114"/>
      <c r="U1161" s="114"/>
      <c r="V1161" s="114"/>
      <c r="W1161" s="114"/>
      <c r="X1161" s="115"/>
      <c r="Y1161" s="114"/>
      <c r="Z1161" s="117" t="s">
        <v>6814</v>
      </c>
      <c r="AA1161" s="117" t="s">
        <v>5530</v>
      </c>
      <c r="AB1161" s="114"/>
      <c r="AC1161" s="114"/>
      <c r="AD1161" s="114"/>
      <c r="AE1161" s="114"/>
      <c r="AF1161" s="114"/>
      <c r="AG1161" s="114"/>
      <c r="AH1161" s="114"/>
      <c r="AI1161" s="116"/>
      <c r="AJ1161" s="114"/>
      <c r="AK1161" s="114"/>
      <c r="AL1161" s="114"/>
      <c r="AM1161" s="114"/>
      <c r="AN1161" s="114"/>
      <c r="AO1161" s="114"/>
      <c r="AP1161" s="114"/>
      <c r="AQ1161" s="114"/>
      <c r="AR1161" s="114"/>
      <c r="AS1161" s="114"/>
      <c r="AT1161" s="114"/>
      <c r="AU1161" s="114"/>
      <c r="AV1161" s="114"/>
      <c r="AW1161" s="114"/>
      <c r="AX1161" s="114"/>
      <c r="AY1161" s="114"/>
      <c r="AZ1161" s="114"/>
      <c r="BA1161" s="114"/>
      <c r="BB1161" s="114"/>
      <c r="BC1161" s="114"/>
      <c r="BD1161" s="114"/>
      <c r="BE1161" s="114"/>
    </row>
    <row r="1162">
      <c r="A1162" s="114"/>
      <c r="B1162" s="114"/>
      <c r="C1162" s="114"/>
      <c r="D1162" s="114"/>
      <c r="E1162" s="114"/>
      <c r="F1162" s="114"/>
      <c r="G1162" s="114"/>
      <c r="H1162" s="114"/>
      <c r="I1162" s="114"/>
      <c r="J1162" s="114"/>
      <c r="K1162" s="114"/>
      <c r="L1162" s="114"/>
      <c r="M1162" s="114"/>
      <c r="N1162" s="114"/>
      <c r="O1162" s="114"/>
      <c r="P1162" s="114"/>
      <c r="Q1162" s="114"/>
      <c r="R1162" s="114"/>
      <c r="S1162" s="114"/>
      <c r="T1162" s="114"/>
      <c r="U1162" s="114"/>
      <c r="V1162" s="114"/>
      <c r="W1162" s="114"/>
      <c r="X1162" s="115"/>
      <c r="Y1162" s="114"/>
      <c r="Z1162" s="117" t="s">
        <v>6815</v>
      </c>
      <c r="AA1162" s="117" t="s">
        <v>5528</v>
      </c>
      <c r="AB1162" s="114"/>
      <c r="AC1162" s="114"/>
      <c r="AD1162" s="114"/>
      <c r="AE1162" s="114"/>
      <c r="AF1162" s="114"/>
      <c r="AG1162" s="114"/>
      <c r="AH1162" s="114"/>
      <c r="AI1162" s="116"/>
      <c r="AJ1162" s="114"/>
      <c r="AK1162" s="114"/>
      <c r="AL1162" s="114"/>
      <c r="AM1162" s="114"/>
      <c r="AN1162" s="114"/>
      <c r="AO1162" s="114"/>
      <c r="AP1162" s="114"/>
      <c r="AQ1162" s="114"/>
      <c r="AR1162" s="114"/>
      <c r="AS1162" s="114"/>
      <c r="AT1162" s="114"/>
      <c r="AU1162" s="114"/>
      <c r="AV1162" s="114"/>
      <c r="AW1162" s="114"/>
      <c r="AX1162" s="114"/>
      <c r="AY1162" s="114"/>
      <c r="AZ1162" s="114"/>
      <c r="BA1162" s="114"/>
      <c r="BB1162" s="114"/>
      <c r="BC1162" s="114"/>
      <c r="BD1162" s="114"/>
      <c r="BE1162" s="114"/>
    </row>
    <row r="1163">
      <c r="A1163" s="114"/>
      <c r="B1163" s="114"/>
      <c r="C1163" s="114"/>
      <c r="D1163" s="114"/>
      <c r="E1163" s="114"/>
      <c r="F1163" s="114"/>
      <c r="G1163" s="114"/>
      <c r="H1163" s="114"/>
      <c r="I1163" s="114"/>
      <c r="J1163" s="114"/>
      <c r="K1163" s="114"/>
      <c r="L1163" s="114"/>
      <c r="M1163" s="114"/>
      <c r="N1163" s="114"/>
      <c r="O1163" s="114"/>
      <c r="P1163" s="114"/>
      <c r="Q1163" s="114"/>
      <c r="R1163" s="114"/>
      <c r="S1163" s="114"/>
      <c r="T1163" s="114"/>
      <c r="U1163" s="114"/>
      <c r="V1163" s="114"/>
      <c r="W1163" s="114"/>
      <c r="X1163" s="115"/>
      <c r="Y1163" s="114"/>
      <c r="Z1163" s="117" t="s">
        <v>6816</v>
      </c>
      <c r="AA1163" s="117" t="s">
        <v>5538</v>
      </c>
      <c r="AB1163" s="114"/>
      <c r="AC1163" s="114"/>
      <c r="AD1163" s="114"/>
      <c r="AE1163" s="114"/>
      <c r="AF1163" s="114"/>
      <c r="AG1163" s="114"/>
      <c r="AH1163" s="114"/>
      <c r="AI1163" s="116"/>
      <c r="AJ1163" s="114"/>
      <c r="AK1163" s="114"/>
      <c r="AL1163" s="114"/>
      <c r="AM1163" s="114"/>
      <c r="AN1163" s="114"/>
      <c r="AO1163" s="114"/>
      <c r="AP1163" s="114"/>
      <c r="AQ1163" s="114"/>
      <c r="AR1163" s="114"/>
      <c r="AS1163" s="114"/>
      <c r="AT1163" s="114"/>
      <c r="AU1163" s="114"/>
      <c r="AV1163" s="114"/>
      <c r="AW1163" s="114"/>
      <c r="AX1163" s="114"/>
      <c r="AY1163" s="114"/>
      <c r="AZ1163" s="114"/>
      <c r="BA1163" s="114"/>
      <c r="BB1163" s="114"/>
      <c r="BC1163" s="114"/>
      <c r="BD1163" s="114"/>
      <c r="BE1163" s="114"/>
    </row>
    <row r="1164">
      <c r="A1164" s="114"/>
      <c r="B1164" s="114"/>
      <c r="C1164" s="114"/>
      <c r="D1164" s="114"/>
      <c r="E1164" s="114"/>
      <c r="F1164" s="114"/>
      <c r="G1164" s="114"/>
      <c r="H1164" s="114"/>
      <c r="I1164" s="114"/>
      <c r="J1164" s="114"/>
      <c r="K1164" s="114"/>
      <c r="L1164" s="114"/>
      <c r="M1164" s="114"/>
      <c r="N1164" s="114"/>
      <c r="O1164" s="114"/>
      <c r="P1164" s="114"/>
      <c r="Q1164" s="114"/>
      <c r="R1164" s="114"/>
      <c r="S1164" s="114"/>
      <c r="T1164" s="114"/>
      <c r="U1164" s="114"/>
      <c r="V1164" s="114"/>
      <c r="W1164" s="114"/>
      <c r="X1164" s="115"/>
      <c r="Y1164" s="114"/>
      <c r="Z1164" s="117" t="s">
        <v>6817</v>
      </c>
      <c r="AA1164" s="117" t="s">
        <v>5540</v>
      </c>
      <c r="AB1164" s="114"/>
      <c r="AC1164" s="114"/>
      <c r="AD1164" s="114"/>
      <c r="AE1164" s="114"/>
      <c r="AF1164" s="114"/>
      <c r="AG1164" s="114"/>
      <c r="AH1164" s="114"/>
      <c r="AI1164" s="116"/>
      <c r="AJ1164" s="114"/>
      <c r="AK1164" s="114"/>
      <c r="AL1164" s="114"/>
      <c r="AM1164" s="114"/>
      <c r="AN1164" s="114"/>
      <c r="AO1164" s="114"/>
      <c r="AP1164" s="114"/>
      <c r="AQ1164" s="114"/>
      <c r="AR1164" s="114"/>
      <c r="AS1164" s="114"/>
      <c r="AT1164" s="114"/>
      <c r="AU1164" s="114"/>
      <c r="AV1164" s="114"/>
      <c r="AW1164" s="114"/>
      <c r="AX1164" s="114"/>
      <c r="AY1164" s="114"/>
      <c r="AZ1164" s="114"/>
      <c r="BA1164" s="114"/>
      <c r="BB1164" s="114"/>
      <c r="BC1164" s="114"/>
      <c r="BD1164" s="114"/>
      <c r="BE1164" s="114"/>
    </row>
    <row r="1165">
      <c r="A1165" s="114"/>
      <c r="B1165" s="114"/>
      <c r="C1165" s="114"/>
      <c r="D1165" s="114"/>
      <c r="E1165" s="114"/>
      <c r="F1165" s="114"/>
      <c r="G1165" s="114"/>
      <c r="H1165" s="114"/>
      <c r="I1165" s="114"/>
      <c r="J1165" s="114"/>
      <c r="K1165" s="114"/>
      <c r="L1165" s="114"/>
      <c r="M1165" s="114"/>
      <c r="N1165" s="114"/>
      <c r="O1165" s="114"/>
      <c r="P1165" s="114"/>
      <c r="Q1165" s="114"/>
      <c r="R1165" s="114"/>
      <c r="S1165" s="114"/>
      <c r="T1165" s="114"/>
      <c r="U1165" s="114"/>
      <c r="V1165" s="114"/>
      <c r="W1165" s="114"/>
      <c r="X1165" s="115"/>
      <c r="Y1165" s="114"/>
      <c r="Z1165" s="117" t="s">
        <v>6818</v>
      </c>
      <c r="AA1165" s="117" t="s">
        <v>5541</v>
      </c>
      <c r="AB1165" s="114"/>
      <c r="AC1165" s="114"/>
      <c r="AD1165" s="114"/>
      <c r="AE1165" s="114"/>
      <c r="AF1165" s="114"/>
      <c r="AG1165" s="114"/>
      <c r="AH1165" s="114"/>
      <c r="AI1165" s="116"/>
      <c r="AJ1165" s="114"/>
      <c r="AK1165" s="114"/>
      <c r="AL1165" s="114"/>
      <c r="AM1165" s="114"/>
      <c r="AN1165" s="114"/>
      <c r="AO1165" s="114"/>
      <c r="AP1165" s="114"/>
      <c r="AQ1165" s="114"/>
      <c r="AR1165" s="114"/>
      <c r="AS1165" s="114"/>
      <c r="AT1165" s="114"/>
      <c r="AU1165" s="114"/>
      <c r="AV1165" s="114"/>
      <c r="AW1165" s="114"/>
      <c r="AX1165" s="114"/>
      <c r="AY1165" s="114"/>
      <c r="AZ1165" s="114"/>
      <c r="BA1165" s="114"/>
      <c r="BB1165" s="114"/>
      <c r="BC1165" s="114"/>
      <c r="BD1165" s="114"/>
      <c r="BE1165" s="114"/>
    </row>
    <row r="1166">
      <c r="A1166" s="114"/>
      <c r="B1166" s="114"/>
      <c r="C1166" s="114"/>
      <c r="D1166" s="114"/>
      <c r="E1166" s="114"/>
      <c r="F1166" s="114"/>
      <c r="G1166" s="114"/>
      <c r="H1166" s="114"/>
      <c r="I1166" s="114"/>
      <c r="J1166" s="114"/>
      <c r="K1166" s="114"/>
      <c r="L1166" s="114"/>
      <c r="M1166" s="114"/>
      <c r="N1166" s="114"/>
      <c r="O1166" s="114"/>
      <c r="P1166" s="114"/>
      <c r="Q1166" s="114"/>
      <c r="R1166" s="114"/>
      <c r="S1166" s="114"/>
      <c r="T1166" s="114"/>
      <c r="U1166" s="114"/>
      <c r="V1166" s="114"/>
      <c r="W1166" s="114"/>
      <c r="X1166" s="115"/>
      <c r="Y1166" s="114"/>
      <c r="Z1166" s="117" t="s">
        <v>6819</v>
      </c>
      <c r="AA1166" s="117" t="s">
        <v>5539</v>
      </c>
      <c r="AB1166" s="114"/>
      <c r="AC1166" s="114"/>
      <c r="AD1166" s="114"/>
      <c r="AE1166" s="114"/>
      <c r="AF1166" s="114"/>
      <c r="AG1166" s="114"/>
      <c r="AH1166" s="114"/>
      <c r="AI1166" s="116"/>
      <c r="AJ1166" s="114"/>
      <c r="AK1166" s="114"/>
      <c r="AL1166" s="114"/>
      <c r="AM1166" s="114"/>
      <c r="AN1166" s="114"/>
      <c r="AO1166" s="114"/>
      <c r="AP1166" s="114"/>
      <c r="AQ1166" s="114"/>
      <c r="AR1166" s="114"/>
      <c r="AS1166" s="114"/>
      <c r="AT1166" s="114"/>
      <c r="AU1166" s="114"/>
      <c r="AV1166" s="114"/>
      <c r="AW1166" s="114"/>
      <c r="AX1166" s="114"/>
      <c r="AY1166" s="114"/>
      <c r="AZ1166" s="114"/>
      <c r="BA1166" s="114"/>
      <c r="BB1166" s="114"/>
      <c r="BC1166" s="114"/>
      <c r="BD1166" s="114"/>
      <c r="BE1166" s="114"/>
    </row>
    <row r="1167">
      <c r="A1167" s="114"/>
      <c r="B1167" s="114"/>
      <c r="C1167" s="114"/>
      <c r="D1167" s="114"/>
      <c r="E1167" s="114"/>
      <c r="F1167" s="114"/>
      <c r="G1167" s="114"/>
      <c r="H1167" s="114"/>
      <c r="I1167" s="114"/>
      <c r="J1167" s="114"/>
      <c r="K1167" s="114"/>
      <c r="L1167" s="114"/>
      <c r="M1167" s="114"/>
      <c r="N1167" s="114"/>
      <c r="O1167" s="114"/>
      <c r="P1167" s="114"/>
      <c r="Q1167" s="114"/>
      <c r="R1167" s="114"/>
      <c r="S1167" s="114"/>
      <c r="T1167" s="114"/>
      <c r="U1167" s="114"/>
      <c r="V1167" s="114"/>
      <c r="W1167" s="114"/>
      <c r="X1167" s="115"/>
      <c r="Y1167" s="114"/>
      <c r="Z1167" s="117" t="s">
        <v>6820</v>
      </c>
      <c r="AA1167" s="117" t="s">
        <v>5549</v>
      </c>
      <c r="AB1167" s="114"/>
      <c r="AC1167" s="114"/>
      <c r="AD1167" s="114"/>
      <c r="AE1167" s="114"/>
      <c r="AF1167" s="114"/>
      <c r="AG1167" s="114"/>
      <c r="AH1167" s="114"/>
      <c r="AI1167" s="116"/>
      <c r="AJ1167" s="114"/>
      <c r="AK1167" s="114"/>
      <c r="AL1167" s="114"/>
      <c r="AM1167" s="114"/>
      <c r="AN1167" s="114"/>
      <c r="AO1167" s="114"/>
      <c r="AP1167" s="114"/>
      <c r="AQ1167" s="114"/>
      <c r="AR1167" s="114"/>
      <c r="AS1167" s="114"/>
      <c r="AT1167" s="114"/>
      <c r="AU1167" s="114"/>
      <c r="AV1167" s="114"/>
      <c r="AW1167" s="114"/>
      <c r="AX1167" s="114"/>
      <c r="AY1167" s="114"/>
      <c r="AZ1167" s="114"/>
      <c r="BA1167" s="114"/>
      <c r="BB1167" s="114"/>
      <c r="BC1167" s="114"/>
      <c r="BD1167" s="114"/>
      <c r="BE1167" s="114"/>
    </row>
    <row r="1168">
      <c r="A1168" s="114"/>
      <c r="B1168" s="114"/>
      <c r="C1168" s="114"/>
      <c r="D1168" s="114"/>
      <c r="E1168" s="114"/>
      <c r="F1168" s="114"/>
      <c r="G1168" s="114"/>
      <c r="H1168" s="114"/>
      <c r="I1168" s="114"/>
      <c r="J1168" s="114"/>
      <c r="K1168" s="114"/>
      <c r="L1168" s="114"/>
      <c r="M1168" s="114"/>
      <c r="N1168" s="114"/>
      <c r="O1168" s="114"/>
      <c r="P1168" s="114"/>
      <c r="Q1168" s="114"/>
      <c r="R1168" s="114"/>
      <c r="S1168" s="114"/>
      <c r="T1168" s="114"/>
      <c r="U1168" s="114"/>
      <c r="V1168" s="114"/>
      <c r="W1168" s="114"/>
      <c r="X1168" s="115"/>
      <c r="Y1168" s="114"/>
      <c r="Z1168" s="117" t="s">
        <v>6821</v>
      </c>
      <c r="AA1168" s="117" t="s">
        <v>5551</v>
      </c>
      <c r="AB1168" s="114"/>
      <c r="AC1168" s="114"/>
      <c r="AD1168" s="114"/>
      <c r="AE1168" s="114"/>
      <c r="AF1168" s="114"/>
      <c r="AG1168" s="114"/>
      <c r="AH1168" s="114"/>
      <c r="AI1168" s="116"/>
      <c r="AJ1168" s="114"/>
      <c r="AK1168" s="114"/>
      <c r="AL1168" s="114"/>
      <c r="AM1168" s="114"/>
      <c r="AN1168" s="114"/>
      <c r="AO1168" s="114"/>
      <c r="AP1168" s="114"/>
      <c r="AQ1168" s="114"/>
      <c r="AR1168" s="114"/>
      <c r="AS1168" s="114"/>
      <c r="AT1168" s="114"/>
      <c r="AU1168" s="114"/>
      <c r="AV1168" s="114"/>
      <c r="AW1168" s="114"/>
      <c r="AX1168" s="114"/>
      <c r="AY1168" s="114"/>
      <c r="AZ1168" s="114"/>
      <c r="BA1168" s="114"/>
      <c r="BB1168" s="114"/>
      <c r="BC1168" s="114"/>
      <c r="BD1168" s="114"/>
      <c r="BE1168" s="114"/>
    </row>
    <row r="1169">
      <c r="A1169" s="114"/>
      <c r="B1169" s="114"/>
      <c r="C1169" s="114"/>
      <c r="D1169" s="114"/>
      <c r="E1169" s="114"/>
      <c r="F1169" s="114"/>
      <c r="G1169" s="114"/>
      <c r="H1169" s="114"/>
      <c r="I1169" s="114"/>
      <c r="J1169" s="114"/>
      <c r="K1169" s="114"/>
      <c r="L1169" s="114"/>
      <c r="M1169" s="114"/>
      <c r="N1169" s="114"/>
      <c r="O1169" s="114"/>
      <c r="P1169" s="114"/>
      <c r="Q1169" s="114"/>
      <c r="R1169" s="114"/>
      <c r="S1169" s="114"/>
      <c r="T1169" s="114"/>
      <c r="U1169" s="114"/>
      <c r="V1169" s="114"/>
      <c r="W1169" s="114"/>
      <c r="X1169" s="115"/>
      <c r="Y1169" s="114"/>
      <c r="Z1169" s="117" t="s">
        <v>6822</v>
      </c>
      <c r="AA1169" s="117" t="s">
        <v>5552</v>
      </c>
      <c r="AB1169" s="114"/>
      <c r="AC1169" s="114"/>
      <c r="AD1169" s="114"/>
      <c r="AE1169" s="114"/>
      <c r="AF1169" s="114"/>
      <c r="AG1169" s="114"/>
      <c r="AH1169" s="114"/>
      <c r="AI1169" s="116"/>
      <c r="AJ1169" s="114"/>
      <c r="AK1169" s="114"/>
      <c r="AL1169" s="114"/>
      <c r="AM1169" s="114"/>
      <c r="AN1169" s="114"/>
      <c r="AO1169" s="114"/>
      <c r="AP1169" s="114"/>
      <c r="AQ1169" s="114"/>
      <c r="AR1169" s="114"/>
      <c r="AS1169" s="114"/>
      <c r="AT1169" s="114"/>
      <c r="AU1169" s="114"/>
      <c r="AV1169" s="114"/>
      <c r="AW1169" s="114"/>
      <c r="AX1169" s="114"/>
      <c r="AY1169" s="114"/>
      <c r="AZ1169" s="114"/>
      <c r="BA1169" s="114"/>
      <c r="BB1169" s="114"/>
      <c r="BC1169" s="114"/>
      <c r="BD1169" s="114"/>
      <c r="BE1169" s="114"/>
    </row>
    <row r="1170">
      <c r="A1170" s="114"/>
      <c r="B1170" s="114"/>
      <c r="C1170" s="114"/>
      <c r="D1170" s="114"/>
      <c r="E1170" s="114"/>
      <c r="F1170" s="114"/>
      <c r="G1170" s="114"/>
      <c r="H1170" s="114"/>
      <c r="I1170" s="114"/>
      <c r="J1170" s="114"/>
      <c r="K1170" s="114"/>
      <c r="L1170" s="114"/>
      <c r="M1170" s="114"/>
      <c r="N1170" s="114"/>
      <c r="O1170" s="114"/>
      <c r="P1170" s="114"/>
      <c r="Q1170" s="114"/>
      <c r="R1170" s="114"/>
      <c r="S1170" s="114"/>
      <c r="T1170" s="114"/>
      <c r="U1170" s="114"/>
      <c r="V1170" s="114"/>
      <c r="W1170" s="114"/>
      <c r="X1170" s="115"/>
      <c r="Y1170" s="114"/>
      <c r="Z1170" s="117" t="s">
        <v>6823</v>
      </c>
      <c r="AA1170" s="117" t="s">
        <v>5550</v>
      </c>
      <c r="AB1170" s="114"/>
      <c r="AC1170" s="114"/>
      <c r="AD1170" s="114"/>
      <c r="AE1170" s="114"/>
      <c r="AF1170" s="114"/>
      <c r="AG1170" s="114"/>
      <c r="AH1170" s="114"/>
      <c r="AI1170" s="116"/>
      <c r="AJ1170" s="114"/>
      <c r="AK1170" s="114"/>
      <c r="AL1170" s="114"/>
      <c r="AM1170" s="114"/>
      <c r="AN1170" s="114"/>
      <c r="AO1170" s="114"/>
      <c r="AP1170" s="114"/>
      <c r="AQ1170" s="114"/>
      <c r="AR1170" s="114"/>
      <c r="AS1170" s="114"/>
      <c r="AT1170" s="114"/>
      <c r="AU1170" s="114"/>
      <c r="AV1170" s="114"/>
      <c r="AW1170" s="114"/>
      <c r="AX1170" s="114"/>
      <c r="AY1170" s="114"/>
      <c r="AZ1170" s="114"/>
      <c r="BA1170" s="114"/>
      <c r="BB1170" s="114"/>
      <c r="BC1170" s="114"/>
      <c r="BD1170" s="114"/>
      <c r="BE1170" s="114"/>
    </row>
    <row r="1171">
      <c r="A1171" s="114"/>
      <c r="B1171" s="114"/>
      <c r="C1171" s="114"/>
      <c r="D1171" s="114"/>
      <c r="E1171" s="114"/>
      <c r="F1171" s="114"/>
      <c r="G1171" s="114"/>
      <c r="H1171" s="114"/>
      <c r="I1171" s="114"/>
      <c r="J1171" s="114"/>
      <c r="K1171" s="114"/>
      <c r="L1171" s="114"/>
      <c r="M1171" s="114"/>
      <c r="N1171" s="114"/>
      <c r="O1171" s="114"/>
      <c r="P1171" s="114"/>
      <c r="Q1171" s="114"/>
      <c r="R1171" s="114"/>
      <c r="S1171" s="114"/>
      <c r="T1171" s="114"/>
      <c r="U1171" s="114"/>
      <c r="V1171" s="114"/>
      <c r="W1171" s="114"/>
      <c r="X1171" s="115"/>
      <c r="Y1171" s="114"/>
      <c r="Z1171" s="117" t="s">
        <v>6824</v>
      </c>
      <c r="AA1171" s="117" t="s">
        <v>5560</v>
      </c>
      <c r="AB1171" s="114"/>
      <c r="AC1171" s="114"/>
      <c r="AD1171" s="114"/>
      <c r="AE1171" s="114"/>
      <c r="AF1171" s="114"/>
      <c r="AG1171" s="114"/>
      <c r="AH1171" s="114"/>
      <c r="AI1171" s="116"/>
      <c r="AJ1171" s="114"/>
      <c r="AK1171" s="114"/>
      <c r="AL1171" s="114"/>
      <c r="AM1171" s="114"/>
      <c r="AN1171" s="114"/>
      <c r="AO1171" s="114"/>
      <c r="AP1171" s="114"/>
      <c r="AQ1171" s="114"/>
      <c r="AR1171" s="114"/>
      <c r="AS1171" s="114"/>
      <c r="AT1171" s="114"/>
      <c r="AU1171" s="114"/>
      <c r="AV1171" s="114"/>
      <c r="AW1171" s="114"/>
      <c r="AX1171" s="114"/>
      <c r="AY1171" s="114"/>
      <c r="AZ1171" s="114"/>
      <c r="BA1171" s="114"/>
      <c r="BB1171" s="114"/>
      <c r="BC1171" s="114"/>
      <c r="BD1171" s="114"/>
      <c r="BE1171" s="114"/>
    </row>
    <row r="1172">
      <c r="A1172" s="114"/>
      <c r="B1172" s="114"/>
      <c r="C1172" s="114"/>
      <c r="D1172" s="114"/>
      <c r="E1172" s="114"/>
      <c r="F1172" s="114"/>
      <c r="G1172" s="114"/>
      <c r="H1172" s="114"/>
      <c r="I1172" s="114"/>
      <c r="J1172" s="114"/>
      <c r="K1172" s="114"/>
      <c r="L1172" s="114"/>
      <c r="M1172" s="114"/>
      <c r="N1172" s="114"/>
      <c r="O1172" s="114"/>
      <c r="P1172" s="114"/>
      <c r="Q1172" s="114"/>
      <c r="R1172" s="114"/>
      <c r="S1172" s="114"/>
      <c r="T1172" s="114"/>
      <c r="U1172" s="114"/>
      <c r="V1172" s="114"/>
      <c r="W1172" s="114"/>
      <c r="X1172" s="115"/>
      <c r="Y1172" s="114"/>
      <c r="Z1172" s="117" t="s">
        <v>6825</v>
      </c>
      <c r="AA1172" s="117" t="s">
        <v>5562</v>
      </c>
      <c r="AB1172" s="114"/>
      <c r="AC1172" s="114"/>
      <c r="AD1172" s="114"/>
      <c r="AE1172" s="114"/>
      <c r="AF1172" s="114"/>
      <c r="AG1172" s="114"/>
      <c r="AH1172" s="114"/>
      <c r="AI1172" s="116"/>
      <c r="AJ1172" s="114"/>
      <c r="AK1172" s="114"/>
      <c r="AL1172" s="114"/>
      <c r="AM1172" s="114"/>
      <c r="AN1172" s="114"/>
      <c r="AO1172" s="114"/>
      <c r="AP1172" s="114"/>
      <c r="AQ1172" s="114"/>
      <c r="AR1172" s="114"/>
      <c r="AS1172" s="114"/>
      <c r="AT1172" s="114"/>
      <c r="AU1172" s="114"/>
      <c r="AV1172" s="114"/>
      <c r="AW1172" s="114"/>
      <c r="AX1172" s="114"/>
      <c r="AY1172" s="114"/>
      <c r="AZ1172" s="114"/>
      <c r="BA1172" s="114"/>
      <c r="BB1172" s="114"/>
      <c r="BC1172" s="114"/>
      <c r="BD1172" s="114"/>
      <c r="BE1172" s="114"/>
    </row>
    <row r="1173">
      <c r="A1173" s="114"/>
      <c r="B1173" s="114"/>
      <c r="C1173" s="114"/>
      <c r="D1173" s="114"/>
      <c r="E1173" s="114"/>
      <c r="F1173" s="114"/>
      <c r="G1173" s="114"/>
      <c r="H1173" s="114"/>
      <c r="I1173" s="114"/>
      <c r="J1173" s="114"/>
      <c r="K1173" s="114"/>
      <c r="L1173" s="114"/>
      <c r="M1173" s="114"/>
      <c r="N1173" s="114"/>
      <c r="O1173" s="114"/>
      <c r="P1173" s="114"/>
      <c r="Q1173" s="114"/>
      <c r="R1173" s="114"/>
      <c r="S1173" s="114"/>
      <c r="T1173" s="114"/>
      <c r="U1173" s="114"/>
      <c r="V1173" s="114"/>
      <c r="W1173" s="114"/>
      <c r="X1173" s="115"/>
      <c r="Y1173" s="114"/>
      <c r="Z1173" s="117" t="s">
        <v>6826</v>
      </c>
      <c r="AA1173" s="117" t="s">
        <v>5563</v>
      </c>
      <c r="AB1173" s="114"/>
      <c r="AC1173" s="114"/>
      <c r="AD1173" s="114"/>
      <c r="AE1173" s="114"/>
      <c r="AF1173" s="114"/>
      <c r="AG1173" s="114"/>
      <c r="AH1173" s="114"/>
      <c r="AI1173" s="116"/>
      <c r="AJ1173" s="114"/>
      <c r="AK1173" s="114"/>
      <c r="AL1173" s="114"/>
      <c r="AM1173" s="114"/>
      <c r="AN1173" s="114"/>
      <c r="AO1173" s="114"/>
      <c r="AP1173" s="114"/>
      <c r="AQ1173" s="114"/>
      <c r="AR1173" s="114"/>
      <c r="AS1173" s="114"/>
      <c r="AT1173" s="114"/>
      <c r="AU1173" s="114"/>
      <c r="AV1173" s="114"/>
      <c r="AW1173" s="114"/>
      <c r="AX1173" s="114"/>
      <c r="AY1173" s="114"/>
      <c r="AZ1173" s="114"/>
      <c r="BA1173" s="114"/>
      <c r="BB1173" s="114"/>
      <c r="BC1173" s="114"/>
      <c r="BD1173" s="114"/>
      <c r="BE1173" s="114"/>
    </row>
    <row r="1174">
      <c r="A1174" s="114"/>
      <c r="B1174" s="114"/>
      <c r="C1174" s="114"/>
      <c r="D1174" s="114"/>
      <c r="E1174" s="114"/>
      <c r="F1174" s="114"/>
      <c r="G1174" s="114"/>
      <c r="H1174" s="114"/>
      <c r="I1174" s="114"/>
      <c r="J1174" s="114"/>
      <c r="K1174" s="114"/>
      <c r="L1174" s="114"/>
      <c r="M1174" s="114"/>
      <c r="N1174" s="114"/>
      <c r="O1174" s="114"/>
      <c r="P1174" s="114"/>
      <c r="Q1174" s="114"/>
      <c r="R1174" s="114"/>
      <c r="S1174" s="114"/>
      <c r="T1174" s="114"/>
      <c r="U1174" s="114"/>
      <c r="V1174" s="114"/>
      <c r="W1174" s="114"/>
      <c r="X1174" s="115"/>
      <c r="Y1174" s="114"/>
      <c r="Z1174" s="117" t="s">
        <v>6827</v>
      </c>
      <c r="AA1174" s="117" t="s">
        <v>5561</v>
      </c>
      <c r="AB1174" s="114"/>
      <c r="AC1174" s="114"/>
      <c r="AD1174" s="114"/>
      <c r="AE1174" s="114"/>
      <c r="AF1174" s="114"/>
      <c r="AG1174" s="114"/>
      <c r="AH1174" s="114"/>
      <c r="AI1174" s="116"/>
      <c r="AJ1174" s="114"/>
      <c r="AK1174" s="114"/>
      <c r="AL1174" s="114"/>
      <c r="AM1174" s="114"/>
      <c r="AN1174" s="114"/>
      <c r="AO1174" s="114"/>
      <c r="AP1174" s="114"/>
      <c r="AQ1174" s="114"/>
      <c r="AR1174" s="114"/>
      <c r="AS1174" s="114"/>
      <c r="AT1174" s="114"/>
      <c r="AU1174" s="114"/>
      <c r="AV1174" s="114"/>
      <c r="AW1174" s="114"/>
      <c r="AX1174" s="114"/>
      <c r="AY1174" s="114"/>
      <c r="AZ1174" s="114"/>
      <c r="BA1174" s="114"/>
      <c r="BB1174" s="114"/>
      <c r="BC1174" s="114"/>
      <c r="BD1174" s="114"/>
      <c r="BE1174" s="114"/>
    </row>
    <row r="1175">
      <c r="A1175" s="114"/>
      <c r="B1175" s="114"/>
      <c r="C1175" s="114"/>
      <c r="D1175" s="114"/>
      <c r="E1175" s="114"/>
      <c r="F1175" s="114"/>
      <c r="G1175" s="114"/>
      <c r="H1175" s="114"/>
      <c r="I1175" s="114"/>
      <c r="J1175" s="114"/>
      <c r="K1175" s="114"/>
      <c r="L1175" s="114"/>
      <c r="M1175" s="114"/>
      <c r="N1175" s="114"/>
      <c r="O1175" s="114"/>
      <c r="P1175" s="114"/>
      <c r="Q1175" s="114"/>
      <c r="R1175" s="114"/>
      <c r="S1175" s="114"/>
      <c r="T1175" s="114"/>
      <c r="U1175" s="114"/>
      <c r="V1175" s="114"/>
      <c r="W1175" s="114"/>
      <c r="X1175" s="115"/>
      <c r="Y1175" s="114"/>
      <c r="Z1175" s="117" t="s">
        <v>6828</v>
      </c>
      <c r="AA1175" s="117" t="s">
        <v>5571</v>
      </c>
      <c r="AB1175" s="114"/>
      <c r="AC1175" s="114"/>
      <c r="AD1175" s="114"/>
      <c r="AE1175" s="114"/>
      <c r="AF1175" s="114"/>
      <c r="AG1175" s="114"/>
      <c r="AH1175" s="114"/>
      <c r="AI1175" s="116"/>
      <c r="AJ1175" s="114"/>
      <c r="AK1175" s="114"/>
      <c r="AL1175" s="114"/>
      <c r="AM1175" s="114"/>
      <c r="AN1175" s="114"/>
      <c r="AO1175" s="114"/>
      <c r="AP1175" s="114"/>
      <c r="AQ1175" s="114"/>
      <c r="AR1175" s="114"/>
      <c r="AS1175" s="114"/>
      <c r="AT1175" s="114"/>
      <c r="AU1175" s="114"/>
      <c r="AV1175" s="114"/>
      <c r="AW1175" s="114"/>
      <c r="AX1175" s="114"/>
      <c r="AY1175" s="114"/>
      <c r="AZ1175" s="114"/>
      <c r="BA1175" s="114"/>
      <c r="BB1175" s="114"/>
      <c r="BC1175" s="114"/>
      <c r="BD1175" s="114"/>
      <c r="BE1175" s="114"/>
    </row>
    <row r="1176">
      <c r="A1176" s="114"/>
      <c r="B1176" s="114"/>
      <c r="C1176" s="114"/>
      <c r="D1176" s="114"/>
      <c r="E1176" s="114"/>
      <c r="F1176" s="114"/>
      <c r="G1176" s="114"/>
      <c r="H1176" s="114"/>
      <c r="I1176" s="114"/>
      <c r="J1176" s="114"/>
      <c r="K1176" s="114"/>
      <c r="L1176" s="114"/>
      <c r="M1176" s="114"/>
      <c r="N1176" s="114"/>
      <c r="O1176" s="114"/>
      <c r="P1176" s="114"/>
      <c r="Q1176" s="114"/>
      <c r="R1176" s="114"/>
      <c r="S1176" s="114"/>
      <c r="T1176" s="114"/>
      <c r="U1176" s="114"/>
      <c r="V1176" s="114"/>
      <c r="W1176" s="114"/>
      <c r="X1176" s="115"/>
      <c r="Y1176" s="114"/>
      <c r="Z1176" s="117" t="s">
        <v>6829</v>
      </c>
      <c r="AA1176" s="117" t="s">
        <v>5573</v>
      </c>
      <c r="AB1176" s="114"/>
      <c r="AC1176" s="114"/>
      <c r="AD1176" s="114"/>
      <c r="AE1176" s="114"/>
      <c r="AF1176" s="114"/>
      <c r="AG1176" s="114"/>
      <c r="AH1176" s="114"/>
      <c r="AI1176" s="116"/>
      <c r="AJ1176" s="114"/>
      <c r="AK1176" s="114"/>
      <c r="AL1176" s="114"/>
      <c r="AM1176" s="114"/>
      <c r="AN1176" s="114"/>
      <c r="AO1176" s="114"/>
      <c r="AP1176" s="114"/>
      <c r="AQ1176" s="114"/>
      <c r="AR1176" s="114"/>
      <c r="AS1176" s="114"/>
      <c r="AT1176" s="114"/>
      <c r="AU1176" s="114"/>
      <c r="AV1176" s="114"/>
      <c r="AW1176" s="114"/>
      <c r="AX1176" s="114"/>
      <c r="AY1176" s="114"/>
      <c r="AZ1176" s="114"/>
      <c r="BA1176" s="114"/>
      <c r="BB1176" s="114"/>
      <c r="BC1176" s="114"/>
      <c r="BD1176" s="114"/>
      <c r="BE1176" s="114"/>
    </row>
    <row r="1177">
      <c r="A1177" s="114"/>
      <c r="B1177" s="114"/>
      <c r="C1177" s="114"/>
      <c r="D1177" s="114"/>
      <c r="E1177" s="114"/>
      <c r="F1177" s="114"/>
      <c r="G1177" s="114"/>
      <c r="H1177" s="114"/>
      <c r="I1177" s="114"/>
      <c r="J1177" s="114"/>
      <c r="K1177" s="114"/>
      <c r="L1177" s="114"/>
      <c r="M1177" s="114"/>
      <c r="N1177" s="114"/>
      <c r="O1177" s="114"/>
      <c r="P1177" s="114"/>
      <c r="Q1177" s="114"/>
      <c r="R1177" s="114"/>
      <c r="S1177" s="114"/>
      <c r="T1177" s="114"/>
      <c r="U1177" s="114"/>
      <c r="V1177" s="114"/>
      <c r="W1177" s="114"/>
      <c r="X1177" s="115"/>
      <c r="Y1177" s="114"/>
      <c r="Z1177" s="117" t="s">
        <v>6830</v>
      </c>
      <c r="AA1177" s="117" t="s">
        <v>5574</v>
      </c>
      <c r="AB1177" s="114"/>
      <c r="AC1177" s="114"/>
      <c r="AD1177" s="114"/>
      <c r="AE1177" s="114"/>
      <c r="AF1177" s="114"/>
      <c r="AG1177" s="114"/>
      <c r="AH1177" s="114"/>
      <c r="AI1177" s="116"/>
      <c r="AJ1177" s="114"/>
      <c r="AK1177" s="114"/>
      <c r="AL1177" s="114"/>
      <c r="AM1177" s="114"/>
      <c r="AN1177" s="114"/>
      <c r="AO1177" s="114"/>
      <c r="AP1177" s="114"/>
      <c r="AQ1177" s="114"/>
      <c r="AR1177" s="114"/>
      <c r="AS1177" s="114"/>
      <c r="AT1177" s="114"/>
      <c r="AU1177" s="114"/>
      <c r="AV1177" s="114"/>
      <c r="AW1177" s="114"/>
      <c r="AX1177" s="114"/>
      <c r="AY1177" s="114"/>
      <c r="AZ1177" s="114"/>
      <c r="BA1177" s="114"/>
      <c r="BB1177" s="114"/>
      <c r="BC1177" s="114"/>
      <c r="BD1177" s="114"/>
      <c r="BE1177" s="114"/>
    </row>
    <row r="1178">
      <c r="A1178" s="114"/>
      <c r="B1178" s="114"/>
      <c r="C1178" s="114"/>
      <c r="D1178" s="114"/>
      <c r="E1178" s="114"/>
      <c r="F1178" s="114"/>
      <c r="G1178" s="114"/>
      <c r="H1178" s="114"/>
      <c r="I1178" s="114"/>
      <c r="J1178" s="114"/>
      <c r="K1178" s="114"/>
      <c r="L1178" s="114"/>
      <c r="M1178" s="114"/>
      <c r="N1178" s="114"/>
      <c r="O1178" s="114"/>
      <c r="P1178" s="114"/>
      <c r="Q1178" s="114"/>
      <c r="R1178" s="114"/>
      <c r="S1178" s="114"/>
      <c r="T1178" s="114"/>
      <c r="U1178" s="114"/>
      <c r="V1178" s="114"/>
      <c r="W1178" s="114"/>
      <c r="X1178" s="115"/>
      <c r="Y1178" s="114"/>
      <c r="Z1178" s="117" t="s">
        <v>6831</v>
      </c>
      <c r="AA1178" s="117" t="s">
        <v>5572</v>
      </c>
      <c r="AB1178" s="114"/>
      <c r="AC1178" s="114"/>
      <c r="AD1178" s="114"/>
      <c r="AE1178" s="114"/>
      <c r="AF1178" s="114"/>
      <c r="AG1178" s="114"/>
      <c r="AH1178" s="114"/>
      <c r="AI1178" s="116"/>
      <c r="AJ1178" s="114"/>
      <c r="AK1178" s="114"/>
      <c r="AL1178" s="114"/>
      <c r="AM1178" s="114"/>
      <c r="AN1178" s="114"/>
      <c r="AO1178" s="114"/>
      <c r="AP1178" s="114"/>
      <c r="AQ1178" s="114"/>
      <c r="AR1178" s="114"/>
      <c r="AS1178" s="114"/>
      <c r="AT1178" s="114"/>
      <c r="AU1178" s="114"/>
      <c r="AV1178" s="114"/>
      <c r="AW1178" s="114"/>
      <c r="AX1178" s="114"/>
      <c r="AY1178" s="114"/>
      <c r="AZ1178" s="114"/>
      <c r="BA1178" s="114"/>
      <c r="BB1178" s="114"/>
      <c r="BC1178" s="114"/>
      <c r="BD1178" s="114"/>
      <c r="BE1178" s="114"/>
    </row>
    <row r="1179">
      <c r="A1179" s="114"/>
      <c r="B1179" s="114"/>
      <c r="C1179" s="114"/>
      <c r="D1179" s="114"/>
      <c r="E1179" s="114"/>
      <c r="F1179" s="114"/>
      <c r="G1179" s="114"/>
      <c r="H1179" s="114"/>
      <c r="I1179" s="114"/>
      <c r="J1179" s="114"/>
      <c r="K1179" s="114"/>
      <c r="L1179" s="114"/>
      <c r="M1179" s="114"/>
      <c r="N1179" s="114"/>
      <c r="O1179" s="114"/>
      <c r="P1179" s="114"/>
      <c r="Q1179" s="114"/>
      <c r="R1179" s="114"/>
      <c r="S1179" s="114"/>
      <c r="T1179" s="114"/>
      <c r="U1179" s="114"/>
      <c r="V1179" s="114"/>
      <c r="W1179" s="114"/>
      <c r="X1179" s="115"/>
      <c r="Y1179" s="114"/>
      <c r="Z1179" s="117" t="s">
        <v>6832</v>
      </c>
      <c r="AA1179" s="117" t="s">
        <v>5582</v>
      </c>
      <c r="AB1179" s="114"/>
      <c r="AC1179" s="114"/>
      <c r="AD1179" s="114"/>
      <c r="AE1179" s="114"/>
      <c r="AF1179" s="114"/>
      <c r="AG1179" s="114"/>
      <c r="AH1179" s="114"/>
      <c r="AI1179" s="116"/>
      <c r="AJ1179" s="114"/>
      <c r="AK1179" s="114"/>
      <c r="AL1179" s="114"/>
      <c r="AM1179" s="114"/>
      <c r="AN1179" s="114"/>
      <c r="AO1179" s="114"/>
      <c r="AP1179" s="114"/>
      <c r="AQ1179" s="114"/>
      <c r="AR1179" s="114"/>
      <c r="AS1179" s="114"/>
      <c r="AT1179" s="114"/>
      <c r="AU1179" s="114"/>
      <c r="AV1179" s="114"/>
      <c r="AW1179" s="114"/>
      <c r="AX1179" s="114"/>
      <c r="AY1179" s="114"/>
      <c r="AZ1179" s="114"/>
      <c r="BA1179" s="114"/>
      <c r="BB1179" s="114"/>
      <c r="BC1179" s="114"/>
      <c r="BD1179" s="114"/>
      <c r="BE1179" s="114"/>
    </row>
    <row r="1180">
      <c r="A1180" s="114"/>
      <c r="B1180" s="114"/>
      <c r="C1180" s="114"/>
      <c r="D1180" s="114"/>
      <c r="E1180" s="114"/>
      <c r="F1180" s="114"/>
      <c r="G1180" s="114"/>
      <c r="H1180" s="114"/>
      <c r="I1180" s="114"/>
      <c r="J1180" s="114"/>
      <c r="K1180" s="114"/>
      <c r="L1180" s="114"/>
      <c r="M1180" s="114"/>
      <c r="N1180" s="114"/>
      <c r="O1180" s="114"/>
      <c r="P1180" s="114"/>
      <c r="Q1180" s="114"/>
      <c r="R1180" s="114"/>
      <c r="S1180" s="114"/>
      <c r="T1180" s="114"/>
      <c r="U1180" s="114"/>
      <c r="V1180" s="114"/>
      <c r="W1180" s="114"/>
      <c r="X1180" s="115"/>
      <c r="Y1180" s="114"/>
      <c r="Z1180" s="117" t="s">
        <v>6833</v>
      </c>
      <c r="AA1180" s="117" t="s">
        <v>5584</v>
      </c>
      <c r="AB1180" s="114"/>
      <c r="AC1180" s="114"/>
      <c r="AD1180" s="114"/>
      <c r="AE1180" s="114"/>
      <c r="AF1180" s="114"/>
      <c r="AG1180" s="114"/>
      <c r="AH1180" s="114"/>
      <c r="AI1180" s="116"/>
      <c r="AJ1180" s="114"/>
      <c r="AK1180" s="114"/>
      <c r="AL1180" s="114"/>
      <c r="AM1180" s="114"/>
      <c r="AN1180" s="114"/>
      <c r="AO1180" s="114"/>
      <c r="AP1180" s="114"/>
      <c r="AQ1180" s="114"/>
      <c r="AR1180" s="114"/>
      <c r="AS1180" s="114"/>
      <c r="AT1180" s="114"/>
      <c r="AU1180" s="114"/>
      <c r="AV1180" s="114"/>
      <c r="AW1180" s="114"/>
      <c r="AX1180" s="114"/>
      <c r="AY1180" s="114"/>
      <c r="AZ1180" s="114"/>
      <c r="BA1180" s="114"/>
      <c r="BB1180" s="114"/>
      <c r="BC1180" s="114"/>
      <c r="BD1180" s="114"/>
      <c r="BE1180" s="114"/>
    </row>
    <row r="1181">
      <c r="A1181" s="114"/>
      <c r="B1181" s="114"/>
      <c r="C1181" s="114"/>
      <c r="D1181" s="114"/>
      <c r="E1181" s="114"/>
      <c r="F1181" s="114"/>
      <c r="G1181" s="114"/>
      <c r="H1181" s="114"/>
      <c r="I1181" s="114"/>
      <c r="J1181" s="114"/>
      <c r="K1181" s="114"/>
      <c r="L1181" s="114"/>
      <c r="M1181" s="114"/>
      <c r="N1181" s="114"/>
      <c r="O1181" s="114"/>
      <c r="P1181" s="114"/>
      <c r="Q1181" s="114"/>
      <c r="R1181" s="114"/>
      <c r="S1181" s="114"/>
      <c r="T1181" s="114"/>
      <c r="U1181" s="114"/>
      <c r="V1181" s="114"/>
      <c r="W1181" s="114"/>
      <c r="X1181" s="115"/>
      <c r="Y1181" s="114"/>
      <c r="Z1181" s="117" t="s">
        <v>6834</v>
      </c>
      <c r="AA1181" s="117" t="s">
        <v>5585</v>
      </c>
      <c r="AB1181" s="114"/>
      <c r="AC1181" s="114"/>
      <c r="AD1181" s="114"/>
      <c r="AE1181" s="114"/>
      <c r="AF1181" s="114"/>
      <c r="AG1181" s="114"/>
      <c r="AH1181" s="114"/>
      <c r="AI1181" s="116"/>
      <c r="AJ1181" s="114"/>
      <c r="AK1181" s="114"/>
      <c r="AL1181" s="114"/>
      <c r="AM1181" s="114"/>
      <c r="AN1181" s="114"/>
      <c r="AO1181" s="114"/>
      <c r="AP1181" s="114"/>
      <c r="AQ1181" s="114"/>
      <c r="AR1181" s="114"/>
      <c r="AS1181" s="114"/>
      <c r="AT1181" s="114"/>
      <c r="AU1181" s="114"/>
      <c r="AV1181" s="114"/>
      <c r="AW1181" s="114"/>
      <c r="AX1181" s="114"/>
      <c r="AY1181" s="114"/>
      <c r="AZ1181" s="114"/>
      <c r="BA1181" s="114"/>
      <c r="BB1181" s="114"/>
      <c r="BC1181" s="114"/>
      <c r="BD1181" s="114"/>
      <c r="BE1181" s="114"/>
    </row>
    <row r="1182">
      <c r="A1182" s="114"/>
      <c r="B1182" s="114"/>
      <c r="C1182" s="114"/>
      <c r="D1182" s="114"/>
      <c r="E1182" s="114"/>
      <c r="F1182" s="114"/>
      <c r="G1182" s="114"/>
      <c r="H1182" s="114"/>
      <c r="I1182" s="114"/>
      <c r="J1182" s="114"/>
      <c r="K1182" s="114"/>
      <c r="L1182" s="114"/>
      <c r="M1182" s="114"/>
      <c r="N1182" s="114"/>
      <c r="O1182" s="114"/>
      <c r="P1182" s="114"/>
      <c r="Q1182" s="114"/>
      <c r="R1182" s="114"/>
      <c r="S1182" s="114"/>
      <c r="T1182" s="114"/>
      <c r="U1182" s="114"/>
      <c r="V1182" s="114"/>
      <c r="W1182" s="114"/>
      <c r="X1182" s="115"/>
      <c r="Y1182" s="114"/>
      <c r="Z1182" s="117" t="s">
        <v>6835</v>
      </c>
      <c r="AA1182" s="117" t="s">
        <v>5583</v>
      </c>
      <c r="AB1182" s="114"/>
      <c r="AC1182" s="114"/>
      <c r="AD1182" s="114"/>
      <c r="AE1182" s="114"/>
      <c r="AF1182" s="114"/>
      <c r="AG1182" s="114"/>
      <c r="AH1182" s="114"/>
      <c r="AI1182" s="116"/>
      <c r="AJ1182" s="114"/>
      <c r="AK1182" s="114"/>
      <c r="AL1182" s="114"/>
      <c r="AM1182" s="114"/>
      <c r="AN1182" s="114"/>
      <c r="AO1182" s="114"/>
      <c r="AP1182" s="114"/>
      <c r="AQ1182" s="114"/>
      <c r="AR1182" s="114"/>
      <c r="AS1182" s="114"/>
      <c r="AT1182" s="114"/>
      <c r="AU1182" s="114"/>
      <c r="AV1182" s="114"/>
      <c r="AW1182" s="114"/>
      <c r="AX1182" s="114"/>
      <c r="AY1182" s="114"/>
      <c r="AZ1182" s="114"/>
      <c r="BA1182" s="114"/>
      <c r="BB1182" s="114"/>
      <c r="BC1182" s="114"/>
      <c r="BD1182" s="114"/>
      <c r="BE1182" s="114"/>
    </row>
    <row r="1183">
      <c r="A1183" s="114"/>
      <c r="B1183" s="114"/>
      <c r="C1183" s="114"/>
      <c r="D1183" s="114"/>
      <c r="E1183" s="114"/>
      <c r="F1183" s="114"/>
      <c r="G1183" s="114"/>
      <c r="H1183" s="114"/>
      <c r="I1183" s="114"/>
      <c r="J1183" s="114"/>
      <c r="K1183" s="114"/>
      <c r="L1183" s="114"/>
      <c r="M1183" s="114"/>
      <c r="N1183" s="114"/>
      <c r="O1183" s="114"/>
      <c r="P1183" s="114"/>
      <c r="Q1183" s="114"/>
      <c r="R1183" s="114"/>
      <c r="S1183" s="114"/>
      <c r="T1183" s="114"/>
      <c r="U1183" s="114"/>
      <c r="V1183" s="114"/>
      <c r="W1183" s="114"/>
      <c r="X1183" s="115"/>
      <c r="Y1183" s="114"/>
      <c r="Z1183" s="117" t="s">
        <v>6836</v>
      </c>
      <c r="AA1183" s="117" t="s">
        <v>5593</v>
      </c>
      <c r="AB1183" s="114"/>
      <c r="AC1183" s="114"/>
      <c r="AD1183" s="114"/>
      <c r="AE1183" s="114"/>
      <c r="AF1183" s="114"/>
      <c r="AG1183" s="114"/>
      <c r="AH1183" s="114"/>
      <c r="AI1183" s="116"/>
      <c r="AJ1183" s="114"/>
      <c r="AK1183" s="114"/>
      <c r="AL1183" s="114"/>
      <c r="AM1183" s="114"/>
      <c r="AN1183" s="114"/>
      <c r="AO1183" s="114"/>
      <c r="AP1183" s="114"/>
      <c r="AQ1183" s="114"/>
      <c r="AR1183" s="114"/>
      <c r="AS1183" s="114"/>
      <c r="AT1183" s="114"/>
      <c r="AU1183" s="114"/>
      <c r="AV1183" s="114"/>
      <c r="AW1183" s="114"/>
      <c r="AX1183" s="114"/>
      <c r="AY1183" s="114"/>
      <c r="AZ1183" s="114"/>
      <c r="BA1183" s="114"/>
      <c r="BB1183" s="114"/>
      <c r="BC1183" s="114"/>
      <c r="BD1183" s="114"/>
      <c r="BE1183" s="114"/>
    </row>
    <row r="1184">
      <c r="A1184" s="114"/>
      <c r="B1184" s="114"/>
      <c r="C1184" s="114"/>
      <c r="D1184" s="114"/>
      <c r="E1184" s="114"/>
      <c r="F1184" s="114"/>
      <c r="G1184" s="114"/>
      <c r="H1184" s="114"/>
      <c r="I1184" s="114"/>
      <c r="J1184" s="114"/>
      <c r="K1184" s="114"/>
      <c r="L1184" s="114"/>
      <c r="M1184" s="114"/>
      <c r="N1184" s="114"/>
      <c r="O1184" s="114"/>
      <c r="P1184" s="114"/>
      <c r="Q1184" s="114"/>
      <c r="R1184" s="114"/>
      <c r="S1184" s="114"/>
      <c r="T1184" s="114"/>
      <c r="U1184" s="114"/>
      <c r="V1184" s="114"/>
      <c r="W1184" s="114"/>
      <c r="X1184" s="115"/>
      <c r="Y1184" s="114"/>
      <c r="Z1184" s="117" t="s">
        <v>6837</v>
      </c>
      <c r="AA1184" s="117" t="s">
        <v>5595</v>
      </c>
      <c r="AB1184" s="114"/>
      <c r="AC1184" s="114"/>
      <c r="AD1184" s="114"/>
      <c r="AE1184" s="114"/>
      <c r="AF1184" s="114"/>
      <c r="AG1184" s="114"/>
      <c r="AH1184" s="114"/>
      <c r="AI1184" s="116"/>
      <c r="AJ1184" s="114"/>
      <c r="AK1184" s="114"/>
      <c r="AL1184" s="114"/>
      <c r="AM1184" s="114"/>
      <c r="AN1184" s="114"/>
      <c r="AO1184" s="114"/>
      <c r="AP1184" s="114"/>
      <c r="AQ1184" s="114"/>
      <c r="AR1184" s="114"/>
      <c r="AS1184" s="114"/>
      <c r="AT1184" s="114"/>
      <c r="AU1184" s="114"/>
      <c r="AV1184" s="114"/>
      <c r="AW1184" s="114"/>
      <c r="AX1184" s="114"/>
      <c r="AY1184" s="114"/>
      <c r="AZ1184" s="114"/>
      <c r="BA1184" s="114"/>
      <c r="BB1184" s="114"/>
      <c r="BC1184" s="114"/>
      <c r="BD1184" s="114"/>
      <c r="BE1184" s="114"/>
    </row>
    <row r="1185">
      <c r="A1185" s="114"/>
      <c r="B1185" s="114"/>
      <c r="C1185" s="114"/>
      <c r="D1185" s="114"/>
      <c r="E1185" s="114"/>
      <c r="F1185" s="114"/>
      <c r="G1185" s="114"/>
      <c r="H1185" s="114"/>
      <c r="I1185" s="114"/>
      <c r="J1185" s="114"/>
      <c r="K1185" s="114"/>
      <c r="L1185" s="114"/>
      <c r="M1185" s="114"/>
      <c r="N1185" s="114"/>
      <c r="O1185" s="114"/>
      <c r="P1185" s="114"/>
      <c r="Q1185" s="114"/>
      <c r="R1185" s="114"/>
      <c r="S1185" s="114"/>
      <c r="T1185" s="114"/>
      <c r="U1185" s="114"/>
      <c r="V1185" s="114"/>
      <c r="W1185" s="114"/>
      <c r="X1185" s="115"/>
      <c r="Y1185" s="114"/>
      <c r="Z1185" s="117" t="s">
        <v>6838</v>
      </c>
      <c r="AA1185" s="117" t="s">
        <v>5596</v>
      </c>
      <c r="AB1185" s="114"/>
      <c r="AC1185" s="114"/>
      <c r="AD1185" s="114"/>
      <c r="AE1185" s="114"/>
      <c r="AF1185" s="114"/>
      <c r="AG1185" s="114"/>
      <c r="AH1185" s="114"/>
      <c r="AI1185" s="116"/>
      <c r="AJ1185" s="114"/>
      <c r="AK1185" s="114"/>
      <c r="AL1185" s="114"/>
      <c r="AM1185" s="114"/>
      <c r="AN1185" s="114"/>
      <c r="AO1185" s="114"/>
      <c r="AP1185" s="114"/>
      <c r="AQ1185" s="114"/>
      <c r="AR1185" s="114"/>
      <c r="AS1185" s="114"/>
      <c r="AT1185" s="114"/>
      <c r="AU1185" s="114"/>
      <c r="AV1185" s="114"/>
      <c r="AW1185" s="114"/>
      <c r="AX1185" s="114"/>
      <c r="AY1185" s="114"/>
      <c r="AZ1185" s="114"/>
      <c r="BA1185" s="114"/>
      <c r="BB1185" s="114"/>
      <c r="BC1185" s="114"/>
      <c r="BD1185" s="114"/>
      <c r="BE1185" s="114"/>
    </row>
    <row r="1186">
      <c r="A1186" s="114"/>
      <c r="B1186" s="114"/>
      <c r="C1186" s="114"/>
      <c r="D1186" s="114"/>
      <c r="E1186" s="114"/>
      <c r="F1186" s="114"/>
      <c r="G1186" s="114"/>
      <c r="H1186" s="114"/>
      <c r="I1186" s="114"/>
      <c r="J1186" s="114"/>
      <c r="K1186" s="114"/>
      <c r="L1186" s="114"/>
      <c r="M1186" s="114"/>
      <c r="N1186" s="114"/>
      <c r="O1186" s="114"/>
      <c r="P1186" s="114"/>
      <c r="Q1186" s="114"/>
      <c r="R1186" s="114"/>
      <c r="S1186" s="114"/>
      <c r="T1186" s="114"/>
      <c r="U1186" s="114"/>
      <c r="V1186" s="114"/>
      <c r="W1186" s="114"/>
      <c r="X1186" s="115"/>
      <c r="Y1186" s="114"/>
      <c r="Z1186" s="117" t="s">
        <v>6839</v>
      </c>
      <c r="AA1186" s="117" t="s">
        <v>5594</v>
      </c>
      <c r="AB1186" s="114"/>
      <c r="AC1186" s="114"/>
      <c r="AD1186" s="114"/>
      <c r="AE1186" s="114"/>
      <c r="AF1186" s="114"/>
      <c r="AG1186" s="114"/>
      <c r="AH1186" s="114"/>
      <c r="AI1186" s="116"/>
      <c r="AJ1186" s="114"/>
      <c r="AK1186" s="114"/>
      <c r="AL1186" s="114"/>
      <c r="AM1186" s="114"/>
      <c r="AN1186" s="114"/>
      <c r="AO1186" s="114"/>
      <c r="AP1186" s="114"/>
      <c r="AQ1186" s="114"/>
      <c r="AR1186" s="114"/>
      <c r="AS1186" s="114"/>
      <c r="AT1186" s="114"/>
      <c r="AU1186" s="114"/>
      <c r="AV1186" s="114"/>
      <c r="AW1186" s="114"/>
      <c r="AX1186" s="114"/>
      <c r="AY1186" s="114"/>
      <c r="AZ1186" s="114"/>
      <c r="BA1186" s="114"/>
      <c r="BB1186" s="114"/>
      <c r="BC1186" s="114"/>
      <c r="BD1186" s="114"/>
      <c r="BE1186" s="114"/>
    </row>
    <row r="1187">
      <c r="A1187" s="114"/>
      <c r="B1187" s="114"/>
      <c r="C1187" s="114"/>
      <c r="D1187" s="114"/>
      <c r="E1187" s="114"/>
      <c r="F1187" s="114"/>
      <c r="G1187" s="114"/>
      <c r="H1187" s="114"/>
      <c r="I1187" s="114"/>
      <c r="J1187" s="114"/>
      <c r="K1187" s="114"/>
      <c r="L1187" s="114"/>
      <c r="M1187" s="114"/>
      <c r="N1187" s="114"/>
      <c r="O1187" s="114"/>
      <c r="P1187" s="114"/>
      <c r="Q1187" s="114"/>
      <c r="R1187" s="114"/>
      <c r="S1187" s="114"/>
      <c r="T1187" s="114"/>
      <c r="U1187" s="114"/>
      <c r="V1187" s="114"/>
      <c r="W1187" s="114"/>
      <c r="X1187" s="115"/>
      <c r="Y1187" s="114"/>
      <c r="Z1187" s="117" t="s">
        <v>6840</v>
      </c>
      <c r="AA1187" s="117" t="s">
        <v>5604</v>
      </c>
      <c r="AB1187" s="114"/>
      <c r="AC1187" s="114"/>
      <c r="AD1187" s="114"/>
      <c r="AE1187" s="114"/>
      <c r="AF1187" s="114"/>
      <c r="AG1187" s="114"/>
      <c r="AH1187" s="114"/>
      <c r="AI1187" s="116"/>
      <c r="AJ1187" s="114"/>
      <c r="AK1187" s="114"/>
      <c r="AL1187" s="114"/>
      <c r="AM1187" s="114"/>
      <c r="AN1187" s="114"/>
      <c r="AO1187" s="114"/>
      <c r="AP1187" s="114"/>
      <c r="AQ1187" s="114"/>
      <c r="AR1187" s="114"/>
      <c r="AS1187" s="114"/>
      <c r="AT1187" s="114"/>
      <c r="AU1187" s="114"/>
      <c r="AV1187" s="114"/>
      <c r="AW1187" s="114"/>
      <c r="AX1187" s="114"/>
      <c r="AY1187" s="114"/>
      <c r="AZ1187" s="114"/>
      <c r="BA1187" s="114"/>
      <c r="BB1187" s="114"/>
      <c r="BC1187" s="114"/>
      <c r="BD1187" s="114"/>
      <c r="BE1187" s="114"/>
    </row>
    <row r="1188">
      <c r="A1188" s="114"/>
      <c r="B1188" s="114"/>
      <c r="C1188" s="114"/>
      <c r="D1188" s="114"/>
      <c r="E1188" s="114"/>
      <c r="F1188" s="114"/>
      <c r="G1188" s="114"/>
      <c r="H1188" s="114"/>
      <c r="I1188" s="114"/>
      <c r="J1188" s="114"/>
      <c r="K1188" s="114"/>
      <c r="L1188" s="114"/>
      <c r="M1188" s="114"/>
      <c r="N1188" s="114"/>
      <c r="O1188" s="114"/>
      <c r="P1188" s="114"/>
      <c r="Q1188" s="114"/>
      <c r="R1188" s="114"/>
      <c r="S1188" s="114"/>
      <c r="T1188" s="114"/>
      <c r="U1188" s="114"/>
      <c r="V1188" s="114"/>
      <c r="W1188" s="114"/>
      <c r="X1188" s="115"/>
      <c r="Y1188" s="114"/>
      <c r="Z1188" s="117" t="s">
        <v>6841</v>
      </c>
      <c r="AA1188" s="117" t="s">
        <v>5606</v>
      </c>
      <c r="AB1188" s="114"/>
      <c r="AC1188" s="114"/>
      <c r="AD1188" s="114"/>
      <c r="AE1188" s="114"/>
      <c r="AF1188" s="114"/>
      <c r="AG1188" s="114"/>
      <c r="AH1188" s="114"/>
      <c r="AI1188" s="116"/>
      <c r="AJ1188" s="114"/>
      <c r="AK1188" s="114"/>
      <c r="AL1188" s="114"/>
      <c r="AM1188" s="114"/>
      <c r="AN1188" s="114"/>
      <c r="AO1188" s="114"/>
      <c r="AP1188" s="114"/>
      <c r="AQ1188" s="114"/>
      <c r="AR1188" s="114"/>
      <c r="AS1188" s="114"/>
      <c r="AT1188" s="114"/>
      <c r="AU1188" s="114"/>
      <c r="AV1188" s="114"/>
      <c r="AW1188" s="114"/>
      <c r="AX1188" s="114"/>
      <c r="AY1188" s="114"/>
      <c r="AZ1188" s="114"/>
      <c r="BA1188" s="114"/>
      <c r="BB1188" s="114"/>
      <c r="BC1188" s="114"/>
      <c r="BD1188" s="114"/>
      <c r="BE1188" s="114"/>
    </row>
    <row r="1189">
      <c r="A1189" s="114"/>
      <c r="B1189" s="114"/>
      <c r="C1189" s="114"/>
      <c r="D1189" s="114"/>
      <c r="E1189" s="114"/>
      <c r="F1189" s="114"/>
      <c r="G1189" s="114"/>
      <c r="H1189" s="114"/>
      <c r="I1189" s="114"/>
      <c r="J1189" s="114"/>
      <c r="K1189" s="114"/>
      <c r="L1189" s="114"/>
      <c r="M1189" s="114"/>
      <c r="N1189" s="114"/>
      <c r="O1189" s="114"/>
      <c r="P1189" s="114"/>
      <c r="Q1189" s="114"/>
      <c r="R1189" s="114"/>
      <c r="S1189" s="114"/>
      <c r="T1189" s="114"/>
      <c r="U1189" s="114"/>
      <c r="V1189" s="114"/>
      <c r="W1189" s="114"/>
      <c r="X1189" s="115"/>
      <c r="Y1189" s="114"/>
      <c r="Z1189" s="117" t="s">
        <v>6842</v>
      </c>
      <c r="AA1189" s="117" t="s">
        <v>5607</v>
      </c>
      <c r="AB1189" s="114"/>
      <c r="AC1189" s="114"/>
      <c r="AD1189" s="114"/>
      <c r="AE1189" s="114"/>
      <c r="AF1189" s="114"/>
      <c r="AG1189" s="114"/>
      <c r="AH1189" s="114"/>
      <c r="AI1189" s="116"/>
      <c r="AJ1189" s="114"/>
      <c r="AK1189" s="114"/>
      <c r="AL1189" s="114"/>
      <c r="AM1189" s="114"/>
      <c r="AN1189" s="114"/>
      <c r="AO1189" s="114"/>
      <c r="AP1189" s="114"/>
      <c r="AQ1189" s="114"/>
      <c r="AR1189" s="114"/>
      <c r="AS1189" s="114"/>
      <c r="AT1189" s="114"/>
      <c r="AU1189" s="114"/>
      <c r="AV1189" s="114"/>
      <c r="AW1189" s="114"/>
      <c r="AX1189" s="114"/>
      <c r="AY1189" s="114"/>
      <c r="AZ1189" s="114"/>
      <c r="BA1189" s="114"/>
      <c r="BB1189" s="114"/>
      <c r="BC1189" s="114"/>
      <c r="BD1189" s="114"/>
      <c r="BE1189" s="114"/>
    </row>
    <row r="1190">
      <c r="A1190" s="114"/>
      <c r="B1190" s="114"/>
      <c r="C1190" s="114"/>
      <c r="D1190" s="114"/>
      <c r="E1190" s="114"/>
      <c r="F1190" s="114"/>
      <c r="G1190" s="114"/>
      <c r="H1190" s="114"/>
      <c r="I1190" s="114"/>
      <c r="J1190" s="114"/>
      <c r="K1190" s="114"/>
      <c r="L1190" s="114"/>
      <c r="M1190" s="114"/>
      <c r="N1190" s="114"/>
      <c r="O1190" s="114"/>
      <c r="P1190" s="114"/>
      <c r="Q1190" s="114"/>
      <c r="R1190" s="114"/>
      <c r="S1190" s="114"/>
      <c r="T1190" s="114"/>
      <c r="U1190" s="114"/>
      <c r="V1190" s="114"/>
      <c r="W1190" s="114"/>
      <c r="X1190" s="115"/>
      <c r="Y1190" s="114"/>
      <c r="Z1190" s="117" t="s">
        <v>6843</v>
      </c>
      <c r="AA1190" s="117" t="s">
        <v>5605</v>
      </c>
      <c r="AB1190" s="114"/>
      <c r="AC1190" s="114"/>
      <c r="AD1190" s="114"/>
      <c r="AE1190" s="114"/>
      <c r="AF1190" s="114"/>
      <c r="AG1190" s="114"/>
      <c r="AH1190" s="114"/>
      <c r="AI1190" s="116"/>
      <c r="AJ1190" s="114"/>
      <c r="AK1190" s="114"/>
      <c r="AL1190" s="114"/>
      <c r="AM1190" s="114"/>
      <c r="AN1190" s="114"/>
      <c r="AO1190" s="114"/>
      <c r="AP1190" s="114"/>
      <c r="AQ1190" s="114"/>
      <c r="AR1190" s="114"/>
      <c r="AS1190" s="114"/>
      <c r="AT1190" s="114"/>
      <c r="AU1190" s="114"/>
      <c r="AV1190" s="114"/>
      <c r="AW1190" s="114"/>
      <c r="AX1190" s="114"/>
      <c r="AY1190" s="114"/>
      <c r="AZ1190" s="114"/>
      <c r="BA1190" s="114"/>
      <c r="BB1190" s="114"/>
      <c r="BC1190" s="114"/>
      <c r="BD1190" s="114"/>
      <c r="BE1190" s="114"/>
    </row>
    <row r="1191">
      <c r="A1191" s="114"/>
      <c r="B1191" s="114"/>
      <c r="C1191" s="114"/>
      <c r="D1191" s="114"/>
      <c r="E1191" s="114"/>
      <c r="F1191" s="114"/>
      <c r="G1191" s="114"/>
      <c r="H1191" s="114"/>
      <c r="I1191" s="114"/>
      <c r="J1191" s="114"/>
      <c r="K1191" s="114"/>
      <c r="L1191" s="114"/>
      <c r="M1191" s="114"/>
      <c r="N1191" s="114"/>
      <c r="O1191" s="114"/>
      <c r="P1191" s="114"/>
      <c r="Q1191" s="114"/>
      <c r="R1191" s="114"/>
      <c r="S1191" s="114"/>
      <c r="T1191" s="114"/>
      <c r="U1191" s="114"/>
      <c r="V1191" s="114"/>
      <c r="W1191" s="114"/>
      <c r="X1191" s="115"/>
      <c r="Y1191" s="114"/>
      <c r="Z1191" s="117" t="s">
        <v>6844</v>
      </c>
      <c r="AA1191" s="117" t="s">
        <v>5615</v>
      </c>
      <c r="AB1191" s="114"/>
      <c r="AC1191" s="114"/>
      <c r="AD1191" s="114"/>
      <c r="AE1191" s="114"/>
      <c r="AF1191" s="114"/>
      <c r="AG1191" s="114"/>
      <c r="AH1191" s="114"/>
      <c r="AI1191" s="116"/>
      <c r="AJ1191" s="114"/>
      <c r="AK1191" s="114"/>
      <c r="AL1191" s="114"/>
      <c r="AM1191" s="114"/>
      <c r="AN1191" s="114"/>
      <c r="AO1191" s="114"/>
      <c r="AP1191" s="114"/>
      <c r="AQ1191" s="114"/>
      <c r="AR1191" s="114"/>
      <c r="AS1191" s="114"/>
      <c r="AT1191" s="114"/>
      <c r="AU1191" s="114"/>
      <c r="AV1191" s="114"/>
      <c r="AW1191" s="114"/>
      <c r="AX1191" s="114"/>
      <c r="AY1191" s="114"/>
      <c r="AZ1191" s="114"/>
      <c r="BA1191" s="114"/>
      <c r="BB1191" s="114"/>
      <c r="BC1191" s="114"/>
      <c r="BD1191" s="114"/>
      <c r="BE1191" s="114"/>
    </row>
    <row r="1192">
      <c r="A1192" s="114"/>
      <c r="B1192" s="114"/>
      <c r="C1192" s="114"/>
      <c r="D1192" s="114"/>
      <c r="E1192" s="114"/>
      <c r="F1192" s="114"/>
      <c r="G1192" s="114"/>
      <c r="H1192" s="114"/>
      <c r="I1192" s="114"/>
      <c r="J1192" s="114"/>
      <c r="K1192" s="114"/>
      <c r="L1192" s="114"/>
      <c r="M1192" s="114"/>
      <c r="N1192" s="114"/>
      <c r="O1192" s="114"/>
      <c r="P1192" s="114"/>
      <c r="Q1192" s="114"/>
      <c r="R1192" s="114"/>
      <c r="S1192" s="114"/>
      <c r="T1192" s="114"/>
      <c r="U1192" s="114"/>
      <c r="V1192" s="114"/>
      <c r="W1192" s="114"/>
      <c r="X1192" s="115"/>
      <c r="Y1192" s="114"/>
      <c r="Z1192" s="117" t="s">
        <v>6845</v>
      </c>
      <c r="AA1192" s="117" t="s">
        <v>5617</v>
      </c>
      <c r="AB1192" s="114"/>
      <c r="AC1192" s="114"/>
      <c r="AD1192" s="114"/>
      <c r="AE1192" s="114"/>
      <c r="AF1192" s="114"/>
      <c r="AG1192" s="114"/>
      <c r="AH1192" s="114"/>
      <c r="AI1192" s="116"/>
      <c r="AJ1192" s="114"/>
      <c r="AK1192" s="114"/>
      <c r="AL1192" s="114"/>
      <c r="AM1192" s="114"/>
      <c r="AN1192" s="114"/>
      <c r="AO1192" s="114"/>
      <c r="AP1192" s="114"/>
      <c r="AQ1192" s="114"/>
      <c r="AR1192" s="114"/>
      <c r="AS1192" s="114"/>
      <c r="AT1192" s="114"/>
      <c r="AU1192" s="114"/>
      <c r="AV1192" s="114"/>
      <c r="AW1192" s="114"/>
      <c r="AX1192" s="114"/>
      <c r="AY1192" s="114"/>
      <c r="AZ1192" s="114"/>
      <c r="BA1192" s="114"/>
      <c r="BB1192" s="114"/>
      <c r="BC1192" s="114"/>
      <c r="BD1192" s="114"/>
      <c r="BE1192" s="114"/>
    </row>
    <row r="1193">
      <c r="A1193" s="114"/>
      <c r="B1193" s="114"/>
      <c r="C1193" s="114"/>
      <c r="D1193" s="114"/>
      <c r="E1193" s="114"/>
      <c r="F1193" s="114"/>
      <c r="G1193" s="114"/>
      <c r="H1193" s="114"/>
      <c r="I1193" s="114"/>
      <c r="J1193" s="114"/>
      <c r="K1193" s="114"/>
      <c r="L1193" s="114"/>
      <c r="M1193" s="114"/>
      <c r="N1193" s="114"/>
      <c r="O1193" s="114"/>
      <c r="P1193" s="114"/>
      <c r="Q1193" s="114"/>
      <c r="R1193" s="114"/>
      <c r="S1193" s="114"/>
      <c r="T1193" s="114"/>
      <c r="U1193" s="114"/>
      <c r="V1193" s="114"/>
      <c r="W1193" s="114"/>
      <c r="X1193" s="115"/>
      <c r="Y1193" s="114"/>
      <c r="Z1193" s="117" t="s">
        <v>6846</v>
      </c>
      <c r="AA1193" s="117" t="s">
        <v>5618</v>
      </c>
      <c r="AB1193" s="114"/>
      <c r="AC1193" s="114"/>
      <c r="AD1193" s="114"/>
      <c r="AE1193" s="114"/>
      <c r="AF1193" s="114"/>
      <c r="AG1193" s="114"/>
      <c r="AH1193" s="114"/>
      <c r="AI1193" s="116"/>
      <c r="AJ1193" s="114"/>
      <c r="AK1193" s="114"/>
      <c r="AL1193" s="114"/>
      <c r="AM1193" s="114"/>
      <c r="AN1193" s="114"/>
      <c r="AO1193" s="114"/>
      <c r="AP1193" s="114"/>
      <c r="AQ1193" s="114"/>
      <c r="AR1193" s="114"/>
      <c r="AS1193" s="114"/>
      <c r="AT1193" s="114"/>
      <c r="AU1193" s="114"/>
      <c r="AV1193" s="114"/>
      <c r="AW1193" s="114"/>
      <c r="AX1193" s="114"/>
      <c r="AY1193" s="114"/>
      <c r="AZ1193" s="114"/>
      <c r="BA1193" s="114"/>
      <c r="BB1193" s="114"/>
      <c r="BC1193" s="114"/>
      <c r="BD1193" s="114"/>
      <c r="BE1193" s="114"/>
    </row>
    <row r="1194">
      <c r="A1194" s="114"/>
      <c r="B1194" s="114"/>
      <c r="C1194" s="114"/>
      <c r="D1194" s="114"/>
      <c r="E1194" s="114"/>
      <c r="F1194" s="114"/>
      <c r="G1194" s="114"/>
      <c r="H1194" s="114"/>
      <c r="I1194" s="114"/>
      <c r="J1194" s="114"/>
      <c r="K1194" s="114"/>
      <c r="L1194" s="114"/>
      <c r="M1194" s="114"/>
      <c r="N1194" s="114"/>
      <c r="O1194" s="114"/>
      <c r="P1194" s="114"/>
      <c r="Q1194" s="114"/>
      <c r="R1194" s="114"/>
      <c r="S1194" s="114"/>
      <c r="T1194" s="114"/>
      <c r="U1194" s="114"/>
      <c r="V1194" s="114"/>
      <c r="W1194" s="114"/>
      <c r="X1194" s="115"/>
      <c r="Y1194" s="114"/>
      <c r="Z1194" s="117" t="s">
        <v>6847</v>
      </c>
      <c r="AA1194" s="117" t="s">
        <v>5616</v>
      </c>
      <c r="AB1194" s="114"/>
      <c r="AC1194" s="114"/>
      <c r="AD1194" s="114"/>
      <c r="AE1194" s="114"/>
      <c r="AF1194" s="114"/>
      <c r="AG1194" s="114"/>
      <c r="AH1194" s="114"/>
      <c r="AI1194" s="116"/>
      <c r="AJ1194" s="114"/>
      <c r="AK1194" s="114"/>
      <c r="AL1194" s="114"/>
      <c r="AM1194" s="114"/>
      <c r="AN1194" s="114"/>
      <c r="AO1194" s="114"/>
      <c r="AP1194" s="114"/>
      <c r="AQ1194" s="114"/>
      <c r="AR1194" s="114"/>
      <c r="AS1194" s="114"/>
      <c r="AT1194" s="114"/>
      <c r="AU1194" s="114"/>
      <c r="AV1194" s="114"/>
      <c r="AW1194" s="114"/>
      <c r="AX1194" s="114"/>
      <c r="AY1194" s="114"/>
      <c r="AZ1194" s="114"/>
      <c r="BA1194" s="114"/>
      <c r="BB1194" s="114"/>
      <c r="BC1194" s="114"/>
      <c r="BD1194" s="114"/>
      <c r="BE1194" s="114"/>
    </row>
    <row r="1195">
      <c r="A1195" s="114"/>
      <c r="B1195" s="114"/>
      <c r="C1195" s="114"/>
      <c r="D1195" s="114"/>
      <c r="E1195" s="114"/>
      <c r="F1195" s="114"/>
      <c r="G1195" s="114"/>
      <c r="H1195" s="114"/>
      <c r="I1195" s="114"/>
      <c r="J1195" s="114"/>
      <c r="K1195" s="114"/>
      <c r="L1195" s="114"/>
      <c r="M1195" s="114"/>
      <c r="N1195" s="114"/>
      <c r="O1195" s="114"/>
      <c r="P1195" s="114"/>
      <c r="Q1195" s="114"/>
      <c r="R1195" s="114"/>
      <c r="S1195" s="114"/>
      <c r="T1195" s="114"/>
      <c r="U1195" s="114"/>
      <c r="V1195" s="114"/>
      <c r="W1195" s="114"/>
      <c r="X1195" s="115"/>
      <c r="Y1195" s="114"/>
      <c r="Z1195" s="117" t="s">
        <v>6848</v>
      </c>
      <c r="AA1195" s="117" t="s">
        <v>5626</v>
      </c>
      <c r="AB1195" s="114"/>
      <c r="AC1195" s="114"/>
      <c r="AD1195" s="114"/>
      <c r="AE1195" s="114"/>
      <c r="AF1195" s="114"/>
      <c r="AG1195" s="114"/>
      <c r="AH1195" s="114"/>
      <c r="AI1195" s="116"/>
      <c r="AJ1195" s="114"/>
      <c r="AK1195" s="114"/>
      <c r="AL1195" s="114"/>
      <c r="AM1195" s="114"/>
      <c r="AN1195" s="114"/>
      <c r="AO1195" s="114"/>
      <c r="AP1195" s="114"/>
      <c r="AQ1195" s="114"/>
      <c r="AR1195" s="114"/>
      <c r="AS1195" s="114"/>
      <c r="AT1195" s="114"/>
      <c r="AU1195" s="114"/>
      <c r="AV1195" s="114"/>
      <c r="AW1195" s="114"/>
      <c r="AX1195" s="114"/>
      <c r="AY1195" s="114"/>
      <c r="AZ1195" s="114"/>
      <c r="BA1195" s="114"/>
      <c r="BB1195" s="114"/>
      <c r="BC1195" s="114"/>
      <c r="BD1195" s="114"/>
      <c r="BE1195" s="114"/>
    </row>
    <row r="1196">
      <c r="A1196" s="114"/>
      <c r="B1196" s="114"/>
      <c r="C1196" s="114"/>
      <c r="D1196" s="114"/>
      <c r="E1196" s="114"/>
      <c r="F1196" s="114"/>
      <c r="G1196" s="114"/>
      <c r="H1196" s="114"/>
      <c r="I1196" s="114"/>
      <c r="J1196" s="114"/>
      <c r="K1196" s="114"/>
      <c r="L1196" s="114"/>
      <c r="M1196" s="114"/>
      <c r="N1196" s="114"/>
      <c r="O1196" s="114"/>
      <c r="P1196" s="114"/>
      <c r="Q1196" s="114"/>
      <c r="R1196" s="114"/>
      <c r="S1196" s="114"/>
      <c r="T1196" s="114"/>
      <c r="U1196" s="114"/>
      <c r="V1196" s="114"/>
      <c r="W1196" s="114"/>
      <c r="X1196" s="115"/>
      <c r="Y1196" s="114"/>
      <c r="Z1196" s="117" t="s">
        <v>6849</v>
      </c>
      <c r="AA1196" s="117" t="s">
        <v>5628</v>
      </c>
      <c r="AB1196" s="114"/>
      <c r="AC1196" s="114"/>
      <c r="AD1196" s="114"/>
      <c r="AE1196" s="114"/>
      <c r="AF1196" s="114"/>
      <c r="AG1196" s="114"/>
      <c r="AH1196" s="114"/>
      <c r="AI1196" s="116"/>
      <c r="AJ1196" s="114"/>
      <c r="AK1196" s="114"/>
      <c r="AL1196" s="114"/>
      <c r="AM1196" s="114"/>
      <c r="AN1196" s="114"/>
      <c r="AO1196" s="114"/>
      <c r="AP1196" s="114"/>
      <c r="AQ1196" s="114"/>
      <c r="AR1196" s="114"/>
      <c r="AS1196" s="114"/>
      <c r="AT1196" s="114"/>
      <c r="AU1196" s="114"/>
      <c r="AV1196" s="114"/>
      <c r="AW1196" s="114"/>
      <c r="AX1196" s="114"/>
      <c r="AY1196" s="114"/>
      <c r="AZ1196" s="114"/>
      <c r="BA1196" s="114"/>
      <c r="BB1196" s="114"/>
      <c r="BC1196" s="114"/>
      <c r="BD1196" s="114"/>
      <c r="BE1196" s="114"/>
    </row>
    <row r="1197">
      <c r="A1197" s="114"/>
      <c r="B1197" s="114"/>
      <c r="C1197" s="114"/>
      <c r="D1197" s="114"/>
      <c r="E1197" s="114"/>
      <c r="F1197" s="114"/>
      <c r="G1197" s="114"/>
      <c r="H1197" s="114"/>
      <c r="I1197" s="114"/>
      <c r="J1197" s="114"/>
      <c r="K1197" s="114"/>
      <c r="L1197" s="114"/>
      <c r="M1197" s="114"/>
      <c r="N1197" s="114"/>
      <c r="O1197" s="114"/>
      <c r="P1197" s="114"/>
      <c r="Q1197" s="114"/>
      <c r="R1197" s="114"/>
      <c r="S1197" s="114"/>
      <c r="T1197" s="114"/>
      <c r="U1197" s="114"/>
      <c r="V1197" s="114"/>
      <c r="W1197" s="114"/>
      <c r="X1197" s="115"/>
      <c r="Y1197" s="114"/>
      <c r="Z1197" s="117" t="s">
        <v>6850</v>
      </c>
      <c r="AA1197" s="117" t="s">
        <v>5629</v>
      </c>
      <c r="AB1197" s="114"/>
      <c r="AC1197" s="114"/>
      <c r="AD1197" s="114"/>
      <c r="AE1197" s="114"/>
      <c r="AF1197" s="114"/>
      <c r="AG1197" s="114"/>
      <c r="AH1197" s="114"/>
      <c r="AI1197" s="116"/>
      <c r="AJ1197" s="114"/>
      <c r="AK1197" s="114"/>
      <c r="AL1197" s="114"/>
      <c r="AM1197" s="114"/>
      <c r="AN1197" s="114"/>
      <c r="AO1197" s="114"/>
      <c r="AP1197" s="114"/>
      <c r="AQ1197" s="114"/>
      <c r="AR1197" s="114"/>
      <c r="AS1197" s="114"/>
      <c r="AT1197" s="114"/>
      <c r="AU1197" s="114"/>
      <c r="AV1197" s="114"/>
      <c r="AW1197" s="114"/>
      <c r="AX1197" s="114"/>
      <c r="AY1197" s="114"/>
      <c r="AZ1197" s="114"/>
      <c r="BA1197" s="114"/>
      <c r="BB1197" s="114"/>
      <c r="BC1197" s="114"/>
      <c r="BD1197" s="114"/>
      <c r="BE1197" s="114"/>
    </row>
    <row r="1198">
      <c r="A1198" s="114"/>
      <c r="B1198" s="114"/>
      <c r="C1198" s="114"/>
      <c r="D1198" s="114"/>
      <c r="E1198" s="114"/>
      <c r="F1198" s="114"/>
      <c r="G1198" s="114"/>
      <c r="H1198" s="114"/>
      <c r="I1198" s="114"/>
      <c r="J1198" s="114"/>
      <c r="K1198" s="114"/>
      <c r="L1198" s="114"/>
      <c r="M1198" s="114"/>
      <c r="N1198" s="114"/>
      <c r="O1198" s="114"/>
      <c r="P1198" s="114"/>
      <c r="Q1198" s="114"/>
      <c r="R1198" s="114"/>
      <c r="S1198" s="114"/>
      <c r="T1198" s="114"/>
      <c r="U1198" s="114"/>
      <c r="V1198" s="114"/>
      <c r="W1198" s="114"/>
      <c r="X1198" s="115"/>
      <c r="Y1198" s="114"/>
      <c r="Z1198" s="117" t="s">
        <v>6851</v>
      </c>
      <c r="AA1198" s="117" t="s">
        <v>5627</v>
      </c>
      <c r="AB1198" s="114"/>
      <c r="AC1198" s="114"/>
      <c r="AD1198" s="114"/>
      <c r="AE1198" s="114"/>
      <c r="AF1198" s="114"/>
      <c r="AG1198" s="114"/>
      <c r="AH1198" s="114"/>
      <c r="AI1198" s="116"/>
      <c r="AJ1198" s="114"/>
      <c r="AK1198" s="114"/>
      <c r="AL1198" s="114"/>
      <c r="AM1198" s="114"/>
      <c r="AN1198" s="114"/>
      <c r="AO1198" s="114"/>
      <c r="AP1198" s="114"/>
      <c r="AQ1198" s="114"/>
      <c r="AR1198" s="114"/>
      <c r="AS1198" s="114"/>
      <c r="AT1198" s="114"/>
      <c r="AU1198" s="114"/>
      <c r="AV1198" s="114"/>
      <c r="AW1198" s="114"/>
      <c r="AX1198" s="114"/>
      <c r="AY1198" s="114"/>
      <c r="AZ1198" s="114"/>
      <c r="BA1198" s="114"/>
      <c r="BB1198" s="114"/>
      <c r="BC1198" s="114"/>
      <c r="BD1198" s="114"/>
      <c r="BE1198" s="114"/>
    </row>
    <row r="1199">
      <c r="A1199" s="114"/>
      <c r="B1199" s="114"/>
      <c r="C1199" s="114"/>
      <c r="D1199" s="114"/>
      <c r="E1199" s="114"/>
      <c r="F1199" s="114"/>
      <c r="G1199" s="114"/>
      <c r="H1199" s="114"/>
      <c r="I1199" s="114"/>
      <c r="J1199" s="114"/>
      <c r="K1199" s="114"/>
      <c r="L1199" s="114"/>
      <c r="M1199" s="114"/>
      <c r="N1199" s="114"/>
      <c r="O1199" s="114"/>
      <c r="P1199" s="114"/>
      <c r="Q1199" s="114"/>
      <c r="R1199" s="114"/>
      <c r="S1199" s="114"/>
      <c r="T1199" s="114"/>
      <c r="U1199" s="114"/>
      <c r="V1199" s="114"/>
      <c r="W1199" s="114"/>
      <c r="X1199" s="115"/>
      <c r="Y1199" s="114"/>
      <c r="Z1199" s="117" t="s">
        <v>6852</v>
      </c>
      <c r="AA1199" s="117" t="s">
        <v>5637</v>
      </c>
      <c r="AB1199" s="114"/>
      <c r="AC1199" s="114"/>
      <c r="AD1199" s="114"/>
      <c r="AE1199" s="114"/>
      <c r="AF1199" s="114"/>
      <c r="AG1199" s="114"/>
      <c r="AH1199" s="114"/>
      <c r="AI1199" s="116"/>
      <c r="AJ1199" s="114"/>
      <c r="AK1199" s="114"/>
      <c r="AL1199" s="114"/>
      <c r="AM1199" s="114"/>
      <c r="AN1199" s="114"/>
      <c r="AO1199" s="114"/>
      <c r="AP1199" s="114"/>
      <c r="AQ1199" s="114"/>
      <c r="AR1199" s="114"/>
      <c r="AS1199" s="114"/>
      <c r="AT1199" s="114"/>
      <c r="AU1199" s="114"/>
      <c r="AV1199" s="114"/>
      <c r="AW1199" s="114"/>
      <c r="AX1199" s="114"/>
      <c r="AY1199" s="114"/>
      <c r="AZ1199" s="114"/>
      <c r="BA1199" s="114"/>
      <c r="BB1199" s="114"/>
      <c r="BC1199" s="114"/>
      <c r="BD1199" s="114"/>
      <c r="BE1199" s="114"/>
    </row>
    <row r="1200">
      <c r="A1200" s="114"/>
      <c r="B1200" s="114"/>
      <c r="C1200" s="114"/>
      <c r="D1200" s="114"/>
      <c r="E1200" s="114"/>
      <c r="F1200" s="114"/>
      <c r="G1200" s="114"/>
      <c r="H1200" s="114"/>
      <c r="I1200" s="114"/>
      <c r="J1200" s="114"/>
      <c r="K1200" s="114"/>
      <c r="L1200" s="114"/>
      <c r="M1200" s="114"/>
      <c r="N1200" s="114"/>
      <c r="O1200" s="114"/>
      <c r="P1200" s="114"/>
      <c r="Q1200" s="114"/>
      <c r="R1200" s="114"/>
      <c r="S1200" s="114"/>
      <c r="T1200" s="114"/>
      <c r="U1200" s="114"/>
      <c r="V1200" s="114"/>
      <c r="W1200" s="114"/>
      <c r="X1200" s="115"/>
      <c r="Y1200" s="114"/>
      <c r="Z1200" s="117" t="s">
        <v>6853</v>
      </c>
      <c r="AA1200" s="117" t="s">
        <v>5639</v>
      </c>
      <c r="AB1200" s="114"/>
      <c r="AC1200" s="114"/>
      <c r="AD1200" s="114"/>
      <c r="AE1200" s="114"/>
      <c r="AF1200" s="114"/>
      <c r="AG1200" s="114"/>
      <c r="AH1200" s="114"/>
      <c r="AI1200" s="116"/>
      <c r="AJ1200" s="114"/>
      <c r="AK1200" s="114"/>
      <c r="AL1200" s="114"/>
      <c r="AM1200" s="114"/>
      <c r="AN1200" s="114"/>
      <c r="AO1200" s="114"/>
      <c r="AP1200" s="114"/>
      <c r="AQ1200" s="114"/>
      <c r="AR1200" s="114"/>
      <c r="AS1200" s="114"/>
      <c r="AT1200" s="114"/>
      <c r="AU1200" s="114"/>
      <c r="AV1200" s="114"/>
      <c r="AW1200" s="114"/>
      <c r="AX1200" s="114"/>
      <c r="AY1200" s="114"/>
      <c r="AZ1200" s="114"/>
      <c r="BA1200" s="114"/>
      <c r="BB1200" s="114"/>
      <c r="BC1200" s="114"/>
      <c r="BD1200" s="114"/>
      <c r="BE1200" s="114"/>
    </row>
    <row r="1201">
      <c r="A1201" s="114"/>
      <c r="B1201" s="114"/>
      <c r="C1201" s="114"/>
      <c r="D1201" s="114"/>
      <c r="E1201" s="114"/>
      <c r="F1201" s="114"/>
      <c r="G1201" s="114"/>
      <c r="H1201" s="114"/>
      <c r="I1201" s="114"/>
      <c r="J1201" s="114"/>
      <c r="K1201" s="114"/>
      <c r="L1201" s="114"/>
      <c r="M1201" s="114"/>
      <c r="N1201" s="114"/>
      <c r="O1201" s="114"/>
      <c r="P1201" s="114"/>
      <c r="Q1201" s="114"/>
      <c r="R1201" s="114"/>
      <c r="S1201" s="114"/>
      <c r="T1201" s="114"/>
      <c r="U1201" s="114"/>
      <c r="V1201" s="114"/>
      <c r="W1201" s="114"/>
      <c r="X1201" s="115"/>
      <c r="Y1201" s="114"/>
      <c r="Z1201" s="117" t="s">
        <v>6854</v>
      </c>
      <c r="AA1201" s="117" t="s">
        <v>5640</v>
      </c>
      <c r="AB1201" s="114"/>
      <c r="AC1201" s="114"/>
      <c r="AD1201" s="114"/>
      <c r="AE1201" s="114"/>
      <c r="AF1201" s="114"/>
      <c r="AG1201" s="114"/>
      <c r="AH1201" s="114"/>
      <c r="AI1201" s="116"/>
      <c r="AJ1201" s="114"/>
      <c r="AK1201" s="114"/>
      <c r="AL1201" s="114"/>
      <c r="AM1201" s="114"/>
      <c r="AN1201" s="114"/>
      <c r="AO1201" s="114"/>
      <c r="AP1201" s="114"/>
      <c r="AQ1201" s="114"/>
      <c r="AR1201" s="114"/>
      <c r="AS1201" s="114"/>
      <c r="AT1201" s="114"/>
      <c r="AU1201" s="114"/>
      <c r="AV1201" s="114"/>
      <c r="AW1201" s="114"/>
      <c r="AX1201" s="114"/>
      <c r="AY1201" s="114"/>
      <c r="AZ1201" s="114"/>
      <c r="BA1201" s="114"/>
      <c r="BB1201" s="114"/>
      <c r="BC1201" s="114"/>
      <c r="BD1201" s="114"/>
      <c r="BE1201" s="114"/>
    </row>
    <row r="1202">
      <c r="A1202" s="114"/>
      <c r="B1202" s="114"/>
      <c r="C1202" s="114"/>
      <c r="D1202" s="114"/>
      <c r="E1202" s="114"/>
      <c r="F1202" s="114"/>
      <c r="G1202" s="114"/>
      <c r="H1202" s="114"/>
      <c r="I1202" s="114"/>
      <c r="J1202" s="114"/>
      <c r="K1202" s="114"/>
      <c r="L1202" s="114"/>
      <c r="M1202" s="114"/>
      <c r="N1202" s="114"/>
      <c r="O1202" s="114"/>
      <c r="P1202" s="114"/>
      <c r="Q1202" s="114"/>
      <c r="R1202" s="114"/>
      <c r="S1202" s="114"/>
      <c r="T1202" s="114"/>
      <c r="U1202" s="114"/>
      <c r="V1202" s="114"/>
      <c r="W1202" s="114"/>
      <c r="X1202" s="115"/>
      <c r="Y1202" s="114"/>
      <c r="Z1202" s="117" t="s">
        <v>6855</v>
      </c>
      <c r="AA1202" s="117" t="s">
        <v>5638</v>
      </c>
      <c r="AB1202" s="114"/>
      <c r="AC1202" s="114"/>
      <c r="AD1202" s="114"/>
      <c r="AE1202" s="114"/>
      <c r="AF1202" s="114"/>
      <c r="AG1202" s="114"/>
      <c r="AH1202" s="114"/>
      <c r="AI1202" s="116"/>
      <c r="AJ1202" s="114"/>
      <c r="AK1202" s="114"/>
      <c r="AL1202" s="114"/>
      <c r="AM1202" s="114"/>
      <c r="AN1202" s="114"/>
      <c r="AO1202" s="114"/>
      <c r="AP1202" s="114"/>
      <c r="AQ1202" s="114"/>
      <c r="AR1202" s="114"/>
      <c r="AS1202" s="114"/>
      <c r="AT1202" s="114"/>
      <c r="AU1202" s="114"/>
      <c r="AV1202" s="114"/>
      <c r="AW1202" s="114"/>
      <c r="AX1202" s="114"/>
      <c r="AY1202" s="114"/>
      <c r="AZ1202" s="114"/>
      <c r="BA1202" s="114"/>
      <c r="BB1202" s="114"/>
      <c r="BC1202" s="114"/>
      <c r="BD1202" s="114"/>
      <c r="BE1202" s="114"/>
    </row>
    <row r="1203">
      <c r="A1203" s="114"/>
      <c r="B1203" s="114"/>
      <c r="C1203" s="114"/>
      <c r="D1203" s="114"/>
      <c r="E1203" s="114"/>
      <c r="F1203" s="114"/>
      <c r="G1203" s="114"/>
      <c r="H1203" s="114"/>
      <c r="I1203" s="114"/>
      <c r="J1203" s="114"/>
      <c r="K1203" s="114"/>
      <c r="L1203" s="114"/>
      <c r="M1203" s="114"/>
      <c r="N1203" s="114"/>
      <c r="O1203" s="114"/>
      <c r="P1203" s="114"/>
      <c r="Q1203" s="114"/>
      <c r="R1203" s="114"/>
      <c r="S1203" s="114"/>
      <c r="T1203" s="114"/>
      <c r="U1203" s="114"/>
      <c r="V1203" s="114"/>
      <c r="W1203" s="114"/>
      <c r="X1203" s="115"/>
      <c r="Y1203" s="114"/>
      <c r="Z1203" s="117" t="s">
        <v>6856</v>
      </c>
      <c r="AA1203" s="117" t="s">
        <v>5648</v>
      </c>
      <c r="AB1203" s="114"/>
      <c r="AC1203" s="114"/>
      <c r="AD1203" s="114"/>
      <c r="AE1203" s="114"/>
      <c r="AF1203" s="114"/>
      <c r="AG1203" s="114"/>
      <c r="AH1203" s="114"/>
      <c r="AI1203" s="116"/>
      <c r="AJ1203" s="114"/>
      <c r="AK1203" s="114"/>
      <c r="AL1203" s="114"/>
      <c r="AM1203" s="114"/>
      <c r="AN1203" s="114"/>
      <c r="AO1203" s="114"/>
      <c r="AP1203" s="114"/>
      <c r="AQ1203" s="114"/>
      <c r="AR1203" s="114"/>
      <c r="AS1203" s="114"/>
      <c r="AT1203" s="114"/>
      <c r="AU1203" s="114"/>
      <c r="AV1203" s="114"/>
      <c r="AW1203" s="114"/>
      <c r="AX1203" s="114"/>
      <c r="AY1203" s="114"/>
      <c r="AZ1203" s="114"/>
      <c r="BA1203" s="114"/>
      <c r="BB1203" s="114"/>
      <c r="BC1203" s="114"/>
      <c r="BD1203" s="114"/>
      <c r="BE1203" s="114"/>
    </row>
    <row r="1204">
      <c r="A1204" s="114"/>
      <c r="B1204" s="114"/>
      <c r="C1204" s="114"/>
      <c r="D1204" s="114"/>
      <c r="E1204" s="114"/>
      <c r="F1204" s="114"/>
      <c r="G1204" s="114"/>
      <c r="H1204" s="114"/>
      <c r="I1204" s="114"/>
      <c r="J1204" s="114"/>
      <c r="K1204" s="114"/>
      <c r="L1204" s="114"/>
      <c r="M1204" s="114"/>
      <c r="N1204" s="114"/>
      <c r="O1204" s="114"/>
      <c r="P1204" s="114"/>
      <c r="Q1204" s="114"/>
      <c r="R1204" s="114"/>
      <c r="S1204" s="114"/>
      <c r="T1204" s="114"/>
      <c r="U1204" s="114"/>
      <c r="V1204" s="114"/>
      <c r="W1204" s="114"/>
      <c r="X1204" s="115"/>
      <c r="Y1204" s="114"/>
      <c r="Z1204" s="117" t="s">
        <v>6857</v>
      </c>
      <c r="AA1204" s="117" t="s">
        <v>5650</v>
      </c>
      <c r="AB1204" s="114"/>
      <c r="AC1204" s="114"/>
      <c r="AD1204" s="114"/>
      <c r="AE1204" s="114"/>
      <c r="AF1204" s="114"/>
      <c r="AG1204" s="114"/>
      <c r="AH1204" s="114"/>
      <c r="AI1204" s="116"/>
      <c r="AJ1204" s="114"/>
      <c r="AK1204" s="114"/>
      <c r="AL1204" s="114"/>
      <c r="AM1204" s="114"/>
      <c r="AN1204" s="114"/>
      <c r="AO1204" s="114"/>
      <c r="AP1204" s="114"/>
      <c r="AQ1204" s="114"/>
      <c r="AR1204" s="114"/>
      <c r="AS1204" s="114"/>
      <c r="AT1204" s="114"/>
      <c r="AU1204" s="114"/>
      <c r="AV1204" s="114"/>
      <c r="AW1204" s="114"/>
      <c r="AX1204" s="114"/>
      <c r="AY1204" s="114"/>
      <c r="AZ1204" s="114"/>
      <c r="BA1204" s="114"/>
      <c r="BB1204" s="114"/>
      <c r="BC1204" s="114"/>
      <c r="BD1204" s="114"/>
      <c r="BE1204" s="114"/>
    </row>
    <row r="1205">
      <c r="A1205" s="114"/>
      <c r="B1205" s="114"/>
      <c r="C1205" s="114"/>
      <c r="D1205" s="114"/>
      <c r="E1205" s="114"/>
      <c r="F1205" s="114"/>
      <c r="G1205" s="114"/>
      <c r="H1205" s="114"/>
      <c r="I1205" s="114"/>
      <c r="J1205" s="114"/>
      <c r="K1205" s="114"/>
      <c r="L1205" s="114"/>
      <c r="M1205" s="114"/>
      <c r="N1205" s="114"/>
      <c r="O1205" s="114"/>
      <c r="P1205" s="114"/>
      <c r="Q1205" s="114"/>
      <c r="R1205" s="114"/>
      <c r="S1205" s="114"/>
      <c r="T1205" s="114"/>
      <c r="U1205" s="114"/>
      <c r="V1205" s="114"/>
      <c r="W1205" s="114"/>
      <c r="X1205" s="115"/>
      <c r="Y1205" s="114"/>
      <c r="Z1205" s="117" t="s">
        <v>6858</v>
      </c>
      <c r="AA1205" s="117" t="s">
        <v>5651</v>
      </c>
      <c r="AB1205" s="114"/>
      <c r="AC1205" s="114"/>
      <c r="AD1205" s="114"/>
      <c r="AE1205" s="114"/>
      <c r="AF1205" s="114"/>
      <c r="AG1205" s="114"/>
      <c r="AH1205" s="114"/>
      <c r="AI1205" s="116"/>
      <c r="AJ1205" s="114"/>
      <c r="AK1205" s="114"/>
      <c r="AL1205" s="114"/>
      <c r="AM1205" s="114"/>
      <c r="AN1205" s="114"/>
      <c r="AO1205" s="114"/>
      <c r="AP1205" s="114"/>
      <c r="AQ1205" s="114"/>
      <c r="AR1205" s="114"/>
      <c r="AS1205" s="114"/>
      <c r="AT1205" s="114"/>
      <c r="AU1205" s="114"/>
      <c r="AV1205" s="114"/>
      <c r="AW1205" s="114"/>
      <c r="AX1205" s="114"/>
      <c r="AY1205" s="114"/>
      <c r="AZ1205" s="114"/>
      <c r="BA1205" s="114"/>
      <c r="BB1205" s="114"/>
      <c r="BC1205" s="114"/>
      <c r="BD1205" s="114"/>
      <c r="BE1205" s="114"/>
    </row>
    <row r="1206">
      <c r="A1206" s="114"/>
      <c r="B1206" s="114"/>
      <c r="C1206" s="114"/>
      <c r="D1206" s="114"/>
      <c r="E1206" s="114"/>
      <c r="F1206" s="114"/>
      <c r="G1206" s="114"/>
      <c r="H1206" s="114"/>
      <c r="I1206" s="114"/>
      <c r="J1206" s="114"/>
      <c r="K1206" s="114"/>
      <c r="L1206" s="114"/>
      <c r="M1206" s="114"/>
      <c r="N1206" s="114"/>
      <c r="O1206" s="114"/>
      <c r="P1206" s="114"/>
      <c r="Q1206" s="114"/>
      <c r="R1206" s="114"/>
      <c r="S1206" s="114"/>
      <c r="T1206" s="114"/>
      <c r="U1206" s="114"/>
      <c r="V1206" s="114"/>
      <c r="W1206" s="114"/>
      <c r="X1206" s="115"/>
      <c r="Y1206" s="114"/>
      <c r="Z1206" s="117" t="s">
        <v>6859</v>
      </c>
      <c r="AA1206" s="117" t="s">
        <v>5649</v>
      </c>
      <c r="AB1206" s="114"/>
      <c r="AC1206" s="114"/>
      <c r="AD1206" s="114"/>
      <c r="AE1206" s="114"/>
      <c r="AF1206" s="114"/>
      <c r="AG1206" s="114"/>
      <c r="AH1206" s="114"/>
      <c r="AI1206" s="116"/>
      <c r="AJ1206" s="114"/>
      <c r="AK1206" s="114"/>
      <c r="AL1206" s="114"/>
      <c r="AM1206" s="114"/>
      <c r="AN1206" s="114"/>
      <c r="AO1206" s="114"/>
      <c r="AP1206" s="114"/>
      <c r="AQ1206" s="114"/>
      <c r="AR1206" s="114"/>
      <c r="AS1206" s="114"/>
      <c r="AT1206" s="114"/>
      <c r="AU1206" s="114"/>
      <c r="AV1206" s="114"/>
      <c r="AW1206" s="114"/>
      <c r="AX1206" s="114"/>
      <c r="AY1206" s="114"/>
      <c r="AZ1206" s="114"/>
      <c r="BA1206" s="114"/>
      <c r="BB1206" s="114"/>
      <c r="BC1206" s="114"/>
      <c r="BD1206" s="114"/>
      <c r="BE1206" s="114"/>
    </row>
    <row r="1207">
      <c r="A1207" s="114"/>
      <c r="B1207" s="114"/>
      <c r="C1207" s="114"/>
      <c r="D1207" s="114"/>
      <c r="E1207" s="114"/>
      <c r="F1207" s="114"/>
      <c r="G1207" s="114"/>
      <c r="H1207" s="114"/>
      <c r="I1207" s="114"/>
      <c r="J1207" s="114"/>
      <c r="K1207" s="114"/>
      <c r="L1207" s="114"/>
      <c r="M1207" s="114"/>
      <c r="N1207" s="114"/>
      <c r="O1207" s="114"/>
      <c r="P1207" s="114"/>
      <c r="Q1207" s="114"/>
      <c r="R1207" s="114"/>
      <c r="S1207" s="114"/>
      <c r="T1207" s="114"/>
      <c r="U1207" s="114"/>
      <c r="V1207" s="114"/>
      <c r="W1207" s="114"/>
      <c r="X1207" s="115"/>
      <c r="Y1207" s="114"/>
      <c r="Z1207" s="117" t="s">
        <v>6860</v>
      </c>
      <c r="AA1207" s="117" t="s">
        <v>5659</v>
      </c>
      <c r="AB1207" s="114"/>
      <c r="AC1207" s="114"/>
      <c r="AD1207" s="114"/>
      <c r="AE1207" s="114"/>
      <c r="AF1207" s="114"/>
      <c r="AG1207" s="114"/>
      <c r="AH1207" s="114"/>
      <c r="AI1207" s="116"/>
      <c r="AJ1207" s="114"/>
      <c r="AK1207" s="114"/>
      <c r="AL1207" s="114"/>
      <c r="AM1207" s="114"/>
      <c r="AN1207" s="114"/>
      <c r="AO1207" s="114"/>
      <c r="AP1207" s="114"/>
      <c r="AQ1207" s="114"/>
      <c r="AR1207" s="114"/>
      <c r="AS1207" s="114"/>
      <c r="AT1207" s="114"/>
      <c r="AU1207" s="114"/>
      <c r="AV1207" s="114"/>
      <c r="AW1207" s="114"/>
      <c r="AX1207" s="114"/>
      <c r="AY1207" s="114"/>
      <c r="AZ1207" s="114"/>
      <c r="BA1207" s="114"/>
      <c r="BB1207" s="114"/>
      <c r="BC1207" s="114"/>
      <c r="BD1207" s="114"/>
      <c r="BE1207" s="114"/>
    </row>
    <row r="1208">
      <c r="A1208" s="114"/>
      <c r="B1208" s="114"/>
      <c r="C1208" s="114"/>
      <c r="D1208" s="114"/>
      <c r="E1208" s="114"/>
      <c r="F1208" s="114"/>
      <c r="G1208" s="114"/>
      <c r="H1208" s="114"/>
      <c r="I1208" s="114"/>
      <c r="J1208" s="114"/>
      <c r="K1208" s="114"/>
      <c r="L1208" s="114"/>
      <c r="M1208" s="114"/>
      <c r="N1208" s="114"/>
      <c r="O1208" s="114"/>
      <c r="P1208" s="114"/>
      <c r="Q1208" s="114"/>
      <c r="R1208" s="114"/>
      <c r="S1208" s="114"/>
      <c r="T1208" s="114"/>
      <c r="U1208" s="114"/>
      <c r="V1208" s="114"/>
      <c r="W1208" s="114"/>
      <c r="X1208" s="115"/>
      <c r="Y1208" s="114"/>
      <c r="Z1208" s="117" t="s">
        <v>6861</v>
      </c>
      <c r="AA1208" s="117" t="s">
        <v>5661</v>
      </c>
      <c r="AB1208" s="114"/>
      <c r="AC1208" s="114"/>
      <c r="AD1208" s="114"/>
      <c r="AE1208" s="114"/>
      <c r="AF1208" s="114"/>
      <c r="AG1208" s="114"/>
      <c r="AH1208" s="114"/>
      <c r="AI1208" s="116"/>
      <c r="AJ1208" s="114"/>
      <c r="AK1208" s="114"/>
      <c r="AL1208" s="114"/>
      <c r="AM1208" s="114"/>
      <c r="AN1208" s="114"/>
      <c r="AO1208" s="114"/>
      <c r="AP1208" s="114"/>
      <c r="AQ1208" s="114"/>
      <c r="AR1208" s="114"/>
      <c r="AS1208" s="114"/>
      <c r="AT1208" s="114"/>
      <c r="AU1208" s="114"/>
      <c r="AV1208" s="114"/>
      <c r="AW1208" s="114"/>
      <c r="AX1208" s="114"/>
      <c r="AY1208" s="114"/>
      <c r="AZ1208" s="114"/>
      <c r="BA1208" s="114"/>
      <c r="BB1208" s="114"/>
      <c r="BC1208" s="114"/>
      <c r="BD1208" s="114"/>
      <c r="BE1208" s="114"/>
    </row>
    <row r="1209">
      <c r="A1209" s="114"/>
      <c r="B1209" s="114"/>
      <c r="C1209" s="114"/>
      <c r="D1209" s="114"/>
      <c r="E1209" s="114"/>
      <c r="F1209" s="114"/>
      <c r="G1209" s="114"/>
      <c r="H1209" s="114"/>
      <c r="I1209" s="114"/>
      <c r="J1209" s="114"/>
      <c r="K1209" s="114"/>
      <c r="L1209" s="114"/>
      <c r="M1209" s="114"/>
      <c r="N1209" s="114"/>
      <c r="O1209" s="114"/>
      <c r="P1209" s="114"/>
      <c r="Q1209" s="114"/>
      <c r="R1209" s="114"/>
      <c r="S1209" s="114"/>
      <c r="T1209" s="114"/>
      <c r="U1209" s="114"/>
      <c r="V1209" s="114"/>
      <c r="W1209" s="114"/>
      <c r="X1209" s="115"/>
      <c r="Y1209" s="114"/>
      <c r="Z1209" s="117" t="s">
        <v>6862</v>
      </c>
      <c r="AA1209" s="117" t="s">
        <v>5662</v>
      </c>
      <c r="AB1209" s="114"/>
      <c r="AC1209" s="114"/>
      <c r="AD1209" s="114"/>
      <c r="AE1209" s="114"/>
      <c r="AF1209" s="114"/>
      <c r="AG1209" s="114"/>
      <c r="AH1209" s="114"/>
      <c r="AI1209" s="116"/>
      <c r="AJ1209" s="114"/>
      <c r="AK1209" s="114"/>
      <c r="AL1209" s="114"/>
      <c r="AM1209" s="114"/>
      <c r="AN1209" s="114"/>
      <c r="AO1209" s="114"/>
      <c r="AP1209" s="114"/>
      <c r="AQ1209" s="114"/>
      <c r="AR1209" s="114"/>
      <c r="AS1209" s="114"/>
      <c r="AT1209" s="114"/>
      <c r="AU1209" s="114"/>
      <c r="AV1209" s="114"/>
      <c r="AW1209" s="114"/>
      <c r="AX1209" s="114"/>
      <c r="AY1209" s="114"/>
      <c r="AZ1209" s="114"/>
      <c r="BA1209" s="114"/>
      <c r="BB1209" s="114"/>
      <c r="BC1209" s="114"/>
      <c r="BD1209" s="114"/>
      <c r="BE1209" s="114"/>
    </row>
    <row r="1210">
      <c r="A1210" s="114"/>
      <c r="B1210" s="114"/>
      <c r="C1210" s="114"/>
      <c r="D1210" s="114"/>
      <c r="E1210" s="114"/>
      <c r="F1210" s="114"/>
      <c r="G1210" s="114"/>
      <c r="H1210" s="114"/>
      <c r="I1210" s="114"/>
      <c r="J1210" s="114"/>
      <c r="K1210" s="114"/>
      <c r="L1210" s="114"/>
      <c r="M1210" s="114"/>
      <c r="N1210" s="114"/>
      <c r="O1210" s="114"/>
      <c r="P1210" s="114"/>
      <c r="Q1210" s="114"/>
      <c r="R1210" s="114"/>
      <c r="S1210" s="114"/>
      <c r="T1210" s="114"/>
      <c r="U1210" s="114"/>
      <c r="V1210" s="114"/>
      <c r="W1210" s="114"/>
      <c r="X1210" s="115"/>
      <c r="Y1210" s="114"/>
      <c r="Z1210" s="117" t="s">
        <v>6863</v>
      </c>
      <c r="AA1210" s="117" t="s">
        <v>5660</v>
      </c>
      <c r="AB1210" s="114"/>
      <c r="AC1210" s="114"/>
      <c r="AD1210" s="114"/>
      <c r="AE1210" s="114"/>
      <c r="AF1210" s="114"/>
      <c r="AG1210" s="114"/>
      <c r="AH1210" s="114"/>
      <c r="AI1210" s="116"/>
      <c r="AJ1210" s="114"/>
      <c r="AK1210" s="114"/>
      <c r="AL1210" s="114"/>
      <c r="AM1210" s="114"/>
      <c r="AN1210" s="114"/>
      <c r="AO1210" s="114"/>
      <c r="AP1210" s="114"/>
      <c r="AQ1210" s="114"/>
      <c r="AR1210" s="114"/>
      <c r="AS1210" s="114"/>
      <c r="AT1210" s="114"/>
      <c r="AU1210" s="114"/>
      <c r="AV1210" s="114"/>
      <c r="AW1210" s="114"/>
      <c r="AX1210" s="114"/>
      <c r="AY1210" s="114"/>
      <c r="AZ1210" s="114"/>
      <c r="BA1210" s="114"/>
      <c r="BB1210" s="114"/>
      <c r="BC1210" s="114"/>
      <c r="BD1210" s="114"/>
      <c r="BE1210" s="114"/>
    </row>
    <row r="1211">
      <c r="A1211" s="114"/>
      <c r="B1211" s="114"/>
      <c r="C1211" s="114"/>
      <c r="D1211" s="114"/>
      <c r="E1211" s="114"/>
      <c r="F1211" s="114"/>
      <c r="G1211" s="114"/>
      <c r="H1211" s="114"/>
      <c r="I1211" s="114"/>
      <c r="J1211" s="114"/>
      <c r="K1211" s="114"/>
      <c r="L1211" s="114"/>
      <c r="M1211" s="114"/>
      <c r="N1211" s="114"/>
      <c r="O1211" s="114"/>
      <c r="P1211" s="114"/>
      <c r="Q1211" s="114"/>
      <c r="R1211" s="114"/>
      <c r="S1211" s="114"/>
      <c r="T1211" s="114"/>
      <c r="U1211" s="114"/>
      <c r="V1211" s="114"/>
      <c r="W1211" s="114"/>
      <c r="X1211" s="115"/>
      <c r="Y1211" s="114"/>
      <c r="Z1211" s="117" t="s">
        <v>6864</v>
      </c>
      <c r="AA1211" s="117" t="s">
        <v>5670</v>
      </c>
      <c r="AB1211" s="114"/>
      <c r="AC1211" s="114"/>
      <c r="AD1211" s="114"/>
      <c r="AE1211" s="114"/>
      <c r="AF1211" s="114"/>
      <c r="AG1211" s="114"/>
      <c r="AH1211" s="114"/>
      <c r="AI1211" s="116"/>
      <c r="AJ1211" s="114"/>
      <c r="AK1211" s="114"/>
      <c r="AL1211" s="114"/>
      <c r="AM1211" s="114"/>
      <c r="AN1211" s="114"/>
      <c r="AO1211" s="114"/>
      <c r="AP1211" s="114"/>
      <c r="AQ1211" s="114"/>
      <c r="AR1211" s="114"/>
      <c r="AS1211" s="114"/>
      <c r="AT1211" s="114"/>
      <c r="AU1211" s="114"/>
      <c r="AV1211" s="114"/>
      <c r="AW1211" s="114"/>
      <c r="AX1211" s="114"/>
      <c r="AY1211" s="114"/>
      <c r="AZ1211" s="114"/>
      <c r="BA1211" s="114"/>
      <c r="BB1211" s="114"/>
      <c r="BC1211" s="114"/>
      <c r="BD1211" s="114"/>
      <c r="BE1211" s="114"/>
    </row>
    <row r="1212">
      <c r="A1212" s="114"/>
      <c r="B1212" s="114"/>
      <c r="C1212" s="114"/>
      <c r="D1212" s="114"/>
      <c r="E1212" s="114"/>
      <c r="F1212" s="114"/>
      <c r="G1212" s="114"/>
      <c r="H1212" s="114"/>
      <c r="I1212" s="114"/>
      <c r="J1212" s="114"/>
      <c r="K1212" s="114"/>
      <c r="L1212" s="114"/>
      <c r="M1212" s="114"/>
      <c r="N1212" s="114"/>
      <c r="O1212" s="114"/>
      <c r="P1212" s="114"/>
      <c r="Q1212" s="114"/>
      <c r="R1212" s="114"/>
      <c r="S1212" s="114"/>
      <c r="T1212" s="114"/>
      <c r="U1212" s="114"/>
      <c r="V1212" s="114"/>
      <c r="W1212" s="114"/>
      <c r="X1212" s="115"/>
      <c r="Y1212" s="114"/>
      <c r="Z1212" s="117" t="s">
        <v>6865</v>
      </c>
      <c r="AA1212" s="117" t="s">
        <v>5672</v>
      </c>
      <c r="AB1212" s="114"/>
      <c r="AC1212" s="114"/>
      <c r="AD1212" s="114"/>
      <c r="AE1212" s="114"/>
      <c r="AF1212" s="114"/>
      <c r="AG1212" s="114"/>
      <c r="AH1212" s="114"/>
      <c r="AI1212" s="116"/>
      <c r="AJ1212" s="114"/>
      <c r="AK1212" s="114"/>
      <c r="AL1212" s="114"/>
      <c r="AM1212" s="114"/>
      <c r="AN1212" s="114"/>
      <c r="AO1212" s="114"/>
      <c r="AP1212" s="114"/>
      <c r="AQ1212" s="114"/>
      <c r="AR1212" s="114"/>
      <c r="AS1212" s="114"/>
      <c r="AT1212" s="114"/>
      <c r="AU1212" s="114"/>
      <c r="AV1212" s="114"/>
      <c r="AW1212" s="114"/>
      <c r="AX1212" s="114"/>
      <c r="AY1212" s="114"/>
      <c r="AZ1212" s="114"/>
      <c r="BA1212" s="114"/>
      <c r="BB1212" s="114"/>
      <c r="BC1212" s="114"/>
      <c r="BD1212" s="114"/>
      <c r="BE1212" s="114"/>
    </row>
    <row r="1213">
      <c r="A1213" s="114"/>
      <c r="B1213" s="114"/>
      <c r="C1213" s="114"/>
      <c r="D1213" s="114"/>
      <c r="E1213" s="114"/>
      <c r="F1213" s="114"/>
      <c r="G1213" s="114"/>
      <c r="H1213" s="114"/>
      <c r="I1213" s="114"/>
      <c r="J1213" s="114"/>
      <c r="K1213" s="114"/>
      <c r="L1213" s="114"/>
      <c r="M1213" s="114"/>
      <c r="N1213" s="114"/>
      <c r="O1213" s="114"/>
      <c r="P1213" s="114"/>
      <c r="Q1213" s="114"/>
      <c r="R1213" s="114"/>
      <c r="S1213" s="114"/>
      <c r="T1213" s="114"/>
      <c r="U1213" s="114"/>
      <c r="V1213" s="114"/>
      <c r="W1213" s="114"/>
      <c r="X1213" s="115"/>
      <c r="Y1213" s="114"/>
      <c r="Z1213" s="117" t="s">
        <v>6866</v>
      </c>
      <c r="AA1213" s="117" t="s">
        <v>5673</v>
      </c>
      <c r="AB1213" s="114"/>
      <c r="AC1213" s="114"/>
      <c r="AD1213" s="114"/>
      <c r="AE1213" s="114"/>
      <c r="AF1213" s="114"/>
      <c r="AG1213" s="114"/>
      <c r="AH1213" s="114"/>
      <c r="AI1213" s="116"/>
      <c r="AJ1213" s="114"/>
      <c r="AK1213" s="114"/>
      <c r="AL1213" s="114"/>
      <c r="AM1213" s="114"/>
      <c r="AN1213" s="114"/>
      <c r="AO1213" s="114"/>
      <c r="AP1213" s="114"/>
      <c r="AQ1213" s="114"/>
      <c r="AR1213" s="114"/>
      <c r="AS1213" s="114"/>
      <c r="AT1213" s="114"/>
      <c r="AU1213" s="114"/>
      <c r="AV1213" s="114"/>
      <c r="AW1213" s="114"/>
      <c r="AX1213" s="114"/>
      <c r="AY1213" s="114"/>
      <c r="AZ1213" s="114"/>
      <c r="BA1213" s="114"/>
      <c r="BB1213" s="114"/>
      <c r="BC1213" s="114"/>
      <c r="BD1213" s="114"/>
      <c r="BE1213" s="114"/>
    </row>
    <row r="1214">
      <c r="A1214" s="114"/>
      <c r="B1214" s="114"/>
      <c r="C1214" s="114"/>
      <c r="D1214" s="114"/>
      <c r="E1214" s="114"/>
      <c r="F1214" s="114"/>
      <c r="G1214" s="114"/>
      <c r="H1214" s="114"/>
      <c r="I1214" s="114"/>
      <c r="J1214" s="114"/>
      <c r="K1214" s="114"/>
      <c r="L1214" s="114"/>
      <c r="M1214" s="114"/>
      <c r="N1214" s="114"/>
      <c r="O1214" s="114"/>
      <c r="P1214" s="114"/>
      <c r="Q1214" s="114"/>
      <c r="R1214" s="114"/>
      <c r="S1214" s="114"/>
      <c r="T1214" s="114"/>
      <c r="U1214" s="114"/>
      <c r="V1214" s="114"/>
      <c r="W1214" s="114"/>
      <c r="X1214" s="115"/>
      <c r="Y1214" s="114"/>
      <c r="Z1214" s="117" t="s">
        <v>6867</v>
      </c>
      <c r="AA1214" s="117" t="s">
        <v>5671</v>
      </c>
      <c r="AB1214" s="114"/>
      <c r="AC1214" s="114"/>
      <c r="AD1214" s="114"/>
      <c r="AE1214" s="114"/>
      <c r="AF1214" s="114"/>
      <c r="AG1214" s="114"/>
      <c r="AH1214" s="114"/>
      <c r="AI1214" s="116"/>
      <c r="AJ1214" s="114"/>
      <c r="AK1214" s="114"/>
      <c r="AL1214" s="114"/>
      <c r="AM1214" s="114"/>
      <c r="AN1214" s="114"/>
      <c r="AO1214" s="114"/>
      <c r="AP1214" s="114"/>
      <c r="AQ1214" s="114"/>
      <c r="AR1214" s="114"/>
      <c r="AS1214" s="114"/>
      <c r="AT1214" s="114"/>
      <c r="AU1214" s="114"/>
      <c r="AV1214" s="114"/>
      <c r="AW1214" s="114"/>
      <c r="AX1214" s="114"/>
      <c r="AY1214" s="114"/>
      <c r="AZ1214" s="114"/>
      <c r="BA1214" s="114"/>
      <c r="BB1214" s="114"/>
      <c r="BC1214" s="114"/>
      <c r="BD1214" s="114"/>
      <c r="BE1214" s="114"/>
    </row>
    <row r="1215">
      <c r="A1215" s="114"/>
      <c r="B1215" s="114"/>
      <c r="C1215" s="114"/>
      <c r="D1215" s="114"/>
      <c r="E1215" s="114"/>
      <c r="F1215" s="114"/>
      <c r="G1215" s="114"/>
      <c r="H1215" s="114"/>
      <c r="I1215" s="114"/>
      <c r="J1215" s="114"/>
      <c r="K1215" s="114"/>
      <c r="L1215" s="114"/>
      <c r="M1215" s="114"/>
      <c r="N1215" s="114"/>
      <c r="O1215" s="114"/>
      <c r="P1215" s="114"/>
      <c r="Q1215" s="114"/>
      <c r="R1215" s="114"/>
      <c r="S1215" s="114"/>
      <c r="T1215" s="114"/>
      <c r="U1215" s="114"/>
      <c r="V1215" s="114"/>
      <c r="W1215" s="114"/>
      <c r="X1215" s="115"/>
      <c r="Y1215" s="114"/>
      <c r="Z1215" s="117" t="s">
        <v>6868</v>
      </c>
      <c r="AA1215" s="117" t="s">
        <v>5681</v>
      </c>
      <c r="AB1215" s="114"/>
      <c r="AC1215" s="114"/>
      <c r="AD1215" s="114"/>
      <c r="AE1215" s="114"/>
      <c r="AF1215" s="114"/>
      <c r="AG1215" s="114"/>
      <c r="AH1215" s="114"/>
      <c r="AI1215" s="116"/>
      <c r="AJ1215" s="114"/>
      <c r="AK1215" s="114"/>
      <c r="AL1215" s="114"/>
      <c r="AM1215" s="114"/>
      <c r="AN1215" s="114"/>
      <c r="AO1215" s="114"/>
      <c r="AP1215" s="114"/>
      <c r="AQ1215" s="114"/>
      <c r="AR1215" s="114"/>
      <c r="AS1215" s="114"/>
      <c r="AT1215" s="114"/>
      <c r="AU1215" s="114"/>
      <c r="AV1215" s="114"/>
      <c r="AW1215" s="114"/>
      <c r="AX1215" s="114"/>
      <c r="AY1215" s="114"/>
      <c r="AZ1215" s="114"/>
      <c r="BA1215" s="114"/>
      <c r="BB1215" s="114"/>
      <c r="BC1215" s="114"/>
      <c r="BD1215" s="114"/>
      <c r="BE1215" s="114"/>
    </row>
    <row r="1216">
      <c r="A1216" s="114"/>
      <c r="B1216" s="114"/>
      <c r="C1216" s="114"/>
      <c r="D1216" s="114"/>
      <c r="E1216" s="114"/>
      <c r="F1216" s="114"/>
      <c r="G1216" s="114"/>
      <c r="H1216" s="114"/>
      <c r="I1216" s="114"/>
      <c r="J1216" s="114"/>
      <c r="K1216" s="114"/>
      <c r="L1216" s="114"/>
      <c r="M1216" s="114"/>
      <c r="N1216" s="114"/>
      <c r="O1216" s="114"/>
      <c r="P1216" s="114"/>
      <c r="Q1216" s="114"/>
      <c r="R1216" s="114"/>
      <c r="S1216" s="114"/>
      <c r="T1216" s="114"/>
      <c r="U1216" s="114"/>
      <c r="V1216" s="114"/>
      <c r="W1216" s="114"/>
      <c r="X1216" s="115"/>
      <c r="Y1216" s="114"/>
      <c r="Z1216" s="117" t="s">
        <v>6869</v>
      </c>
      <c r="AA1216" s="117" t="s">
        <v>5683</v>
      </c>
      <c r="AB1216" s="114"/>
      <c r="AC1216" s="114"/>
      <c r="AD1216" s="114"/>
      <c r="AE1216" s="114"/>
      <c r="AF1216" s="114"/>
      <c r="AG1216" s="114"/>
      <c r="AH1216" s="114"/>
      <c r="AI1216" s="116"/>
      <c r="AJ1216" s="114"/>
      <c r="AK1216" s="114"/>
      <c r="AL1216" s="114"/>
      <c r="AM1216" s="114"/>
      <c r="AN1216" s="114"/>
      <c r="AO1216" s="114"/>
      <c r="AP1216" s="114"/>
      <c r="AQ1216" s="114"/>
      <c r="AR1216" s="114"/>
      <c r="AS1216" s="114"/>
      <c r="AT1216" s="114"/>
      <c r="AU1216" s="114"/>
      <c r="AV1216" s="114"/>
      <c r="AW1216" s="114"/>
      <c r="AX1216" s="114"/>
      <c r="AY1216" s="114"/>
      <c r="AZ1216" s="114"/>
      <c r="BA1216" s="114"/>
      <c r="BB1216" s="114"/>
      <c r="BC1216" s="114"/>
      <c r="BD1216" s="114"/>
      <c r="BE1216" s="114"/>
    </row>
    <row r="1217">
      <c r="A1217" s="114"/>
      <c r="B1217" s="114"/>
      <c r="C1217" s="114"/>
      <c r="D1217" s="114"/>
      <c r="E1217" s="114"/>
      <c r="F1217" s="114"/>
      <c r="G1217" s="114"/>
      <c r="H1217" s="114"/>
      <c r="I1217" s="114"/>
      <c r="J1217" s="114"/>
      <c r="K1217" s="114"/>
      <c r="L1217" s="114"/>
      <c r="M1217" s="114"/>
      <c r="N1217" s="114"/>
      <c r="O1217" s="114"/>
      <c r="P1217" s="114"/>
      <c r="Q1217" s="114"/>
      <c r="R1217" s="114"/>
      <c r="S1217" s="114"/>
      <c r="T1217" s="114"/>
      <c r="U1217" s="114"/>
      <c r="V1217" s="114"/>
      <c r="W1217" s="114"/>
      <c r="X1217" s="115"/>
      <c r="Y1217" s="114"/>
      <c r="Z1217" s="117" t="s">
        <v>6870</v>
      </c>
      <c r="AA1217" s="117" t="s">
        <v>5684</v>
      </c>
      <c r="AB1217" s="114"/>
      <c r="AC1217" s="114"/>
      <c r="AD1217" s="114"/>
      <c r="AE1217" s="114"/>
      <c r="AF1217" s="114"/>
      <c r="AG1217" s="114"/>
      <c r="AH1217" s="114"/>
      <c r="AI1217" s="116"/>
      <c r="AJ1217" s="114"/>
      <c r="AK1217" s="114"/>
      <c r="AL1217" s="114"/>
      <c r="AM1217" s="114"/>
      <c r="AN1217" s="114"/>
      <c r="AO1217" s="114"/>
      <c r="AP1217" s="114"/>
      <c r="AQ1217" s="114"/>
      <c r="AR1217" s="114"/>
      <c r="AS1217" s="114"/>
      <c r="AT1217" s="114"/>
      <c r="AU1217" s="114"/>
      <c r="AV1217" s="114"/>
      <c r="AW1217" s="114"/>
      <c r="AX1217" s="114"/>
      <c r="AY1217" s="114"/>
      <c r="AZ1217" s="114"/>
      <c r="BA1217" s="114"/>
      <c r="BB1217" s="114"/>
      <c r="BC1217" s="114"/>
      <c r="BD1217" s="114"/>
      <c r="BE1217" s="114"/>
    </row>
    <row r="1218">
      <c r="A1218" s="114"/>
      <c r="B1218" s="114"/>
      <c r="C1218" s="114"/>
      <c r="D1218" s="114"/>
      <c r="E1218" s="114"/>
      <c r="F1218" s="114"/>
      <c r="G1218" s="114"/>
      <c r="H1218" s="114"/>
      <c r="I1218" s="114"/>
      <c r="J1218" s="114"/>
      <c r="K1218" s="114"/>
      <c r="L1218" s="114"/>
      <c r="M1218" s="114"/>
      <c r="N1218" s="114"/>
      <c r="O1218" s="114"/>
      <c r="P1218" s="114"/>
      <c r="Q1218" s="114"/>
      <c r="R1218" s="114"/>
      <c r="S1218" s="114"/>
      <c r="T1218" s="114"/>
      <c r="U1218" s="114"/>
      <c r="V1218" s="114"/>
      <c r="W1218" s="114"/>
      <c r="X1218" s="115"/>
      <c r="Y1218" s="114"/>
      <c r="Z1218" s="117" t="s">
        <v>6871</v>
      </c>
      <c r="AA1218" s="117" t="s">
        <v>5682</v>
      </c>
      <c r="AB1218" s="114"/>
      <c r="AC1218" s="114"/>
      <c r="AD1218" s="114"/>
      <c r="AE1218" s="114"/>
      <c r="AF1218" s="114"/>
      <c r="AG1218" s="114"/>
      <c r="AH1218" s="114"/>
      <c r="AI1218" s="116"/>
      <c r="AJ1218" s="114"/>
      <c r="AK1218" s="114"/>
      <c r="AL1218" s="114"/>
      <c r="AM1218" s="114"/>
      <c r="AN1218" s="114"/>
      <c r="AO1218" s="114"/>
      <c r="AP1218" s="114"/>
      <c r="AQ1218" s="114"/>
      <c r="AR1218" s="114"/>
      <c r="AS1218" s="114"/>
      <c r="AT1218" s="114"/>
      <c r="AU1218" s="114"/>
      <c r="AV1218" s="114"/>
      <c r="AW1218" s="114"/>
      <c r="AX1218" s="114"/>
      <c r="AY1218" s="114"/>
      <c r="AZ1218" s="114"/>
      <c r="BA1218" s="114"/>
      <c r="BB1218" s="114"/>
      <c r="BC1218" s="114"/>
      <c r="BD1218" s="114"/>
      <c r="BE1218" s="114"/>
    </row>
    <row r="1219">
      <c r="A1219" s="114"/>
      <c r="B1219" s="114"/>
      <c r="C1219" s="114"/>
      <c r="D1219" s="114"/>
      <c r="E1219" s="114"/>
      <c r="F1219" s="114"/>
      <c r="G1219" s="114"/>
      <c r="H1219" s="114"/>
      <c r="I1219" s="114"/>
      <c r="J1219" s="114"/>
      <c r="K1219" s="114"/>
      <c r="L1219" s="114"/>
      <c r="M1219" s="114"/>
      <c r="N1219" s="114"/>
      <c r="O1219" s="114"/>
      <c r="P1219" s="114"/>
      <c r="Q1219" s="114"/>
      <c r="R1219" s="114"/>
      <c r="S1219" s="114"/>
      <c r="T1219" s="114"/>
      <c r="U1219" s="114"/>
      <c r="V1219" s="114"/>
      <c r="W1219" s="114"/>
      <c r="X1219" s="115"/>
      <c r="Y1219" s="114"/>
      <c r="Z1219" s="117" t="s">
        <v>6872</v>
      </c>
      <c r="AA1219" s="117" t="s">
        <v>5692</v>
      </c>
      <c r="AB1219" s="114"/>
      <c r="AC1219" s="114"/>
      <c r="AD1219" s="114"/>
      <c r="AE1219" s="114"/>
      <c r="AF1219" s="114"/>
      <c r="AG1219" s="114"/>
      <c r="AH1219" s="114"/>
      <c r="AI1219" s="116"/>
      <c r="AJ1219" s="114"/>
      <c r="AK1219" s="114"/>
      <c r="AL1219" s="114"/>
      <c r="AM1219" s="114"/>
      <c r="AN1219" s="114"/>
      <c r="AO1219" s="114"/>
      <c r="AP1219" s="114"/>
      <c r="AQ1219" s="114"/>
      <c r="AR1219" s="114"/>
      <c r="AS1219" s="114"/>
      <c r="AT1219" s="114"/>
      <c r="AU1219" s="114"/>
      <c r="AV1219" s="114"/>
      <c r="AW1219" s="114"/>
      <c r="AX1219" s="114"/>
      <c r="AY1219" s="114"/>
      <c r="AZ1219" s="114"/>
      <c r="BA1219" s="114"/>
      <c r="BB1219" s="114"/>
      <c r="BC1219" s="114"/>
      <c r="BD1219" s="114"/>
      <c r="BE1219" s="114"/>
    </row>
    <row r="1220">
      <c r="A1220" s="114"/>
      <c r="B1220" s="114"/>
      <c r="C1220" s="114"/>
      <c r="D1220" s="114"/>
      <c r="E1220" s="114"/>
      <c r="F1220" s="114"/>
      <c r="G1220" s="114"/>
      <c r="H1220" s="114"/>
      <c r="I1220" s="114"/>
      <c r="J1220" s="114"/>
      <c r="K1220" s="114"/>
      <c r="L1220" s="114"/>
      <c r="M1220" s="114"/>
      <c r="N1220" s="114"/>
      <c r="O1220" s="114"/>
      <c r="P1220" s="114"/>
      <c r="Q1220" s="114"/>
      <c r="R1220" s="114"/>
      <c r="S1220" s="114"/>
      <c r="T1220" s="114"/>
      <c r="U1220" s="114"/>
      <c r="V1220" s="114"/>
      <c r="W1220" s="114"/>
      <c r="X1220" s="115"/>
      <c r="Y1220" s="114"/>
      <c r="Z1220" s="117" t="s">
        <v>6873</v>
      </c>
      <c r="AA1220" s="117" t="s">
        <v>5694</v>
      </c>
      <c r="AB1220" s="114"/>
      <c r="AC1220" s="114"/>
      <c r="AD1220" s="114"/>
      <c r="AE1220" s="114"/>
      <c r="AF1220" s="114"/>
      <c r="AG1220" s="114"/>
      <c r="AH1220" s="114"/>
      <c r="AI1220" s="116"/>
      <c r="AJ1220" s="114"/>
      <c r="AK1220" s="114"/>
      <c r="AL1220" s="114"/>
      <c r="AM1220" s="114"/>
      <c r="AN1220" s="114"/>
      <c r="AO1220" s="114"/>
      <c r="AP1220" s="114"/>
      <c r="AQ1220" s="114"/>
      <c r="AR1220" s="114"/>
      <c r="AS1220" s="114"/>
      <c r="AT1220" s="114"/>
      <c r="AU1220" s="114"/>
      <c r="AV1220" s="114"/>
      <c r="AW1220" s="114"/>
      <c r="AX1220" s="114"/>
      <c r="AY1220" s="114"/>
      <c r="AZ1220" s="114"/>
      <c r="BA1220" s="114"/>
      <c r="BB1220" s="114"/>
      <c r="BC1220" s="114"/>
      <c r="BD1220" s="114"/>
      <c r="BE1220" s="114"/>
    </row>
    <row r="1221">
      <c r="A1221" s="114"/>
      <c r="B1221" s="114"/>
      <c r="C1221" s="114"/>
      <c r="D1221" s="114"/>
      <c r="E1221" s="114"/>
      <c r="F1221" s="114"/>
      <c r="G1221" s="114"/>
      <c r="H1221" s="114"/>
      <c r="I1221" s="114"/>
      <c r="J1221" s="114"/>
      <c r="K1221" s="114"/>
      <c r="L1221" s="114"/>
      <c r="M1221" s="114"/>
      <c r="N1221" s="114"/>
      <c r="O1221" s="114"/>
      <c r="P1221" s="114"/>
      <c r="Q1221" s="114"/>
      <c r="R1221" s="114"/>
      <c r="S1221" s="114"/>
      <c r="T1221" s="114"/>
      <c r="U1221" s="114"/>
      <c r="V1221" s="114"/>
      <c r="W1221" s="114"/>
      <c r="X1221" s="115"/>
      <c r="Y1221" s="114"/>
      <c r="Z1221" s="117" t="s">
        <v>6874</v>
      </c>
      <c r="AA1221" s="117" t="s">
        <v>5695</v>
      </c>
      <c r="AB1221" s="114"/>
      <c r="AC1221" s="114"/>
      <c r="AD1221" s="114"/>
      <c r="AE1221" s="114"/>
      <c r="AF1221" s="114"/>
      <c r="AG1221" s="114"/>
      <c r="AH1221" s="114"/>
      <c r="AI1221" s="116"/>
      <c r="AJ1221" s="114"/>
      <c r="AK1221" s="114"/>
      <c r="AL1221" s="114"/>
      <c r="AM1221" s="114"/>
      <c r="AN1221" s="114"/>
      <c r="AO1221" s="114"/>
      <c r="AP1221" s="114"/>
      <c r="AQ1221" s="114"/>
      <c r="AR1221" s="114"/>
      <c r="AS1221" s="114"/>
      <c r="AT1221" s="114"/>
      <c r="AU1221" s="114"/>
      <c r="AV1221" s="114"/>
      <c r="AW1221" s="114"/>
      <c r="AX1221" s="114"/>
      <c r="AY1221" s="114"/>
      <c r="AZ1221" s="114"/>
      <c r="BA1221" s="114"/>
      <c r="BB1221" s="114"/>
      <c r="BC1221" s="114"/>
      <c r="BD1221" s="114"/>
      <c r="BE1221" s="114"/>
    </row>
    <row r="1222">
      <c r="A1222" s="114"/>
      <c r="B1222" s="114"/>
      <c r="C1222" s="114"/>
      <c r="D1222" s="114"/>
      <c r="E1222" s="114"/>
      <c r="F1222" s="114"/>
      <c r="G1222" s="114"/>
      <c r="H1222" s="114"/>
      <c r="I1222" s="114"/>
      <c r="J1222" s="114"/>
      <c r="K1222" s="114"/>
      <c r="L1222" s="114"/>
      <c r="M1222" s="114"/>
      <c r="N1222" s="114"/>
      <c r="O1222" s="114"/>
      <c r="P1222" s="114"/>
      <c r="Q1222" s="114"/>
      <c r="R1222" s="114"/>
      <c r="S1222" s="114"/>
      <c r="T1222" s="114"/>
      <c r="U1222" s="114"/>
      <c r="V1222" s="114"/>
      <c r="W1222" s="114"/>
      <c r="X1222" s="115"/>
      <c r="Y1222" s="114"/>
      <c r="Z1222" s="117" t="s">
        <v>6875</v>
      </c>
      <c r="AA1222" s="117" t="s">
        <v>5693</v>
      </c>
      <c r="AB1222" s="114"/>
      <c r="AC1222" s="114"/>
      <c r="AD1222" s="114"/>
      <c r="AE1222" s="114"/>
      <c r="AF1222" s="114"/>
      <c r="AG1222" s="114"/>
      <c r="AH1222" s="114"/>
      <c r="AI1222" s="116"/>
      <c r="AJ1222" s="114"/>
      <c r="AK1222" s="114"/>
      <c r="AL1222" s="114"/>
      <c r="AM1222" s="114"/>
      <c r="AN1222" s="114"/>
      <c r="AO1222" s="114"/>
      <c r="AP1222" s="114"/>
      <c r="AQ1222" s="114"/>
      <c r="AR1222" s="114"/>
      <c r="AS1222" s="114"/>
      <c r="AT1222" s="114"/>
      <c r="AU1222" s="114"/>
      <c r="AV1222" s="114"/>
      <c r="AW1222" s="114"/>
      <c r="AX1222" s="114"/>
      <c r="AY1222" s="114"/>
      <c r="AZ1222" s="114"/>
      <c r="BA1222" s="114"/>
      <c r="BB1222" s="114"/>
      <c r="BC1222" s="114"/>
      <c r="BD1222" s="114"/>
      <c r="BE1222" s="114"/>
    </row>
    <row r="1223">
      <c r="A1223" s="114"/>
      <c r="B1223" s="114"/>
      <c r="C1223" s="114"/>
      <c r="D1223" s="114"/>
      <c r="E1223" s="114"/>
      <c r="F1223" s="114"/>
      <c r="G1223" s="114"/>
      <c r="H1223" s="114"/>
      <c r="I1223" s="114"/>
      <c r="J1223" s="114"/>
      <c r="K1223" s="114"/>
      <c r="L1223" s="114"/>
      <c r="M1223" s="114"/>
      <c r="N1223" s="114"/>
      <c r="O1223" s="114"/>
      <c r="P1223" s="114"/>
      <c r="Q1223" s="114"/>
      <c r="R1223" s="114"/>
      <c r="S1223" s="114"/>
      <c r="T1223" s="114"/>
      <c r="U1223" s="114"/>
      <c r="V1223" s="114"/>
      <c r="W1223" s="114"/>
      <c r="X1223" s="115"/>
      <c r="Y1223" s="114"/>
      <c r="Z1223" s="117" t="s">
        <v>6876</v>
      </c>
      <c r="AA1223" s="117" t="s">
        <v>5703</v>
      </c>
      <c r="AB1223" s="114"/>
      <c r="AC1223" s="114"/>
      <c r="AD1223" s="114"/>
      <c r="AE1223" s="114"/>
      <c r="AF1223" s="114"/>
      <c r="AG1223" s="114"/>
      <c r="AH1223" s="114"/>
      <c r="AI1223" s="116"/>
      <c r="AJ1223" s="114"/>
      <c r="AK1223" s="114"/>
      <c r="AL1223" s="114"/>
      <c r="AM1223" s="114"/>
      <c r="AN1223" s="114"/>
      <c r="AO1223" s="114"/>
      <c r="AP1223" s="114"/>
      <c r="AQ1223" s="114"/>
      <c r="AR1223" s="114"/>
      <c r="AS1223" s="114"/>
      <c r="AT1223" s="114"/>
      <c r="AU1223" s="114"/>
      <c r="AV1223" s="114"/>
      <c r="AW1223" s="114"/>
      <c r="AX1223" s="114"/>
      <c r="AY1223" s="114"/>
      <c r="AZ1223" s="114"/>
      <c r="BA1223" s="114"/>
      <c r="BB1223" s="114"/>
      <c r="BC1223" s="114"/>
      <c r="BD1223" s="114"/>
      <c r="BE1223" s="114"/>
    </row>
    <row r="1224">
      <c r="A1224" s="114"/>
      <c r="B1224" s="114"/>
      <c r="C1224" s="114"/>
      <c r="D1224" s="114"/>
      <c r="E1224" s="114"/>
      <c r="F1224" s="114"/>
      <c r="G1224" s="114"/>
      <c r="H1224" s="114"/>
      <c r="I1224" s="114"/>
      <c r="J1224" s="114"/>
      <c r="K1224" s="114"/>
      <c r="L1224" s="114"/>
      <c r="M1224" s="114"/>
      <c r="N1224" s="114"/>
      <c r="O1224" s="114"/>
      <c r="P1224" s="114"/>
      <c r="Q1224" s="114"/>
      <c r="R1224" s="114"/>
      <c r="S1224" s="114"/>
      <c r="T1224" s="114"/>
      <c r="U1224" s="114"/>
      <c r="V1224" s="114"/>
      <c r="W1224" s="114"/>
      <c r="X1224" s="115"/>
      <c r="Y1224" s="114"/>
      <c r="Z1224" s="117" t="s">
        <v>6877</v>
      </c>
      <c r="AA1224" s="117" t="s">
        <v>5705</v>
      </c>
      <c r="AB1224" s="114"/>
      <c r="AC1224" s="114"/>
      <c r="AD1224" s="114"/>
      <c r="AE1224" s="114"/>
      <c r="AF1224" s="114"/>
      <c r="AG1224" s="114"/>
      <c r="AH1224" s="114"/>
      <c r="AI1224" s="116"/>
      <c r="AJ1224" s="114"/>
      <c r="AK1224" s="114"/>
      <c r="AL1224" s="114"/>
      <c r="AM1224" s="114"/>
      <c r="AN1224" s="114"/>
      <c r="AO1224" s="114"/>
      <c r="AP1224" s="114"/>
      <c r="AQ1224" s="114"/>
      <c r="AR1224" s="114"/>
      <c r="AS1224" s="114"/>
      <c r="AT1224" s="114"/>
      <c r="AU1224" s="114"/>
      <c r="AV1224" s="114"/>
      <c r="AW1224" s="114"/>
      <c r="AX1224" s="114"/>
      <c r="AY1224" s="114"/>
      <c r="AZ1224" s="114"/>
      <c r="BA1224" s="114"/>
      <c r="BB1224" s="114"/>
      <c r="BC1224" s="114"/>
      <c r="BD1224" s="114"/>
      <c r="BE1224" s="114"/>
    </row>
    <row r="1225">
      <c r="A1225" s="114"/>
      <c r="B1225" s="114"/>
      <c r="C1225" s="114"/>
      <c r="D1225" s="114"/>
      <c r="E1225" s="114"/>
      <c r="F1225" s="114"/>
      <c r="G1225" s="114"/>
      <c r="H1225" s="114"/>
      <c r="I1225" s="114"/>
      <c r="J1225" s="114"/>
      <c r="K1225" s="114"/>
      <c r="L1225" s="114"/>
      <c r="M1225" s="114"/>
      <c r="N1225" s="114"/>
      <c r="O1225" s="114"/>
      <c r="P1225" s="114"/>
      <c r="Q1225" s="114"/>
      <c r="R1225" s="114"/>
      <c r="S1225" s="114"/>
      <c r="T1225" s="114"/>
      <c r="U1225" s="114"/>
      <c r="V1225" s="114"/>
      <c r="W1225" s="114"/>
      <c r="X1225" s="115"/>
      <c r="Y1225" s="114"/>
      <c r="Z1225" s="117" t="s">
        <v>6878</v>
      </c>
      <c r="AA1225" s="117" t="s">
        <v>5706</v>
      </c>
      <c r="AB1225" s="114"/>
      <c r="AC1225" s="114"/>
      <c r="AD1225" s="114"/>
      <c r="AE1225" s="114"/>
      <c r="AF1225" s="114"/>
      <c r="AG1225" s="114"/>
      <c r="AH1225" s="114"/>
      <c r="AI1225" s="116"/>
      <c r="AJ1225" s="114"/>
      <c r="AK1225" s="114"/>
      <c r="AL1225" s="114"/>
      <c r="AM1225" s="114"/>
      <c r="AN1225" s="114"/>
      <c r="AO1225" s="114"/>
      <c r="AP1225" s="114"/>
      <c r="AQ1225" s="114"/>
      <c r="AR1225" s="114"/>
      <c r="AS1225" s="114"/>
      <c r="AT1225" s="114"/>
      <c r="AU1225" s="114"/>
      <c r="AV1225" s="114"/>
      <c r="AW1225" s="114"/>
      <c r="AX1225" s="114"/>
      <c r="AY1225" s="114"/>
      <c r="AZ1225" s="114"/>
      <c r="BA1225" s="114"/>
      <c r="BB1225" s="114"/>
      <c r="BC1225" s="114"/>
      <c r="BD1225" s="114"/>
      <c r="BE1225" s="114"/>
    </row>
    <row r="1226">
      <c r="A1226" s="114"/>
      <c r="B1226" s="114"/>
      <c r="C1226" s="114"/>
      <c r="D1226" s="114"/>
      <c r="E1226" s="114"/>
      <c r="F1226" s="114"/>
      <c r="G1226" s="114"/>
      <c r="H1226" s="114"/>
      <c r="I1226" s="114"/>
      <c r="J1226" s="114"/>
      <c r="K1226" s="114"/>
      <c r="L1226" s="114"/>
      <c r="M1226" s="114"/>
      <c r="N1226" s="114"/>
      <c r="O1226" s="114"/>
      <c r="P1226" s="114"/>
      <c r="Q1226" s="114"/>
      <c r="R1226" s="114"/>
      <c r="S1226" s="114"/>
      <c r="T1226" s="114"/>
      <c r="U1226" s="114"/>
      <c r="V1226" s="114"/>
      <c r="W1226" s="114"/>
      <c r="X1226" s="115"/>
      <c r="Y1226" s="114"/>
      <c r="Z1226" s="117" t="s">
        <v>6879</v>
      </c>
      <c r="AA1226" s="117" t="s">
        <v>5704</v>
      </c>
      <c r="AB1226" s="114"/>
      <c r="AC1226" s="114"/>
      <c r="AD1226" s="114"/>
      <c r="AE1226" s="114"/>
      <c r="AF1226" s="114"/>
      <c r="AG1226" s="114"/>
      <c r="AH1226" s="114"/>
      <c r="AI1226" s="116"/>
      <c r="AJ1226" s="114"/>
      <c r="AK1226" s="114"/>
      <c r="AL1226" s="114"/>
      <c r="AM1226" s="114"/>
      <c r="AN1226" s="114"/>
      <c r="AO1226" s="114"/>
      <c r="AP1226" s="114"/>
      <c r="AQ1226" s="114"/>
      <c r="AR1226" s="114"/>
      <c r="AS1226" s="114"/>
      <c r="AT1226" s="114"/>
      <c r="AU1226" s="114"/>
      <c r="AV1226" s="114"/>
      <c r="AW1226" s="114"/>
      <c r="AX1226" s="114"/>
      <c r="AY1226" s="114"/>
      <c r="AZ1226" s="114"/>
      <c r="BA1226" s="114"/>
      <c r="BB1226" s="114"/>
      <c r="BC1226" s="114"/>
      <c r="BD1226" s="114"/>
      <c r="BE1226" s="114"/>
    </row>
    <row r="1227">
      <c r="A1227" s="114"/>
      <c r="B1227" s="114"/>
      <c r="C1227" s="114"/>
      <c r="D1227" s="114"/>
      <c r="E1227" s="114"/>
      <c r="F1227" s="114"/>
      <c r="G1227" s="114"/>
      <c r="H1227" s="114"/>
      <c r="I1227" s="114"/>
      <c r="J1227" s="114"/>
      <c r="K1227" s="114"/>
      <c r="L1227" s="114"/>
      <c r="M1227" s="114"/>
      <c r="N1227" s="114"/>
      <c r="O1227" s="114"/>
      <c r="P1227" s="114"/>
      <c r="Q1227" s="114"/>
      <c r="R1227" s="114"/>
      <c r="S1227" s="114"/>
      <c r="T1227" s="114"/>
      <c r="U1227" s="114"/>
      <c r="V1227" s="114"/>
      <c r="W1227" s="114"/>
      <c r="X1227" s="115"/>
      <c r="Y1227" s="114"/>
      <c r="Z1227" s="117" t="s">
        <v>6880</v>
      </c>
      <c r="AA1227" s="117" t="s">
        <v>5714</v>
      </c>
      <c r="AB1227" s="114"/>
      <c r="AC1227" s="114"/>
      <c r="AD1227" s="114"/>
      <c r="AE1227" s="114"/>
      <c r="AF1227" s="114"/>
      <c r="AG1227" s="114"/>
      <c r="AH1227" s="114"/>
      <c r="AI1227" s="116"/>
      <c r="AJ1227" s="114"/>
      <c r="AK1227" s="114"/>
      <c r="AL1227" s="114"/>
      <c r="AM1227" s="114"/>
      <c r="AN1227" s="114"/>
      <c r="AO1227" s="114"/>
      <c r="AP1227" s="114"/>
      <c r="AQ1227" s="114"/>
      <c r="AR1227" s="114"/>
      <c r="AS1227" s="114"/>
      <c r="AT1227" s="114"/>
      <c r="AU1227" s="114"/>
      <c r="AV1227" s="114"/>
      <c r="AW1227" s="114"/>
      <c r="AX1227" s="114"/>
      <c r="AY1227" s="114"/>
      <c r="AZ1227" s="114"/>
      <c r="BA1227" s="114"/>
      <c r="BB1227" s="114"/>
      <c r="BC1227" s="114"/>
      <c r="BD1227" s="114"/>
      <c r="BE1227" s="114"/>
    </row>
    <row r="1228">
      <c r="A1228" s="114"/>
      <c r="B1228" s="114"/>
      <c r="C1228" s="114"/>
      <c r="D1228" s="114"/>
      <c r="E1228" s="114"/>
      <c r="F1228" s="114"/>
      <c r="G1228" s="114"/>
      <c r="H1228" s="114"/>
      <c r="I1228" s="114"/>
      <c r="J1228" s="114"/>
      <c r="K1228" s="114"/>
      <c r="L1228" s="114"/>
      <c r="M1228" s="114"/>
      <c r="N1228" s="114"/>
      <c r="O1228" s="114"/>
      <c r="P1228" s="114"/>
      <c r="Q1228" s="114"/>
      <c r="R1228" s="114"/>
      <c r="S1228" s="114"/>
      <c r="T1228" s="114"/>
      <c r="U1228" s="114"/>
      <c r="V1228" s="114"/>
      <c r="W1228" s="114"/>
      <c r="X1228" s="115"/>
      <c r="Y1228" s="114"/>
      <c r="Z1228" s="117" t="s">
        <v>6881</v>
      </c>
      <c r="AA1228" s="117" t="s">
        <v>5716</v>
      </c>
      <c r="AB1228" s="114"/>
      <c r="AC1228" s="114"/>
      <c r="AD1228" s="114"/>
      <c r="AE1228" s="114"/>
      <c r="AF1228" s="114"/>
      <c r="AG1228" s="114"/>
      <c r="AH1228" s="114"/>
      <c r="AI1228" s="116"/>
      <c r="AJ1228" s="114"/>
      <c r="AK1228" s="114"/>
      <c r="AL1228" s="114"/>
      <c r="AM1228" s="114"/>
      <c r="AN1228" s="114"/>
      <c r="AO1228" s="114"/>
      <c r="AP1228" s="114"/>
      <c r="AQ1228" s="114"/>
      <c r="AR1228" s="114"/>
      <c r="AS1228" s="114"/>
      <c r="AT1228" s="114"/>
      <c r="AU1228" s="114"/>
      <c r="AV1228" s="114"/>
      <c r="AW1228" s="114"/>
      <c r="AX1228" s="114"/>
      <c r="AY1228" s="114"/>
      <c r="AZ1228" s="114"/>
      <c r="BA1228" s="114"/>
      <c r="BB1228" s="114"/>
      <c r="BC1228" s="114"/>
      <c r="BD1228" s="114"/>
      <c r="BE1228" s="114"/>
    </row>
    <row r="1229">
      <c r="A1229" s="114"/>
      <c r="B1229" s="114"/>
      <c r="C1229" s="114"/>
      <c r="D1229" s="114"/>
      <c r="E1229" s="114"/>
      <c r="F1229" s="114"/>
      <c r="G1229" s="114"/>
      <c r="H1229" s="114"/>
      <c r="I1229" s="114"/>
      <c r="J1229" s="114"/>
      <c r="K1229" s="114"/>
      <c r="L1229" s="114"/>
      <c r="M1229" s="114"/>
      <c r="N1229" s="114"/>
      <c r="O1229" s="114"/>
      <c r="P1229" s="114"/>
      <c r="Q1229" s="114"/>
      <c r="R1229" s="114"/>
      <c r="S1229" s="114"/>
      <c r="T1229" s="114"/>
      <c r="U1229" s="114"/>
      <c r="V1229" s="114"/>
      <c r="W1229" s="114"/>
      <c r="X1229" s="115"/>
      <c r="Y1229" s="114"/>
      <c r="Z1229" s="117" t="s">
        <v>6882</v>
      </c>
      <c r="AA1229" s="117" t="s">
        <v>5717</v>
      </c>
      <c r="AB1229" s="114"/>
      <c r="AC1229" s="114"/>
      <c r="AD1229" s="114"/>
      <c r="AE1229" s="114"/>
      <c r="AF1229" s="114"/>
      <c r="AG1229" s="114"/>
      <c r="AH1229" s="114"/>
      <c r="AI1229" s="116"/>
      <c r="AJ1229" s="114"/>
      <c r="AK1229" s="114"/>
      <c r="AL1229" s="114"/>
      <c r="AM1229" s="114"/>
      <c r="AN1229" s="114"/>
      <c r="AO1229" s="114"/>
      <c r="AP1229" s="114"/>
      <c r="AQ1229" s="114"/>
      <c r="AR1229" s="114"/>
      <c r="AS1229" s="114"/>
      <c r="AT1229" s="114"/>
      <c r="AU1229" s="114"/>
      <c r="AV1229" s="114"/>
      <c r="AW1229" s="114"/>
      <c r="AX1229" s="114"/>
      <c r="AY1229" s="114"/>
      <c r="AZ1229" s="114"/>
      <c r="BA1229" s="114"/>
      <c r="BB1229" s="114"/>
      <c r="BC1229" s="114"/>
      <c r="BD1229" s="114"/>
      <c r="BE1229" s="114"/>
    </row>
    <row r="1230">
      <c r="A1230" s="114"/>
      <c r="B1230" s="114"/>
      <c r="C1230" s="114"/>
      <c r="D1230" s="114"/>
      <c r="E1230" s="114"/>
      <c r="F1230" s="114"/>
      <c r="G1230" s="114"/>
      <c r="H1230" s="114"/>
      <c r="I1230" s="114"/>
      <c r="J1230" s="114"/>
      <c r="K1230" s="114"/>
      <c r="L1230" s="114"/>
      <c r="M1230" s="114"/>
      <c r="N1230" s="114"/>
      <c r="O1230" s="114"/>
      <c r="P1230" s="114"/>
      <c r="Q1230" s="114"/>
      <c r="R1230" s="114"/>
      <c r="S1230" s="114"/>
      <c r="T1230" s="114"/>
      <c r="U1230" s="114"/>
      <c r="V1230" s="114"/>
      <c r="W1230" s="114"/>
      <c r="X1230" s="115"/>
      <c r="Y1230" s="114"/>
      <c r="Z1230" s="117" t="s">
        <v>6883</v>
      </c>
      <c r="AA1230" s="117" t="s">
        <v>5715</v>
      </c>
      <c r="AB1230" s="114"/>
      <c r="AC1230" s="114"/>
      <c r="AD1230" s="114"/>
      <c r="AE1230" s="114"/>
      <c r="AF1230" s="114"/>
      <c r="AG1230" s="114"/>
      <c r="AH1230" s="114"/>
      <c r="AI1230" s="116"/>
      <c r="AJ1230" s="114"/>
      <c r="AK1230" s="114"/>
      <c r="AL1230" s="114"/>
      <c r="AM1230" s="114"/>
      <c r="AN1230" s="114"/>
      <c r="AO1230" s="114"/>
      <c r="AP1230" s="114"/>
      <c r="AQ1230" s="114"/>
      <c r="AR1230" s="114"/>
      <c r="AS1230" s="114"/>
      <c r="AT1230" s="114"/>
      <c r="AU1230" s="114"/>
      <c r="AV1230" s="114"/>
      <c r="AW1230" s="114"/>
      <c r="AX1230" s="114"/>
      <c r="AY1230" s="114"/>
      <c r="AZ1230" s="114"/>
      <c r="BA1230" s="114"/>
      <c r="BB1230" s="114"/>
      <c r="BC1230" s="114"/>
      <c r="BD1230" s="114"/>
      <c r="BE1230" s="114"/>
    </row>
    <row r="1231">
      <c r="A1231" s="114"/>
      <c r="B1231" s="114"/>
      <c r="C1231" s="114"/>
      <c r="D1231" s="114"/>
      <c r="E1231" s="114"/>
      <c r="F1231" s="114"/>
      <c r="G1231" s="114"/>
      <c r="H1231" s="114"/>
      <c r="I1231" s="114"/>
      <c r="J1231" s="114"/>
      <c r="K1231" s="114"/>
      <c r="L1231" s="114"/>
      <c r="M1231" s="114"/>
      <c r="N1231" s="114"/>
      <c r="O1231" s="114"/>
      <c r="P1231" s="114"/>
      <c r="Q1231" s="114"/>
      <c r="R1231" s="114"/>
      <c r="S1231" s="114"/>
      <c r="T1231" s="114"/>
      <c r="U1231" s="114"/>
      <c r="V1231" s="114"/>
      <c r="W1231" s="114"/>
      <c r="X1231" s="115"/>
      <c r="Y1231" s="114"/>
      <c r="Z1231" s="117" t="s">
        <v>6884</v>
      </c>
      <c r="AA1231" s="117" t="s">
        <v>5725</v>
      </c>
      <c r="AB1231" s="114"/>
      <c r="AC1231" s="114"/>
      <c r="AD1231" s="114"/>
      <c r="AE1231" s="114"/>
      <c r="AF1231" s="114"/>
      <c r="AG1231" s="114"/>
      <c r="AH1231" s="114"/>
      <c r="AI1231" s="116"/>
      <c r="AJ1231" s="114"/>
      <c r="AK1231" s="114"/>
      <c r="AL1231" s="114"/>
      <c r="AM1231" s="114"/>
      <c r="AN1231" s="114"/>
      <c r="AO1231" s="114"/>
      <c r="AP1231" s="114"/>
      <c r="AQ1231" s="114"/>
      <c r="AR1231" s="114"/>
      <c r="AS1231" s="114"/>
      <c r="AT1231" s="114"/>
      <c r="AU1231" s="114"/>
      <c r="AV1231" s="114"/>
      <c r="AW1231" s="114"/>
      <c r="AX1231" s="114"/>
      <c r="AY1231" s="114"/>
      <c r="AZ1231" s="114"/>
      <c r="BA1231" s="114"/>
      <c r="BB1231" s="114"/>
      <c r="BC1231" s="114"/>
      <c r="BD1231" s="114"/>
      <c r="BE1231" s="114"/>
    </row>
    <row r="1232">
      <c r="A1232" s="114"/>
      <c r="B1232" s="114"/>
      <c r="C1232" s="114"/>
      <c r="D1232" s="114"/>
      <c r="E1232" s="114"/>
      <c r="F1232" s="114"/>
      <c r="G1232" s="114"/>
      <c r="H1232" s="114"/>
      <c r="I1232" s="114"/>
      <c r="J1232" s="114"/>
      <c r="K1232" s="114"/>
      <c r="L1232" s="114"/>
      <c r="M1232" s="114"/>
      <c r="N1232" s="114"/>
      <c r="O1232" s="114"/>
      <c r="P1232" s="114"/>
      <c r="Q1232" s="114"/>
      <c r="R1232" s="114"/>
      <c r="S1232" s="114"/>
      <c r="T1232" s="114"/>
      <c r="U1232" s="114"/>
      <c r="V1232" s="114"/>
      <c r="W1232" s="114"/>
      <c r="X1232" s="115"/>
      <c r="Y1232" s="114"/>
      <c r="Z1232" s="117" t="s">
        <v>6885</v>
      </c>
      <c r="AA1232" s="117" t="s">
        <v>5727</v>
      </c>
      <c r="AB1232" s="114"/>
      <c r="AC1232" s="114"/>
      <c r="AD1232" s="114"/>
      <c r="AE1232" s="114"/>
      <c r="AF1232" s="114"/>
      <c r="AG1232" s="114"/>
      <c r="AH1232" s="114"/>
      <c r="AI1232" s="116"/>
      <c r="AJ1232" s="114"/>
      <c r="AK1232" s="114"/>
      <c r="AL1232" s="114"/>
      <c r="AM1232" s="114"/>
      <c r="AN1232" s="114"/>
      <c r="AO1232" s="114"/>
      <c r="AP1232" s="114"/>
      <c r="AQ1232" s="114"/>
      <c r="AR1232" s="114"/>
      <c r="AS1232" s="114"/>
      <c r="AT1232" s="114"/>
      <c r="AU1232" s="114"/>
      <c r="AV1232" s="114"/>
      <c r="AW1232" s="114"/>
      <c r="AX1232" s="114"/>
      <c r="AY1232" s="114"/>
      <c r="AZ1232" s="114"/>
      <c r="BA1232" s="114"/>
      <c r="BB1232" s="114"/>
      <c r="BC1232" s="114"/>
      <c r="BD1232" s="114"/>
      <c r="BE1232" s="114"/>
    </row>
    <row r="1233">
      <c r="A1233" s="114"/>
      <c r="B1233" s="114"/>
      <c r="C1233" s="114"/>
      <c r="D1233" s="114"/>
      <c r="E1233" s="114"/>
      <c r="F1233" s="114"/>
      <c r="G1233" s="114"/>
      <c r="H1233" s="114"/>
      <c r="I1233" s="114"/>
      <c r="J1233" s="114"/>
      <c r="K1233" s="114"/>
      <c r="L1233" s="114"/>
      <c r="M1233" s="114"/>
      <c r="N1233" s="114"/>
      <c r="O1233" s="114"/>
      <c r="P1233" s="114"/>
      <c r="Q1233" s="114"/>
      <c r="R1233" s="114"/>
      <c r="S1233" s="114"/>
      <c r="T1233" s="114"/>
      <c r="U1233" s="114"/>
      <c r="V1233" s="114"/>
      <c r="W1233" s="114"/>
      <c r="X1233" s="115"/>
      <c r="Y1233" s="114"/>
      <c r="Z1233" s="117" t="s">
        <v>6886</v>
      </c>
      <c r="AA1233" s="117" t="s">
        <v>5728</v>
      </c>
      <c r="AB1233" s="114"/>
      <c r="AC1233" s="114"/>
      <c r="AD1233" s="114"/>
      <c r="AE1233" s="114"/>
      <c r="AF1233" s="114"/>
      <c r="AG1233" s="114"/>
      <c r="AH1233" s="114"/>
      <c r="AI1233" s="116"/>
      <c r="AJ1233" s="114"/>
      <c r="AK1233" s="114"/>
      <c r="AL1233" s="114"/>
      <c r="AM1233" s="114"/>
      <c r="AN1233" s="114"/>
      <c r="AO1233" s="114"/>
      <c r="AP1233" s="114"/>
      <c r="AQ1233" s="114"/>
      <c r="AR1233" s="114"/>
      <c r="AS1233" s="114"/>
      <c r="AT1233" s="114"/>
      <c r="AU1233" s="114"/>
      <c r="AV1233" s="114"/>
      <c r="AW1233" s="114"/>
      <c r="AX1233" s="114"/>
      <c r="AY1233" s="114"/>
      <c r="AZ1233" s="114"/>
      <c r="BA1233" s="114"/>
      <c r="BB1233" s="114"/>
      <c r="BC1233" s="114"/>
      <c r="BD1233" s="114"/>
      <c r="BE1233" s="114"/>
    </row>
    <row r="1234">
      <c r="A1234" s="114"/>
      <c r="B1234" s="114"/>
      <c r="C1234" s="114"/>
      <c r="D1234" s="114"/>
      <c r="E1234" s="114"/>
      <c r="F1234" s="114"/>
      <c r="G1234" s="114"/>
      <c r="H1234" s="114"/>
      <c r="I1234" s="114"/>
      <c r="J1234" s="114"/>
      <c r="K1234" s="114"/>
      <c r="L1234" s="114"/>
      <c r="M1234" s="114"/>
      <c r="N1234" s="114"/>
      <c r="O1234" s="114"/>
      <c r="P1234" s="114"/>
      <c r="Q1234" s="114"/>
      <c r="R1234" s="114"/>
      <c r="S1234" s="114"/>
      <c r="T1234" s="114"/>
      <c r="U1234" s="114"/>
      <c r="V1234" s="114"/>
      <c r="W1234" s="114"/>
      <c r="X1234" s="115"/>
      <c r="Y1234" s="114"/>
      <c r="Z1234" s="117" t="s">
        <v>6887</v>
      </c>
      <c r="AA1234" s="117" t="s">
        <v>5726</v>
      </c>
      <c r="AB1234" s="114"/>
      <c r="AC1234" s="114"/>
      <c r="AD1234" s="114"/>
      <c r="AE1234" s="114"/>
      <c r="AF1234" s="114"/>
      <c r="AG1234" s="114"/>
      <c r="AH1234" s="114"/>
      <c r="AI1234" s="116"/>
      <c r="AJ1234" s="114"/>
      <c r="AK1234" s="114"/>
      <c r="AL1234" s="114"/>
      <c r="AM1234" s="114"/>
      <c r="AN1234" s="114"/>
      <c r="AO1234" s="114"/>
      <c r="AP1234" s="114"/>
      <c r="AQ1234" s="114"/>
      <c r="AR1234" s="114"/>
      <c r="AS1234" s="114"/>
      <c r="AT1234" s="114"/>
      <c r="AU1234" s="114"/>
      <c r="AV1234" s="114"/>
      <c r="AW1234" s="114"/>
      <c r="AX1234" s="114"/>
      <c r="AY1234" s="114"/>
      <c r="AZ1234" s="114"/>
      <c r="BA1234" s="114"/>
      <c r="BB1234" s="114"/>
      <c r="BC1234" s="114"/>
      <c r="BD1234" s="114"/>
      <c r="BE1234" s="114"/>
    </row>
    <row r="1235">
      <c r="A1235" s="114"/>
      <c r="B1235" s="114"/>
      <c r="C1235" s="114"/>
      <c r="D1235" s="114"/>
      <c r="E1235" s="114"/>
      <c r="F1235" s="114"/>
      <c r="G1235" s="114"/>
      <c r="H1235" s="114"/>
      <c r="I1235" s="114"/>
      <c r="J1235" s="114"/>
      <c r="K1235" s="114"/>
      <c r="L1235" s="114"/>
      <c r="M1235" s="114"/>
      <c r="N1235" s="114"/>
      <c r="O1235" s="114"/>
      <c r="P1235" s="114"/>
      <c r="Q1235" s="114"/>
      <c r="R1235" s="114"/>
      <c r="S1235" s="114"/>
      <c r="T1235" s="114"/>
      <c r="U1235" s="114"/>
      <c r="V1235" s="114"/>
      <c r="W1235" s="114"/>
      <c r="X1235" s="115"/>
      <c r="Y1235" s="114"/>
      <c r="Z1235" s="117" t="s">
        <v>6888</v>
      </c>
      <c r="AA1235" s="117" t="s">
        <v>5733</v>
      </c>
      <c r="AB1235" s="114"/>
      <c r="AC1235" s="114"/>
      <c r="AD1235" s="114"/>
      <c r="AE1235" s="114"/>
      <c r="AF1235" s="114"/>
      <c r="AG1235" s="114"/>
      <c r="AH1235" s="114"/>
      <c r="AI1235" s="116"/>
      <c r="AJ1235" s="114"/>
      <c r="AK1235" s="114"/>
      <c r="AL1235" s="114"/>
      <c r="AM1235" s="114"/>
      <c r="AN1235" s="114"/>
      <c r="AO1235" s="114"/>
      <c r="AP1235" s="114"/>
      <c r="AQ1235" s="114"/>
      <c r="AR1235" s="114"/>
      <c r="AS1235" s="114"/>
      <c r="AT1235" s="114"/>
      <c r="AU1235" s="114"/>
      <c r="AV1235" s="114"/>
      <c r="AW1235" s="114"/>
      <c r="AX1235" s="114"/>
      <c r="AY1235" s="114"/>
      <c r="AZ1235" s="114"/>
      <c r="BA1235" s="114"/>
      <c r="BB1235" s="114"/>
      <c r="BC1235" s="114"/>
      <c r="BD1235" s="114"/>
      <c r="BE1235" s="114"/>
    </row>
    <row r="1236">
      <c r="A1236" s="114"/>
      <c r="B1236" s="114"/>
      <c r="C1236" s="114"/>
      <c r="D1236" s="114"/>
      <c r="E1236" s="114"/>
      <c r="F1236" s="114"/>
      <c r="G1236" s="114"/>
      <c r="H1236" s="114"/>
      <c r="I1236" s="114"/>
      <c r="J1236" s="114"/>
      <c r="K1236" s="114"/>
      <c r="L1236" s="114"/>
      <c r="M1236" s="114"/>
      <c r="N1236" s="114"/>
      <c r="O1236" s="114"/>
      <c r="P1236" s="114"/>
      <c r="Q1236" s="114"/>
      <c r="R1236" s="114"/>
      <c r="S1236" s="114"/>
      <c r="T1236" s="114"/>
      <c r="U1236" s="114"/>
      <c r="V1236" s="114"/>
      <c r="W1236" s="114"/>
      <c r="X1236" s="115"/>
      <c r="Y1236" s="114"/>
      <c r="Z1236" s="117" t="s">
        <v>6889</v>
      </c>
      <c r="AA1236" s="117" t="s">
        <v>5735</v>
      </c>
      <c r="AB1236" s="114"/>
      <c r="AC1236" s="114"/>
      <c r="AD1236" s="114"/>
      <c r="AE1236" s="114"/>
      <c r="AF1236" s="114"/>
      <c r="AG1236" s="114"/>
      <c r="AH1236" s="114"/>
      <c r="AI1236" s="116"/>
      <c r="AJ1236" s="114"/>
      <c r="AK1236" s="114"/>
      <c r="AL1236" s="114"/>
      <c r="AM1236" s="114"/>
      <c r="AN1236" s="114"/>
      <c r="AO1236" s="114"/>
      <c r="AP1236" s="114"/>
      <c r="AQ1236" s="114"/>
      <c r="AR1236" s="114"/>
      <c r="AS1236" s="114"/>
      <c r="AT1236" s="114"/>
      <c r="AU1236" s="114"/>
      <c r="AV1236" s="114"/>
      <c r="AW1236" s="114"/>
      <c r="AX1236" s="114"/>
      <c r="AY1236" s="114"/>
      <c r="AZ1236" s="114"/>
      <c r="BA1236" s="114"/>
      <c r="BB1236" s="114"/>
      <c r="BC1236" s="114"/>
      <c r="BD1236" s="114"/>
      <c r="BE1236" s="114"/>
    </row>
    <row r="1237">
      <c r="A1237" s="114"/>
      <c r="B1237" s="114"/>
      <c r="C1237" s="114"/>
      <c r="D1237" s="114"/>
      <c r="E1237" s="114"/>
      <c r="F1237" s="114"/>
      <c r="G1237" s="114"/>
      <c r="H1237" s="114"/>
      <c r="I1237" s="114"/>
      <c r="J1237" s="114"/>
      <c r="K1237" s="114"/>
      <c r="L1237" s="114"/>
      <c r="M1237" s="114"/>
      <c r="N1237" s="114"/>
      <c r="O1237" s="114"/>
      <c r="P1237" s="114"/>
      <c r="Q1237" s="114"/>
      <c r="R1237" s="114"/>
      <c r="S1237" s="114"/>
      <c r="T1237" s="114"/>
      <c r="U1237" s="114"/>
      <c r="V1237" s="114"/>
      <c r="W1237" s="114"/>
      <c r="X1237" s="115"/>
      <c r="Y1237" s="114"/>
      <c r="Z1237" s="117" t="s">
        <v>6890</v>
      </c>
      <c r="AA1237" s="117" t="s">
        <v>5736</v>
      </c>
      <c r="AB1237" s="114"/>
      <c r="AC1237" s="114"/>
      <c r="AD1237" s="114"/>
      <c r="AE1237" s="114"/>
      <c r="AF1237" s="114"/>
      <c r="AG1237" s="114"/>
      <c r="AH1237" s="114"/>
      <c r="AI1237" s="116"/>
      <c r="AJ1237" s="114"/>
      <c r="AK1237" s="114"/>
      <c r="AL1237" s="114"/>
      <c r="AM1237" s="114"/>
      <c r="AN1237" s="114"/>
      <c r="AO1237" s="114"/>
      <c r="AP1237" s="114"/>
      <c r="AQ1237" s="114"/>
      <c r="AR1237" s="114"/>
      <c r="AS1237" s="114"/>
      <c r="AT1237" s="114"/>
      <c r="AU1237" s="114"/>
      <c r="AV1237" s="114"/>
      <c r="AW1237" s="114"/>
      <c r="AX1237" s="114"/>
      <c r="AY1237" s="114"/>
      <c r="AZ1237" s="114"/>
      <c r="BA1237" s="114"/>
      <c r="BB1237" s="114"/>
      <c r="BC1237" s="114"/>
      <c r="BD1237" s="114"/>
      <c r="BE1237" s="114"/>
    </row>
    <row r="1238">
      <c r="A1238" s="114"/>
      <c r="B1238" s="114"/>
      <c r="C1238" s="114"/>
      <c r="D1238" s="114"/>
      <c r="E1238" s="114"/>
      <c r="F1238" s="114"/>
      <c r="G1238" s="114"/>
      <c r="H1238" s="114"/>
      <c r="I1238" s="114"/>
      <c r="J1238" s="114"/>
      <c r="K1238" s="114"/>
      <c r="L1238" s="114"/>
      <c r="M1238" s="114"/>
      <c r="N1238" s="114"/>
      <c r="O1238" s="114"/>
      <c r="P1238" s="114"/>
      <c r="Q1238" s="114"/>
      <c r="R1238" s="114"/>
      <c r="S1238" s="114"/>
      <c r="T1238" s="114"/>
      <c r="U1238" s="114"/>
      <c r="V1238" s="114"/>
      <c r="W1238" s="114"/>
      <c r="X1238" s="115"/>
      <c r="Y1238" s="114"/>
      <c r="Z1238" s="117" t="s">
        <v>6891</v>
      </c>
      <c r="AA1238" s="117" t="s">
        <v>5734</v>
      </c>
      <c r="AB1238" s="114"/>
      <c r="AC1238" s="114"/>
      <c r="AD1238" s="114"/>
      <c r="AE1238" s="114"/>
      <c r="AF1238" s="114"/>
      <c r="AG1238" s="114"/>
      <c r="AH1238" s="114"/>
      <c r="AI1238" s="116"/>
      <c r="AJ1238" s="114"/>
      <c r="AK1238" s="114"/>
      <c r="AL1238" s="114"/>
      <c r="AM1238" s="114"/>
      <c r="AN1238" s="114"/>
      <c r="AO1238" s="114"/>
      <c r="AP1238" s="114"/>
      <c r="AQ1238" s="114"/>
      <c r="AR1238" s="114"/>
      <c r="AS1238" s="114"/>
      <c r="AT1238" s="114"/>
      <c r="AU1238" s="114"/>
      <c r="AV1238" s="114"/>
      <c r="AW1238" s="114"/>
      <c r="AX1238" s="114"/>
      <c r="AY1238" s="114"/>
      <c r="AZ1238" s="114"/>
      <c r="BA1238" s="114"/>
      <c r="BB1238" s="114"/>
      <c r="BC1238" s="114"/>
      <c r="BD1238" s="114"/>
      <c r="BE1238" s="114"/>
    </row>
    <row r="1239">
      <c r="A1239" s="114"/>
      <c r="B1239" s="114"/>
      <c r="C1239" s="114"/>
      <c r="D1239" s="114"/>
      <c r="E1239" s="114"/>
      <c r="F1239" s="114"/>
      <c r="G1239" s="114"/>
      <c r="H1239" s="114"/>
      <c r="I1239" s="114"/>
      <c r="J1239" s="114"/>
      <c r="K1239" s="114"/>
      <c r="L1239" s="114"/>
      <c r="M1239" s="114"/>
      <c r="N1239" s="114"/>
      <c r="O1239" s="114"/>
      <c r="P1239" s="114"/>
      <c r="Q1239" s="114"/>
      <c r="R1239" s="114"/>
      <c r="S1239" s="114"/>
      <c r="T1239" s="114"/>
      <c r="U1239" s="114"/>
      <c r="V1239" s="114"/>
      <c r="W1239" s="114"/>
      <c r="X1239" s="115"/>
      <c r="Y1239" s="114"/>
      <c r="Z1239" s="117" t="s">
        <v>6892</v>
      </c>
      <c r="AA1239" s="117" t="s">
        <v>5741</v>
      </c>
      <c r="AB1239" s="114"/>
      <c r="AC1239" s="114"/>
      <c r="AD1239" s="114"/>
      <c r="AE1239" s="114"/>
      <c r="AF1239" s="114"/>
      <c r="AG1239" s="114"/>
      <c r="AH1239" s="114"/>
      <c r="AI1239" s="116"/>
      <c r="AJ1239" s="114"/>
      <c r="AK1239" s="114"/>
      <c r="AL1239" s="114"/>
      <c r="AM1239" s="114"/>
      <c r="AN1239" s="114"/>
      <c r="AO1239" s="114"/>
      <c r="AP1239" s="114"/>
      <c r="AQ1239" s="114"/>
      <c r="AR1239" s="114"/>
      <c r="AS1239" s="114"/>
      <c r="AT1239" s="114"/>
      <c r="AU1239" s="114"/>
      <c r="AV1239" s="114"/>
      <c r="AW1239" s="114"/>
      <c r="AX1239" s="114"/>
      <c r="AY1239" s="114"/>
      <c r="AZ1239" s="114"/>
      <c r="BA1239" s="114"/>
      <c r="BB1239" s="114"/>
      <c r="BC1239" s="114"/>
      <c r="BD1239" s="114"/>
      <c r="BE1239" s="114"/>
    </row>
    <row r="1240">
      <c r="A1240" s="114"/>
      <c r="B1240" s="114"/>
      <c r="C1240" s="114"/>
      <c r="D1240" s="114"/>
      <c r="E1240" s="114"/>
      <c r="F1240" s="114"/>
      <c r="G1240" s="114"/>
      <c r="H1240" s="114"/>
      <c r="I1240" s="114"/>
      <c r="J1240" s="114"/>
      <c r="K1240" s="114"/>
      <c r="L1240" s="114"/>
      <c r="M1240" s="114"/>
      <c r="N1240" s="114"/>
      <c r="O1240" s="114"/>
      <c r="P1240" s="114"/>
      <c r="Q1240" s="114"/>
      <c r="R1240" s="114"/>
      <c r="S1240" s="114"/>
      <c r="T1240" s="114"/>
      <c r="U1240" s="114"/>
      <c r="V1240" s="114"/>
      <c r="W1240" s="114"/>
      <c r="X1240" s="115"/>
      <c r="Y1240" s="114"/>
      <c r="Z1240" s="117" t="s">
        <v>6893</v>
      </c>
      <c r="AA1240" s="117" t="s">
        <v>5743</v>
      </c>
      <c r="AB1240" s="114"/>
      <c r="AC1240" s="114"/>
      <c r="AD1240" s="114"/>
      <c r="AE1240" s="114"/>
      <c r="AF1240" s="114"/>
      <c r="AG1240" s="114"/>
      <c r="AH1240" s="114"/>
      <c r="AI1240" s="116"/>
      <c r="AJ1240" s="114"/>
      <c r="AK1240" s="114"/>
      <c r="AL1240" s="114"/>
      <c r="AM1240" s="114"/>
      <c r="AN1240" s="114"/>
      <c r="AO1240" s="114"/>
      <c r="AP1240" s="114"/>
      <c r="AQ1240" s="114"/>
      <c r="AR1240" s="114"/>
      <c r="AS1240" s="114"/>
      <c r="AT1240" s="114"/>
      <c r="AU1240" s="114"/>
      <c r="AV1240" s="114"/>
      <c r="AW1240" s="114"/>
      <c r="AX1240" s="114"/>
      <c r="AY1240" s="114"/>
      <c r="AZ1240" s="114"/>
      <c r="BA1240" s="114"/>
      <c r="BB1240" s="114"/>
      <c r="BC1240" s="114"/>
      <c r="BD1240" s="114"/>
      <c r="BE1240" s="114"/>
    </row>
    <row r="1241">
      <c r="A1241" s="114"/>
      <c r="B1241" s="114"/>
      <c r="C1241" s="114"/>
      <c r="D1241" s="114"/>
      <c r="E1241" s="114"/>
      <c r="F1241" s="114"/>
      <c r="G1241" s="114"/>
      <c r="H1241" s="114"/>
      <c r="I1241" s="114"/>
      <c r="J1241" s="114"/>
      <c r="K1241" s="114"/>
      <c r="L1241" s="114"/>
      <c r="M1241" s="114"/>
      <c r="N1241" s="114"/>
      <c r="O1241" s="114"/>
      <c r="P1241" s="114"/>
      <c r="Q1241" s="114"/>
      <c r="R1241" s="114"/>
      <c r="S1241" s="114"/>
      <c r="T1241" s="114"/>
      <c r="U1241" s="114"/>
      <c r="V1241" s="114"/>
      <c r="W1241" s="114"/>
      <c r="X1241" s="115"/>
      <c r="Y1241" s="114"/>
      <c r="Z1241" s="117" t="s">
        <v>6894</v>
      </c>
      <c r="AA1241" s="117" t="s">
        <v>5744</v>
      </c>
      <c r="AB1241" s="114"/>
      <c r="AC1241" s="114"/>
      <c r="AD1241" s="114"/>
      <c r="AE1241" s="114"/>
      <c r="AF1241" s="114"/>
      <c r="AG1241" s="114"/>
      <c r="AH1241" s="114"/>
      <c r="AI1241" s="116"/>
      <c r="AJ1241" s="114"/>
      <c r="AK1241" s="114"/>
      <c r="AL1241" s="114"/>
      <c r="AM1241" s="114"/>
      <c r="AN1241" s="114"/>
      <c r="AO1241" s="114"/>
      <c r="AP1241" s="114"/>
      <c r="AQ1241" s="114"/>
      <c r="AR1241" s="114"/>
      <c r="AS1241" s="114"/>
      <c r="AT1241" s="114"/>
      <c r="AU1241" s="114"/>
      <c r="AV1241" s="114"/>
      <c r="AW1241" s="114"/>
      <c r="AX1241" s="114"/>
      <c r="AY1241" s="114"/>
      <c r="AZ1241" s="114"/>
      <c r="BA1241" s="114"/>
      <c r="BB1241" s="114"/>
      <c r="BC1241" s="114"/>
      <c r="BD1241" s="114"/>
      <c r="BE1241" s="114"/>
    </row>
    <row r="1242">
      <c r="A1242" s="114"/>
      <c r="B1242" s="114"/>
      <c r="C1242" s="114"/>
      <c r="D1242" s="114"/>
      <c r="E1242" s="114"/>
      <c r="F1242" s="114"/>
      <c r="G1242" s="114"/>
      <c r="H1242" s="114"/>
      <c r="I1242" s="114"/>
      <c r="J1242" s="114"/>
      <c r="K1242" s="114"/>
      <c r="L1242" s="114"/>
      <c r="M1242" s="114"/>
      <c r="N1242" s="114"/>
      <c r="O1242" s="114"/>
      <c r="P1242" s="114"/>
      <c r="Q1242" s="114"/>
      <c r="R1242" s="114"/>
      <c r="S1242" s="114"/>
      <c r="T1242" s="114"/>
      <c r="U1242" s="114"/>
      <c r="V1242" s="114"/>
      <c r="W1242" s="114"/>
      <c r="X1242" s="115"/>
      <c r="Y1242" s="114"/>
      <c r="Z1242" s="117" t="s">
        <v>6895</v>
      </c>
      <c r="AA1242" s="117" t="s">
        <v>5742</v>
      </c>
      <c r="AB1242" s="114"/>
      <c r="AC1242" s="114"/>
      <c r="AD1242" s="114"/>
      <c r="AE1242" s="114"/>
      <c r="AF1242" s="114"/>
      <c r="AG1242" s="114"/>
      <c r="AH1242" s="114"/>
      <c r="AI1242" s="116"/>
      <c r="AJ1242" s="114"/>
      <c r="AK1242" s="114"/>
      <c r="AL1242" s="114"/>
      <c r="AM1242" s="114"/>
      <c r="AN1242" s="114"/>
      <c r="AO1242" s="114"/>
      <c r="AP1242" s="114"/>
      <c r="AQ1242" s="114"/>
      <c r="AR1242" s="114"/>
      <c r="AS1242" s="114"/>
      <c r="AT1242" s="114"/>
      <c r="AU1242" s="114"/>
      <c r="AV1242" s="114"/>
      <c r="AW1242" s="114"/>
      <c r="AX1242" s="114"/>
      <c r="AY1242" s="114"/>
      <c r="AZ1242" s="114"/>
      <c r="BA1242" s="114"/>
      <c r="BB1242" s="114"/>
      <c r="BC1242" s="114"/>
      <c r="BD1242" s="114"/>
      <c r="BE1242" s="114"/>
    </row>
    <row r="1243">
      <c r="A1243" s="114"/>
      <c r="B1243" s="114"/>
      <c r="C1243" s="114"/>
      <c r="D1243" s="114"/>
      <c r="E1243" s="114"/>
      <c r="F1243" s="114"/>
      <c r="G1243" s="114"/>
      <c r="H1243" s="114"/>
      <c r="I1243" s="114"/>
      <c r="J1243" s="114"/>
      <c r="K1243" s="114"/>
      <c r="L1243" s="114"/>
      <c r="M1243" s="114"/>
      <c r="N1243" s="114"/>
      <c r="O1243" s="114"/>
      <c r="P1243" s="114"/>
      <c r="Q1243" s="114"/>
      <c r="R1243" s="114"/>
      <c r="S1243" s="114"/>
      <c r="T1243" s="114"/>
      <c r="U1243" s="114"/>
      <c r="V1243" s="114"/>
      <c r="W1243" s="114"/>
      <c r="X1243" s="115"/>
      <c r="Y1243" s="114"/>
      <c r="Z1243" s="117" t="s">
        <v>6896</v>
      </c>
      <c r="AA1243" s="117" t="s">
        <v>5749</v>
      </c>
      <c r="AB1243" s="114"/>
      <c r="AC1243" s="114"/>
      <c r="AD1243" s="114"/>
      <c r="AE1243" s="114"/>
      <c r="AF1243" s="114"/>
      <c r="AG1243" s="114"/>
      <c r="AH1243" s="114"/>
      <c r="AI1243" s="116"/>
      <c r="AJ1243" s="114"/>
      <c r="AK1243" s="114"/>
      <c r="AL1243" s="114"/>
      <c r="AM1243" s="114"/>
      <c r="AN1243" s="114"/>
      <c r="AO1243" s="114"/>
      <c r="AP1243" s="114"/>
      <c r="AQ1243" s="114"/>
      <c r="AR1243" s="114"/>
      <c r="AS1243" s="114"/>
      <c r="AT1243" s="114"/>
      <c r="AU1243" s="114"/>
      <c r="AV1243" s="114"/>
      <c r="AW1243" s="114"/>
      <c r="AX1243" s="114"/>
      <c r="AY1243" s="114"/>
      <c r="AZ1243" s="114"/>
      <c r="BA1243" s="114"/>
      <c r="BB1243" s="114"/>
      <c r="BC1243" s="114"/>
      <c r="BD1243" s="114"/>
      <c r="BE1243" s="114"/>
    </row>
    <row r="1244">
      <c r="A1244" s="114"/>
      <c r="B1244" s="114"/>
      <c r="C1244" s="114"/>
      <c r="D1244" s="114"/>
      <c r="E1244" s="114"/>
      <c r="F1244" s="114"/>
      <c r="G1244" s="114"/>
      <c r="H1244" s="114"/>
      <c r="I1244" s="114"/>
      <c r="J1244" s="114"/>
      <c r="K1244" s="114"/>
      <c r="L1244" s="114"/>
      <c r="M1244" s="114"/>
      <c r="N1244" s="114"/>
      <c r="O1244" s="114"/>
      <c r="P1244" s="114"/>
      <c r="Q1244" s="114"/>
      <c r="R1244" s="114"/>
      <c r="S1244" s="114"/>
      <c r="T1244" s="114"/>
      <c r="U1244" s="114"/>
      <c r="V1244" s="114"/>
      <c r="W1244" s="114"/>
      <c r="X1244" s="115"/>
      <c r="Y1244" s="114"/>
      <c r="Z1244" s="117" t="s">
        <v>6897</v>
      </c>
      <c r="AA1244" s="117" t="s">
        <v>5751</v>
      </c>
      <c r="AB1244" s="114"/>
      <c r="AC1244" s="114"/>
      <c r="AD1244" s="114"/>
      <c r="AE1244" s="114"/>
      <c r="AF1244" s="114"/>
      <c r="AG1244" s="114"/>
      <c r="AH1244" s="114"/>
      <c r="AI1244" s="116"/>
      <c r="AJ1244" s="114"/>
      <c r="AK1244" s="114"/>
      <c r="AL1244" s="114"/>
      <c r="AM1244" s="114"/>
      <c r="AN1244" s="114"/>
      <c r="AO1244" s="114"/>
      <c r="AP1244" s="114"/>
      <c r="AQ1244" s="114"/>
      <c r="AR1244" s="114"/>
      <c r="AS1244" s="114"/>
      <c r="AT1244" s="114"/>
      <c r="AU1244" s="114"/>
      <c r="AV1244" s="114"/>
      <c r="AW1244" s="114"/>
      <c r="AX1244" s="114"/>
      <c r="AY1244" s="114"/>
      <c r="AZ1244" s="114"/>
      <c r="BA1244" s="114"/>
      <c r="BB1244" s="114"/>
      <c r="BC1244" s="114"/>
      <c r="BD1244" s="114"/>
      <c r="BE1244" s="114"/>
    </row>
    <row r="1245">
      <c r="A1245" s="114"/>
      <c r="B1245" s="114"/>
      <c r="C1245" s="114"/>
      <c r="D1245" s="114"/>
      <c r="E1245" s="114"/>
      <c r="F1245" s="114"/>
      <c r="G1245" s="114"/>
      <c r="H1245" s="114"/>
      <c r="I1245" s="114"/>
      <c r="J1245" s="114"/>
      <c r="K1245" s="114"/>
      <c r="L1245" s="114"/>
      <c r="M1245" s="114"/>
      <c r="N1245" s="114"/>
      <c r="O1245" s="114"/>
      <c r="P1245" s="114"/>
      <c r="Q1245" s="114"/>
      <c r="R1245" s="114"/>
      <c r="S1245" s="114"/>
      <c r="T1245" s="114"/>
      <c r="U1245" s="114"/>
      <c r="V1245" s="114"/>
      <c r="W1245" s="114"/>
      <c r="X1245" s="115"/>
      <c r="Y1245" s="114"/>
      <c r="Z1245" s="117" t="s">
        <v>6898</v>
      </c>
      <c r="AA1245" s="117" t="s">
        <v>5752</v>
      </c>
      <c r="AB1245" s="114"/>
      <c r="AC1245" s="114"/>
      <c r="AD1245" s="114"/>
      <c r="AE1245" s="114"/>
      <c r="AF1245" s="114"/>
      <c r="AG1245" s="114"/>
      <c r="AH1245" s="114"/>
      <c r="AI1245" s="116"/>
      <c r="AJ1245" s="114"/>
      <c r="AK1245" s="114"/>
      <c r="AL1245" s="114"/>
      <c r="AM1245" s="114"/>
      <c r="AN1245" s="114"/>
      <c r="AO1245" s="114"/>
      <c r="AP1245" s="114"/>
      <c r="AQ1245" s="114"/>
      <c r="AR1245" s="114"/>
      <c r="AS1245" s="114"/>
      <c r="AT1245" s="114"/>
      <c r="AU1245" s="114"/>
      <c r="AV1245" s="114"/>
      <c r="AW1245" s="114"/>
      <c r="AX1245" s="114"/>
      <c r="AY1245" s="114"/>
      <c r="AZ1245" s="114"/>
      <c r="BA1245" s="114"/>
      <c r="BB1245" s="114"/>
      <c r="BC1245" s="114"/>
      <c r="BD1245" s="114"/>
      <c r="BE1245" s="114"/>
    </row>
    <row r="1246">
      <c r="A1246" s="114"/>
      <c r="B1246" s="114"/>
      <c r="C1246" s="114"/>
      <c r="D1246" s="114"/>
      <c r="E1246" s="114"/>
      <c r="F1246" s="114"/>
      <c r="G1246" s="114"/>
      <c r="H1246" s="114"/>
      <c r="I1246" s="114"/>
      <c r="J1246" s="114"/>
      <c r="K1246" s="114"/>
      <c r="L1246" s="114"/>
      <c r="M1246" s="114"/>
      <c r="N1246" s="114"/>
      <c r="O1246" s="114"/>
      <c r="P1246" s="114"/>
      <c r="Q1246" s="114"/>
      <c r="R1246" s="114"/>
      <c r="S1246" s="114"/>
      <c r="T1246" s="114"/>
      <c r="U1246" s="114"/>
      <c r="V1246" s="114"/>
      <c r="W1246" s="114"/>
      <c r="X1246" s="115"/>
      <c r="Y1246" s="114"/>
      <c r="Z1246" s="117" t="s">
        <v>6899</v>
      </c>
      <c r="AA1246" s="117" t="s">
        <v>5750</v>
      </c>
      <c r="AB1246" s="114"/>
      <c r="AC1246" s="114"/>
      <c r="AD1246" s="114"/>
      <c r="AE1246" s="114"/>
      <c r="AF1246" s="114"/>
      <c r="AG1246" s="114"/>
      <c r="AH1246" s="114"/>
      <c r="AI1246" s="116"/>
      <c r="AJ1246" s="114"/>
      <c r="AK1246" s="114"/>
      <c r="AL1246" s="114"/>
      <c r="AM1246" s="114"/>
      <c r="AN1246" s="114"/>
      <c r="AO1246" s="114"/>
      <c r="AP1246" s="114"/>
      <c r="AQ1246" s="114"/>
      <c r="AR1246" s="114"/>
      <c r="AS1246" s="114"/>
      <c r="AT1246" s="114"/>
      <c r="AU1246" s="114"/>
      <c r="AV1246" s="114"/>
      <c r="AW1246" s="114"/>
      <c r="AX1246" s="114"/>
      <c r="AY1246" s="114"/>
      <c r="AZ1246" s="114"/>
      <c r="BA1246" s="114"/>
      <c r="BB1246" s="114"/>
      <c r="BC1246" s="114"/>
      <c r="BD1246" s="114"/>
      <c r="BE1246" s="114"/>
    </row>
    <row r="1247">
      <c r="A1247" s="114"/>
      <c r="B1247" s="114"/>
      <c r="C1247" s="114"/>
      <c r="D1247" s="114"/>
      <c r="E1247" s="114"/>
      <c r="F1247" s="114"/>
      <c r="G1247" s="114"/>
      <c r="H1247" s="114"/>
      <c r="I1247" s="114"/>
      <c r="J1247" s="114"/>
      <c r="K1247" s="114"/>
      <c r="L1247" s="114"/>
      <c r="M1247" s="114"/>
      <c r="N1247" s="114"/>
      <c r="O1247" s="114"/>
      <c r="P1247" s="114"/>
      <c r="Q1247" s="114"/>
      <c r="R1247" s="114"/>
      <c r="S1247" s="114"/>
      <c r="T1247" s="114"/>
      <c r="U1247" s="114"/>
      <c r="V1247" s="114"/>
      <c r="W1247" s="114"/>
      <c r="X1247" s="115"/>
      <c r="Y1247" s="114"/>
      <c r="Z1247" s="117" t="s">
        <v>6900</v>
      </c>
      <c r="AA1247" s="117" t="s">
        <v>5757</v>
      </c>
      <c r="AB1247" s="114"/>
      <c r="AC1247" s="114"/>
      <c r="AD1247" s="114"/>
      <c r="AE1247" s="114"/>
      <c r="AF1247" s="114"/>
      <c r="AG1247" s="114"/>
      <c r="AH1247" s="114"/>
      <c r="AI1247" s="116"/>
      <c r="AJ1247" s="114"/>
      <c r="AK1247" s="114"/>
      <c r="AL1247" s="114"/>
      <c r="AM1247" s="114"/>
      <c r="AN1247" s="114"/>
      <c r="AO1247" s="114"/>
      <c r="AP1247" s="114"/>
      <c r="AQ1247" s="114"/>
      <c r="AR1247" s="114"/>
      <c r="AS1247" s="114"/>
      <c r="AT1247" s="114"/>
      <c r="AU1247" s="114"/>
      <c r="AV1247" s="114"/>
      <c r="AW1247" s="114"/>
      <c r="AX1247" s="114"/>
      <c r="AY1247" s="114"/>
      <c r="AZ1247" s="114"/>
      <c r="BA1247" s="114"/>
      <c r="BB1247" s="114"/>
      <c r="BC1247" s="114"/>
      <c r="BD1247" s="114"/>
      <c r="BE1247" s="114"/>
    </row>
    <row r="1248">
      <c r="A1248" s="114"/>
      <c r="B1248" s="114"/>
      <c r="C1248" s="114"/>
      <c r="D1248" s="114"/>
      <c r="E1248" s="114"/>
      <c r="F1248" s="114"/>
      <c r="G1248" s="114"/>
      <c r="H1248" s="114"/>
      <c r="I1248" s="114"/>
      <c r="J1248" s="114"/>
      <c r="K1248" s="114"/>
      <c r="L1248" s="114"/>
      <c r="M1248" s="114"/>
      <c r="N1248" s="114"/>
      <c r="O1248" s="114"/>
      <c r="P1248" s="114"/>
      <c r="Q1248" s="114"/>
      <c r="R1248" s="114"/>
      <c r="S1248" s="114"/>
      <c r="T1248" s="114"/>
      <c r="U1248" s="114"/>
      <c r="V1248" s="114"/>
      <c r="W1248" s="114"/>
      <c r="X1248" s="115"/>
      <c r="Y1248" s="114"/>
      <c r="Z1248" s="117" t="s">
        <v>6901</v>
      </c>
      <c r="AA1248" s="117" t="s">
        <v>5759</v>
      </c>
      <c r="AB1248" s="114"/>
      <c r="AC1248" s="114"/>
      <c r="AD1248" s="114"/>
      <c r="AE1248" s="114"/>
      <c r="AF1248" s="114"/>
      <c r="AG1248" s="114"/>
      <c r="AH1248" s="114"/>
      <c r="AI1248" s="116"/>
      <c r="AJ1248" s="114"/>
      <c r="AK1248" s="114"/>
      <c r="AL1248" s="114"/>
      <c r="AM1248" s="114"/>
      <c r="AN1248" s="114"/>
      <c r="AO1248" s="114"/>
      <c r="AP1248" s="114"/>
      <c r="AQ1248" s="114"/>
      <c r="AR1248" s="114"/>
      <c r="AS1248" s="114"/>
      <c r="AT1248" s="114"/>
      <c r="AU1248" s="114"/>
      <c r="AV1248" s="114"/>
      <c r="AW1248" s="114"/>
      <c r="AX1248" s="114"/>
      <c r="AY1248" s="114"/>
      <c r="AZ1248" s="114"/>
      <c r="BA1248" s="114"/>
      <c r="BB1248" s="114"/>
      <c r="BC1248" s="114"/>
      <c r="BD1248" s="114"/>
      <c r="BE1248" s="114"/>
    </row>
    <row r="1249">
      <c r="A1249" s="114"/>
      <c r="B1249" s="114"/>
      <c r="C1249" s="114"/>
      <c r="D1249" s="114"/>
      <c r="E1249" s="114"/>
      <c r="F1249" s="114"/>
      <c r="G1249" s="114"/>
      <c r="H1249" s="114"/>
      <c r="I1249" s="114"/>
      <c r="J1249" s="114"/>
      <c r="K1249" s="114"/>
      <c r="L1249" s="114"/>
      <c r="M1249" s="114"/>
      <c r="N1249" s="114"/>
      <c r="O1249" s="114"/>
      <c r="P1249" s="114"/>
      <c r="Q1249" s="114"/>
      <c r="R1249" s="114"/>
      <c r="S1249" s="114"/>
      <c r="T1249" s="114"/>
      <c r="U1249" s="114"/>
      <c r="V1249" s="114"/>
      <c r="W1249" s="114"/>
      <c r="X1249" s="115"/>
      <c r="Y1249" s="114"/>
      <c r="Z1249" s="117" t="s">
        <v>6902</v>
      </c>
      <c r="AA1249" s="117" t="s">
        <v>5760</v>
      </c>
      <c r="AB1249" s="114"/>
      <c r="AC1249" s="114"/>
      <c r="AD1249" s="114"/>
      <c r="AE1249" s="114"/>
      <c r="AF1249" s="114"/>
      <c r="AG1249" s="114"/>
      <c r="AH1249" s="114"/>
      <c r="AI1249" s="116"/>
      <c r="AJ1249" s="114"/>
      <c r="AK1249" s="114"/>
      <c r="AL1249" s="114"/>
      <c r="AM1249" s="114"/>
      <c r="AN1249" s="114"/>
      <c r="AO1249" s="114"/>
      <c r="AP1249" s="114"/>
      <c r="AQ1249" s="114"/>
      <c r="AR1249" s="114"/>
      <c r="AS1249" s="114"/>
      <c r="AT1249" s="114"/>
      <c r="AU1249" s="114"/>
      <c r="AV1249" s="114"/>
      <c r="AW1249" s="114"/>
      <c r="AX1249" s="114"/>
      <c r="AY1249" s="114"/>
      <c r="AZ1249" s="114"/>
      <c r="BA1249" s="114"/>
      <c r="BB1249" s="114"/>
      <c r="BC1249" s="114"/>
      <c r="BD1249" s="114"/>
      <c r="BE1249" s="114"/>
    </row>
    <row r="1250">
      <c r="A1250" s="114"/>
      <c r="B1250" s="114"/>
      <c r="C1250" s="114"/>
      <c r="D1250" s="114"/>
      <c r="E1250" s="114"/>
      <c r="F1250" s="114"/>
      <c r="G1250" s="114"/>
      <c r="H1250" s="114"/>
      <c r="I1250" s="114"/>
      <c r="J1250" s="114"/>
      <c r="K1250" s="114"/>
      <c r="L1250" s="114"/>
      <c r="M1250" s="114"/>
      <c r="N1250" s="114"/>
      <c r="O1250" s="114"/>
      <c r="P1250" s="114"/>
      <c r="Q1250" s="114"/>
      <c r="R1250" s="114"/>
      <c r="S1250" s="114"/>
      <c r="T1250" s="114"/>
      <c r="U1250" s="114"/>
      <c r="V1250" s="114"/>
      <c r="W1250" s="114"/>
      <c r="X1250" s="115"/>
      <c r="Y1250" s="114"/>
      <c r="Z1250" s="117" t="s">
        <v>6903</v>
      </c>
      <c r="AA1250" s="117" t="s">
        <v>5758</v>
      </c>
      <c r="AB1250" s="114"/>
      <c r="AC1250" s="114"/>
      <c r="AD1250" s="114"/>
      <c r="AE1250" s="114"/>
      <c r="AF1250" s="114"/>
      <c r="AG1250" s="114"/>
      <c r="AH1250" s="114"/>
      <c r="AI1250" s="116"/>
      <c r="AJ1250" s="114"/>
      <c r="AK1250" s="114"/>
      <c r="AL1250" s="114"/>
      <c r="AM1250" s="114"/>
      <c r="AN1250" s="114"/>
      <c r="AO1250" s="114"/>
      <c r="AP1250" s="114"/>
      <c r="AQ1250" s="114"/>
      <c r="AR1250" s="114"/>
      <c r="AS1250" s="114"/>
      <c r="AT1250" s="114"/>
      <c r="AU1250" s="114"/>
      <c r="AV1250" s="114"/>
      <c r="AW1250" s="114"/>
      <c r="AX1250" s="114"/>
      <c r="AY1250" s="114"/>
      <c r="AZ1250" s="114"/>
      <c r="BA1250" s="114"/>
      <c r="BB1250" s="114"/>
      <c r="BC1250" s="114"/>
      <c r="BD1250" s="114"/>
      <c r="BE1250" s="114"/>
    </row>
    <row r="1251">
      <c r="A1251" s="114"/>
      <c r="B1251" s="114"/>
      <c r="C1251" s="114"/>
      <c r="D1251" s="114"/>
      <c r="E1251" s="114"/>
      <c r="F1251" s="114"/>
      <c r="G1251" s="114"/>
      <c r="H1251" s="114"/>
      <c r="I1251" s="114"/>
      <c r="J1251" s="114"/>
      <c r="K1251" s="114"/>
      <c r="L1251" s="114"/>
      <c r="M1251" s="114"/>
      <c r="N1251" s="114"/>
      <c r="O1251" s="114"/>
      <c r="P1251" s="114"/>
      <c r="Q1251" s="114"/>
      <c r="R1251" s="114"/>
      <c r="S1251" s="114"/>
      <c r="T1251" s="114"/>
      <c r="U1251" s="114"/>
      <c r="V1251" s="114"/>
      <c r="W1251" s="114"/>
      <c r="X1251" s="115"/>
      <c r="Y1251" s="114"/>
      <c r="Z1251" s="117" t="s">
        <v>6904</v>
      </c>
      <c r="AA1251" s="117" t="s">
        <v>5765</v>
      </c>
      <c r="AB1251" s="114"/>
      <c r="AC1251" s="114"/>
      <c r="AD1251" s="114"/>
      <c r="AE1251" s="114"/>
      <c r="AF1251" s="114"/>
      <c r="AG1251" s="114"/>
      <c r="AH1251" s="114"/>
      <c r="AI1251" s="116"/>
      <c r="AJ1251" s="114"/>
      <c r="AK1251" s="114"/>
      <c r="AL1251" s="114"/>
      <c r="AM1251" s="114"/>
      <c r="AN1251" s="114"/>
      <c r="AO1251" s="114"/>
      <c r="AP1251" s="114"/>
      <c r="AQ1251" s="114"/>
      <c r="AR1251" s="114"/>
      <c r="AS1251" s="114"/>
      <c r="AT1251" s="114"/>
      <c r="AU1251" s="114"/>
      <c r="AV1251" s="114"/>
      <c r="AW1251" s="114"/>
      <c r="AX1251" s="114"/>
      <c r="AY1251" s="114"/>
      <c r="AZ1251" s="114"/>
      <c r="BA1251" s="114"/>
      <c r="BB1251" s="114"/>
      <c r="BC1251" s="114"/>
      <c r="BD1251" s="114"/>
      <c r="BE1251" s="114"/>
    </row>
    <row r="1252">
      <c r="A1252" s="114"/>
      <c r="B1252" s="114"/>
      <c r="C1252" s="114"/>
      <c r="D1252" s="114"/>
      <c r="E1252" s="114"/>
      <c r="F1252" s="114"/>
      <c r="G1252" s="114"/>
      <c r="H1252" s="114"/>
      <c r="I1252" s="114"/>
      <c r="J1252" s="114"/>
      <c r="K1252" s="114"/>
      <c r="L1252" s="114"/>
      <c r="M1252" s="114"/>
      <c r="N1252" s="114"/>
      <c r="O1252" s="114"/>
      <c r="P1252" s="114"/>
      <c r="Q1252" s="114"/>
      <c r="R1252" s="114"/>
      <c r="S1252" s="114"/>
      <c r="T1252" s="114"/>
      <c r="U1252" s="114"/>
      <c r="V1252" s="114"/>
      <c r="W1252" s="114"/>
      <c r="X1252" s="115"/>
      <c r="Y1252" s="114"/>
      <c r="Z1252" s="117" t="s">
        <v>6905</v>
      </c>
      <c r="AA1252" s="117" t="s">
        <v>5767</v>
      </c>
      <c r="AB1252" s="114"/>
      <c r="AC1252" s="114"/>
      <c r="AD1252" s="114"/>
      <c r="AE1252" s="114"/>
      <c r="AF1252" s="114"/>
      <c r="AG1252" s="114"/>
      <c r="AH1252" s="114"/>
      <c r="AI1252" s="116"/>
      <c r="AJ1252" s="114"/>
      <c r="AK1252" s="114"/>
      <c r="AL1252" s="114"/>
      <c r="AM1252" s="114"/>
      <c r="AN1252" s="114"/>
      <c r="AO1252" s="114"/>
      <c r="AP1252" s="114"/>
      <c r="AQ1252" s="114"/>
      <c r="AR1252" s="114"/>
      <c r="AS1252" s="114"/>
      <c r="AT1252" s="114"/>
      <c r="AU1252" s="114"/>
      <c r="AV1252" s="114"/>
      <c r="AW1252" s="114"/>
      <c r="AX1252" s="114"/>
      <c r="AY1252" s="114"/>
      <c r="AZ1252" s="114"/>
      <c r="BA1252" s="114"/>
      <c r="BB1252" s="114"/>
      <c r="BC1252" s="114"/>
      <c r="BD1252" s="114"/>
      <c r="BE1252" s="114"/>
    </row>
    <row r="1253">
      <c r="A1253" s="114"/>
      <c r="B1253" s="114"/>
      <c r="C1253" s="114"/>
      <c r="D1253" s="114"/>
      <c r="E1253" s="114"/>
      <c r="F1253" s="114"/>
      <c r="G1253" s="114"/>
      <c r="H1253" s="114"/>
      <c r="I1253" s="114"/>
      <c r="J1253" s="114"/>
      <c r="K1253" s="114"/>
      <c r="L1253" s="114"/>
      <c r="M1253" s="114"/>
      <c r="N1253" s="114"/>
      <c r="O1253" s="114"/>
      <c r="P1253" s="114"/>
      <c r="Q1253" s="114"/>
      <c r="R1253" s="114"/>
      <c r="S1253" s="114"/>
      <c r="T1253" s="114"/>
      <c r="U1253" s="114"/>
      <c r="V1253" s="114"/>
      <c r="W1253" s="114"/>
      <c r="X1253" s="115"/>
      <c r="Y1253" s="114"/>
      <c r="Z1253" s="117" t="s">
        <v>6906</v>
      </c>
      <c r="AA1253" s="117" t="s">
        <v>5768</v>
      </c>
      <c r="AB1253" s="114"/>
      <c r="AC1253" s="114"/>
      <c r="AD1253" s="114"/>
      <c r="AE1253" s="114"/>
      <c r="AF1253" s="114"/>
      <c r="AG1253" s="114"/>
      <c r="AH1253" s="114"/>
      <c r="AI1253" s="116"/>
      <c r="AJ1253" s="114"/>
      <c r="AK1253" s="114"/>
      <c r="AL1253" s="114"/>
      <c r="AM1253" s="114"/>
      <c r="AN1253" s="114"/>
      <c r="AO1253" s="114"/>
      <c r="AP1253" s="114"/>
      <c r="AQ1253" s="114"/>
      <c r="AR1253" s="114"/>
      <c r="AS1253" s="114"/>
      <c r="AT1253" s="114"/>
      <c r="AU1253" s="114"/>
      <c r="AV1253" s="114"/>
      <c r="AW1253" s="114"/>
      <c r="AX1253" s="114"/>
      <c r="AY1253" s="114"/>
      <c r="AZ1253" s="114"/>
      <c r="BA1253" s="114"/>
      <c r="BB1253" s="114"/>
      <c r="BC1253" s="114"/>
      <c r="BD1253" s="114"/>
      <c r="BE1253" s="114"/>
    </row>
    <row r="1254">
      <c r="A1254" s="114"/>
      <c r="B1254" s="114"/>
      <c r="C1254" s="114"/>
      <c r="D1254" s="114"/>
      <c r="E1254" s="114"/>
      <c r="F1254" s="114"/>
      <c r="G1254" s="114"/>
      <c r="H1254" s="114"/>
      <c r="I1254" s="114"/>
      <c r="J1254" s="114"/>
      <c r="K1254" s="114"/>
      <c r="L1254" s="114"/>
      <c r="M1254" s="114"/>
      <c r="N1254" s="114"/>
      <c r="O1254" s="114"/>
      <c r="P1254" s="114"/>
      <c r="Q1254" s="114"/>
      <c r="R1254" s="114"/>
      <c r="S1254" s="114"/>
      <c r="T1254" s="114"/>
      <c r="U1254" s="114"/>
      <c r="V1254" s="114"/>
      <c r="W1254" s="114"/>
      <c r="X1254" s="115"/>
      <c r="Y1254" s="114"/>
      <c r="Z1254" s="117" t="s">
        <v>6907</v>
      </c>
      <c r="AA1254" s="117" t="s">
        <v>5766</v>
      </c>
      <c r="AB1254" s="114"/>
      <c r="AC1254" s="114"/>
      <c r="AD1254" s="114"/>
      <c r="AE1254" s="114"/>
      <c r="AF1254" s="114"/>
      <c r="AG1254" s="114"/>
      <c r="AH1254" s="114"/>
      <c r="AI1254" s="116"/>
      <c r="AJ1254" s="114"/>
      <c r="AK1254" s="114"/>
      <c r="AL1254" s="114"/>
      <c r="AM1254" s="114"/>
      <c r="AN1254" s="114"/>
      <c r="AO1254" s="114"/>
      <c r="AP1254" s="114"/>
      <c r="AQ1254" s="114"/>
      <c r="AR1254" s="114"/>
      <c r="AS1254" s="114"/>
      <c r="AT1254" s="114"/>
      <c r="AU1254" s="114"/>
      <c r="AV1254" s="114"/>
      <c r="AW1254" s="114"/>
      <c r="AX1254" s="114"/>
      <c r="AY1254" s="114"/>
      <c r="AZ1254" s="114"/>
      <c r="BA1254" s="114"/>
      <c r="BB1254" s="114"/>
      <c r="BC1254" s="114"/>
      <c r="BD1254" s="114"/>
      <c r="BE1254" s="114"/>
    </row>
    <row r="1255">
      <c r="A1255" s="114"/>
      <c r="B1255" s="114"/>
      <c r="C1255" s="114"/>
      <c r="D1255" s="114"/>
      <c r="E1255" s="114"/>
      <c r="F1255" s="114"/>
      <c r="G1255" s="114"/>
      <c r="H1255" s="114"/>
      <c r="I1255" s="114"/>
      <c r="J1255" s="114"/>
      <c r="K1255" s="114"/>
      <c r="L1255" s="114"/>
      <c r="M1255" s="114"/>
      <c r="N1255" s="114"/>
      <c r="O1255" s="114"/>
      <c r="P1255" s="114"/>
      <c r="Q1255" s="114"/>
      <c r="R1255" s="114"/>
      <c r="S1255" s="114"/>
      <c r="T1255" s="114"/>
      <c r="U1255" s="114"/>
      <c r="V1255" s="114"/>
      <c r="W1255" s="114"/>
      <c r="X1255" s="115"/>
      <c r="Y1255" s="114"/>
      <c r="Z1255" s="117" t="s">
        <v>6908</v>
      </c>
      <c r="AA1255" s="117" t="s">
        <v>5773</v>
      </c>
      <c r="AB1255" s="114"/>
      <c r="AC1255" s="114"/>
      <c r="AD1255" s="114"/>
      <c r="AE1255" s="114"/>
      <c r="AF1255" s="114"/>
      <c r="AG1255" s="114"/>
      <c r="AH1255" s="114"/>
      <c r="AI1255" s="116"/>
      <c r="AJ1255" s="114"/>
      <c r="AK1255" s="114"/>
      <c r="AL1255" s="114"/>
      <c r="AM1255" s="114"/>
      <c r="AN1255" s="114"/>
      <c r="AO1255" s="114"/>
      <c r="AP1255" s="114"/>
      <c r="AQ1255" s="114"/>
      <c r="AR1255" s="114"/>
      <c r="AS1255" s="114"/>
      <c r="AT1255" s="114"/>
      <c r="AU1255" s="114"/>
      <c r="AV1255" s="114"/>
      <c r="AW1255" s="114"/>
      <c r="AX1255" s="114"/>
      <c r="AY1255" s="114"/>
      <c r="AZ1255" s="114"/>
      <c r="BA1255" s="114"/>
      <c r="BB1255" s="114"/>
      <c r="BC1255" s="114"/>
      <c r="BD1255" s="114"/>
      <c r="BE1255" s="114"/>
    </row>
    <row r="1256">
      <c r="A1256" s="114"/>
      <c r="B1256" s="114"/>
      <c r="C1256" s="114"/>
      <c r="D1256" s="114"/>
      <c r="E1256" s="114"/>
      <c r="F1256" s="114"/>
      <c r="G1256" s="114"/>
      <c r="H1256" s="114"/>
      <c r="I1256" s="114"/>
      <c r="J1256" s="114"/>
      <c r="K1256" s="114"/>
      <c r="L1256" s="114"/>
      <c r="M1256" s="114"/>
      <c r="N1256" s="114"/>
      <c r="O1256" s="114"/>
      <c r="P1256" s="114"/>
      <c r="Q1256" s="114"/>
      <c r="R1256" s="114"/>
      <c r="S1256" s="114"/>
      <c r="T1256" s="114"/>
      <c r="U1256" s="114"/>
      <c r="V1256" s="114"/>
      <c r="W1256" s="114"/>
      <c r="X1256" s="115"/>
      <c r="Y1256" s="114"/>
      <c r="Z1256" s="117" t="s">
        <v>6909</v>
      </c>
      <c r="AA1256" s="117" t="s">
        <v>5775</v>
      </c>
      <c r="AB1256" s="114"/>
      <c r="AC1256" s="114"/>
      <c r="AD1256" s="114"/>
      <c r="AE1256" s="114"/>
      <c r="AF1256" s="114"/>
      <c r="AG1256" s="114"/>
      <c r="AH1256" s="114"/>
      <c r="AI1256" s="116"/>
      <c r="AJ1256" s="114"/>
      <c r="AK1256" s="114"/>
      <c r="AL1256" s="114"/>
      <c r="AM1256" s="114"/>
      <c r="AN1256" s="114"/>
      <c r="AO1256" s="114"/>
      <c r="AP1256" s="114"/>
      <c r="AQ1256" s="114"/>
      <c r="AR1256" s="114"/>
      <c r="AS1256" s="114"/>
      <c r="AT1256" s="114"/>
      <c r="AU1256" s="114"/>
      <c r="AV1256" s="114"/>
      <c r="AW1256" s="114"/>
      <c r="AX1256" s="114"/>
      <c r="AY1256" s="114"/>
      <c r="AZ1256" s="114"/>
      <c r="BA1256" s="114"/>
      <c r="BB1256" s="114"/>
      <c r="BC1256" s="114"/>
      <c r="BD1256" s="114"/>
      <c r="BE1256" s="114"/>
    </row>
    <row r="1257">
      <c r="A1257" s="114"/>
      <c r="B1257" s="114"/>
      <c r="C1257" s="114"/>
      <c r="D1257" s="114"/>
      <c r="E1257" s="114"/>
      <c r="F1257" s="114"/>
      <c r="G1257" s="114"/>
      <c r="H1257" s="114"/>
      <c r="I1257" s="114"/>
      <c r="J1257" s="114"/>
      <c r="K1257" s="114"/>
      <c r="L1257" s="114"/>
      <c r="M1257" s="114"/>
      <c r="N1257" s="114"/>
      <c r="O1257" s="114"/>
      <c r="P1257" s="114"/>
      <c r="Q1257" s="114"/>
      <c r="R1257" s="114"/>
      <c r="S1257" s="114"/>
      <c r="T1257" s="114"/>
      <c r="U1257" s="114"/>
      <c r="V1257" s="114"/>
      <c r="W1257" s="114"/>
      <c r="X1257" s="115"/>
      <c r="Y1257" s="114"/>
      <c r="Z1257" s="117" t="s">
        <v>6910</v>
      </c>
      <c r="AA1257" s="117" t="s">
        <v>5776</v>
      </c>
      <c r="AB1257" s="114"/>
      <c r="AC1257" s="114"/>
      <c r="AD1257" s="114"/>
      <c r="AE1257" s="114"/>
      <c r="AF1257" s="114"/>
      <c r="AG1257" s="114"/>
      <c r="AH1257" s="114"/>
      <c r="AI1257" s="116"/>
      <c r="AJ1257" s="114"/>
      <c r="AK1257" s="114"/>
      <c r="AL1257" s="114"/>
      <c r="AM1257" s="114"/>
      <c r="AN1257" s="114"/>
      <c r="AO1257" s="114"/>
      <c r="AP1257" s="114"/>
      <c r="AQ1257" s="114"/>
      <c r="AR1257" s="114"/>
      <c r="AS1257" s="114"/>
      <c r="AT1257" s="114"/>
      <c r="AU1257" s="114"/>
      <c r="AV1257" s="114"/>
      <c r="AW1257" s="114"/>
      <c r="AX1257" s="114"/>
      <c r="AY1257" s="114"/>
      <c r="AZ1257" s="114"/>
      <c r="BA1257" s="114"/>
      <c r="BB1257" s="114"/>
      <c r="BC1257" s="114"/>
      <c r="BD1257" s="114"/>
      <c r="BE1257" s="114"/>
    </row>
    <row r="1258">
      <c r="A1258" s="114"/>
      <c r="B1258" s="114"/>
      <c r="C1258" s="114"/>
      <c r="D1258" s="114"/>
      <c r="E1258" s="114"/>
      <c r="F1258" s="114"/>
      <c r="G1258" s="114"/>
      <c r="H1258" s="114"/>
      <c r="I1258" s="114"/>
      <c r="J1258" s="114"/>
      <c r="K1258" s="114"/>
      <c r="L1258" s="114"/>
      <c r="M1258" s="114"/>
      <c r="N1258" s="114"/>
      <c r="O1258" s="114"/>
      <c r="P1258" s="114"/>
      <c r="Q1258" s="114"/>
      <c r="R1258" s="114"/>
      <c r="S1258" s="114"/>
      <c r="T1258" s="114"/>
      <c r="U1258" s="114"/>
      <c r="V1258" s="114"/>
      <c r="W1258" s="114"/>
      <c r="X1258" s="115"/>
      <c r="Y1258" s="114"/>
      <c r="Z1258" s="117" t="s">
        <v>6911</v>
      </c>
      <c r="AA1258" s="117" t="s">
        <v>5774</v>
      </c>
      <c r="AB1258" s="114"/>
      <c r="AC1258" s="114"/>
      <c r="AD1258" s="114"/>
      <c r="AE1258" s="114"/>
      <c r="AF1258" s="114"/>
      <c r="AG1258" s="114"/>
      <c r="AH1258" s="114"/>
      <c r="AI1258" s="116"/>
      <c r="AJ1258" s="114"/>
      <c r="AK1258" s="114"/>
      <c r="AL1258" s="114"/>
      <c r="AM1258" s="114"/>
      <c r="AN1258" s="114"/>
      <c r="AO1258" s="114"/>
      <c r="AP1258" s="114"/>
      <c r="AQ1258" s="114"/>
      <c r="AR1258" s="114"/>
      <c r="AS1258" s="114"/>
      <c r="AT1258" s="114"/>
      <c r="AU1258" s="114"/>
      <c r="AV1258" s="114"/>
      <c r="AW1258" s="114"/>
      <c r="AX1258" s="114"/>
      <c r="AY1258" s="114"/>
      <c r="AZ1258" s="114"/>
      <c r="BA1258" s="114"/>
      <c r="BB1258" s="114"/>
      <c r="BC1258" s="114"/>
      <c r="BD1258" s="114"/>
      <c r="BE1258" s="114"/>
    </row>
    <row r="1259">
      <c r="A1259" s="114"/>
      <c r="B1259" s="114"/>
      <c r="C1259" s="114"/>
      <c r="D1259" s="114"/>
      <c r="E1259" s="114"/>
      <c r="F1259" s="114"/>
      <c r="G1259" s="114"/>
      <c r="H1259" s="114"/>
      <c r="I1259" s="114"/>
      <c r="J1259" s="114"/>
      <c r="K1259" s="114"/>
      <c r="L1259" s="114"/>
      <c r="M1259" s="114"/>
      <c r="N1259" s="114"/>
      <c r="O1259" s="114"/>
      <c r="P1259" s="114"/>
      <c r="Q1259" s="114"/>
      <c r="R1259" s="114"/>
      <c r="S1259" s="114"/>
      <c r="T1259" s="114"/>
      <c r="U1259" s="114"/>
      <c r="V1259" s="114"/>
      <c r="W1259" s="114"/>
      <c r="X1259" s="115"/>
      <c r="Y1259" s="114"/>
      <c r="Z1259" s="117" t="s">
        <v>6912</v>
      </c>
      <c r="AA1259" s="117" t="s">
        <v>5781</v>
      </c>
      <c r="AB1259" s="114"/>
      <c r="AC1259" s="114"/>
      <c r="AD1259" s="114"/>
      <c r="AE1259" s="114"/>
      <c r="AF1259" s="114"/>
      <c r="AG1259" s="114"/>
      <c r="AH1259" s="114"/>
      <c r="AI1259" s="116"/>
      <c r="AJ1259" s="114"/>
      <c r="AK1259" s="114"/>
      <c r="AL1259" s="114"/>
      <c r="AM1259" s="114"/>
      <c r="AN1259" s="114"/>
      <c r="AO1259" s="114"/>
      <c r="AP1259" s="114"/>
      <c r="AQ1259" s="114"/>
      <c r="AR1259" s="114"/>
      <c r="AS1259" s="114"/>
      <c r="AT1259" s="114"/>
      <c r="AU1259" s="114"/>
      <c r="AV1259" s="114"/>
      <c r="AW1259" s="114"/>
      <c r="AX1259" s="114"/>
      <c r="AY1259" s="114"/>
      <c r="AZ1259" s="114"/>
      <c r="BA1259" s="114"/>
      <c r="BB1259" s="114"/>
      <c r="BC1259" s="114"/>
      <c r="BD1259" s="114"/>
      <c r="BE1259" s="114"/>
    </row>
    <row r="1260">
      <c r="A1260" s="114"/>
      <c r="B1260" s="114"/>
      <c r="C1260" s="114"/>
      <c r="D1260" s="114"/>
      <c r="E1260" s="114"/>
      <c r="F1260" s="114"/>
      <c r="G1260" s="114"/>
      <c r="H1260" s="114"/>
      <c r="I1260" s="114"/>
      <c r="J1260" s="114"/>
      <c r="K1260" s="114"/>
      <c r="L1260" s="114"/>
      <c r="M1260" s="114"/>
      <c r="N1260" s="114"/>
      <c r="O1260" s="114"/>
      <c r="P1260" s="114"/>
      <c r="Q1260" s="114"/>
      <c r="R1260" s="114"/>
      <c r="S1260" s="114"/>
      <c r="T1260" s="114"/>
      <c r="U1260" s="114"/>
      <c r="V1260" s="114"/>
      <c r="W1260" s="114"/>
      <c r="X1260" s="115"/>
      <c r="Y1260" s="114"/>
      <c r="Z1260" s="117" t="s">
        <v>6913</v>
      </c>
      <c r="AA1260" s="117" t="s">
        <v>5783</v>
      </c>
      <c r="AB1260" s="114"/>
      <c r="AC1260" s="114"/>
      <c r="AD1260" s="114"/>
      <c r="AE1260" s="114"/>
      <c r="AF1260" s="114"/>
      <c r="AG1260" s="114"/>
      <c r="AH1260" s="114"/>
      <c r="AI1260" s="116"/>
      <c r="AJ1260" s="114"/>
      <c r="AK1260" s="114"/>
      <c r="AL1260" s="114"/>
      <c r="AM1260" s="114"/>
      <c r="AN1260" s="114"/>
      <c r="AO1260" s="114"/>
      <c r="AP1260" s="114"/>
      <c r="AQ1260" s="114"/>
      <c r="AR1260" s="114"/>
      <c r="AS1260" s="114"/>
      <c r="AT1260" s="114"/>
      <c r="AU1260" s="114"/>
      <c r="AV1260" s="114"/>
      <c r="AW1260" s="114"/>
      <c r="AX1260" s="114"/>
      <c r="AY1260" s="114"/>
      <c r="AZ1260" s="114"/>
      <c r="BA1260" s="114"/>
      <c r="BB1260" s="114"/>
      <c r="BC1260" s="114"/>
      <c r="BD1260" s="114"/>
      <c r="BE1260" s="114"/>
    </row>
    <row r="1261">
      <c r="A1261" s="114"/>
      <c r="B1261" s="114"/>
      <c r="C1261" s="114"/>
      <c r="D1261" s="114"/>
      <c r="E1261" s="114"/>
      <c r="F1261" s="114"/>
      <c r="G1261" s="114"/>
      <c r="H1261" s="114"/>
      <c r="I1261" s="114"/>
      <c r="J1261" s="114"/>
      <c r="K1261" s="114"/>
      <c r="L1261" s="114"/>
      <c r="M1261" s="114"/>
      <c r="N1261" s="114"/>
      <c r="O1261" s="114"/>
      <c r="P1261" s="114"/>
      <c r="Q1261" s="114"/>
      <c r="R1261" s="114"/>
      <c r="S1261" s="114"/>
      <c r="T1261" s="114"/>
      <c r="U1261" s="114"/>
      <c r="V1261" s="114"/>
      <c r="W1261" s="114"/>
      <c r="X1261" s="115"/>
      <c r="Y1261" s="114"/>
      <c r="Z1261" s="117" t="s">
        <v>6914</v>
      </c>
      <c r="AA1261" s="117" t="s">
        <v>5784</v>
      </c>
      <c r="AB1261" s="114"/>
      <c r="AC1261" s="114"/>
      <c r="AD1261" s="114"/>
      <c r="AE1261" s="114"/>
      <c r="AF1261" s="114"/>
      <c r="AG1261" s="114"/>
      <c r="AH1261" s="114"/>
      <c r="AI1261" s="116"/>
      <c r="AJ1261" s="114"/>
      <c r="AK1261" s="114"/>
      <c r="AL1261" s="114"/>
      <c r="AM1261" s="114"/>
      <c r="AN1261" s="114"/>
      <c r="AO1261" s="114"/>
      <c r="AP1261" s="114"/>
      <c r="AQ1261" s="114"/>
      <c r="AR1261" s="114"/>
      <c r="AS1261" s="114"/>
      <c r="AT1261" s="114"/>
      <c r="AU1261" s="114"/>
      <c r="AV1261" s="114"/>
      <c r="AW1261" s="114"/>
      <c r="AX1261" s="114"/>
      <c r="AY1261" s="114"/>
      <c r="AZ1261" s="114"/>
      <c r="BA1261" s="114"/>
      <c r="BB1261" s="114"/>
      <c r="BC1261" s="114"/>
      <c r="BD1261" s="114"/>
      <c r="BE1261" s="114"/>
    </row>
    <row r="1262">
      <c r="A1262" s="114"/>
      <c r="B1262" s="114"/>
      <c r="C1262" s="114"/>
      <c r="D1262" s="114"/>
      <c r="E1262" s="114"/>
      <c r="F1262" s="114"/>
      <c r="G1262" s="114"/>
      <c r="H1262" s="114"/>
      <c r="I1262" s="114"/>
      <c r="J1262" s="114"/>
      <c r="K1262" s="114"/>
      <c r="L1262" s="114"/>
      <c r="M1262" s="114"/>
      <c r="N1262" s="114"/>
      <c r="O1262" s="114"/>
      <c r="P1262" s="114"/>
      <c r="Q1262" s="114"/>
      <c r="R1262" s="114"/>
      <c r="S1262" s="114"/>
      <c r="T1262" s="114"/>
      <c r="U1262" s="114"/>
      <c r="V1262" s="114"/>
      <c r="W1262" s="114"/>
      <c r="X1262" s="115"/>
      <c r="Y1262" s="114"/>
      <c r="Z1262" s="117" t="s">
        <v>6915</v>
      </c>
      <c r="AA1262" s="117" t="s">
        <v>5782</v>
      </c>
      <c r="AB1262" s="114"/>
      <c r="AC1262" s="114"/>
      <c r="AD1262" s="114"/>
      <c r="AE1262" s="114"/>
      <c r="AF1262" s="114"/>
      <c r="AG1262" s="114"/>
      <c r="AH1262" s="114"/>
      <c r="AI1262" s="116"/>
      <c r="AJ1262" s="114"/>
      <c r="AK1262" s="114"/>
      <c r="AL1262" s="114"/>
      <c r="AM1262" s="114"/>
      <c r="AN1262" s="114"/>
      <c r="AO1262" s="114"/>
      <c r="AP1262" s="114"/>
      <c r="AQ1262" s="114"/>
      <c r="AR1262" s="114"/>
      <c r="AS1262" s="114"/>
      <c r="AT1262" s="114"/>
      <c r="AU1262" s="114"/>
      <c r="AV1262" s="114"/>
      <c r="AW1262" s="114"/>
      <c r="AX1262" s="114"/>
      <c r="AY1262" s="114"/>
      <c r="AZ1262" s="114"/>
      <c r="BA1262" s="114"/>
      <c r="BB1262" s="114"/>
      <c r="BC1262" s="114"/>
      <c r="BD1262" s="114"/>
      <c r="BE1262" s="114"/>
    </row>
    <row r="1263">
      <c r="A1263" s="114"/>
      <c r="B1263" s="114"/>
      <c r="C1263" s="114"/>
      <c r="D1263" s="114"/>
      <c r="E1263" s="114"/>
      <c r="F1263" s="114"/>
      <c r="G1263" s="114"/>
      <c r="H1263" s="114"/>
      <c r="I1263" s="114"/>
      <c r="J1263" s="114"/>
      <c r="K1263" s="114"/>
      <c r="L1263" s="114"/>
      <c r="M1263" s="114"/>
      <c r="N1263" s="114"/>
      <c r="O1263" s="114"/>
      <c r="P1263" s="114"/>
      <c r="Q1263" s="114"/>
      <c r="R1263" s="114"/>
      <c r="S1263" s="114"/>
      <c r="T1263" s="114"/>
      <c r="U1263" s="114"/>
      <c r="V1263" s="114"/>
      <c r="W1263" s="114"/>
      <c r="X1263" s="115"/>
      <c r="Y1263" s="114"/>
      <c r="Z1263" s="117" t="s">
        <v>6916</v>
      </c>
      <c r="AA1263" s="117" t="s">
        <v>5789</v>
      </c>
      <c r="AB1263" s="114"/>
      <c r="AC1263" s="114"/>
      <c r="AD1263" s="114"/>
      <c r="AE1263" s="114"/>
      <c r="AF1263" s="114"/>
      <c r="AG1263" s="114"/>
      <c r="AH1263" s="114"/>
      <c r="AI1263" s="116"/>
      <c r="AJ1263" s="114"/>
      <c r="AK1263" s="114"/>
      <c r="AL1263" s="114"/>
      <c r="AM1263" s="114"/>
      <c r="AN1263" s="114"/>
      <c r="AO1263" s="114"/>
      <c r="AP1263" s="114"/>
      <c r="AQ1263" s="114"/>
      <c r="AR1263" s="114"/>
      <c r="AS1263" s="114"/>
      <c r="AT1263" s="114"/>
      <c r="AU1263" s="114"/>
      <c r="AV1263" s="114"/>
      <c r="AW1263" s="114"/>
      <c r="AX1263" s="114"/>
      <c r="AY1263" s="114"/>
      <c r="AZ1263" s="114"/>
      <c r="BA1263" s="114"/>
      <c r="BB1263" s="114"/>
      <c r="BC1263" s="114"/>
      <c r="BD1263" s="114"/>
      <c r="BE1263" s="114"/>
    </row>
    <row r="1264">
      <c r="A1264" s="114"/>
      <c r="B1264" s="114"/>
      <c r="C1264" s="114"/>
      <c r="D1264" s="114"/>
      <c r="E1264" s="114"/>
      <c r="F1264" s="114"/>
      <c r="G1264" s="114"/>
      <c r="H1264" s="114"/>
      <c r="I1264" s="114"/>
      <c r="J1264" s="114"/>
      <c r="K1264" s="114"/>
      <c r="L1264" s="114"/>
      <c r="M1264" s="114"/>
      <c r="N1264" s="114"/>
      <c r="O1264" s="114"/>
      <c r="P1264" s="114"/>
      <c r="Q1264" s="114"/>
      <c r="R1264" s="114"/>
      <c r="S1264" s="114"/>
      <c r="T1264" s="114"/>
      <c r="U1264" s="114"/>
      <c r="V1264" s="114"/>
      <c r="W1264" s="114"/>
      <c r="X1264" s="115"/>
      <c r="Y1264" s="114"/>
      <c r="Z1264" s="117" t="s">
        <v>6917</v>
      </c>
      <c r="AA1264" s="117" t="s">
        <v>5791</v>
      </c>
      <c r="AB1264" s="114"/>
      <c r="AC1264" s="114"/>
      <c r="AD1264" s="114"/>
      <c r="AE1264" s="114"/>
      <c r="AF1264" s="114"/>
      <c r="AG1264" s="114"/>
      <c r="AH1264" s="114"/>
      <c r="AI1264" s="116"/>
      <c r="AJ1264" s="114"/>
      <c r="AK1264" s="114"/>
      <c r="AL1264" s="114"/>
      <c r="AM1264" s="114"/>
      <c r="AN1264" s="114"/>
      <c r="AO1264" s="114"/>
      <c r="AP1264" s="114"/>
      <c r="AQ1264" s="114"/>
      <c r="AR1264" s="114"/>
      <c r="AS1264" s="114"/>
      <c r="AT1264" s="114"/>
      <c r="AU1264" s="114"/>
      <c r="AV1264" s="114"/>
      <c r="AW1264" s="114"/>
      <c r="AX1264" s="114"/>
      <c r="AY1264" s="114"/>
      <c r="AZ1264" s="114"/>
      <c r="BA1264" s="114"/>
      <c r="BB1264" s="114"/>
      <c r="BC1264" s="114"/>
      <c r="BD1264" s="114"/>
      <c r="BE1264" s="114"/>
    </row>
    <row r="1265">
      <c r="A1265" s="114"/>
      <c r="B1265" s="114"/>
      <c r="C1265" s="114"/>
      <c r="D1265" s="114"/>
      <c r="E1265" s="114"/>
      <c r="F1265" s="114"/>
      <c r="G1265" s="114"/>
      <c r="H1265" s="114"/>
      <c r="I1265" s="114"/>
      <c r="J1265" s="114"/>
      <c r="K1265" s="114"/>
      <c r="L1265" s="114"/>
      <c r="M1265" s="114"/>
      <c r="N1265" s="114"/>
      <c r="O1265" s="114"/>
      <c r="P1265" s="114"/>
      <c r="Q1265" s="114"/>
      <c r="R1265" s="114"/>
      <c r="S1265" s="114"/>
      <c r="T1265" s="114"/>
      <c r="U1265" s="114"/>
      <c r="V1265" s="114"/>
      <c r="W1265" s="114"/>
      <c r="X1265" s="115"/>
      <c r="Y1265" s="114"/>
      <c r="Z1265" s="117" t="s">
        <v>6918</v>
      </c>
      <c r="AA1265" s="117" t="s">
        <v>5792</v>
      </c>
      <c r="AB1265" s="114"/>
      <c r="AC1265" s="114"/>
      <c r="AD1265" s="114"/>
      <c r="AE1265" s="114"/>
      <c r="AF1265" s="114"/>
      <c r="AG1265" s="114"/>
      <c r="AH1265" s="114"/>
      <c r="AI1265" s="116"/>
      <c r="AJ1265" s="114"/>
      <c r="AK1265" s="114"/>
      <c r="AL1265" s="114"/>
      <c r="AM1265" s="114"/>
      <c r="AN1265" s="114"/>
      <c r="AO1265" s="114"/>
      <c r="AP1265" s="114"/>
      <c r="AQ1265" s="114"/>
      <c r="AR1265" s="114"/>
      <c r="AS1265" s="114"/>
      <c r="AT1265" s="114"/>
      <c r="AU1265" s="114"/>
      <c r="AV1265" s="114"/>
      <c r="AW1265" s="114"/>
      <c r="AX1265" s="114"/>
      <c r="AY1265" s="114"/>
      <c r="AZ1265" s="114"/>
      <c r="BA1265" s="114"/>
      <c r="BB1265" s="114"/>
      <c r="BC1265" s="114"/>
      <c r="BD1265" s="114"/>
      <c r="BE1265" s="114"/>
    </row>
    <row r="1266">
      <c r="A1266" s="114"/>
      <c r="B1266" s="114"/>
      <c r="C1266" s="114"/>
      <c r="D1266" s="114"/>
      <c r="E1266" s="114"/>
      <c r="F1266" s="114"/>
      <c r="G1266" s="114"/>
      <c r="H1266" s="114"/>
      <c r="I1266" s="114"/>
      <c r="J1266" s="114"/>
      <c r="K1266" s="114"/>
      <c r="L1266" s="114"/>
      <c r="M1266" s="114"/>
      <c r="N1266" s="114"/>
      <c r="O1266" s="114"/>
      <c r="P1266" s="114"/>
      <c r="Q1266" s="114"/>
      <c r="R1266" s="114"/>
      <c r="S1266" s="114"/>
      <c r="T1266" s="114"/>
      <c r="U1266" s="114"/>
      <c r="V1266" s="114"/>
      <c r="W1266" s="114"/>
      <c r="X1266" s="115"/>
      <c r="Y1266" s="114"/>
      <c r="Z1266" s="117" t="s">
        <v>6919</v>
      </c>
      <c r="AA1266" s="117" t="s">
        <v>5790</v>
      </c>
      <c r="AB1266" s="114"/>
      <c r="AC1266" s="114"/>
      <c r="AD1266" s="114"/>
      <c r="AE1266" s="114"/>
      <c r="AF1266" s="114"/>
      <c r="AG1266" s="114"/>
      <c r="AH1266" s="114"/>
      <c r="AI1266" s="116"/>
      <c r="AJ1266" s="114"/>
      <c r="AK1266" s="114"/>
      <c r="AL1266" s="114"/>
      <c r="AM1266" s="114"/>
      <c r="AN1266" s="114"/>
      <c r="AO1266" s="114"/>
      <c r="AP1266" s="114"/>
      <c r="AQ1266" s="114"/>
      <c r="AR1266" s="114"/>
      <c r="AS1266" s="114"/>
      <c r="AT1266" s="114"/>
      <c r="AU1266" s="114"/>
      <c r="AV1266" s="114"/>
      <c r="AW1266" s="114"/>
      <c r="AX1266" s="114"/>
      <c r="AY1266" s="114"/>
      <c r="AZ1266" s="114"/>
      <c r="BA1266" s="114"/>
      <c r="BB1266" s="114"/>
      <c r="BC1266" s="114"/>
      <c r="BD1266" s="114"/>
      <c r="BE1266" s="114"/>
    </row>
    <row r="1267">
      <c r="A1267" s="114"/>
      <c r="B1267" s="114"/>
      <c r="C1267" s="114"/>
      <c r="D1267" s="114"/>
      <c r="E1267" s="114"/>
      <c r="F1267" s="114"/>
      <c r="G1267" s="114"/>
      <c r="H1267" s="114"/>
      <c r="I1267" s="114"/>
      <c r="J1267" s="114"/>
      <c r="K1267" s="114"/>
      <c r="L1267" s="114"/>
      <c r="M1267" s="114"/>
      <c r="N1267" s="114"/>
      <c r="O1267" s="114"/>
      <c r="P1267" s="114"/>
      <c r="Q1267" s="114"/>
      <c r="R1267" s="114"/>
      <c r="S1267" s="114"/>
      <c r="T1267" s="114"/>
      <c r="U1267" s="114"/>
      <c r="V1267" s="114"/>
      <c r="W1267" s="114"/>
      <c r="X1267" s="115"/>
      <c r="Y1267" s="114"/>
      <c r="Z1267" s="117" t="s">
        <v>6920</v>
      </c>
      <c r="AA1267" s="117" t="s">
        <v>5797</v>
      </c>
      <c r="AB1267" s="114"/>
      <c r="AC1267" s="114"/>
      <c r="AD1267" s="114"/>
      <c r="AE1267" s="114"/>
      <c r="AF1267" s="114"/>
      <c r="AG1267" s="114"/>
      <c r="AH1267" s="114"/>
      <c r="AI1267" s="116"/>
      <c r="AJ1267" s="114"/>
      <c r="AK1267" s="114"/>
      <c r="AL1267" s="114"/>
      <c r="AM1267" s="114"/>
      <c r="AN1267" s="114"/>
      <c r="AO1267" s="114"/>
      <c r="AP1267" s="114"/>
      <c r="AQ1267" s="114"/>
      <c r="AR1267" s="114"/>
      <c r="AS1267" s="114"/>
      <c r="AT1267" s="114"/>
      <c r="AU1267" s="114"/>
      <c r="AV1267" s="114"/>
      <c r="AW1267" s="114"/>
      <c r="AX1267" s="114"/>
      <c r="AY1267" s="114"/>
      <c r="AZ1267" s="114"/>
      <c r="BA1267" s="114"/>
      <c r="BB1267" s="114"/>
      <c r="BC1267" s="114"/>
      <c r="BD1267" s="114"/>
      <c r="BE1267" s="114"/>
    </row>
    <row r="1268">
      <c r="A1268" s="114"/>
      <c r="B1268" s="114"/>
      <c r="C1268" s="114"/>
      <c r="D1268" s="114"/>
      <c r="E1268" s="114"/>
      <c r="F1268" s="114"/>
      <c r="G1268" s="114"/>
      <c r="H1268" s="114"/>
      <c r="I1268" s="114"/>
      <c r="J1268" s="114"/>
      <c r="K1268" s="114"/>
      <c r="L1268" s="114"/>
      <c r="M1268" s="114"/>
      <c r="N1268" s="114"/>
      <c r="O1268" s="114"/>
      <c r="P1268" s="114"/>
      <c r="Q1268" s="114"/>
      <c r="R1268" s="114"/>
      <c r="S1268" s="114"/>
      <c r="T1268" s="114"/>
      <c r="U1268" s="114"/>
      <c r="V1268" s="114"/>
      <c r="W1268" s="114"/>
      <c r="X1268" s="115"/>
      <c r="Y1268" s="114"/>
      <c r="Z1268" s="117" t="s">
        <v>6921</v>
      </c>
      <c r="AA1268" s="117" t="s">
        <v>5799</v>
      </c>
      <c r="AB1268" s="114"/>
      <c r="AC1268" s="114"/>
      <c r="AD1268" s="114"/>
      <c r="AE1268" s="114"/>
      <c r="AF1268" s="114"/>
      <c r="AG1268" s="114"/>
      <c r="AH1268" s="114"/>
      <c r="AI1268" s="116"/>
      <c r="AJ1268" s="114"/>
      <c r="AK1268" s="114"/>
      <c r="AL1268" s="114"/>
      <c r="AM1268" s="114"/>
      <c r="AN1268" s="114"/>
      <c r="AO1268" s="114"/>
      <c r="AP1268" s="114"/>
      <c r="AQ1268" s="114"/>
      <c r="AR1268" s="114"/>
      <c r="AS1268" s="114"/>
      <c r="AT1268" s="114"/>
      <c r="AU1268" s="114"/>
      <c r="AV1268" s="114"/>
      <c r="AW1268" s="114"/>
      <c r="AX1268" s="114"/>
      <c r="AY1268" s="114"/>
      <c r="AZ1268" s="114"/>
      <c r="BA1268" s="114"/>
      <c r="BB1268" s="114"/>
      <c r="BC1268" s="114"/>
      <c r="BD1268" s="114"/>
      <c r="BE1268" s="114"/>
    </row>
    <row r="1269">
      <c r="A1269" s="114"/>
      <c r="B1269" s="114"/>
      <c r="C1269" s="114"/>
      <c r="D1269" s="114"/>
      <c r="E1269" s="114"/>
      <c r="F1269" s="114"/>
      <c r="G1269" s="114"/>
      <c r="H1269" s="114"/>
      <c r="I1269" s="114"/>
      <c r="J1269" s="114"/>
      <c r="K1269" s="114"/>
      <c r="L1269" s="114"/>
      <c r="M1269" s="114"/>
      <c r="N1269" s="114"/>
      <c r="O1269" s="114"/>
      <c r="P1269" s="114"/>
      <c r="Q1269" s="114"/>
      <c r="R1269" s="114"/>
      <c r="S1269" s="114"/>
      <c r="T1269" s="114"/>
      <c r="U1269" s="114"/>
      <c r="V1269" s="114"/>
      <c r="W1269" s="114"/>
      <c r="X1269" s="115"/>
      <c r="Y1269" s="114"/>
      <c r="Z1269" s="117" t="s">
        <v>6922</v>
      </c>
      <c r="AA1269" s="117" t="s">
        <v>5800</v>
      </c>
      <c r="AB1269" s="114"/>
      <c r="AC1269" s="114"/>
      <c r="AD1269" s="114"/>
      <c r="AE1269" s="114"/>
      <c r="AF1269" s="114"/>
      <c r="AG1269" s="114"/>
      <c r="AH1269" s="114"/>
      <c r="AI1269" s="116"/>
      <c r="AJ1269" s="114"/>
      <c r="AK1269" s="114"/>
      <c r="AL1269" s="114"/>
      <c r="AM1269" s="114"/>
      <c r="AN1269" s="114"/>
      <c r="AO1269" s="114"/>
      <c r="AP1269" s="114"/>
      <c r="AQ1269" s="114"/>
      <c r="AR1269" s="114"/>
      <c r="AS1269" s="114"/>
      <c r="AT1269" s="114"/>
      <c r="AU1269" s="114"/>
      <c r="AV1269" s="114"/>
      <c r="AW1269" s="114"/>
      <c r="AX1269" s="114"/>
      <c r="AY1269" s="114"/>
      <c r="AZ1269" s="114"/>
      <c r="BA1269" s="114"/>
      <c r="BB1269" s="114"/>
      <c r="BC1269" s="114"/>
      <c r="BD1269" s="114"/>
      <c r="BE1269" s="114"/>
    </row>
    <row r="1270">
      <c r="A1270" s="114"/>
      <c r="B1270" s="114"/>
      <c r="C1270" s="114"/>
      <c r="D1270" s="114"/>
      <c r="E1270" s="114"/>
      <c r="F1270" s="114"/>
      <c r="G1270" s="114"/>
      <c r="H1270" s="114"/>
      <c r="I1270" s="114"/>
      <c r="J1270" s="114"/>
      <c r="K1270" s="114"/>
      <c r="L1270" s="114"/>
      <c r="M1270" s="114"/>
      <c r="N1270" s="114"/>
      <c r="O1270" s="114"/>
      <c r="P1270" s="114"/>
      <c r="Q1270" s="114"/>
      <c r="R1270" s="114"/>
      <c r="S1270" s="114"/>
      <c r="T1270" s="114"/>
      <c r="U1270" s="114"/>
      <c r="V1270" s="114"/>
      <c r="W1270" s="114"/>
      <c r="X1270" s="115"/>
      <c r="Y1270" s="114"/>
      <c r="Z1270" s="117" t="s">
        <v>6923</v>
      </c>
      <c r="AA1270" s="117" t="s">
        <v>5798</v>
      </c>
      <c r="AB1270" s="114"/>
      <c r="AC1270" s="114"/>
      <c r="AD1270" s="114"/>
      <c r="AE1270" s="114"/>
      <c r="AF1270" s="114"/>
      <c r="AG1270" s="114"/>
      <c r="AH1270" s="114"/>
      <c r="AI1270" s="116"/>
      <c r="AJ1270" s="114"/>
      <c r="AK1270" s="114"/>
      <c r="AL1270" s="114"/>
      <c r="AM1270" s="114"/>
      <c r="AN1270" s="114"/>
      <c r="AO1270" s="114"/>
      <c r="AP1270" s="114"/>
      <c r="AQ1270" s="114"/>
      <c r="AR1270" s="114"/>
      <c r="AS1270" s="114"/>
      <c r="AT1270" s="114"/>
      <c r="AU1270" s="114"/>
      <c r="AV1270" s="114"/>
      <c r="AW1270" s="114"/>
      <c r="AX1270" s="114"/>
      <c r="AY1270" s="114"/>
      <c r="AZ1270" s="114"/>
      <c r="BA1270" s="114"/>
      <c r="BB1270" s="114"/>
      <c r="BC1270" s="114"/>
      <c r="BD1270" s="114"/>
      <c r="BE1270" s="114"/>
    </row>
    <row r="1271">
      <c r="A1271" s="114"/>
      <c r="B1271" s="114"/>
      <c r="C1271" s="114"/>
      <c r="D1271" s="114"/>
      <c r="E1271" s="114"/>
      <c r="F1271" s="114"/>
      <c r="G1271" s="114"/>
      <c r="H1271" s="114"/>
      <c r="I1271" s="114"/>
      <c r="J1271" s="114"/>
      <c r="K1271" s="114"/>
      <c r="L1271" s="114"/>
      <c r="M1271" s="114"/>
      <c r="N1271" s="114"/>
      <c r="O1271" s="114"/>
      <c r="P1271" s="114"/>
      <c r="Q1271" s="114"/>
      <c r="R1271" s="114"/>
      <c r="S1271" s="114"/>
      <c r="T1271" s="114"/>
      <c r="U1271" s="114"/>
      <c r="V1271" s="114"/>
      <c r="W1271" s="114"/>
      <c r="X1271" s="115"/>
      <c r="Y1271" s="114"/>
      <c r="Z1271" s="117" t="s">
        <v>6924</v>
      </c>
      <c r="AA1271" s="117" t="s">
        <v>5805</v>
      </c>
      <c r="AB1271" s="114"/>
      <c r="AC1271" s="114"/>
      <c r="AD1271" s="114"/>
      <c r="AE1271" s="114"/>
      <c r="AF1271" s="114"/>
      <c r="AG1271" s="114"/>
      <c r="AH1271" s="114"/>
      <c r="AI1271" s="116"/>
      <c r="AJ1271" s="114"/>
      <c r="AK1271" s="114"/>
      <c r="AL1271" s="114"/>
      <c r="AM1271" s="114"/>
      <c r="AN1271" s="114"/>
      <c r="AO1271" s="114"/>
      <c r="AP1271" s="114"/>
      <c r="AQ1271" s="114"/>
      <c r="AR1271" s="114"/>
      <c r="AS1271" s="114"/>
      <c r="AT1271" s="114"/>
      <c r="AU1271" s="114"/>
      <c r="AV1271" s="114"/>
      <c r="AW1271" s="114"/>
      <c r="AX1271" s="114"/>
      <c r="AY1271" s="114"/>
      <c r="AZ1271" s="114"/>
      <c r="BA1271" s="114"/>
      <c r="BB1271" s="114"/>
      <c r="BC1271" s="114"/>
      <c r="BD1271" s="114"/>
      <c r="BE1271" s="114"/>
    </row>
    <row r="1272">
      <c r="A1272" s="114"/>
      <c r="B1272" s="114"/>
      <c r="C1272" s="114"/>
      <c r="D1272" s="114"/>
      <c r="E1272" s="114"/>
      <c r="F1272" s="114"/>
      <c r="G1272" s="114"/>
      <c r="H1272" s="114"/>
      <c r="I1272" s="114"/>
      <c r="J1272" s="114"/>
      <c r="K1272" s="114"/>
      <c r="L1272" s="114"/>
      <c r="M1272" s="114"/>
      <c r="N1272" s="114"/>
      <c r="O1272" s="114"/>
      <c r="P1272" s="114"/>
      <c r="Q1272" s="114"/>
      <c r="R1272" s="114"/>
      <c r="S1272" s="114"/>
      <c r="T1272" s="114"/>
      <c r="U1272" s="114"/>
      <c r="V1272" s="114"/>
      <c r="W1272" s="114"/>
      <c r="X1272" s="115"/>
      <c r="Y1272" s="114"/>
      <c r="Z1272" s="117" t="s">
        <v>6925</v>
      </c>
      <c r="AA1272" s="117" t="s">
        <v>5807</v>
      </c>
      <c r="AB1272" s="114"/>
      <c r="AC1272" s="114"/>
      <c r="AD1272" s="114"/>
      <c r="AE1272" s="114"/>
      <c r="AF1272" s="114"/>
      <c r="AG1272" s="114"/>
      <c r="AH1272" s="114"/>
      <c r="AI1272" s="116"/>
      <c r="AJ1272" s="114"/>
      <c r="AK1272" s="114"/>
      <c r="AL1272" s="114"/>
      <c r="AM1272" s="114"/>
      <c r="AN1272" s="114"/>
      <c r="AO1272" s="114"/>
      <c r="AP1272" s="114"/>
      <c r="AQ1272" s="114"/>
      <c r="AR1272" s="114"/>
      <c r="AS1272" s="114"/>
      <c r="AT1272" s="114"/>
      <c r="AU1272" s="114"/>
      <c r="AV1272" s="114"/>
      <c r="AW1272" s="114"/>
      <c r="AX1272" s="114"/>
      <c r="AY1272" s="114"/>
      <c r="AZ1272" s="114"/>
      <c r="BA1272" s="114"/>
      <c r="BB1272" s="114"/>
      <c r="BC1272" s="114"/>
      <c r="BD1272" s="114"/>
      <c r="BE1272" s="114"/>
    </row>
    <row r="1273">
      <c r="A1273" s="114"/>
      <c r="B1273" s="114"/>
      <c r="C1273" s="114"/>
      <c r="D1273" s="114"/>
      <c r="E1273" s="114"/>
      <c r="F1273" s="114"/>
      <c r="G1273" s="114"/>
      <c r="H1273" s="114"/>
      <c r="I1273" s="114"/>
      <c r="J1273" s="114"/>
      <c r="K1273" s="114"/>
      <c r="L1273" s="114"/>
      <c r="M1273" s="114"/>
      <c r="N1273" s="114"/>
      <c r="O1273" s="114"/>
      <c r="P1273" s="114"/>
      <c r="Q1273" s="114"/>
      <c r="R1273" s="114"/>
      <c r="S1273" s="114"/>
      <c r="T1273" s="114"/>
      <c r="U1273" s="114"/>
      <c r="V1273" s="114"/>
      <c r="W1273" s="114"/>
      <c r="X1273" s="115"/>
      <c r="Y1273" s="114"/>
      <c r="Z1273" s="117" t="s">
        <v>6926</v>
      </c>
      <c r="AA1273" s="117" t="s">
        <v>5808</v>
      </c>
      <c r="AB1273" s="114"/>
      <c r="AC1273" s="114"/>
      <c r="AD1273" s="114"/>
      <c r="AE1273" s="114"/>
      <c r="AF1273" s="114"/>
      <c r="AG1273" s="114"/>
      <c r="AH1273" s="114"/>
      <c r="AI1273" s="116"/>
      <c r="AJ1273" s="114"/>
      <c r="AK1273" s="114"/>
      <c r="AL1273" s="114"/>
      <c r="AM1273" s="114"/>
      <c r="AN1273" s="114"/>
      <c r="AO1273" s="114"/>
      <c r="AP1273" s="114"/>
      <c r="AQ1273" s="114"/>
      <c r="AR1273" s="114"/>
      <c r="AS1273" s="114"/>
      <c r="AT1273" s="114"/>
      <c r="AU1273" s="114"/>
      <c r="AV1273" s="114"/>
      <c r="AW1273" s="114"/>
      <c r="AX1273" s="114"/>
      <c r="AY1273" s="114"/>
      <c r="AZ1273" s="114"/>
      <c r="BA1273" s="114"/>
      <c r="BB1273" s="114"/>
      <c r="BC1273" s="114"/>
      <c r="BD1273" s="114"/>
      <c r="BE1273" s="114"/>
    </row>
    <row r="1274">
      <c r="A1274" s="114"/>
      <c r="B1274" s="114"/>
      <c r="C1274" s="114"/>
      <c r="D1274" s="114"/>
      <c r="E1274" s="114"/>
      <c r="F1274" s="114"/>
      <c r="G1274" s="114"/>
      <c r="H1274" s="114"/>
      <c r="I1274" s="114"/>
      <c r="J1274" s="114"/>
      <c r="K1274" s="114"/>
      <c r="L1274" s="114"/>
      <c r="M1274" s="114"/>
      <c r="N1274" s="114"/>
      <c r="O1274" s="114"/>
      <c r="P1274" s="114"/>
      <c r="Q1274" s="114"/>
      <c r="R1274" s="114"/>
      <c r="S1274" s="114"/>
      <c r="T1274" s="114"/>
      <c r="U1274" s="114"/>
      <c r="V1274" s="114"/>
      <c r="W1274" s="114"/>
      <c r="X1274" s="115"/>
      <c r="Y1274" s="114"/>
      <c r="Z1274" s="117" t="s">
        <v>6927</v>
      </c>
      <c r="AA1274" s="117" t="s">
        <v>5806</v>
      </c>
      <c r="AB1274" s="114"/>
      <c r="AC1274" s="114"/>
      <c r="AD1274" s="114"/>
      <c r="AE1274" s="114"/>
      <c r="AF1274" s="114"/>
      <c r="AG1274" s="114"/>
      <c r="AH1274" s="114"/>
      <c r="AI1274" s="116"/>
      <c r="AJ1274" s="114"/>
      <c r="AK1274" s="114"/>
      <c r="AL1274" s="114"/>
      <c r="AM1274" s="114"/>
      <c r="AN1274" s="114"/>
      <c r="AO1274" s="114"/>
      <c r="AP1274" s="114"/>
      <c r="AQ1274" s="114"/>
      <c r="AR1274" s="114"/>
      <c r="AS1274" s="114"/>
      <c r="AT1274" s="114"/>
      <c r="AU1274" s="114"/>
      <c r="AV1274" s="114"/>
      <c r="AW1274" s="114"/>
      <c r="AX1274" s="114"/>
      <c r="AY1274" s="114"/>
      <c r="AZ1274" s="114"/>
      <c r="BA1274" s="114"/>
      <c r="BB1274" s="114"/>
      <c r="BC1274" s="114"/>
      <c r="BD1274" s="114"/>
      <c r="BE1274" s="114"/>
    </row>
    <row r="1275">
      <c r="A1275" s="114"/>
      <c r="B1275" s="114"/>
      <c r="C1275" s="114"/>
      <c r="D1275" s="114"/>
      <c r="E1275" s="114"/>
      <c r="F1275" s="114"/>
      <c r="G1275" s="114"/>
      <c r="H1275" s="114"/>
      <c r="I1275" s="114"/>
      <c r="J1275" s="114"/>
      <c r="K1275" s="114"/>
      <c r="L1275" s="114"/>
      <c r="M1275" s="114"/>
      <c r="N1275" s="114"/>
      <c r="O1275" s="114"/>
      <c r="P1275" s="114"/>
      <c r="Q1275" s="114"/>
      <c r="R1275" s="114"/>
      <c r="S1275" s="114"/>
      <c r="T1275" s="114"/>
      <c r="U1275" s="114"/>
      <c r="V1275" s="114"/>
      <c r="W1275" s="114"/>
      <c r="X1275" s="115"/>
      <c r="Y1275" s="114"/>
      <c r="Z1275" s="117" t="s">
        <v>6928</v>
      </c>
      <c r="AA1275" s="117" t="s">
        <v>5813</v>
      </c>
      <c r="AB1275" s="114"/>
      <c r="AC1275" s="114"/>
      <c r="AD1275" s="114"/>
      <c r="AE1275" s="114"/>
      <c r="AF1275" s="114"/>
      <c r="AG1275" s="114"/>
      <c r="AH1275" s="114"/>
      <c r="AI1275" s="116"/>
      <c r="AJ1275" s="114"/>
      <c r="AK1275" s="114"/>
      <c r="AL1275" s="114"/>
      <c r="AM1275" s="114"/>
      <c r="AN1275" s="114"/>
      <c r="AO1275" s="114"/>
      <c r="AP1275" s="114"/>
      <c r="AQ1275" s="114"/>
      <c r="AR1275" s="114"/>
      <c r="AS1275" s="114"/>
      <c r="AT1275" s="114"/>
      <c r="AU1275" s="114"/>
      <c r="AV1275" s="114"/>
      <c r="AW1275" s="114"/>
      <c r="AX1275" s="114"/>
      <c r="AY1275" s="114"/>
      <c r="AZ1275" s="114"/>
      <c r="BA1275" s="114"/>
      <c r="BB1275" s="114"/>
      <c r="BC1275" s="114"/>
      <c r="BD1275" s="114"/>
      <c r="BE1275" s="114"/>
    </row>
    <row r="1276">
      <c r="A1276" s="114"/>
      <c r="B1276" s="114"/>
      <c r="C1276" s="114"/>
      <c r="D1276" s="114"/>
      <c r="E1276" s="114"/>
      <c r="F1276" s="114"/>
      <c r="G1276" s="114"/>
      <c r="H1276" s="114"/>
      <c r="I1276" s="114"/>
      <c r="J1276" s="114"/>
      <c r="K1276" s="114"/>
      <c r="L1276" s="114"/>
      <c r="M1276" s="114"/>
      <c r="N1276" s="114"/>
      <c r="O1276" s="114"/>
      <c r="P1276" s="114"/>
      <c r="Q1276" s="114"/>
      <c r="R1276" s="114"/>
      <c r="S1276" s="114"/>
      <c r="T1276" s="114"/>
      <c r="U1276" s="114"/>
      <c r="V1276" s="114"/>
      <c r="W1276" s="114"/>
      <c r="X1276" s="115"/>
      <c r="Y1276" s="114"/>
      <c r="Z1276" s="117" t="s">
        <v>6929</v>
      </c>
      <c r="AA1276" s="117" t="s">
        <v>5815</v>
      </c>
      <c r="AB1276" s="114"/>
      <c r="AC1276" s="114"/>
      <c r="AD1276" s="114"/>
      <c r="AE1276" s="114"/>
      <c r="AF1276" s="114"/>
      <c r="AG1276" s="114"/>
      <c r="AH1276" s="114"/>
      <c r="AI1276" s="116"/>
      <c r="AJ1276" s="114"/>
      <c r="AK1276" s="114"/>
      <c r="AL1276" s="114"/>
      <c r="AM1276" s="114"/>
      <c r="AN1276" s="114"/>
      <c r="AO1276" s="114"/>
      <c r="AP1276" s="114"/>
      <c r="AQ1276" s="114"/>
      <c r="AR1276" s="114"/>
      <c r="AS1276" s="114"/>
      <c r="AT1276" s="114"/>
      <c r="AU1276" s="114"/>
      <c r="AV1276" s="114"/>
      <c r="AW1276" s="114"/>
      <c r="AX1276" s="114"/>
      <c r="AY1276" s="114"/>
      <c r="AZ1276" s="114"/>
      <c r="BA1276" s="114"/>
      <c r="BB1276" s="114"/>
      <c r="BC1276" s="114"/>
      <c r="BD1276" s="114"/>
      <c r="BE1276" s="114"/>
    </row>
    <row r="1277">
      <c r="A1277" s="114"/>
      <c r="B1277" s="114"/>
      <c r="C1277" s="114"/>
      <c r="D1277" s="114"/>
      <c r="E1277" s="114"/>
      <c r="F1277" s="114"/>
      <c r="G1277" s="114"/>
      <c r="H1277" s="114"/>
      <c r="I1277" s="114"/>
      <c r="J1277" s="114"/>
      <c r="K1277" s="114"/>
      <c r="L1277" s="114"/>
      <c r="M1277" s="114"/>
      <c r="N1277" s="114"/>
      <c r="O1277" s="114"/>
      <c r="P1277" s="114"/>
      <c r="Q1277" s="114"/>
      <c r="R1277" s="114"/>
      <c r="S1277" s="114"/>
      <c r="T1277" s="114"/>
      <c r="U1277" s="114"/>
      <c r="V1277" s="114"/>
      <c r="W1277" s="114"/>
      <c r="X1277" s="115"/>
      <c r="Y1277" s="114"/>
      <c r="Z1277" s="117" t="s">
        <v>6930</v>
      </c>
      <c r="AA1277" s="117" t="s">
        <v>5816</v>
      </c>
      <c r="AB1277" s="114"/>
      <c r="AC1277" s="114"/>
      <c r="AD1277" s="114"/>
      <c r="AE1277" s="114"/>
      <c r="AF1277" s="114"/>
      <c r="AG1277" s="114"/>
      <c r="AH1277" s="114"/>
      <c r="AI1277" s="116"/>
      <c r="AJ1277" s="114"/>
      <c r="AK1277" s="114"/>
      <c r="AL1277" s="114"/>
      <c r="AM1277" s="114"/>
      <c r="AN1277" s="114"/>
      <c r="AO1277" s="114"/>
      <c r="AP1277" s="114"/>
      <c r="AQ1277" s="114"/>
      <c r="AR1277" s="114"/>
      <c r="AS1277" s="114"/>
      <c r="AT1277" s="114"/>
      <c r="AU1277" s="114"/>
      <c r="AV1277" s="114"/>
      <c r="AW1277" s="114"/>
      <c r="AX1277" s="114"/>
      <c r="AY1277" s="114"/>
      <c r="AZ1277" s="114"/>
      <c r="BA1277" s="114"/>
      <c r="BB1277" s="114"/>
      <c r="BC1277" s="114"/>
      <c r="BD1277" s="114"/>
      <c r="BE1277" s="114"/>
    </row>
    <row r="1278">
      <c r="A1278" s="114"/>
      <c r="B1278" s="114"/>
      <c r="C1278" s="114"/>
      <c r="D1278" s="114"/>
      <c r="E1278" s="114"/>
      <c r="F1278" s="114"/>
      <c r="G1278" s="114"/>
      <c r="H1278" s="114"/>
      <c r="I1278" s="114"/>
      <c r="J1278" s="114"/>
      <c r="K1278" s="114"/>
      <c r="L1278" s="114"/>
      <c r="M1278" s="114"/>
      <c r="N1278" s="114"/>
      <c r="O1278" s="114"/>
      <c r="P1278" s="114"/>
      <c r="Q1278" s="114"/>
      <c r="R1278" s="114"/>
      <c r="S1278" s="114"/>
      <c r="T1278" s="114"/>
      <c r="U1278" s="114"/>
      <c r="V1278" s="114"/>
      <c r="W1278" s="114"/>
      <c r="X1278" s="115"/>
      <c r="Y1278" s="114"/>
      <c r="Z1278" s="117" t="s">
        <v>6931</v>
      </c>
      <c r="AA1278" s="117" t="s">
        <v>5814</v>
      </c>
      <c r="AB1278" s="114"/>
      <c r="AC1278" s="114"/>
      <c r="AD1278" s="114"/>
      <c r="AE1278" s="114"/>
      <c r="AF1278" s="114"/>
      <c r="AG1278" s="114"/>
      <c r="AH1278" s="114"/>
      <c r="AI1278" s="116"/>
      <c r="AJ1278" s="114"/>
      <c r="AK1278" s="114"/>
      <c r="AL1278" s="114"/>
      <c r="AM1278" s="114"/>
      <c r="AN1278" s="114"/>
      <c r="AO1278" s="114"/>
      <c r="AP1278" s="114"/>
      <c r="AQ1278" s="114"/>
      <c r="AR1278" s="114"/>
      <c r="AS1278" s="114"/>
      <c r="AT1278" s="114"/>
      <c r="AU1278" s="114"/>
      <c r="AV1278" s="114"/>
      <c r="AW1278" s="114"/>
      <c r="AX1278" s="114"/>
      <c r="AY1278" s="114"/>
      <c r="AZ1278" s="114"/>
      <c r="BA1278" s="114"/>
      <c r="BB1278" s="114"/>
      <c r="BC1278" s="114"/>
      <c r="BD1278" s="114"/>
      <c r="BE1278" s="114"/>
    </row>
    <row r="1279">
      <c r="A1279" s="114"/>
      <c r="B1279" s="114"/>
      <c r="C1279" s="114"/>
      <c r="D1279" s="114"/>
      <c r="E1279" s="114"/>
      <c r="F1279" s="114"/>
      <c r="G1279" s="114"/>
      <c r="H1279" s="114"/>
      <c r="I1279" s="114"/>
      <c r="J1279" s="114"/>
      <c r="K1279" s="114"/>
      <c r="L1279" s="114"/>
      <c r="M1279" s="114"/>
      <c r="N1279" s="114"/>
      <c r="O1279" s="114"/>
      <c r="P1279" s="114"/>
      <c r="Q1279" s="114"/>
      <c r="R1279" s="114"/>
      <c r="S1279" s="114"/>
      <c r="T1279" s="114"/>
      <c r="U1279" s="114"/>
      <c r="V1279" s="114"/>
      <c r="W1279" s="114"/>
      <c r="X1279" s="115"/>
      <c r="Y1279" s="114"/>
      <c r="Z1279" s="117" t="s">
        <v>6932</v>
      </c>
      <c r="AA1279" s="117" t="s">
        <v>5821</v>
      </c>
      <c r="AB1279" s="114"/>
      <c r="AC1279" s="114"/>
      <c r="AD1279" s="114"/>
      <c r="AE1279" s="114"/>
      <c r="AF1279" s="114"/>
      <c r="AG1279" s="114"/>
      <c r="AH1279" s="114"/>
      <c r="AI1279" s="116"/>
      <c r="AJ1279" s="114"/>
      <c r="AK1279" s="114"/>
      <c r="AL1279" s="114"/>
      <c r="AM1279" s="114"/>
      <c r="AN1279" s="114"/>
      <c r="AO1279" s="114"/>
      <c r="AP1279" s="114"/>
      <c r="AQ1279" s="114"/>
      <c r="AR1279" s="114"/>
      <c r="AS1279" s="114"/>
      <c r="AT1279" s="114"/>
      <c r="AU1279" s="114"/>
      <c r="AV1279" s="114"/>
      <c r="AW1279" s="114"/>
      <c r="AX1279" s="114"/>
      <c r="AY1279" s="114"/>
      <c r="AZ1279" s="114"/>
      <c r="BA1279" s="114"/>
      <c r="BB1279" s="114"/>
      <c r="BC1279" s="114"/>
      <c r="BD1279" s="114"/>
      <c r="BE1279" s="114"/>
    </row>
    <row r="1280">
      <c r="A1280" s="114"/>
      <c r="B1280" s="114"/>
      <c r="C1280" s="114"/>
      <c r="D1280" s="114"/>
      <c r="E1280" s="114"/>
      <c r="F1280" s="114"/>
      <c r="G1280" s="114"/>
      <c r="H1280" s="114"/>
      <c r="I1280" s="114"/>
      <c r="J1280" s="114"/>
      <c r="K1280" s="114"/>
      <c r="L1280" s="114"/>
      <c r="M1280" s="114"/>
      <c r="N1280" s="114"/>
      <c r="O1280" s="114"/>
      <c r="P1280" s="114"/>
      <c r="Q1280" s="114"/>
      <c r="R1280" s="114"/>
      <c r="S1280" s="114"/>
      <c r="T1280" s="114"/>
      <c r="U1280" s="114"/>
      <c r="V1280" s="114"/>
      <c r="W1280" s="114"/>
      <c r="X1280" s="115"/>
      <c r="Y1280" s="114"/>
      <c r="Z1280" s="117" t="s">
        <v>6933</v>
      </c>
      <c r="AA1280" s="117" t="s">
        <v>5823</v>
      </c>
      <c r="AB1280" s="114"/>
      <c r="AC1280" s="114"/>
      <c r="AD1280" s="114"/>
      <c r="AE1280" s="114"/>
      <c r="AF1280" s="114"/>
      <c r="AG1280" s="114"/>
      <c r="AH1280" s="114"/>
      <c r="AI1280" s="116"/>
      <c r="AJ1280" s="114"/>
      <c r="AK1280" s="114"/>
      <c r="AL1280" s="114"/>
      <c r="AM1280" s="114"/>
      <c r="AN1280" s="114"/>
      <c r="AO1280" s="114"/>
      <c r="AP1280" s="114"/>
      <c r="AQ1280" s="114"/>
      <c r="AR1280" s="114"/>
      <c r="AS1280" s="114"/>
      <c r="AT1280" s="114"/>
      <c r="AU1280" s="114"/>
      <c r="AV1280" s="114"/>
      <c r="AW1280" s="114"/>
      <c r="AX1280" s="114"/>
      <c r="AY1280" s="114"/>
      <c r="AZ1280" s="114"/>
      <c r="BA1280" s="114"/>
      <c r="BB1280" s="114"/>
      <c r="BC1280" s="114"/>
      <c r="BD1280" s="114"/>
      <c r="BE1280" s="114"/>
    </row>
    <row r="1281">
      <c r="A1281" s="114"/>
      <c r="B1281" s="114"/>
      <c r="C1281" s="114"/>
      <c r="D1281" s="114"/>
      <c r="E1281" s="114"/>
      <c r="F1281" s="114"/>
      <c r="G1281" s="114"/>
      <c r="H1281" s="114"/>
      <c r="I1281" s="114"/>
      <c r="J1281" s="114"/>
      <c r="K1281" s="114"/>
      <c r="L1281" s="114"/>
      <c r="M1281" s="114"/>
      <c r="N1281" s="114"/>
      <c r="O1281" s="114"/>
      <c r="P1281" s="114"/>
      <c r="Q1281" s="114"/>
      <c r="R1281" s="114"/>
      <c r="S1281" s="114"/>
      <c r="T1281" s="114"/>
      <c r="U1281" s="114"/>
      <c r="V1281" s="114"/>
      <c r="W1281" s="114"/>
      <c r="X1281" s="115"/>
      <c r="Y1281" s="114"/>
      <c r="Z1281" s="117" t="s">
        <v>6934</v>
      </c>
      <c r="AA1281" s="117" t="s">
        <v>5824</v>
      </c>
      <c r="AB1281" s="114"/>
      <c r="AC1281" s="114"/>
      <c r="AD1281" s="114"/>
      <c r="AE1281" s="114"/>
      <c r="AF1281" s="114"/>
      <c r="AG1281" s="114"/>
      <c r="AH1281" s="114"/>
      <c r="AI1281" s="116"/>
      <c r="AJ1281" s="114"/>
      <c r="AK1281" s="114"/>
      <c r="AL1281" s="114"/>
      <c r="AM1281" s="114"/>
      <c r="AN1281" s="114"/>
      <c r="AO1281" s="114"/>
      <c r="AP1281" s="114"/>
      <c r="AQ1281" s="114"/>
      <c r="AR1281" s="114"/>
      <c r="AS1281" s="114"/>
      <c r="AT1281" s="114"/>
      <c r="AU1281" s="114"/>
      <c r="AV1281" s="114"/>
      <c r="AW1281" s="114"/>
      <c r="AX1281" s="114"/>
      <c r="AY1281" s="114"/>
      <c r="AZ1281" s="114"/>
      <c r="BA1281" s="114"/>
      <c r="BB1281" s="114"/>
      <c r="BC1281" s="114"/>
      <c r="BD1281" s="114"/>
      <c r="BE1281" s="114"/>
    </row>
    <row r="1282">
      <c r="A1282" s="114"/>
      <c r="B1282" s="114"/>
      <c r="C1282" s="114"/>
      <c r="D1282" s="114"/>
      <c r="E1282" s="114"/>
      <c r="F1282" s="114"/>
      <c r="G1282" s="114"/>
      <c r="H1282" s="114"/>
      <c r="I1282" s="114"/>
      <c r="J1282" s="114"/>
      <c r="K1282" s="114"/>
      <c r="L1282" s="114"/>
      <c r="M1282" s="114"/>
      <c r="N1282" s="114"/>
      <c r="O1282" s="114"/>
      <c r="P1282" s="114"/>
      <c r="Q1282" s="114"/>
      <c r="R1282" s="114"/>
      <c r="S1282" s="114"/>
      <c r="T1282" s="114"/>
      <c r="U1282" s="114"/>
      <c r="V1282" s="114"/>
      <c r="W1282" s="114"/>
      <c r="X1282" s="115"/>
      <c r="Y1282" s="114"/>
      <c r="Z1282" s="117" t="s">
        <v>6935</v>
      </c>
      <c r="AA1282" s="117" t="s">
        <v>5822</v>
      </c>
      <c r="AB1282" s="114"/>
      <c r="AC1282" s="114"/>
      <c r="AD1282" s="114"/>
      <c r="AE1282" s="114"/>
      <c r="AF1282" s="114"/>
      <c r="AG1282" s="114"/>
      <c r="AH1282" s="114"/>
      <c r="AI1282" s="116"/>
      <c r="AJ1282" s="114"/>
      <c r="AK1282" s="114"/>
      <c r="AL1282" s="114"/>
      <c r="AM1282" s="114"/>
      <c r="AN1282" s="114"/>
      <c r="AO1282" s="114"/>
      <c r="AP1282" s="114"/>
      <c r="AQ1282" s="114"/>
      <c r="AR1282" s="114"/>
      <c r="AS1282" s="114"/>
      <c r="AT1282" s="114"/>
      <c r="AU1282" s="114"/>
      <c r="AV1282" s="114"/>
      <c r="AW1282" s="114"/>
      <c r="AX1282" s="114"/>
      <c r="AY1282" s="114"/>
      <c r="AZ1282" s="114"/>
      <c r="BA1282" s="114"/>
      <c r="BB1282" s="114"/>
      <c r="BC1282" s="114"/>
      <c r="BD1282" s="114"/>
      <c r="BE1282" s="114"/>
    </row>
    <row r="1283">
      <c r="A1283" s="114"/>
      <c r="B1283" s="114"/>
      <c r="C1283" s="114"/>
      <c r="D1283" s="114"/>
      <c r="E1283" s="114"/>
      <c r="F1283" s="114"/>
      <c r="G1283" s="114"/>
      <c r="H1283" s="114"/>
      <c r="I1283" s="114"/>
      <c r="J1283" s="114"/>
      <c r="K1283" s="114"/>
      <c r="L1283" s="114"/>
      <c r="M1283" s="114"/>
      <c r="N1283" s="114"/>
      <c r="O1283" s="114"/>
      <c r="P1283" s="114"/>
      <c r="Q1283" s="114"/>
      <c r="R1283" s="114"/>
      <c r="S1283" s="114"/>
      <c r="T1283" s="114"/>
      <c r="U1283" s="114"/>
      <c r="V1283" s="114"/>
      <c r="W1283" s="114"/>
      <c r="X1283" s="115"/>
      <c r="Y1283" s="114"/>
      <c r="Z1283" s="117" t="s">
        <v>6936</v>
      </c>
      <c r="AA1283" s="117" t="s">
        <v>5829</v>
      </c>
      <c r="AB1283" s="114"/>
      <c r="AC1283" s="114"/>
      <c r="AD1283" s="114"/>
      <c r="AE1283" s="114"/>
      <c r="AF1283" s="114"/>
      <c r="AG1283" s="114"/>
      <c r="AH1283" s="114"/>
      <c r="AI1283" s="116"/>
      <c r="AJ1283" s="114"/>
      <c r="AK1283" s="114"/>
      <c r="AL1283" s="114"/>
      <c r="AM1283" s="114"/>
      <c r="AN1283" s="114"/>
      <c r="AO1283" s="114"/>
      <c r="AP1283" s="114"/>
      <c r="AQ1283" s="114"/>
      <c r="AR1283" s="114"/>
      <c r="AS1283" s="114"/>
      <c r="AT1283" s="114"/>
      <c r="AU1283" s="114"/>
      <c r="AV1283" s="114"/>
      <c r="AW1283" s="114"/>
      <c r="AX1283" s="114"/>
      <c r="AY1283" s="114"/>
      <c r="AZ1283" s="114"/>
      <c r="BA1283" s="114"/>
      <c r="BB1283" s="114"/>
      <c r="BC1283" s="114"/>
      <c r="BD1283" s="114"/>
      <c r="BE1283" s="114"/>
    </row>
    <row r="1284">
      <c r="A1284" s="114"/>
      <c r="B1284" s="114"/>
      <c r="C1284" s="114"/>
      <c r="D1284" s="114"/>
      <c r="E1284" s="114"/>
      <c r="F1284" s="114"/>
      <c r="G1284" s="114"/>
      <c r="H1284" s="114"/>
      <c r="I1284" s="114"/>
      <c r="J1284" s="114"/>
      <c r="K1284" s="114"/>
      <c r="L1284" s="114"/>
      <c r="M1284" s="114"/>
      <c r="N1284" s="114"/>
      <c r="O1284" s="114"/>
      <c r="P1284" s="114"/>
      <c r="Q1284" s="114"/>
      <c r="R1284" s="114"/>
      <c r="S1284" s="114"/>
      <c r="T1284" s="114"/>
      <c r="U1284" s="114"/>
      <c r="V1284" s="114"/>
      <c r="W1284" s="114"/>
      <c r="X1284" s="115"/>
      <c r="Y1284" s="114"/>
      <c r="Z1284" s="117" t="s">
        <v>6937</v>
      </c>
      <c r="AA1284" s="117" t="s">
        <v>5831</v>
      </c>
      <c r="AB1284" s="114"/>
      <c r="AC1284" s="114"/>
      <c r="AD1284" s="114"/>
      <c r="AE1284" s="114"/>
      <c r="AF1284" s="114"/>
      <c r="AG1284" s="114"/>
      <c r="AH1284" s="114"/>
      <c r="AI1284" s="116"/>
      <c r="AJ1284" s="114"/>
      <c r="AK1284" s="114"/>
      <c r="AL1284" s="114"/>
      <c r="AM1284" s="114"/>
      <c r="AN1284" s="114"/>
      <c r="AO1284" s="114"/>
      <c r="AP1284" s="114"/>
      <c r="AQ1284" s="114"/>
      <c r="AR1284" s="114"/>
      <c r="AS1284" s="114"/>
      <c r="AT1284" s="114"/>
      <c r="AU1284" s="114"/>
      <c r="AV1284" s="114"/>
      <c r="AW1284" s="114"/>
      <c r="AX1284" s="114"/>
      <c r="AY1284" s="114"/>
      <c r="AZ1284" s="114"/>
      <c r="BA1284" s="114"/>
      <c r="BB1284" s="114"/>
      <c r="BC1284" s="114"/>
      <c r="BD1284" s="114"/>
      <c r="BE1284" s="114"/>
    </row>
    <row r="1285">
      <c r="A1285" s="114"/>
      <c r="B1285" s="114"/>
      <c r="C1285" s="114"/>
      <c r="D1285" s="114"/>
      <c r="E1285" s="114"/>
      <c r="F1285" s="114"/>
      <c r="G1285" s="114"/>
      <c r="H1285" s="114"/>
      <c r="I1285" s="114"/>
      <c r="J1285" s="114"/>
      <c r="K1285" s="114"/>
      <c r="L1285" s="114"/>
      <c r="M1285" s="114"/>
      <c r="N1285" s="114"/>
      <c r="O1285" s="114"/>
      <c r="P1285" s="114"/>
      <c r="Q1285" s="114"/>
      <c r="R1285" s="114"/>
      <c r="S1285" s="114"/>
      <c r="T1285" s="114"/>
      <c r="U1285" s="114"/>
      <c r="V1285" s="114"/>
      <c r="W1285" s="114"/>
      <c r="X1285" s="115"/>
      <c r="Y1285" s="114"/>
      <c r="Z1285" s="117" t="s">
        <v>6938</v>
      </c>
      <c r="AA1285" s="117" t="s">
        <v>5832</v>
      </c>
      <c r="AB1285" s="114"/>
      <c r="AC1285" s="114"/>
      <c r="AD1285" s="114"/>
      <c r="AE1285" s="114"/>
      <c r="AF1285" s="114"/>
      <c r="AG1285" s="114"/>
      <c r="AH1285" s="114"/>
      <c r="AI1285" s="116"/>
      <c r="AJ1285" s="114"/>
      <c r="AK1285" s="114"/>
      <c r="AL1285" s="114"/>
      <c r="AM1285" s="114"/>
      <c r="AN1285" s="114"/>
      <c r="AO1285" s="114"/>
      <c r="AP1285" s="114"/>
      <c r="AQ1285" s="114"/>
      <c r="AR1285" s="114"/>
      <c r="AS1285" s="114"/>
      <c r="AT1285" s="114"/>
      <c r="AU1285" s="114"/>
      <c r="AV1285" s="114"/>
      <c r="AW1285" s="114"/>
      <c r="AX1285" s="114"/>
      <c r="AY1285" s="114"/>
      <c r="AZ1285" s="114"/>
      <c r="BA1285" s="114"/>
      <c r="BB1285" s="114"/>
      <c r="BC1285" s="114"/>
      <c r="BD1285" s="114"/>
      <c r="BE1285" s="114"/>
    </row>
    <row r="1286">
      <c r="A1286" s="114"/>
      <c r="B1286" s="114"/>
      <c r="C1286" s="114"/>
      <c r="D1286" s="114"/>
      <c r="E1286" s="114"/>
      <c r="F1286" s="114"/>
      <c r="G1286" s="114"/>
      <c r="H1286" s="114"/>
      <c r="I1286" s="114"/>
      <c r="J1286" s="114"/>
      <c r="K1286" s="114"/>
      <c r="L1286" s="114"/>
      <c r="M1286" s="114"/>
      <c r="N1286" s="114"/>
      <c r="O1286" s="114"/>
      <c r="P1286" s="114"/>
      <c r="Q1286" s="114"/>
      <c r="R1286" s="114"/>
      <c r="S1286" s="114"/>
      <c r="T1286" s="114"/>
      <c r="U1286" s="114"/>
      <c r="V1286" s="114"/>
      <c r="W1286" s="114"/>
      <c r="X1286" s="115"/>
      <c r="Y1286" s="114"/>
      <c r="Z1286" s="117" t="s">
        <v>6939</v>
      </c>
      <c r="AA1286" s="117" t="s">
        <v>5830</v>
      </c>
      <c r="AB1286" s="114"/>
      <c r="AC1286" s="114"/>
      <c r="AD1286" s="114"/>
      <c r="AE1286" s="114"/>
      <c r="AF1286" s="114"/>
      <c r="AG1286" s="114"/>
      <c r="AH1286" s="114"/>
      <c r="AI1286" s="116"/>
      <c r="AJ1286" s="114"/>
      <c r="AK1286" s="114"/>
      <c r="AL1286" s="114"/>
      <c r="AM1286" s="114"/>
      <c r="AN1286" s="114"/>
      <c r="AO1286" s="114"/>
      <c r="AP1286" s="114"/>
      <c r="AQ1286" s="114"/>
      <c r="AR1286" s="114"/>
      <c r="AS1286" s="114"/>
      <c r="AT1286" s="114"/>
      <c r="AU1286" s="114"/>
      <c r="AV1286" s="114"/>
      <c r="AW1286" s="114"/>
      <c r="AX1286" s="114"/>
      <c r="AY1286" s="114"/>
      <c r="AZ1286" s="114"/>
      <c r="BA1286" s="114"/>
      <c r="BB1286" s="114"/>
      <c r="BC1286" s="114"/>
      <c r="BD1286" s="114"/>
      <c r="BE1286" s="114"/>
    </row>
    <row r="1287">
      <c r="A1287" s="114"/>
      <c r="B1287" s="114"/>
      <c r="C1287" s="114"/>
      <c r="D1287" s="114"/>
      <c r="E1287" s="114"/>
      <c r="F1287" s="114"/>
      <c r="G1287" s="114"/>
      <c r="H1287" s="114"/>
      <c r="I1287" s="114"/>
      <c r="J1287" s="114"/>
      <c r="K1287" s="114"/>
      <c r="L1287" s="114"/>
      <c r="M1287" s="114"/>
      <c r="N1287" s="114"/>
      <c r="O1287" s="114"/>
      <c r="P1287" s="114"/>
      <c r="Q1287" s="114"/>
      <c r="R1287" s="114"/>
      <c r="S1287" s="114"/>
      <c r="T1287" s="114"/>
      <c r="U1287" s="114"/>
      <c r="V1287" s="114"/>
      <c r="W1287" s="114"/>
      <c r="X1287" s="115"/>
      <c r="Y1287" s="114"/>
      <c r="Z1287" s="117" t="s">
        <v>6940</v>
      </c>
      <c r="AA1287" s="117" t="s">
        <v>5837</v>
      </c>
      <c r="AB1287" s="114"/>
      <c r="AC1287" s="114"/>
      <c r="AD1287" s="114"/>
      <c r="AE1287" s="114"/>
      <c r="AF1287" s="114"/>
      <c r="AG1287" s="114"/>
      <c r="AH1287" s="114"/>
      <c r="AI1287" s="116"/>
      <c r="AJ1287" s="114"/>
      <c r="AK1287" s="114"/>
      <c r="AL1287" s="114"/>
      <c r="AM1287" s="114"/>
      <c r="AN1287" s="114"/>
      <c r="AO1287" s="114"/>
      <c r="AP1287" s="114"/>
      <c r="AQ1287" s="114"/>
      <c r="AR1287" s="114"/>
      <c r="AS1287" s="114"/>
      <c r="AT1287" s="114"/>
      <c r="AU1287" s="114"/>
      <c r="AV1287" s="114"/>
      <c r="AW1287" s="114"/>
      <c r="AX1287" s="114"/>
      <c r="AY1287" s="114"/>
      <c r="AZ1287" s="114"/>
      <c r="BA1287" s="114"/>
      <c r="BB1287" s="114"/>
      <c r="BC1287" s="114"/>
      <c r="BD1287" s="114"/>
      <c r="BE1287" s="114"/>
    </row>
    <row r="1288">
      <c r="A1288" s="114"/>
      <c r="B1288" s="114"/>
      <c r="C1288" s="114"/>
      <c r="D1288" s="114"/>
      <c r="E1288" s="114"/>
      <c r="F1288" s="114"/>
      <c r="G1288" s="114"/>
      <c r="H1288" s="114"/>
      <c r="I1288" s="114"/>
      <c r="J1288" s="114"/>
      <c r="K1288" s="114"/>
      <c r="L1288" s="114"/>
      <c r="M1288" s="114"/>
      <c r="N1288" s="114"/>
      <c r="O1288" s="114"/>
      <c r="P1288" s="114"/>
      <c r="Q1288" s="114"/>
      <c r="R1288" s="114"/>
      <c r="S1288" s="114"/>
      <c r="T1288" s="114"/>
      <c r="U1288" s="114"/>
      <c r="V1288" s="114"/>
      <c r="W1288" s="114"/>
      <c r="X1288" s="115"/>
      <c r="Y1288" s="114"/>
      <c r="Z1288" s="117" t="s">
        <v>6941</v>
      </c>
      <c r="AA1288" s="117" t="s">
        <v>5839</v>
      </c>
      <c r="AB1288" s="114"/>
      <c r="AC1288" s="114"/>
      <c r="AD1288" s="114"/>
      <c r="AE1288" s="114"/>
      <c r="AF1288" s="114"/>
      <c r="AG1288" s="114"/>
      <c r="AH1288" s="114"/>
      <c r="AI1288" s="116"/>
      <c r="AJ1288" s="114"/>
      <c r="AK1288" s="114"/>
      <c r="AL1288" s="114"/>
      <c r="AM1288" s="114"/>
      <c r="AN1288" s="114"/>
      <c r="AO1288" s="114"/>
      <c r="AP1288" s="114"/>
      <c r="AQ1288" s="114"/>
      <c r="AR1288" s="114"/>
      <c r="AS1288" s="114"/>
      <c r="AT1288" s="114"/>
      <c r="AU1288" s="114"/>
      <c r="AV1288" s="114"/>
      <c r="AW1288" s="114"/>
      <c r="AX1288" s="114"/>
      <c r="AY1288" s="114"/>
      <c r="AZ1288" s="114"/>
      <c r="BA1288" s="114"/>
      <c r="BB1288" s="114"/>
      <c r="BC1288" s="114"/>
      <c r="BD1288" s="114"/>
      <c r="BE1288" s="114"/>
    </row>
    <row r="1289">
      <c r="A1289" s="114"/>
      <c r="B1289" s="114"/>
      <c r="C1289" s="114"/>
      <c r="D1289" s="114"/>
      <c r="E1289" s="114"/>
      <c r="F1289" s="114"/>
      <c r="G1289" s="114"/>
      <c r="H1289" s="114"/>
      <c r="I1289" s="114"/>
      <c r="J1289" s="114"/>
      <c r="K1289" s="114"/>
      <c r="L1289" s="114"/>
      <c r="M1289" s="114"/>
      <c r="N1289" s="114"/>
      <c r="O1289" s="114"/>
      <c r="P1289" s="114"/>
      <c r="Q1289" s="114"/>
      <c r="R1289" s="114"/>
      <c r="S1289" s="114"/>
      <c r="T1289" s="114"/>
      <c r="U1289" s="114"/>
      <c r="V1289" s="114"/>
      <c r="W1289" s="114"/>
      <c r="X1289" s="115"/>
      <c r="Y1289" s="114"/>
      <c r="Z1289" s="117" t="s">
        <v>6942</v>
      </c>
      <c r="AA1289" s="117" t="s">
        <v>5840</v>
      </c>
      <c r="AB1289" s="114"/>
      <c r="AC1289" s="114"/>
      <c r="AD1289" s="114"/>
      <c r="AE1289" s="114"/>
      <c r="AF1289" s="114"/>
      <c r="AG1289" s="114"/>
      <c r="AH1289" s="114"/>
      <c r="AI1289" s="116"/>
      <c r="AJ1289" s="114"/>
      <c r="AK1289" s="114"/>
      <c r="AL1289" s="114"/>
      <c r="AM1289" s="114"/>
      <c r="AN1289" s="114"/>
      <c r="AO1289" s="114"/>
      <c r="AP1289" s="114"/>
      <c r="AQ1289" s="114"/>
      <c r="AR1289" s="114"/>
      <c r="AS1289" s="114"/>
      <c r="AT1289" s="114"/>
      <c r="AU1289" s="114"/>
      <c r="AV1289" s="114"/>
      <c r="AW1289" s="114"/>
      <c r="AX1289" s="114"/>
      <c r="AY1289" s="114"/>
      <c r="AZ1289" s="114"/>
      <c r="BA1289" s="114"/>
      <c r="BB1289" s="114"/>
      <c r="BC1289" s="114"/>
      <c r="BD1289" s="114"/>
      <c r="BE1289" s="114"/>
    </row>
    <row r="1290">
      <c r="A1290" s="114"/>
      <c r="B1290" s="114"/>
      <c r="C1290" s="114"/>
      <c r="D1290" s="114"/>
      <c r="E1290" s="114"/>
      <c r="F1290" s="114"/>
      <c r="G1290" s="114"/>
      <c r="H1290" s="114"/>
      <c r="I1290" s="114"/>
      <c r="J1290" s="114"/>
      <c r="K1290" s="114"/>
      <c r="L1290" s="114"/>
      <c r="M1290" s="114"/>
      <c r="N1290" s="114"/>
      <c r="O1290" s="114"/>
      <c r="P1290" s="114"/>
      <c r="Q1290" s="114"/>
      <c r="R1290" s="114"/>
      <c r="S1290" s="114"/>
      <c r="T1290" s="114"/>
      <c r="U1290" s="114"/>
      <c r="V1290" s="114"/>
      <c r="W1290" s="114"/>
      <c r="X1290" s="115"/>
      <c r="Y1290" s="114"/>
      <c r="Z1290" s="117" t="s">
        <v>6943</v>
      </c>
      <c r="AA1290" s="117" t="s">
        <v>5838</v>
      </c>
      <c r="AB1290" s="114"/>
      <c r="AC1290" s="114"/>
      <c r="AD1290" s="114"/>
      <c r="AE1290" s="114"/>
      <c r="AF1290" s="114"/>
      <c r="AG1290" s="114"/>
      <c r="AH1290" s="114"/>
      <c r="AI1290" s="116"/>
      <c r="AJ1290" s="114"/>
      <c r="AK1290" s="114"/>
      <c r="AL1290" s="114"/>
      <c r="AM1290" s="114"/>
      <c r="AN1290" s="114"/>
      <c r="AO1290" s="114"/>
      <c r="AP1290" s="114"/>
      <c r="AQ1290" s="114"/>
      <c r="AR1290" s="114"/>
      <c r="AS1290" s="114"/>
      <c r="AT1290" s="114"/>
      <c r="AU1290" s="114"/>
      <c r="AV1290" s="114"/>
      <c r="AW1290" s="114"/>
      <c r="AX1290" s="114"/>
      <c r="AY1290" s="114"/>
      <c r="AZ1290" s="114"/>
      <c r="BA1290" s="114"/>
      <c r="BB1290" s="114"/>
      <c r="BC1290" s="114"/>
      <c r="BD1290" s="114"/>
      <c r="BE1290" s="114"/>
    </row>
    <row r="1291">
      <c r="A1291" s="114"/>
      <c r="B1291" s="114"/>
      <c r="C1291" s="114"/>
      <c r="D1291" s="114"/>
      <c r="E1291" s="114"/>
      <c r="F1291" s="114"/>
      <c r="G1291" s="114"/>
      <c r="H1291" s="114"/>
      <c r="I1291" s="114"/>
      <c r="J1291" s="114"/>
      <c r="K1291" s="114"/>
      <c r="L1291" s="114"/>
      <c r="M1291" s="114"/>
      <c r="N1291" s="114"/>
      <c r="O1291" s="114"/>
      <c r="P1291" s="114"/>
      <c r="Q1291" s="114"/>
      <c r="R1291" s="114"/>
      <c r="S1291" s="114"/>
      <c r="T1291" s="114"/>
      <c r="U1291" s="114"/>
      <c r="V1291" s="114"/>
      <c r="W1291" s="114"/>
      <c r="X1291" s="115"/>
      <c r="Y1291" s="114"/>
      <c r="Z1291" s="117" t="s">
        <v>6944</v>
      </c>
      <c r="AA1291" s="117" t="s">
        <v>5845</v>
      </c>
      <c r="AB1291" s="114"/>
      <c r="AC1291" s="114"/>
      <c r="AD1291" s="114"/>
      <c r="AE1291" s="114"/>
      <c r="AF1291" s="114"/>
      <c r="AG1291" s="114"/>
      <c r="AH1291" s="114"/>
      <c r="AI1291" s="116"/>
      <c r="AJ1291" s="114"/>
      <c r="AK1291" s="114"/>
      <c r="AL1291" s="114"/>
      <c r="AM1291" s="114"/>
      <c r="AN1291" s="114"/>
      <c r="AO1291" s="114"/>
      <c r="AP1291" s="114"/>
      <c r="AQ1291" s="114"/>
      <c r="AR1291" s="114"/>
      <c r="AS1291" s="114"/>
      <c r="AT1291" s="114"/>
      <c r="AU1291" s="114"/>
      <c r="AV1291" s="114"/>
      <c r="AW1291" s="114"/>
      <c r="AX1291" s="114"/>
      <c r="AY1291" s="114"/>
      <c r="AZ1291" s="114"/>
      <c r="BA1291" s="114"/>
      <c r="BB1291" s="114"/>
      <c r="BC1291" s="114"/>
      <c r="BD1291" s="114"/>
      <c r="BE1291" s="114"/>
    </row>
    <row r="1292">
      <c r="A1292" s="114"/>
      <c r="B1292" s="114"/>
      <c r="C1292" s="114"/>
      <c r="D1292" s="114"/>
      <c r="E1292" s="114"/>
      <c r="F1292" s="114"/>
      <c r="G1292" s="114"/>
      <c r="H1292" s="114"/>
      <c r="I1292" s="114"/>
      <c r="J1292" s="114"/>
      <c r="K1292" s="114"/>
      <c r="L1292" s="114"/>
      <c r="M1292" s="114"/>
      <c r="N1292" s="114"/>
      <c r="O1292" s="114"/>
      <c r="P1292" s="114"/>
      <c r="Q1292" s="114"/>
      <c r="R1292" s="114"/>
      <c r="S1292" s="114"/>
      <c r="T1292" s="114"/>
      <c r="U1292" s="114"/>
      <c r="V1292" s="114"/>
      <c r="W1292" s="114"/>
      <c r="X1292" s="115"/>
      <c r="Y1292" s="114"/>
      <c r="Z1292" s="117" t="s">
        <v>6945</v>
      </c>
      <c r="AA1292" s="117" t="s">
        <v>5847</v>
      </c>
      <c r="AB1292" s="114"/>
      <c r="AC1292" s="114"/>
      <c r="AD1292" s="114"/>
      <c r="AE1292" s="114"/>
      <c r="AF1292" s="114"/>
      <c r="AG1292" s="114"/>
      <c r="AH1292" s="114"/>
      <c r="AI1292" s="116"/>
      <c r="AJ1292" s="114"/>
      <c r="AK1292" s="114"/>
      <c r="AL1292" s="114"/>
      <c r="AM1292" s="114"/>
      <c r="AN1292" s="114"/>
      <c r="AO1292" s="114"/>
      <c r="AP1292" s="114"/>
      <c r="AQ1292" s="114"/>
      <c r="AR1292" s="114"/>
      <c r="AS1292" s="114"/>
      <c r="AT1292" s="114"/>
      <c r="AU1292" s="114"/>
      <c r="AV1292" s="114"/>
      <c r="AW1292" s="114"/>
      <c r="AX1292" s="114"/>
      <c r="AY1292" s="114"/>
      <c r="AZ1292" s="114"/>
      <c r="BA1292" s="114"/>
      <c r="BB1292" s="114"/>
      <c r="BC1292" s="114"/>
      <c r="BD1292" s="114"/>
      <c r="BE1292" s="114"/>
    </row>
    <row r="1293">
      <c r="A1293" s="114"/>
      <c r="B1293" s="114"/>
      <c r="C1293" s="114"/>
      <c r="D1293" s="114"/>
      <c r="E1293" s="114"/>
      <c r="F1293" s="114"/>
      <c r="G1293" s="114"/>
      <c r="H1293" s="114"/>
      <c r="I1293" s="114"/>
      <c r="J1293" s="114"/>
      <c r="K1293" s="114"/>
      <c r="L1293" s="114"/>
      <c r="M1293" s="114"/>
      <c r="N1293" s="114"/>
      <c r="O1293" s="114"/>
      <c r="P1293" s="114"/>
      <c r="Q1293" s="114"/>
      <c r="R1293" s="114"/>
      <c r="S1293" s="114"/>
      <c r="T1293" s="114"/>
      <c r="U1293" s="114"/>
      <c r="V1293" s="114"/>
      <c r="W1293" s="114"/>
      <c r="X1293" s="115"/>
      <c r="Y1293" s="114"/>
      <c r="Z1293" s="117" t="s">
        <v>6946</v>
      </c>
      <c r="AA1293" s="117" t="s">
        <v>5848</v>
      </c>
      <c r="AB1293" s="114"/>
      <c r="AC1293" s="114"/>
      <c r="AD1293" s="114"/>
      <c r="AE1293" s="114"/>
      <c r="AF1293" s="114"/>
      <c r="AG1293" s="114"/>
      <c r="AH1293" s="114"/>
      <c r="AI1293" s="116"/>
      <c r="AJ1293" s="114"/>
      <c r="AK1293" s="114"/>
      <c r="AL1293" s="114"/>
      <c r="AM1293" s="114"/>
      <c r="AN1293" s="114"/>
      <c r="AO1293" s="114"/>
      <c r="AP1293" s="114"/>
      <c r="AQ1293" s="114"/>
      <c r="AR1293" s="114"/>
      <c r="AS1293" s="114"/>
      <c r="AT1293" s="114"/>
      <c r="AU1293" s="114"/>
      <c r="AV1293" s="114"/>
      <c r="AW1293" s="114"/>
      <c r="AX1293" s="114"/>
      <c r="AY1293" s="114"/>
      <c r="AZ1293" s="114"/>
      <c r="BA1293" s="114"/>
      <c r="BB1293" s="114"/>
      <c r="BC1293" s="114"/>
      <c r="BD1293" s="114"/>
      <c r="BE1293" s="114"/>
    </row>
    <row r="1294">
      <c r="A1294" s="114"/>
      <c r="B1294" s="114"/>
      <c r="C1294" s="114"/>
      <c r="D1294" s="114"/>
      <c r="E1294" s="114"/>
      <c r="F1294" s="114"/>
      <c r="G1294" s="114"/>
      <c r="H1294" s="114"/>
      <c r="I1294" s="114"/>
      <c r="J1294" s="114"/>
      <c r="K1294" s="114"/>
      <c r="L1294" s="114"/>
      <c r="M1294" s="114"/>
      <c r="N1294" s="114"/>
      <c r="O1294" s="114"/>
      <c r="P1294" s="114"/>
      <c r="Q1294" s="114"/>
      <c r="R1294" s="114"/>
      <c r="S1294" s="114"/>
      <c r="T1294" s="114"/>
      <c r="U1294" s="114"/>
      <c r="V1294" s="114"/>
      <c r="W1294" s="114"/>
      <c r="X1294" s="115"/>
      <c r="Y1294" s="114"/>
      <c r="Z1294" s="117" t="s">
        <v>6947</v>
      </c>
      <c r="AA1294" s="117" t="s">
        <v>5846</v>
      </c>
      <c r="AB1294" s="114"/>
      <c r="AC1294" s="114"/>
      <c r="AD1294" s="114"/>
      <c r="AE1294" s="114"/>
      <c r="AF1294" s="114"/>
      <c r="AG1294" s="114"/>
      <c r="AH1294" s="114"/>
      <c r="AI1294" s="116"/>
      <c r="AJ1294" s="114"/>
      <c r="AK1294" s="114"/>
      <c r="AL1294" s="114"/>
      <c r="AM1294" s="114"/>
      <c r="AN1294" s="114"/>
      <c r="AO1294" s="114"/>
      <c r="AP1294" s="114"/>
      <c r="AQ1294" s="114"/>
      <c r="AR1294" s="114"/>
      <c r="AS1294" s="114"/>
      <c r="AT1294" s="114"/>
      <c r="AU1294" s="114"/>
      <c r="AV1294" s="114"/>
      <c r="AW1294" s="114"/>
      <c r="AX1294" s="114"/>
      <c r="AY1294" s="114"/>
      <c r="AZ1294" s="114"/>
      <c r="BA1294" s="114"/>
      <c r="BB1294" s="114"/>
      <c r="BC1294" s="114"/>
      <c r="BD1294" s="114"/>
      <c r="BE1294" s="114"/>
    </row>
    <row r="1295">
      <c r="A1295" s="114"/>
      <c r="B1295" s="114"/>
      <c r="C1295" s="114"/>
      <c r="D1295" s="114"/>
      <c r="E1295" s="114"/>
      <c r="F1295" s="114"/>
      <c r="G1295" s="114"/>
      <c r="H1295" s="114"/>
      <c r="I1295" s="114"/>
      <c r="J1295" s="114"/>
      <c r="K1295" s="114"/>
      <c r="L1295" s="114"/>
      <c r="M1295" s="114"/>
      <c r="N1295" s="114"/>
      <c r="O1295" s="114"/>
      <c r="P1295" s="114"/>
      <c r="Q1295" s="114"/>
      <c r="R1295" s="114"/>
      <c r="S1295" s="114"/>
      <c r="T1295" s="114"/>
      <c r="U1295" s="114"/>
      <c r="V1295" s="114"/>
      <c r="W1295" s="114"/>
      <c r="X1295" s="115"/>
      <c r="Y1295" s="114"/>
      <c r="Z1295" s="117" t="s">
        <v>6948</v>
      </c>
      <c r="AA1295" s="117" t="s">
        <v>5853</v>
      </c>
      <c r="AB1295" s="114"/>
      <c r="AC1295" s="114"/>
      <c r="AD1295" s="114"/>
      <c r="AE1295" s="114"/>
      <c r="AF1295" s="114"/>
      <c r="AG1295" s="114"/>
      <c r="AH1295" s="114"/>
      <c r="AI1295" s="116"/>
      <c r="AJ1295" s="114"/>
      <c r="AK1295" s="114"/>
      <c r="AL1295" s="114"/>
      <c r="AM1295" s="114"/>
      <c r="AN1295" s="114"/>
      <c r="AO1295" s="114"/>
      <c r="AP1295" s="114"/>
      <c r="AQ1295" s="114"/>
      <c r="AR1295" s="114"/>
      <c r="AS1295" s="114"/>
      <c r="AT1295" s="114"/>
      <c r="AU1295" s="114"/>
      <c r="AV1295" s="114"/>
      <c r="AW1295" s="114"/>
      <c r="AX1295" s="114"/>
      <c r="AY1295" s="114"/>
      <c r="AZ1295" s="114"/>
      <c r="BA1295" s="114"/>
      <c r="BB1295" s="114"/>
      <c r="BC1295" s="114"/>
      <c r="BD1295" s="114"/>
      <c r="BE1295" s="114"/>
    </row>
    <row r="1296">
      <c r="A1296" s="114"/>
      <c r="B1296" s="114"/>
      <c r="C1296" s="114"/>
      <c r="D1296" s="114"/>
      <c r="E1296" s="114"/>
      <c r="F1296" s="114"/>
      <c r="G1296" s="114"/>
      <c r="H1296" s="114"/>
      <c r="I1296" s="114"/>
      <c r="J1296" s="114"/>
      <c r="K1296" s="114"/>
      <c r="L1296" s="114"/>
      <c r="M1296" s="114"/>
      <c r="N1296" s="114"/>
      <c r="O1296" s="114"/>
      <c r="P1296" s="114"/>
      <c r="Q1296" s="114"/>
      <c r="R1296" s="114"/>
      <c r="S1296" s="114"/>
      <c r="T1296" s="114"/>
      <c r="U1296" s="114"/>
      <c r="V1296" s="114"/>
      <c r="W1296" s="114"/>
      <c r="X1296" s="115"/>
      <c r="Y1296" s="114"/>
      <c r="Z1296" s="117" t="s">
        <v>6949</v>
      </c>
      <c r="AA1296" s="117" t="s">
        <v>5855</v>
      </c>
      <c r="AB1296" s="114"/>
      <c r="AC1296" s="114"/>
      <c r="AD1296" s="114"/>
      <c r="AE1296" s="114"/>
      <c r="AF1296" s="114"/>
      <c r="AG1296" s="114"/>
      <c r="AH1296" s="114"/>
      <c r="AI1296" s="116"/>
      <c r="AJ1296" s="114"/>
      <c r="AK1296" s="114"/>
      <c r="AL1296" s="114"/>
      <c r="AM1296" s="114"/>
      <c r="AN1296" s="114"/>
      <c r="AO1296" s="114"/>
      <c r="AP1296" s="114"/>
      <c r="AQ1296" s="114"/>
      <c r="AR1296" s="114"/>
      <c r="AS1296" s="114"/>
      <c r="AT1296" s="114"/>
      <c r="AU1296" s="114"/>
      <c r="AV1296" s="114"/>
      <c r="AW1296" s="114"/>
      <c r="AX1296" s="114"/>
      <c r="AY1296" s="114"/>
      <c r="AZ1296" s="114"/>
      <c r="BA1296" s="114"/>
      <c r="BB1296" s="114"/>
      <c r="BC1296" s="114"/>
      <c r="BD1296" s="114"/>
      <c r="BE1296" s="114"/>
    </row>
    <row r="1297">
      <c r="A1297" s="114"/>
      <c r="B1297" s="114"/>
      <c r="C1297" s="114"/>
      <c r="D1297" s="114"/>
      <c r="E1297" s="114"/>
      <c r="F1297" s="114"/>
      <c r="G1297" s="114"/>
      <c r="H1297" s="114"/>
      <c r="I1297" s="114"/>
      <c r="J1297" s="114"/>
      <c r="K1297" s="114"/>
      <c r="L1297" s="114"/>
      <c r="M1297" s="114"/>
      <c r="N1297" s="114"/>
      <c r="O1297" s="114"/>
      <c r="P1297" s="114"/>
      <c r="Q1297" s="114"/>
      <c r="R1297" s="114"/>
      <c r="S1297" s="114"/>
      <c r="T1297" s="114"/>
      <c r="U1297" s="114"/>
      <c r="V1297" s="114"/>
      <c r="W1297" s="114"/>
      <c r="X1297" s="115"/>
      <c r="Y1297" s="114"/>
      <c r="Z1297" s="117" t="s">
        <v>6950</v>
      </c>
      <c r="AA1297" s="117" t="s">
        <v>5856</v>
      </c>
      <c r="AB1297" s="114"/>
      <c r="AC1297" s="114"/>
      <c r="AD1297" s="114"/>
      <c r="AE1297" s="114"/>
      <c r="AF1297" s="114"/>
      <c r="AG1297" s="114"/>
      <c r="AH1297" s="114"/>
      <c r="AI1297" s="116"/>
      <c r="AJ1297" s="114"/>
      <c r="AK1297" s="114"/>
      <c r="AL1297" s="114"/>
      <c r="AM1297" s="114"/>
      <c r="AN1297" s="114"/>
      <c r="AO1297" s="114"/>
      <c r="AP1297" s="114"/>
      <c r="AQ1297" s="114"/>
      <c r="AR1297" s="114"/>
      <c r="AS1297" s="114"/>
      <c r="AT1297" s="114"/>
      <c r="AU1297" s="114"/>
      <c r="AV1297" s="114"/>
      <c r="AW1297" s="114"/>
      <c r="AX1297" s="114"/>
      <c r="AY1297" s="114"/>
      <c r="AZ1297" s="114"/>
      <c r="BA1297" s="114"/>
      <c r="BB1297" s="114"/>
      <c r="BC1297" s="114"/>
      <c r="BD1297" s="114"/>
      <c r="BE1297" s="114"/>
    </row>
    <row r="1298">
      <c r="A1298" s="114"/>
      <c r="B1298" s="114"/>
      <c r="C1298" s="114"/>
      <c r="D1298" s="114"/>
      <c r="E1298" s="114"/>
      <c r="F1298" s="114"/>
      <c r="G1298" s="114"/>
      <c r="H1298" s="114"/>
      <c r="I1298" s="114"/>
      <c r="J1298" s="114"/>
      <c r="K1298" s="114"/>
      <c r="L1298" s="114"/>
      <c r="M1298" s="114"/>
      <c r="N1298" s="114"/>
      <c r="O1298" s="114"/>
      <c r="P1298" s="114"/>
      <c r="Q1298" s="114"/>
      <c r="R1298" s="114"/>
      <c r="S1298" s="114"/>
      <c r="T1298" s="114"/>
      <c r="U1298" s="114"/>
      <c r="V1298" s="114"/>
      <c r="W1298" s="114"/>
      <c r="X1298" s="115"/>
      <c r="Y1298" s="114"/>
      <c r="Z1298" s="117" t="s">
        <v>6951</v>
      </c>
      <c r="AA1298" s="117" t="s">
        <v>5854</v>
      </c>
      <c r="AB1298" s="114"/>
      <c r="AC1298" s="114"/>
      <c r="AD1298" s="114"/>
      <c r="AE1298" s="114"/>
      <c r="AF1298" s="114"/>
      <c r="AG1298" s="114"/>
      <c r="AH1298" s="114"/>
      <c r="AI1298" s="116"/>
      <c r="AJ1298" s="114"/>
      <c r="AK1298" s="114"/>
      <c r="AL1298" s="114"/>
      <c r="AM1298" s="114"/>
      <c r="AN1298" s="114"/>
      <c r="AO1298" s="114"/>
      <c r="AP1298" s="114"/>
      <c r="AQ1298" s="114"/>
      <c r="AR1298" s="114"/>
      <c r="AS1298" s="114"/>
      <c r="AT1298" s="114"/>
      <c r="AU1298" s="114"/>
      <c r="AV1298" s="114"/>
      <c r="AW1298" s="114"/>
      <c r="AX1298" s="114"/>
      <c r="AY1298" s="114"/>
      <c r="AZ1298" s="114"/>
      <c r="BA1298" s="114"/>
      <c r="BB1298" s="114"/>
      <c r="BC1298" s="114"/>
      <c r="BD1298" s="114"/>
      <c r="BE1298" s="114"/>
    </row>
    <row r="1299">
      <c r="A1299" s="114"/>
      <c r="B1299" s="114"/>
      <c r="C1299" s="114"/>
      <c r="D1299" s="114"/>
      <c r="E1299" s="114"/>
      <c r="F1299" s="114"/>
      <c r="G1299" s="114"/>
      <c r="H1299" s="114"/>
      <c r="I1299" s="114"/>
      <c r="J1299" s="114"/>
      <c r="K1299" s="114"/>
      <c r="L1299" s="114"/>
      <c r="M1299" s="114"/>
      <c r="N1299" s="114"/>
      <c r="O1299" s="114"/>
      <c r="P1299" s="114"/>
      <c r="Q1299" s="114"/>
      <c r="R1299" s="114"/>
      <c r="S1299" s="114"/>
      <c r="T1299" s="114"/>
      <c r="U1299" s="114"/>
      <c r="V1299" s="114"/>
      <c r="W1299" s="114"/>
      <c r="X1299" s="115"/>
      <c r="Y1299" s="114"/>
      <c r="Z1299" s="117" t="s">
        <v>6952</v>
      </c>
      <c r="AA1299" s="117" t="s">
        <v>5861</v>
      </c>
      <c r="AB1299" s="114"/>
      <c r="AC1299" s="114"/>
      <c r="AD1299" s="114"/>
      <c r="AE1299" s="114"/>
      <c r="AF1299" s="114"/>
      <c r="AG1299" s="114"/>
      <c r="AH1299" s="114"/>
      <c r="AI1299" s="116"/>
      <c r="AJ1299" s="114"/>
      <c r="AK1299" s="114"/>
      <c r="AL1299" s="114"/>
      <c r="AM1299" s="114"/>
      <c r="AN1299" s="114"/>
      <c r="AO1299" s="114"/>
      <c r="AP1299" s="114"/>
      <c r="AQ1299" s="114"/>
      <c r="AR1299" s="114"/>
      <c r="AS1299" s="114"/>
      <c r="AT1299" s="114"/>
      <c r="AU1299" s="114"/>
      <c r="AV1299" s="114"/>
      <c r="AW1299" s="114"/>
      <c r="AX1299" s="114"/>
      <c r="AY1299" s="114"/>
      <c r="AZ1299" s="114"/>
      <c r="BA1299" s="114"/>
      <c r="BB1299" s="114"/>
      <c r="BC1299" s="114"/>
      <c r="BD1299" s="114"/>
      <c r="BE1299" s="114"/>
    </row>
    <row r="1300">
      <c r="A1300" s="114"/>
      <c r="B1300" s="114"/>
      <c r="C1300" s="114"/>
      <c r="D1300" s="114"/>
      <c r="E1300" s="114"/>
      <c r="F1300" s="114"/>
      <c r="G1300" s="114"/>
      <c r="H1300" s="114"/>
      <c r="I1300" s="114"/>
      <c r="J1300" s="114"/>
      <c r="K1300" s="114"/>
      <c r="L1300" s="114"/>
      <c r="M1300" s="114"/>
      <c r="N1300" s="114"/>
      <c r="O1300" s="114"/>
      <c r="P1300" s="114"/>
      <c r="Q1300" s="114"/>
      <c r="R1300" s="114"/>
      <c r="S1300" s="114"/>
      <c r="T1300" s="114"/>
      <c r="U1300" s="114"/>
      <c r="V1300" s="114"/>
      <c r="W1300" s="114"/>
      <c r="X1300" s="115"/>
      <c r="Y1300" s="114"/>
      <c r="Z1300" s="117" t="s">
        <v>6953</v>
      </c>
      <c r="AA1300" s="117" t="s">
        <v>5863</v>
      </c>
      <c r="AB1300" s="114"/>
      <c r="AC1300" s="114"/>
      <c r="AD1300" s="114"/>
      <c r="AE1300" s="114"/>
      <c r="AF1300" s="114"/>
      <c r="AG1300" s="114"/>
      <c r="AH1300" s="114"/>
      <c r="AI1300" s="116"/>
      <c r="AJ1300" s="114"/>
      <c r="AK1300" s="114"/>
      <c r="AL1300" s="114"/>
      <c r="AM1300" s="114"/>
      <c r="AN1300" s="114"/>
      <c r="AO1300" s="114"/>
      <c r="AP1300" s="114"/>
      <c r="AQ1300" s="114"/>
      <c r="AR1300" s="114"/>
      <c r="AS1300" s="114"/>
      <c r="AT1300" s="114"/>
      <c r="AU1300" s="114"/>
      <c r="AV1300" s="114"/>
      <c r="AW1300" s="114"/>
      <c r="AX1300" s="114"/>
      <c r="AY1300" s="114"/>
      <c r="AZ1300" s="114"/>
      <c r="BA1300" s="114"/>
      <c r="BB1300" s="114"/>
      <c r="BC1300" s="114"/>
      <c r="BD1300" s="114"/>
      <c r="BE1300" s="114"/>
    </row>
    <row r="1301">
      <c r="A1301" s="114"/>
      <c r="B1301" s="114"/>
      <c r="C1301" s="114"/>
      <c r="D1301" s="114"/>
      <c r="E1301" s="114"/>
      <c r="F1301" s="114"/>
      <c r="G1301" s="114"/>
      <c r="H1301" s="114"/>
      <c r="I1301" s="114"/>
      <c r="J1301" s="114"/>
      <c r="K1301" s="114"/>
      <c r="L1301" s="114"/>
      <c r="M1301" s="114"/>
      <c r="N1301" s="114"/>
      <c r="O1301" s="114"/>
      <c r="P1301" s="114"/>
      <c r="Q1301" s="114"/>
      <c r="R1301" s="114"/>
      <c r="S1301" s="114"/>
      <c r="T1301" s="114"/>
      <c r="U1301" s="114"/>
      <c r="V1301" s="114"/>
      <c r="W1301" s="114"/>
      <c r="X1301" s="115"/>
      <c r="Y1301" s="114"/>
      <c r="Z1301" s="117" t="s">
        <v>6954</v>
      </c>
      <c r="AA1301" s="117" t="s">
        <v>5864</v>
      </c>
      <c r="AB1301" s="114"/>
      <c r="AC1301" s="114"/>
      <c r="AD1301" s="114"/>
      <c r="AE1301" s="114"/>
      <c r="AF1301" s="114"/>
      <c r="AG1301" s="114"/>
      <c r="AH1301" s="114"/>
      <c r="AI1301" s="116"/>
      <c r="AJ1301" s="114"/>
      <c r="AK1301" s="114"/>
      <c r="AL1301" s="114"/>
      <c r="AM1301" s="114"/>
      <c r="AN1301" s="114"/>
      <c r="AO1301" s="114"/>
      <c r="AP1301" s="114"/>
      <c r="AQ1301" s="114"/>
      <c r="AR1301" s="114"/>
      <c r="AS1301" s="114"/>
      <c r="AT1301" s="114"/>
      <c r="AU1301" s="114"/>
      <c r="AV1301" s="114"/>
      <c r="AW1301" s="114"/>
      <c r="AX1301" s="114"/>
      <c r="AY1301" s="114"/>
      <c r="AZ1301" s="114"/>
      <c r="BA1301" s="114"/>
      <c r="BB1301" s="114"/>
      <c r="BC1301" s="114"/>
      <c r="BD1301" s="114"/>
      <c r="BE1301" s="114"/>
    </row>
    <row r="1302">
      <c r="A1302" s="114"/>
      <c r="B1302" s="114"/>
      <c r="C1302" s="114"/>
      <c r="D1302" s="114"/>
      <c r="E1302" s="114"/>
      <c r="F1302" s="114"/>
      <c r="G1302" s="114"/>
      <c r="H1302" s="114"/>
      <c r="I1302" s="114"/>
      <c r="J1302" s="114"/>
      <c r="K1302" s="114"/>
      <c r="L1302" s="114"/>
      <c r="M1302" s="114"/>
      <c r="N1302" s="114"/>
      <c r="O1302" s="114"/>
      <c r="P1302" s="114"/>
      <c r="Q1302" s="114"/>
      <c r="R1302" s="114"/>
      <c r="S1302" s="114"/>
      <c r="T1302" s="114"/>
      <c r="U1302" s="114"/>
      <c r="V1302" s="114"/>
      <c r="W1302" s="114"/>
      <c r="X1302" s="115"/>
      <c r="Y1302" s="114"/>
      <c r="Z1302" s="117" t="s">
        <v>6955</v>
      </c>
      <c r="AA1302" s="117" t="s">
        <v>5862</v>
      </c>
      <c r="AB1302" s="114"/>
      <c r="AC1302" s="114"/>
      <c r="AD1302" s="114"/>
      <c r="AE1302" s="114"/>
      <c r="AF1302" s="114"/>
      <c r="AG1302" s="114"/>
      <c r="AH1302" s="114"/>
      <c r="AI1302" s="116"/>
      <c r="AJ1302" s="114"/>
      <c r="AK1302" s="114"/>
      <c r="AL1302" s="114"/>
      <c r="AM1302" s="114"/>
      <c r="AN1302" s="114"/>
      <c r="AO1302" s="114"/>
      <c r="AP1302" s="114"/>
      <c r="AQ1302" s="114"/>
      <c r="AR1302" s="114"/>
      <c r="AS1302" s="114"/>
      <c r="AT1302" s="114"/>
      <c r="AU1302" s="114"/>
      <c r="AV1302" s="114"/>
      <c r="AW1302" s="114"/>
      <c r="AX1302" s="114"/>
      <c r="AY1302" s="114"/>
      <c r="AZ1302" s="114"/>
      <c r="BA1302" s="114"/>
      <c r="BB1302" s="114"/>
      <c r="BC1302" s="114"/>
      <c r="BD1302" s="114"/>
      <c r="BE1302" s="114"/>
    </row>
    <row r="1303">
      <c r="A1303" s="114"/>
      <c r="B1303" s="114"/>
      <c r="C1303" s="114"/>
      <c r="D1303" s="114"/>
      <c r="E1303" s="114"/>
      <c r="F1303" s="114"/>
      <c r="G1303" s="114"/>
      <c r="H1303" s="114"/>
      <c r="I1303" s="114"/>
      <c r="J1303" s="114"/>
      <c r="K1303" s="114"/>
      <c r="L1303" s="114"/>
      <c r="M1303" s="114"/>
      <c r="N1303" s="114"/>
      <c r="O1303" s="114"/>
      <c r="P1303" s="114"/>
      <c r="Q1303" s="114"/>
      <c r="R1303" s="114"/>
      <c r="S1303" s="114"/>
      <c r="T1303" s="114"/>
      <c r="U1303" s="114"/>
      <c r="V1303" s="114"/>
      <c r="W1303" s="114"/>
      <c r="X1303" s="115"/>
      <c r="Y1303" s="114"/>
      <c r="Z1303" s="117" t="s">
        <v>6956</v>
      </c>
      <c r="AA1303" s="117" t="s">
        <v>5869</v>
      </c>
      <c r="AB1303" s="114"/>
      <c r="AC1303" s="114"/>
      <c r="AD1303" s="114"/>
      <c r="AE1303" s="114"/>
      <c r="AF1303" s="114"/>
      <c r="AG1303" s="114"/>
      <c r="AH1303" s="114"/>
      <c r="AI1303" s="116"/>
      <c r="AJ1303" s="114"/>
      <c r="AK1303" s="114"/>
      <c r="AL1303" s="114"/>
      <c r="AM1303" s="114"/>
      <c r="AN1303" s="114"/>
      <c r="AO1303" s="114"/>
      <c r="AP1303" s="114"/>
      <c r="AQ1303" s="114"/>
      <c r="AR1303" s="114"/>
      <c r="AS1303" s="114"/>
      <c r="AT1303" s="114"/>
      <c r="AU1303" s="114"/>
      <c r="AV1303" s="114"/>
      <c r="AW1303" s="114"/>
      <c r="AX1303" s="114"/>
      <c r="AY1303" s="114"/>
      <c r="AZ1303" s="114"/>
      <c r="BA1303" s="114"/>
      <c r="BB1303" s="114"/>
      <c r="BC1303" s="114"/>
      <c r="BD1303" s="114"/>
      <c r="BE1303" s="114"/>
    </row>
    <row r="1304">
      <c r="A1304" s="114"/>
      <c r="B1304" s="114"/>
      <c r="C1304" s="114"/>
      <c r="D1304" s="114"/>
      <c r="E1304" s="114"/>
      <c r="F1304" s="114"/>
      <c r="G1304" s="114"/>
      <c r="H1304" s="114"/>
      <c r="I1304" s="114"/>
      <c r="J1304" s="114"/>
      <c r="K1304" s="114"/>
      <c r="L1304" s="114"/>
      <c r="M1304" s="114"/>
      <c r="N1304" s="114"/>
      <c r="O1304" s="114"/>
      <c r="P1304" s="114"/>
      <c r="Q1304" s="114"/>
      <c r="R1304" s="114"/>
      <c r="S1304" s="114"/>
      <c r="T1304" s="114"/>
      <c r="U1304" s="114"/>
      <c r="V1304" s="114"/>
      <c r="W1304" s="114"/>
      <c r="X1304" s="115"/>
      <c r="Y1304" s="114"/>
      <c r="Z1304" s="117" t="s">
        <v>6957</v>
      </c>
      <c r="AA1304" s="117" t="s">
        <v>5871</v>
      </c>
      <c r="AB1304" s="114"/>
      <c r="AC1304" s="114"/>
      <c r="AD1304" s="114"/>
      <c r="AE1304" s="114"/>
      <c r="AF1304" s="114"/>
      <c r="AG1304" s="114"/>
      <c r="AH1304" s="114"/>
      <c r="AI1304" s="116"/>
      <c r="AJ1304" s="114"/>
      <c r="AK1304" s="114"/>
      <c r="AL1304" s="114"/>
      <c r="AM1304" s="114"/>
      <c r="AN1304" s="114"/>
      <c r="AO1304" s="114"/>
      <c r="AP1304" s="114"/>
      <c r="AQ1304" s="114"/>
      <c r="AR1304" s="114"/>
      <c r="AS1304" s="114"/>
      <c r="AT1304" s="114"/>
      <c r="AU1304" s="114"/>
      <c r="AV1304" s="114"/>
      <c r="AW1304" s="114"/>
      <c r="AX1304" s="114"/>
      <c r="AY1304" s="114"/>
      <c r="AZ1304" s="114"/>
      <c r="BA1304" s="114"/>
      <c r="BB1304" s="114"/>
      <c r="BC1304" s="114"/>
      <c r="BD1304" s="114"/>
      <c r="BE1304" s="114"/>
    </row>
    <row r="1305">
      <c r="A1305" s="114"/>
      <c r="B1305" s="114"/>
      <c r="C1305" s="114"/>
      <c r="D1305" s="114"/>
      <c r="E1305" s="114"/>
      <c r="F1305" s="114"/>
      <c r="G1305" s="114"/>
      <c r="H1305" s="114"/>
      <c r="I1305" s="114"/>
      <c r="J1305" s="114"/>
      <c r="K1305" s="114"/>
      <c r="L1305" s="114"/>
      <c r="M1305" s="114"/>
      <c r="N1305" s="114"/>
      <c r="O1305" s="114"/>
      <c r="P1305" s="114"/>
      <c r="Q1305" s="114"/>
      <c r="R1305" s="114"/>
      <c r="S1305" s="114"/>
      <c r="T1305" s="114"/>
      <c r="U1305" s="114"/>
      <c r="V1305" s="114"/>
      <c r="W1305" s="114"/>
      <c r="X1305" s="115"/>
      <c r="Y1305" s="114"/>
      <c r="Z1305" s="117" t="s">
        <v>6958</v>
      </c>
      <c r="AA1305" s="117" t="s">
        <v>5872</v>
      </c>
      <c r="AB1305" s="114"/>
      <c r="AC1305" s="114"/>
      <c r="AD1305" s="114"/>
      <c r="AE1305" s="114"/>
      <c r="AF1305" s="114"/>
      <c r="AG1305" s="114"/>
      <c r="AH1305" s="114"/>
      <c r="AI1305" s="116"/>
      <c r="AJ1305" s="114"/>
      <c r="AK1305" s="114"/>
      <c r="AL1305" s="114"/>
      <c r="AM1305" s="114"/>
      <c r="AN1305" s="114"/>
      <c r="AO1305" s="114"/>
      <c r="AP1305" s="114"/>
      <c r="AQ1305" s="114"/>
      <c r="AR1305" s="114"/>
      <c r="AS1305" s="114"/>
      <c r="AT1305" s="114"/>
      <c r="AU1305" s="114"/>
      <c r="AV1305" s="114"/>
      <c r="AW1305" s="114"/>
      <c r="AX1305" s="114"/>
      <c r="AY1305" s="114"/>
      <c r="AZ1305" s="114"/>
      <c r="BA1305" s="114"/>
      <c r="BB1305" s="114"/>
      <c r="BC1305" s="114"/>
      <c r="BD1305" s="114"/>
      <c r="BE1305" s="114"/>
    </row>
    <row r="1306">
      <c r="A1306" s="114"/>
      <c r="B1306" s="114"/>
      <c r="C1306" s="114"/>
      <c r="D1306" s="114"/>
      <c r="E1306" s="114"/>
      <c r="F1306" s="114"/>
      <c r="G1306" s="114"/>
      <c r="H1306" s="114"/>
      <c r="I1306" s="114"/>
      <c r="J1306" s="114"/>
      <c r="K1306" s="114"/>
      <c r="L1306" s="114"/>
      <c r="M1306" s="114"/>
      <c r="N1306" s="114"/>
      <c r="O1306" s="114"/>
      <c r="P1306" s="114"/>
      <c r="Q1306" s="114"/>
      <c r="R1306" s="114"/>
      <c r="S1306" s="114"/>
      <c r="T1306" s="114"/>
      <c r="U1306" s="114"/>
      <c r="V1306" s="114"/>
      <c r="W1306" s="114"/>
      <c r="X1306" s="115"/>
      <c r="Y1306" s="114"/>
      <c r="Z1306" s="117" t="s">
        <v>6959</v>
      </c>
      <c r="AA1306" s="117" t="s">
        <v>5870</v>
      </c>
      <c r="AB1306" s="114"/>
      <c r="AC1306" s="114"/>
      <c r="AD1306" s="114"/>
      <c r="AE1306" s="114"/>
      <c r="AF1306" s="114"/>
      <c r="AG1306" s="114"/>
      <c r="AH1306" s="114"/>
      <c r="AI1306" s="116"/>
      <c r="AJ1306" s="114"/>
      <c r="AK1306" s="114"/>
      <c r="AL1306" s="114"/>
      <c r="AM1306" s="114"/>
      <c r="AN1306" s="114"/>
      <c r="AO1306" s="114"/>
      <c r="AP1306" s="114"/>
      <c r="AQ1306" s="114"/>
      <c r="AR1306" s="114"/>
      <c r="AS1306" s="114"/>
      <c r="AT1306" s="114"/>
      <c r="AU1306" s="114"/>
      <c r="AV1306" s="114"/>
      <c r="AW1306" s="114"/>
      <c r="AX1306" s="114"/>
      <c r="AY1306" s="114"/>
      <c r="AZ1306" s="114"/>
      <c r="BA1306" s="114"/>
      <c r="BB1306" s="114"/>
      <c r="BC1306" s="114"/>
      <c r="BD1306" s="114"/>
      <c r="BE1306" s="114"/>
    </row>
    <row r="1307">
      <c r="A1307" s="114"/>
      <c r="B1307" s="114"/>
      <c r="C1307" s="114"/>
      <c r="D1307" s="114"/>
      <c r="E1307" s="114"/>
      <c r="F1307" s="114"/>
      <c r="G1307" s="114"/>
      <c r="H1307" s="114"/>
      <c r="I1307" s="114"/>
      <c r="J1307" s="114"/>
      <c r="K1307" s="114"/>
      <c r="L1307" s="114"/>
      <c r="M1307" s="114"/>
      <c r="N1307" s="114"/>
      <c r="O1307" s="114"/>
      <c r="P1307" s="114"/>
      <c r="Q1307" s="114"/>
      <c r="R1307" s="114"/>
      <c r="S1307" s="114"/>
      <c r="T1307" s="114"/>
      <c r="U1307" s="114"/>
      <c r="V1307" s="114"/>
      <c r="W1307" s="114"/>
      <c r="X1307" s="115"/>
      <c r="Y1307" s="114"/>
      <c r="Z1307" s="117" t="s">
        <v>6960</v>
      </c>
      <c r="AA1307" s="117" t="s">
        <v>5877</v>
      </c>
      <c r="AB1307" s="114"/>
      <c r="AC1307" s="114"/>
      <c r="AD1307" s="114"/>
      <c r="AE1307" s="114"/>
      <c r="AF1307" s="114"/>
      <c r="AG1307" s="114"/>
      <c r="AH1307" s="114"/>
      <c r="AI1307" s="116"/>
      <c r="AJ1307" s="114"/>
      <c r="AK1307" s="114"/>
      <c r="AL1307" s="114"/>
      <c r="AM1307" s="114"/>
      <c r="AN1307" s="114"/>
      <c r="AO1307" s="114"/>
      <c r="AP1307" s="114"/>
      <c r="AQ1307" s="114"/>
      <c r="AR1307" s="114"/>
      <c r="AS1307" s="114"/>
      <c r="AT1307" s="114"/>
      <c r="AU1307" s="114"/>
      <c r="AV1307" s="114"/>
      <c r="AW1307" s="114"/>
      <c r="AX1307" s="114"/>
      <c r="AY1307" s="114"/>
      <c r="AZ1307" s="114"/>
      <c r="BA1307" s="114"/>
      <c r="BB1307" s="114"/>
      <c r="BC1307" s="114"/>
      <c r="BD1307" s="114"/>
      <c r="BE1307" s="114"/>
    </row>
    <row r="1308">
      <c r="A1308" s="114"/>
      <c r="B1308" s="114"/>
      <c r="C1308" s="114"/>
      <c r="D1308" s="114"/>
      <c r="E1308" s="114"/>
      <c r="F1308" s="114"/>
      <c r="G1308" s="114"/>
      <c r="H1308" s="114"/>
      <c r="I1308" s="114"/>
      <c r="J1308" s="114"/>
      <c r="K1308" s="114"/>
      <c r="L1308" s="114"/>
      <c r="M1308" s="114"/>
      <c r="N1308" s="114"/>
      <c r="O1308" s="114"/>
      <c r="P1308" s="114"/>
      <c r="Q1308" s="114"/>
      <c r="R1308" s="114"/>
      <c r="S1308" s="114"/>
      <c r="T1308" s="114"/>
      <c r="U1308" s="114"/>
      <c r="V1308" s="114"/>
      <c r="W1308" s="114"/>
      <c r="X1308" s="115"/>
      <c r="Y1308" s="114"/>
      <c r="Z1308" s="117" t="s">
        <v>6961</v>
      </c>
      <c r="AA1308" s="117" t="s">
        <v>5879</v>
      </c>
      <c r="AB1308" s="114"/>
      <c r="AC1308" s="114"/>
      <c r="AD1308" s="114"/>
      <c r="AE1308" s="114"/>
      <c r="AF1308" s="114"/>
      <c r="AG1308" s="114"/>
      <c r="AH1308" s="114"/>
      <c r="AI1308" s="116"/>
      <c r="AJ1308" s="114"/>
      <c r="AK1308" s="114"/>
      <c r="AL1308" s="114"/>
      <c r="AM1308" s="114"/>
      <c r="AN1308" s="114"/>
      <c r="AO1308" s="114"/>
      <c r="AP1308" s="114"/>
      <c r="AQ1308" s="114"/>
      <c r="AR1308" s="114"/>
      <c r="AS1308" s="114"/>
      <c r="AT1308" s="114"/>
      <c r="AU1308" s="114"/>
      <c r="AV1308" s="114"/>
      <c r="AW1308" s="114"/>
      <c r="AX1308" s="114"/>
      <c r="AY1308" s="114"/>
      <c r="AZ1308" s="114"/>
      <c r="BA1308" s="114"/>
      <c r="BB1308" s="114"/>
      <c r="BC1308" s="114"/>
      <c r="BD1308" s="114"/>
      <c r="BE1308" s="114"/>
    </row>
    <row r="1309">
      <c r="A1309" s="114"/>
      <c r="B1309" s="114"/>
      <c r="C1309" s="114"/>
      <c r="D1309" s="114"/>
      <c r="E1309" s="114"/>
      <c r="F1309" s="114"/>
      <c r="G1309" s="114"/>
      <c r="H1309" s="114"/>
      <c r="I1309" s="114"/>
      <c r="J1309" s="114"/>
      <c r="K1309" s="114"/>
      <c r="L1309" s="114"/>
      <c r="M1309" s="114"/>
      <c r="N1309" s="114"/>
      <c r="O1309" s="114"/>
      <c r="P1309" s="114"/>
      <c r="Q1309" s="114"/>
      <c r="R1309" s="114"/>
      <c r="S1309" s="114"/>
      <c r="T1309" s="114"/>
      <c r="U1309" s="114"/>
      <c r="V1309" s="114"/>
      <c r="W1309" s="114"/>
      <c r="X1309" s="115"/>
      <c r="Y1309" s="114"/>
      <c r="Z1309" s="117" t="s">
        <v>6962</v>
      </c>
      <c r="AA1309" s="117" t="s">
        <v>5880</v>
      </c>
      <c r="AB1309" s="114"/>
      <c r="AC1309" s="114"/>
      <c r="AD1309" s="114"/>
      <c r="AE1309" s="114"/>
      <c r="AF1309" s="114"/>
      <c r="AG1309" s="114"/>
      <c r="AH1309" s="114"/>
      <c r="AI1309" s="116"/>
      <c r="AJ1309" s="114"/>
      <c r="AK1309" s="114"/>
      <c r="AL1309" s="114"/>
      <c r="AM1309" s="114"/>
      <c r="AN1309" s="114"/>
      <c r="AO1309" s="114"/>
      <c r="AP1309" s="114"/>
      <c r="AQ1309" s="114"/>
      <c r="AR1309" s="114"/>
      <c r="AS1309" s="114"/>
      <c r="AT1309" s="114"/>
      <c r="AU1309" s="114"/>
      <c r="AV1309" s="114"/>
      <c r="AW1309" s="114"/>
      <c r="AX1309" s="114"/>
      <c r="AY1309" s="114"/>
      <c r="AZ1309" s="114"/>
      <c r="BA1309" s="114"/>
      <c r="BB1309" s="114"/>
      <c r="BC1309" s="114"/>
      <c r="BD1309" s="114"/>
      <c r="BE1309" s="114"/>
    </row>
    <row r="1310">
      <c r="A1310" s="114"/>
      <c r="B1310" s="114"/>
      <c r="C1310" s="114"/>
      <c r="D1310" s="114"/>
      <c r="E1310" s="114"/>
      <c r="F1310" s="114"/>
      <c r="G1310" s="114"/>
      <c r="H1310" s="114"/>
      <c r="I1310" s="114"/>
      <c r="J1310" s="114"/>
      <c r="K1310" s="114"/>
      <c r="L1310" s="114"/>
      <c r="M1310" s="114"/>
      <c r="N1310" s="114"/>
      <c r="O1310" s="114"/>
      <c r="P1310" s="114"/>
      <c r="Q1310" s="114"/>
      <c r="R1310" s="114"/>
      <c r="S1310" s="114"/>
      <c r="T1310" s="114"/>
      <c r="U1310" s="114"/>
      <c r="V1310" s="114"/>
      <c r="W1310" s="114"/>
      <c r="X1310" s="115"/>
      <c r="Y1310" s="114"/>
      <c r="Z1310" s="117" t="s">
        <v>6963</v>
      </c>
      <c r="AA1310" s="117" t="s">
        <v>5878</v>
      </c>
      <c r="AB1310" s="114"/>
      <c r="AC1310" s="114"/>
      <c r="AD1310" s="114"/>
      <c r="AE1310" s="114"/>
      <c r="AF1310" s="114"/>
      <c r="AG1310" s="114"/>
      <c r="AH1310" s="114"/>
      <c r="AI1310" s="116"/>
      <c r="AJ1310" s="114"/>
      <c r="AK1310" s="114"/>
      <c r="AL1310" s="114"/>
      <c r="AM1310" s="114"/>
      <c r="AN1310" s="114"/>
      <c r="AO1310" s="114"/>
      <c r="AP1310" s="114"/>
      <c r="AQ1310" s="114"/>
      <c r="AR1310" s="114"/>
      <c r="AS1310" s="114"/>
      <c r="AT1310" s="114"/>
      <c r="AU1310" s="114"/>
      <c r="AV1310" s="114"/>
      <c r="AW1310" s="114"/>
      <c r="AX1310" s="114"/>
      <c r="AY1310" s="114"/>
      <c r="AZ1310" s="114"/>
      <c r="BA1310" s="114"/>
      <c r="BB1310" s="114"/>
      <c r="BC1310" s="114"/>
      <c r="BD1310" s="114"/>
      <c r="BE1310" s="114"/>
    </row>
    <row r="1311">
      <c r="A1311" s="114"/>
      <c r="B1311" s="114"/>
      <c r="C1311" s="114"/>
      <c r="D1311" s="114"/>
      <c r="E1311" s="114"/>
      <c r="F1311" s="114"/>
      <c r="G1311" s="114"/>
      <c r="H1311" s="114"/>
      <c r="I1311" s="114"/>
      <c r="J1311" s="114"/>
      <c r="K1311" s="114"/>
      <c r="L1311" s="114"/>
      <c r="M1311" s="114"/>
      <c r="N1311" s="114"/>
      <c r="O1311" s="114"/>
      <c r="P1311" s="114"/>
      <c r="Q1311" s="114"/>
      <c r="R1311" s="114"/>
      <c r="S1311" s="114"/>
      <c r="T1311" s="114"/>
      <c r="U1311" s="114"/>
      <c r="V1311" s="114"/>
      <c r="W1311" s="114"/>
      <c r="X1311" s="115"/>
      <c r="Y1311" s="114"/>
      <c r="Z1311" s="117" t="s">
        <v>6964</v>
      </c>
      <c r="AA1311" s="117" t="s">
        <v>5885</v>
      </c>
      <c r="AB1311" s="114"/>
      <c r="AC1311" s="114"/>
      <c r="AD1311" s="114"/>
      <c r="AE1311" s="114"/>
      <c r="AF1311" s="114"/>
      <c r="AG1311" s="114"/>
      <c r="AH1311" s="114"/>
      <c r="AI1311" s="116"/>
      <c r="AJ1311" s="114"/>
      <c r="AK1311" s="114"/>
      <c r="AL1311" s="114"/>
      <c r="AM1311" s="114"/>
      <c r="AN1311" s="114"/>
      <c r="AO1311" s="114"/>
      <c r="AP1311" s="114"/>
      <c r="AQ1311" s="114"/>
      <c r="AR1311" s="114"/>
      <c r="AS1311" s="114"/>
      <c r="AT1311" s="114"/>
      <c r="AU1311" s="114"/>
      <c r="AV1311" s="114"/>
      <c r="AW1311" s="114"/>
      <c r="AX1311" s="114"/>
      <c r="AY1311" s="114"/>
      <c r="AZ1311" s="114"/>
      <c r="BA1311" s="114"/>
      <c r="BB1311" s="114"/>
      <c r="BC1311" s="114"/>
      <c r="BD1311" s="114"/>
      <c r="BE1311" s="114"/>
    </row>
    <row r="1312">
      <c r="A1312" s="114"/>
      <c r="B1312" s="114"/>
      <c r="C1312" s="114"/>
      <c r="D1312" s="114"/>
      <c r="E1312" s="114"/>
      <c r="F1312" s="114"/>
      <c r="G1312" s="114"/>
      <c r="H1312" s="114"/>
      <c r="I1312" s="114"/>
      <c r="J1312" s="114"/>
      <c r="K1312" s="114"/>
      <c r="L1312" s="114"/>
      <c r="M1312" s="114"/>
      <c r="N1312" s="114"/>
      <c r="O1312" s="114"/>
      <c r="P1312" s="114"/>
      <c r="Q1312" s="114"/>
      <c r="R1312" s="114"/>
      <c r="S1312" s="114"/>
      <c r="T1312" s="114"/>
      <c r="U1312" s="114"/>
      <c r="V1312" s="114"/>
      <c r="W1312" s="114"/>
      <c r="X1312" s="115"/>
      <c r="Y1312" s="114"/>
      <c r="Z1312" s="117" t="s">
        <v>6965</v>
      </c>
      <c r="AA1312" s="117" t="s">
        <v>5887</v>
      </c>
      <c r="AB1312" s="114"/>
      <c r="AC1312" s="114"/>
      <c r="AD1312" s="114"/>
      <c r="AE1312" s="114"/>
      <c r="AF1312" s="114"/>
      <c r="AG1312" s="114"/>
      <c r="AH1312" s="114"/>
      <c r="AI1312" s="116"/>
      <c r="AJ1312" s="114"/>
      <c r="AK1312" s="114"/>
      <c r="AL1312" s="114"/>
      <c r="AM1312" s="114"/>
      <c r="AN1312" s="114"/>
      <c r="AO1312" s="114"/>
      <c r="AP1312" s="114"/>
      <c r="AQ1312" s="114"/>
      <c r="AR1312" s="114"/>
      <c r="AS1312" s="114"/>
      <c r="AT1312" s="114"/>
      <c r="AU1312" s="114"/>
      <c r="AV1312" s="114"/>
      <c r="AW1312" s="114"/>
      <c r="AX1312" s="114"/>
      <c r="AY1312" s="114"/>
      <c r="AZ1312" s="114"/>
      <c r="BA1312" s="114"/>
      <c r="BB1312" s="114"/>
      <c r="BC1312" s="114"/>
      <c r="BD1312" s="114"/>
      <c r="BE1312" s="114"/>
    </row>
    <row r="1313">
      <c r="A1313" s="114"/>
      <c r="B1313" s="114"/>
      <c r="C1313" s="114"/>
      <c r="D1313" s="114"/>
      <c r="E1313" s="114"/>
      <c r="F1313" s="114"/>
      <c r="G1313" s="114"/>
      <c r="H1313" s="114"/>
      <c r="I1313" s="114"/>
      <c r="J1313" s="114"/>
      <c r="K1313" s="114"/>
      <c r="L1313" s="114"/>
      <c r="M1313" s="114"/>
      <c r="N1313" s="114"/>
      <c r="O1313" s="114"/>
      <c r="P1313" s="114"/>
      <c r="Q1313" s="114"/>
      <c r="R1313" s="114"/>
      <c r="S1313" s="114"/>
      <c r="T1313" s="114"/>
      <c r="U1313" s="114"/>
      <c r="V1313" s="114"/>
      <c r="W1313" s="114"/>
      <c r="X1313" s="115"/>
      <c r="Y1313" s="114"/>
      <c r="Z1313" s="117" t="s">
        <v>6966</v>
      </c>
      <c r="AA1313" s="117" t="s">
        <v>5888</v>
      </c>
      <c r="AB1313" s="114"/>
      <c r="AC1313" s="114"/>
      <c r="AD1313" s="114"/>
      <c r="AE1313" s="114"/>
      <c r="AF1313" s="114"/>
      <c r="AG1313" s="114"/>
      <c r="AH1313" s="114"/>
      <c r="AI1313" s="116"/>
      <c r="AJ1313" s="114"/>
      <c r="AK1313" s="114"/>
      <c r="AL1313" s="114"/>
      <c r="AM1313" s="114"/>
      <c r="AN1313" s="114"/>
      <c r="AO1313" s="114"/>
      <c r="AP1313" s="114"/>
      <c r="AQ1313" s="114"/>
      <c r="AR1313" s="114"/>
      <c r="AS1313" s="114"/>
      <c r="AT1313" s="114"/>
      <c r="AU1313" s="114"/>
      <c r="AV1313" s="114"/>
      <c r="AW1313" s="114"/>
      <c r="AX1313" s="114"/>
      <c r="AY1313" s="114"/>
      <c r="AZ1313" s="114"/>
      <c r="BA1313" s="114"/>
      <c r="BB1313" s="114"/>
      <c r="BC1313" s="114"/>
      <c r="BD1313" s="114"/>
      <c r="BE1313" s="114"/>
    </row>
    <row r="1314">
      <c r="A1314" s="114"/>
      <c r="B1314" s="114"/>
      <c r="C1314" s="114"/>
      <c r="D1314" s="114"/>
      <c r="E1314" s="114"/>
      <c r="F1314" s="114"/>
      <c r="G1314" s="114"/>
      <c r="H1314" s="114"/>
      <c r="I1314" s="114"/>
      <c r="J1314" s="114"/>
      <c r="K1314" s="114"/>
      <c r="L1314" s="114"/>
      <c r="M1314" s="114"/>
      <c r="N1314" s="114"/>
      <c r="O1314" s="114"/>
      <c r="P1314" s="114"/>
      <c r="Q1314" s="114"/>
      <c r="R1314" s="114"/>
      <c r="S1314" s="114"/>
      <c r="T1314" s="114"/>
      <c r="U1314" s="114"/>
      <c r="V1314" s="114"/>
      <c r="W1314" s="114"/>
      <c r="X1314" s="115"/>
      <c r="Y1314" s="114"/>
      <c r="Z1314" s="117" t="s">
        <v>6967</v>
      </c>
      <c r="AA1314" s="117" t="s">
        <v>5886</v>
      </c>
      <c r="AB1314" s="114"/>
      <c r="AC1314" s="114"/>
      <c r="AD1314" s="114"/>
      <c r="AE1314" s="114"/>
      <c r="AF1314" s="114"/>
      <c r="AG1314" s="114"/>
      <c r="AH1314" s="114"/>
      <c r="AI1314" s="116"/>
      <c r="AJ1314" s="114"/>
      <c r="AK1314" s="114"/>
      <c r="AL1314" s="114"/>
      <c r="AM1314" s="114"/>
      <c r="AN1314" s="114"/>
      <c r="AO1314" s="114"/>
      <c r="AP1314" s="114"/>
      <c r="AQ1314" s="114"/>
      <c r="AR1314" s="114"/>
      <c r="AS1314" s="114"/>
      <c r="AT1314" s="114"/>
      <c r="AU1314" s="114"/>
      <c r="AV1314" s="114"/>
      <c r="AW1314" s="114"/>
      <c r="AX1314" s="114"/>
      <c r="AY1314" s="114"/>
      <c r="AZ1314" s="114"/>
      <c r="BA1314" s="114"/>
      <c r="BB1314" s="114"/>
      <c r="BC1314" s="114"/>
      <c r="BD1314" s="114"/>
      <c r="BE1314" s="114"/>
    </row>
    <row r="1315">
      <c r="A1315" s="114"/>
      <c r="B1315" s="114"/>
      <c r="C1315" s="114"/>
      <c r="D1315" s="114"/>
      <c r="E1315" s="114"/>
      <c r="F1315" s="114"/>
      <c r="G1315" s="114"/>
      <c r="H1315" s="114"/>
      <c r="I1315" s="114"/>
      <c r="J1315" s="114"/>
      <c r="K1315" s="114"/>
      <c r="L1315" s="114"/>
      <c r="M1315" s="114"/>
      <c r="N1315" s="114"/>
      <c r="O1315" s="114"/>
      <c r="P1315" s="114"/>
      <c r="Q1315" s="114"/>
      <c r="R1315" s="114"/>
      <c r="S1315" s="114"/>
      <c r="T1315" s="114"/>
      <c r="U1315" s="114"/>
      <c r="V1315" s="114"/>
      <c r="W1315" s="114"/>
      <c r="X1315" s="115"/>
      <c r="Y1315" s="114"/>
      <c r="Z1315" s="117" t="s">
        <v>6968</v>
      </c>
      <c r="AA1315" s="117" t="s">
        <v>5893</v>
      </c>
      <c r="AB1315" s="114"/>
      <c r="AC1315" s="114"/>
      <c r="AD1315" s="114"/>
      <c r="AE1315" s="114"/>
      <c r="AF1315" s="114"/>
      <c r="AG1315" s="114"/>
      <c r="AH1315" s="114"/>
      <c r="AI1315" s="116"/>
      <c r="AJ1315" s="114"/>
      <c r="AK1315" s="114"/>
      <c r="AL1315" s="114"/>
      <c r="AM1315" s="114"/>
      <c r="AN1315" s="114"/>
      <c r="AO1315" s="114"/>
      <c r="AP1315" s="114"/>
      <c r="AQ1315" s="114"/>
      <c r="AR1315" s="114"/>
      <c r="AS1315" s="114"/>
      <c r="AT1315" s="114"/>
      <c r="AU1315" s="114"/>
      <c r="AV1315" s="114"/>
      <c r="AW1315" s="114"/>
      <c r="AX1315" s="114"/>
      <c r="AY1315" s="114"/>
      <c r="AZ1315" s="114"/>
      <c r="BA1315" s="114"/>
      <c r="BB1315" s="114"/>
      <c r="BC1315" s="114"/>
      <c r="BD1315" s="114"/>
      <c r="BE1315" s="114"/>
    </row>
    <row r="1316">
      <c r="A1316" s="114"/>
      <c r="B1316" s="114"/>
      <c r="C1316" s="114"/>
      <c r="D1316" s="114"/>
      <c r="E1316" s="114"/>
      <c r="F1316" s="114"/>
      <c r="G1316" s="114"/>
      <c r="H1316" s="114"/>
      <c r="I1316" s="114"/>
      <c r="J1316" s="114"/>
      <c r="K1316" s="114"/>
      <c r="L1316" s="114"/>
      <c r="M1316" s="114"/>
      <c r="N1316" s="114"/>
      <c r="O1316" s="114"/>
      <c r="P1316" s="114"/>
      <c r="Q1316" s="114"/>
      <c r="R1316" s="114"/>
      <c r="S1316" s="114"/>
      <c r="T1316" s="114"/>
      <c r="U1316" s="114"/>
      <c r="V1316" s="114"/>
      <c r="W1316" s="114"/>
      <c r="X1316" s="115"/>
      <c r="Y1316" s="114"/>
      <c r="Z1316" s="117" t="s">
        <v>6969</v>
      </c>
      <c r="AA1316" s="117" t="s">
        <v>5895</v>
      </c>
      <c r="AB1316" s="114"/>
      <c r="AC1316" s="114"/>
      <c r="AD1316" s="114"/>
      <c r="AE1316" s="114"/>
      <c r="AF1316" s="114"/>
      <c r="AG1316" s="114"/>
      <c r="AH1316" s="114"/>
      <c r="AI1316" s="116"/>
      <c r="AJ1316" s="114"/>
      <c r="AK1316" s="114"/>
      <c r="AL1316" s="114"/>
      <c r="AM1316" s="114"/>
      <c r="AN1316" s="114"/>
      <c r="AO1316" s="114"/>
      <c r="AP1316" s="114"/>
      <c r="AQ1316" s="114"/>
      <c r="AR1316" s="114"/>
      <c r="AS1316" s="114"/>
      <c r="AT1316" s="114"/>
      <c r="AU1316" s="114"/>
      <c r="AV1316" s="114"/>
      <c r="AW1316" s="114"/>
      <c r="AX1316" s="114"/>
      <c r="AY1316" s="114"/>
      <c r="AZ1316" s="114"/>
      <c r="BA1316" s="114"/>
      <c r="BB1316" s="114"/>
      <c r="BC1316" s="114"/>
      <c r="BD1316" s="114"/>
      <c r="BE1316" s="114"/>
    </row>
    <row r="1317">
      <c r="A1317" s="114"/>
      <c r="B1317" s="114"/>
      <c r="C1317" s="114"/>
      <c r="D1317" s="114"/>
      <c r="E1317" s="114"/>
      <c r="F1317" s="114"/>
      <c r="G1317" s="114"/>
      <c r="H1317" s="114"/>
      <c r="I1317" s="114"/>
      <c r="J1317" s="114"/>
      <c r="K1317" s="114"/>
      <c r="L1317" s="114"/>
      <c r="M1317" s="114"/>
      <c r="N1317" s="114"/>
      <c r="O1317" s="114"/>
      <c r="P1317" s="114"/>
      <c r="Q1317" s="114"/>
      <c r="R1317" s="114"/>
      <c r="S1317" s="114"/>
      <c r="T1317" s="114"/>
      <c r="U1317" s="114"/>
      <c r="V1317" s="114"/>
      <c r="W1317" s="114"/>
      <c r="X1317" s="115"/>
      <c r="Y1317" s="114"/>
      <c r="Z1317" s="117" t="s">
        <v>6970</v>
      </c>
      <c r="AA1317" s="117" t="s">
        <v>5896</v>
      </c>
      <c r="AB1317" s="114"/>
      <c r="AC1317" s="114"/>
      <c r="AD1317" s="114"/>
      <c r="AE1317" s="114"/>
      <c r="AF1317" s="114"/>
      <c r="AG1317" s="114"/>
      <c r="AH1317" s="114"/>
      <c r="AI1317" s="116"/>
      <c r="AJ1317" s="114"/>
      <c r="AK1317" s="114"/>
      <c r="AL1317" s="114"/>
      <c r="AM1317" s="114"/>
      <c r="AN1317" s="114"/>
      <c r="AO1317" s="114"/>
      <c r="AP1317" s="114"/>
      <c r="AQ1317" s="114"/>
      <c r="AR1317" s="114"/>
      <c r="AS1317" s="114"/>
      <c r="AT1317" s="114"/>
      <c r="AU1317" s="114"/>
      <c r="AV1317" s="114"/>
      <c r="AW1317" s="114"/>
      <c r="AX1317" s="114"/>
      <c r="AY1317" s="114"/>
      <c r="AZ1317" s="114"/>
      <c r="BA1317" s="114"/>
      <c r="BB1317" s="114"/>
      <c r="BC1317" s="114"/>
      <c r="BD1317" s="114"/>
      <c r="BE1317" s="114"/>
    </row>
    <row r="1318">
      <c r="A1318" s="114"/>
      <c r="B1318" s="114"/>
      <c r="C1318" s="114"/>
      <c r="D1318" s="114"/>
      <c r="E1318" s="114"/>
      <c r="F1318" s="114"/>
      <c r="G1318" s="114"/>
      <c r="H1318" s="114"/>
      <c r="I1318" s="114"/>
      <c r="J1318" s="114"/>
      <c r="K1318" s="114"/>
      <c r="L1318" s="114"/>
      <c r="M1318" s="114"/>
      <c r="N1318" s="114"/>
      <c r="O1318" s="114"/>
      <c r="P1318" s="114"/>
      <c r="Q1318" s="114"/>
      <c r="R1318" s="114"/>
      <c r="S1318" s="114"/>
      <c r="T1318" s="114"/>
      <c r="U1318" s="114"/>
      <c r="V1318" s="114"/>
      <c r="W1318" s="114"/>
      <c r="X1318" s="115"/>
      <c r="Y1318" s="114"/>
      <c r="Z1318" s="117" t="s">
        <v>6971</v>
      </c>
      <c r="AA1318" s="117" t="s">
        <v>5894</v>
      </c>
      <c r="AB1318" s="114"/>
      <c r="AC1318" s="114"/>
      <c r="AD1318" s="114"/>
      <c r="AE1318" s="114"/>
      <c r="AF1318" s="114"/>
      <c r="AG1318" s="114"/>
      <c r="AH1318" s="114"/>
      <c r="AI1318" s="116"/>
      <c r="AJ1318" s="114"/>
      <c r="AK1318" s="114"/>
      <c r="AL1318" s="114"/>
      <c r="AM1318" s="114"/>
      <c r="AN1318" s="114"/>
      <c r="AO1318" s="114"/>
      <c r="AP1318" s="114"/>
      <c r="AQ1318" s="114"/>
      <c r="AR1318" s="114"/>
      <c r="AS1318" s="114"/>
      <c r="AT1318" s="114"/>
      <c r="AU1318" s="114"/>
      <c r="AV1318" s="114"/>
      <c r="AW1318" s="114"/>
      <c r="AX1318" s="114"/>
      <c r="AY1318" s="114"/>
      <c r="AZ1318" s="114"/>
      <c r="BA1318" s="114"/>
      <c r="BB1318" s="114"/>
      <c r="BC1318" s="114"/>
      <c r="BD1318" s="114"/>
      <c r="BE1318" s="114"/>
    </row>
    <row r="1319">
      <c r="A1319" s="114"/>
      <c r="B1319" s="114"/>
      <c r="C1319" s="114"/>
      <c r="D1319" s="114"/>
      <c r="E1319" s="114"/>
      <c r="F1319" s="114"/>
      <c r="G1319" s="114"/>
      <c r="H1319" s="114"/>
      <c r="I1319" s="114"/>
      <c r="J1319" s="114"/>
      <c r="K1319" s="114"/>
      <c r="L1319" s="114"/>
      <c r="M1319" s="114"/>
      <c r="N1319" s="114"/>
      <c r="O1319" s="114"/>
      <c r="P1319" s="114"/>
      <c r="Q1319" s="114"/>
      <c r="R1319" s="114"/>
      <c r="S1319" s="114"/>
      <c r="T1319" s="114"/>
      <c r="U1319" s="114"/>
      <c r="V1319" s="114"/>
      <c r="W1319" s="114"/>
      <c r="X1319" s="115"/>
      <c r="Y1319" s="114"/>
      <c r="Z1319" s="117" t="s">
        <v>6972</v>
      </c>
      <c r="AA1319" s="117" t="s">
        <v>5901</v>
      </c>
      <c r="AB1319" s="114"/>
      <c r="AC1319" s="114"/>
      <c r="AD1319" s="114"/>
      <c r="AE1319" s="114"/>
      <c r="AF1319" s="114"/>
      <c r="AG1319" s="114"/>
      <c r="AH1319" s="114"/>
      <c r="AI1319" s="116"/>
      <c r="AJ1319" s="114"/>
      <c r="AK1319" s="114"/>
      <c r="AL1319" s="114"/>
      <c r="AM1319" s="114"/>
      <c r="AN1319" s="114"/>
      <c r="AO1319" s="114"/>
      <c r="AP1319" s="114"/>
      <c r="AQ1319" s="114"/>
      <c r="AR1319" s="114"/>
      <c r="AS1319" s="114"/>
      <c r="AT1319" s="114"/>
      <c r="AU1319" s="114"/>
      <c r="AV1319" s="114"/>
      <c r="AW1319" s="114"/>
      <c r="AX1319" s="114"/>
      <c r="AY1319" s="114"/>
      <c r="AZ1319" s="114"/>
      <c r="BA1319" s="114"/>
      <c r="BB1319" s="114"/>
      <c r="BC1319" s="114"/>
      <c r="BD1319" s="114"/>
      <c r="BE1319" s="114"/>
    </row>
    <row r="1320">
      <c r="A1320" s="114"/>
      <c r="B1320" s="114"/>
      <c r="C1320" s="114"/>
      <c r="D1320" s="114"/>
      <c r="E1320" s="114"/>
      <c r="F1320" s="114"/>
      <c r="G1320" s="114"/>
      <c r="H1320" s="114"/>
      <c r="I1320" s="114"/>
      <c r="J1320" s="114"/>
      <c r="K1320" s="114"/>
      <c r="L1320" s="114"/>
      <c r="M1320" s="114"/>
      <c r="N1320" s="114"/>
      <c r="O1320" s="114"/>
      <c r="P1320" s="114"/>
      <c r="Q1320" s="114"/>
      <c r="R1320" s="114"/>
      <c r="S1320" s="114"/>
      <c r="T1320" s="114"/>
      <c r="U1320" s="114"/>
      <c r="V1320" s="114"/>
      <c r="W1320" s="114"/>
      <c r="X1320" s="115"/>
      <c r="Y1320" s="114"/>
      <c r="Z1320" s="117" t="s">
        <v>6973</v>
      </c>
      <c r="AA1320" s="117" t="s">
        <v>5903</v>
      </c>
      <c r="AB1320" s="114"/>
      <c r="AC1320" s="114"/>
      <c r="AD1320" s="114"/>
      <c r="AE1320" s="114"/>
      <c r="AF1320" s="114"/>
      <c r="AG1320" s="114"/>
      <c r="AH1320" s="114"/>
      <c r="AI1320" s="116"/>
      <c r="AJ1320" s="114"/>
      <c r="AK1320" s="114"/>
      <c r="AL1320" s="114"/>
      <c r="AM1320" s="114"/>
      <c r="AN1320" s="114"/>
      <c r="AO1320" s="114"/>
      <c r="AP1320" s="114"/>
      <c r="AQ1320" s="114"/>
      <c r="AR1320" s="114"/>
      <c r="AS1320" s="114"/>
      <c r="AT1320" s="114"/>
      <c r="AU1320" s="114"/>
      <c r="AV1320" s="114"/>
      <c r="AW1320" s="114"/>
      <c r="AX1320" s="114"/>
      <c r="AY1320" s="114"/>
      <c r="AZ1320" s="114"/>
      <c r="BA1320" s="114"/>
      <c r="BB1320" s="114"/>
      <c r="BC1320" s="114"/>
      <c r="BD1320" s="114"/>
      <c r="BE1320" s="114"/>
    </row>
    <row r="1321">
      <c r="A1321" s="114"/>
      <c r="B1321" s="114"/>
      <c r="C1321" s="114"/>
      <c r="D1321" s="114"/>
      <c r="E1321" s="114"/>
      <c r="F1321" s="114"/>
      <c r="G1321" s="114"/>
      <c r="H1321" s="114"/>
      <c r="I1321" s="114"/>
      <c r="J1321" s="114"/>
      <c r="K1321" s="114"/>
      <c r="L1321" s="114"/>
      <c r="M1321" s="114"/>
      <c r="N1321" s="114"/>
      <c r="O1321" s="114"/>
      <c r="P1321" s="114"/>
      <c r="Q1321" s="114"/>
      <c r="R1321" s="114"/>
      <c r="S1321" s="114"/>
      <c r="T1321" s="114"/>
      <c r="U1321" s="114"/>
      <c r="V1321" s="114"/>
      <c r="W1321" s="114"/>
      <c r="X1321" s="115"/>
      <c r="Y1321" s="114"/>
      <c r="Z1321" s="117" t="s">
        <v>6974</v>
      </c>
      <c r="AA1321" s="117" t="s">
        <v>5904</v>
      </c>
      <c r="AB1321" s="114"/>
      <c r="AC1321" s="114"/>
      <c r="AD1321" s="114"/>
      <c r="AE1321" s="114"/>
      <c r="AF1321" s="114"/>
      <c r="AG1321" s="114"/>
      <c r="AH1321" s="114"/>
      <c r="AI1321" s="116"/>
      <c r="AJ1321" s="114"/>
      <c r="AK1321" s="114"/>
      <c r="AL1321" s="114"/>
      <c r="AM1321" s="114"/>
      <c r="AN1321" s="114"/>
      <c r="AO1321" s="114"/>
      <c r="AP1321" s="114"/>
      <c r="AQ1321" s="114"/>
      <c r="AR1321" s="114"/>
      <c r="AS1321" s="114"/>
      <c r="AT1321" s="114"/>
      <c r="AU1321" s="114"/>
      <c r="AV1321" s="114"/>
      <c r="AW1321" s="114"/>
      <c r="AX1321" s="114"/>
      <c r="AY1321" s="114"/>
      <c r="AZ1321" s="114"/>
      <c r="BA1321" s="114"/>
      <c r="BB1321" s="114"/>
      <c r="BC1321" s="114"/>
      <c r="BD1321" s="114"/>
      <c r="BE1321" s="114"/>
    </row>
    <row r="1322">
      <c r="A1322" s="114"/>
      <c r="B1322" s="114"/>
      <c r="C1322" s="114"/>
      <c r="D1322" s="114"/>
      <c r="E1322" s="114"/>
      <c r="F1322" s="114"/>
      <c r="G1322" s="114"/>
      <c r="H1322" s="114"/>
      <c r="I1322" s="114"/>
      <c r="J1322" s="114"/>
      <c r="K1322" s="114"/>
      <c r="L1322" s="114"/>
      <c r="M1322" s="114"/>
      <c r="N1322" s="114"/>
      <c r="O1322" s="114"/>
      <c r="P1322" s="114"/>
      <c r="Q1322" s="114"/>
      <c r="R1322" s="114"/>
      <c r="S1322" s="114"/>
      <c r="T1322" s="114"/>
      <c r="U1322" s="114"/>
      <c r="V1322" s="114"/>
      <c r="W1322" s="114"/>
      <c r="X1322" s="115"/>
      <c r="Y1322" s="114"/>
      <c r="Z1322" s="117" t="s">
        <v>6975</v>
      </c>
      <c r="AA1322" s="117" t="s">
        <v>5902</v>
      </c>
      <c r="AB1322" s="114"/>
      <c r="AC1322" s="114"/>
      <c r="AD1322" s="114"/>
      <c r="AE1322" s="114"/>
      <c r="AF1322" s="114"/>
      <c r="AG1322" s="114"/>
      <c r="AH1322" s="114"/>
      <c r="AI1322" s="116"/>
      <c r="AJ1322" s="114"/>
      <c r="AK1322" s="114"/>
      <c r="AL1322" s="114"/>
      <c r="AM1322" s="114"/>
      <c r="AN1322" s="114"/>
      <c r="AO1322" s="114"/>
      <c r="AP1322" s="114"/>
      <c r="AQ1322" s="114"/>
      <c r="AR1322" s="114"/>
      <c r="AS1322" s="114"/>
      <c r="AT1322" s="114"/>
      <c r="AU1322" s="114"/>
      <c r="AV1322" s="114"/>
      <c r="AW1322" s="114"/>
      <c r="AX1322" s="114"/>
      <c r="AY1322" s="114"/>
      <c r="AZ1322" s="114"/>
      <c r="BA1322" s="114"/>
      <c r="BB1322" s="114"/>
      <c r="BC1322" s="114"/>
      <c r="BD1322" s="114"/>
      <c r="BE1322" s="114"/>
    </row>
    <row r="1323">
      <c r="A1323" s="114"/>
      <c r="B1323" s="114"/>
      <c r="C1323" s="114"/>
      <c r="D1323" s="114"/>
      <c r="E1323" s="114"/>
      <c r="F1323" s="114"/>
      <c r="G1323" s="114"/>
      <c r="H1323" s="114"/>
      <c r="I1323" s="114"/>
      <c r="J1323" s="114"/>
      <c r="K1323" s="114"/>
      <c r="L1323" s="114"/>
      <c r="M1323" s="114"/>
      <c r="N1323" s="114"/>
      <c r="O1323" s="114"/>
      <c r="P1323" s="114"/>
      <c r="Q1323" s="114"/>
      <c r="R1323" s="114"/>
      <c r="S1323" s="114"/>
      <c r="T1323" s="114"/>
      <c r="U1323" s="114"/>
      <c r="V1323" s="114"/>
      <c r="W1323" s="114"/>
      <c r="X1323" s="115"/>
      <c r="Y1323" s="114"/>
      <c r="Z1323" s="117" t="s">
        <v>6976</v>
      </c>
      <c r="AA1323" s="117" t="s">
        <v>5909</v>
      </c>
      <c r="AB1323" s="114"/>
      <c r="AC1323" s="114"/>
      <c r="AD1323" s="114"/>
      <c r="AE1323" s="114"/>
      <c r="AF1323" s="114"/>
      <c r="AG1323" s="114"/>
      <c r="AH1323" s="114"/>
      <c r="AI1323" s="116"/>
      <c r="AJ1323" s="114"/>
      <c r="AK1323" s="114"/>
      <c r="AL1323" s="114"/>
      <c r="AM1323" s="114"/>
      <c r="AN1323" s="114"/>
      <c r="AO1323" s="114"/>
      <c r="AP1323" s="114"/>
      <c r="AQ1323" s="114"/>
      <c r="AR1323" s="114"/>
      <c r="AS1323" s="114"/>
      <c r="AT1323" s="114"/>
      <c r="AU1323" s="114"/>
      <c r="AV1323" s="114"/>
      <c r="AW1323" s="114"/>
      <c r="AX1323" s="114"/>
      <c r="AY1323" s="114"/>
      <c r="AZ1323" s="114"/>
      <c r="BA1323" s="114"/>
      <c r="BB1323" s="114"/>
      <c r="BC1323" s="114"/>
      <c r="BD1323" s="114"/>
      <c r="BE1323" s="114"/>
    </row>
    <row r="1324">
      <c r="A1324" s="114"/>
      <c r="B1324" s="114"/>
      <c r="C1324" s="114"/>
      <c r="D1324" s="114"/>
      <c r="E1324" s="114"/>
      <c r="F1324" s="114"/>
      <c r="G1324" s="114"/>
      <c r="H1324" s="114"/>
      <c r="I1324" s="114"/>
      <c r="J1324" s="114"/>
      <c r="K1324" s="114"/>
      <c r="L1324" s="114"/>
      <c r="M1324" s="114"/>
      <c r="N1324" s="114"/>
      <c r="O1324" s="114"/>
      <c r="P1324" s="114"/>
      <c r="Q1324" s="114"/>
      <c r="R1324" s="114"/>
      <c r="S1324" s="114"/>
      <c r="T1324" s="114"/>
      <c r="U1324" s="114"/>
      <c r="V1324" s="114"/>
      <c r="W1324" s="114"/>
      <c r="X1324" s="115"/>
      <c r="Y1324" s="114"/>
      <c r="Z1324" s="117" t="s">
        <v>6977</v>
      </c>
      <c r="AA1324" s="117" t="s">
        <v>5911</v>
      </c>
      <c r="AB1324" s="114"/>
      <c r="AC1324" s="114"/>
      <c r="AD1324" s="114"/>
      <c r="AE1324" s="114"/>
      <c r="AF1324" s="114"/>
      <c r="AG1324" s="114"/>
      <c r="AH1324" s="114"/>
      <c r="AI1324" s="116"/>
      <c r="AJ1324" s="114"/>
      <c r="AK1324" s="114"/>
      <c r="AL1324" s="114"/>
      <c r="AM1324" s="114"/>
      <c r="AN1324" s="114"/>
      <c r="AO1324" s="114"/>
      <c r="AP1324" s="114"/>
      <c r="AQ1324" s="114"/>
      <c r="AR1324" s="114"/>
      <c r="AS1324" s="114"/>
      <c r="AT1324" s="114"/>
      <c r="AU1324" s="114"/>
      <c r="AV1324" s="114"/>
      <c r="AW1324" s="114"/>
      <c r="AX1324" s="114"/>
      <c r="AY1324" s="114"/>
      <c r="AZ1324" s="114"/>
      <c r="BA1324" s="114"/>
      <c r="BB1324" s="114"/>
      <c r="BC1324" s="114"/>
      <c r="BD1324" s="114"/>
      <c r="BE1324" s="114"/>
    </row>
    <row r="1325">
      <c r="A1325" s="114"/>
      <c r="B1325" s="114"/>
      <c r="C1325" s="114"/>
      <c r="D1325" s="114"/>
      <c r="E1325" s="114"/>
      <c r="F1325" s="114"/>
      <c r="G1325" s="114"/>
      <c r="H1325" s="114"/>
      <c r="I1325" s="114"/>
      <c r="J1325" s="114"/>
      <c r="K1325" s="114"/>
      <c r="L1325" s="114"/>
      <c r="M1325" s="114"/>
      <c r="N1325" s="114"/>
      <c r="O1325" s="114"/>
      <c r="P1325" s="114"/>
      <c r="Q1325" s="114"/>
      <c r="R1325" s="114"/>
      <c r="S1325" s="114"/>
      <c r="T1325" s="114"/>
      <c r="U1325" s="114"/>
      <c r="V1325" s="114"/>
      <c r="W1325" s="114"/>
      <c r="X1325" s="115"/>
      <c r="Y1325" s="114"/>
      <c r="Z1325" s="117" t="s">
        <v>6978</v>
      </c>
      <c r="AA1325" s="117" t="s">
        <v>5912</v>
      </c>
      <c r="AB1325" s="114"/>
      <c r="AC1325" s="114"/>
      <c r="AD1325" s="114"/>
      <c r="AE1325" s="114"/>
      <c r="AF1325" s="114"/>
      <c r="AG1325" s="114"/>
      <c r="AH1325" s="114"/>
      <c r="AI1325" s="116"/>
      <c r="AJ1325" s="114"/>
      <c r="AK1325" s="114"/>
      <c r="AL1325" s="114"/>
      <c r="AM1325" s="114"/>
      <c r="AN1325" s="114"/>
      <c r="AO1325" s="114"/>
      <c r="AP1325" s="114"/>
      <c r="AQ1325" s="114"/>
      <c r="AR1325" s="114"/>
      <c r="AS1325" s="114"/>
      <c r="AT1325" s="114"/>
      <c r="AU1325" s="114"/>
      <c r="AV1325" s="114"/>
      <c r="AW1325" s="114"/>
      <c r="AX1325" s="114"/>
      <c r="AY1325" s="114"/>
      <c r="AZ1325" s="114"/>
      <c r="BA1325" s="114"/>
      <c r="BB1325" s="114"/>
      <c r="BC1325" s="114"/>
      <c r="BD1325" s="114"/>
      <c r="BE1325" s="114"/>
    </row>
    <row r="1326">
      <c r="A1326" s="114"/>
      <c r="B1326" s="114"/>
      <c r="C1326" s="114"/>
      <c r="D1326" s="114"/>
      <c r="E1326" s="114"/>
      <c r="F1326" s="114"/>
      <c r="G1326" s="114"/>
      <c r="H1326" s="114"/>
      <c r="I1326" s="114"/>
      <c r="J1326" s="114"/>
      <c r="K1326" s="114"/>
      <c r="L1326" s="114"/>
      <c r="M1326" s="114"/>
      <c r="N1326" s="114"/>
      <c r="O1326" s="114"/>
      <c r="P1326" s="114"/>
      <c r="Q1326" s="114"/>
      <c r="R1326" s="114"/>
      <c r="S1326" s="114"/>
      <c r="T1326" s="114"/>
      <c r="U1326" s="114"/>
      <c r="V1326" s="114"/>
      <c r="W1326" s="114"/>
      <c r="X1326" s="115"/>
      <c r="Y1326" s="114"/>
      <c r="Z1326" s="117" t="s">
        <v>6979</v>
      </c>
      <c r="AA1326" s="117" t="s">
        <v>5910</v>
      </c>
      <c r="AB1326" s="114"/>
      <c r="AC1326" s="114"/>
      <c r="AD1326" s="114"/>
      <c r="AE1326" s="114"/>
      <c r="AF1326" s="114"/>
      <c r="AG1326" s="114"/>
      <c r="AH1326" s="114"/>
      <c r="AI1326" s="116"/>
      <c r="AJ1326" s="114"/>
      <c r="AK1326" s="114"/>
      <c r="AL1326" s="114"/>
      <c r="AM1326" s="114"/>
      <c r="AN1326" s="114"/>
      <c r="AO1326" s="114"/>
      <c r="AP1326" s="114"/>
      <c r="AQ1326" s="114"/>
      <c r="AR1326" s="114"/>
      <c r="AS1326" s="114"/>
      <c r="AT1326" s="114"/>
      <c r="AU1326" s="114"/>
      <c r="AV1326" s="114"/>
      <c r="AW1326" s="114"/>
      <c r="AX1326" s="114"/>
      <c r="AY1326" s="114"/>
      <c r="AZ1326" s="114"/>
      <c r="BA1326" s="114"/>
      <c r="BB1326" s="114"/>
      <c r="BC1326" s="114"/>
      <c r="BD1326" s="114"/>
      <c r="BE1326" s="114"/>
    </row>
    <row r="1327">
      <c r="A1327" s="114"/>
      <c r="B1327" s="114"/>
      <c r="C1327" s="114"/>
      <c r="D1327" s="114"/>
      <c r="E1327" s="114"/>
      <c r="F1327" s="114"/>
      <c r="G1327" s="114"/>
      <c r="H1327" s="114"/>
      <c r="I1327" s="114"/>
      <c r="J1327" s="114"/>
      <c r="K1327" s="114"/>
      <c r="L1327" s="114"/>
      <c r="M1327" s="114"/>
      <c r="N1327" s="114"/>
      <c r="O1327" s="114"/>
      <c r="P1327" s="114"/>
      <c r="Q1327" s="114"/>
      <c r="R1327" s="114"/>
      <c r="S1327" s="114"/>
      <c r="T1327" s="114"/>
      <c r="U1327" s="114"/>
      <c r="V1327" s="114"/>
      <c r="W1327" s="114"/>
      <c r="X1327" s="115"/>
      <c r="Y1327" s="114"/>
      <c r="Z1327" s="117" t="s">
        <v>6980</v>
      </c>
      <c r="AA1327" s="117" t="s">
        <v>5917</v>
      </c>
      <c r="AB1327" s="114"/>
      <c r="AC1327" s="114"/>
      <c r="AD1327" s="114"/>
      <c r="AE1327" s="114"/>
      <c r="AF1327" s="114"/>
      <c r="AG1327" s="114"/>
      <c r="AH1327" s="114"/>
      <c r="AI1327" s="116"/>
      <c r="AJ1327" s="114"/>
      <c r="AK1327" s="114"/>
      <c r="AL1327" s="114"/>
      <c r="AM1327" s="114"/>
      <c r="AN1327" s="114"/>
      <c r="AO1327" s="114"/>
      <c r="AP1327" s="114"/>
      <c r="AQ1327" s="114"/>
      <c r="AR1327" s="114"/>
      <c r="AS1327" s="114"/>
      <c r="AT1327" s="114"/>
      <c r="AU1327" s="114"/>
      <c r="AV1327" s="114"/>
      <c r="AW1327" s="114"/>
      <c r="AX1327" s="114"/>
      <c r="AY1327" s="114"/>
      <c r="AZ1327" s="114"/>
      <c r="BA1327" s="114"/>
      <c r="BB1327" s="114"/>
      <c r="BC1327" s="114"/>
      <c r="BD1327" s="114"/>
      <c r="BE1327" s="114"/>
    </row>
    <row r="1328">
      <c r="A1328" s="114"/>
      <c r="B1328" s="114"/>
      <c r="C1328" s="114"/>
      <c r="D1328" s="114"/>
      <c r="E1328" s="114"/>
      <c r="F1328" s="114"/>
      <c r="G1328" s="114"/>
      <c r="H1328" s="114"/>
      <c r="I1328" s="114"/>
      <c r="J1328" s="114"/>
      <c r="K1328" s="114"/>
      <c r="L1328" s="114"/>
      <c r="M1328" s="114"/>
      <c r="N1328" s="114"/>
      <c r="O1328" s="114"/>
      <c r="P1328" s="114"/>
      <c r="Q1328" s="114"/>
      <c r="R1328" s="114"/>
      <c r="S1328" s="114"/>
      <c r="T1328" s="114"/>
      <c r="U1328" s="114"/>
      <c r="V1328" s="114"/>
      <c r="W1328" s="114"/>
      <c r="X1328" s="115"/>
      <c r="Y1328" s="114"/>
      <c r="Z1328" s="117" t="s">
        <v>6981</v>
      </c>
      <c r="AA1328" s="117" t="s">
        <v>5919</v>
      </c>
      <c r="AB1328" s="114"/>
      <c r="AC1328" s="114"/>
      <c r="AD1328" s="114"/>
      <c r="AE1328" s="114"/>
      <c r="AF1328" s="114"/>
      <c r="AG1328" s="114"/>
      <c r="AH1328" s="114"/>
      <c r="AI1328" s="116"/>
      <c r="AJ1328" s="114"/>
      <c r="AK1328" s="114"/>
      <c r="AL1328" s="114"/>
      <c r="AM1328" s="114"/>
      <c r="AN1328" s="114"/>
      <c r="AO1328" s="114"/>
      <c r="AP1328" s="114"/>
      <c r="AQ1328" s="114"/>
      <c r="AR1328" s="114"/>
      <c r="AS1328" s="114"/>
      <c r="AT1328" s="114"/>
      <c r="AU1328" s="114"/>
      <c r="AV1328" s="114"/>
      <c r="AW1328" s="114"/>
      <c r="AX1328" s="114"/>
      <c r="AY1328" s="114"/>
      <c r="AZ1328" s="114"/>
      <c r="BA1328" s="114"/>
      <c r="BB1328" s="114"/>
      <c r="BC1328" s="114"/>
      <c r="BD1328" s="114"/>
      <c r="BE1328" s="114"/>
    </row>
    <row r="1329">
      <c r="A1329" s="114"/>
      <c r="B1329" s="114"/>
      <c r="C1329" s="114"/>
      <c r="D1329" s="114"/>
      <c r="E1329" s="114"/>
      <c r="F1329" s="114"/>
      <c r="G1329" s="114"/>
      <c r="H1329" s="114"/>
      <c r="I1329" s="114"/>
      <c r="J1329" s="114"/>
      <c r="K1329" s="114"/>
      <c r="L1329" s="114"/>
      <c r="M1329" s="114"/>
      <c r="N1329" s="114"/>
      <c r="O1329" s="114"/>
      <c r="P1329" s="114"/>
      <c r="Q1329" s="114"/>
      <c r="R1329" s="114"/>
      <c r="S1329" s="114"/>
      <c r="T1329" s="114"/>
      <c r="U1329" s="114"/>
      <c r="V1329" s="114"/>
      <c r="W1329" s="114"/>
      <c r="X1329" s="115"/>
      <c r="Y1329" s="114"/>
      <c r="Z1329" s="117" t="s">
        <v>6982</v>
      </c>
      <c r="AA1329" s="117" t="s">
        <v>5920</v>
      </c>
      <c r="AB1329" s="114"/>
      <c r="AC1329" s="114"/>
      <c r="AD1329" s="114"/>
      <c r="AE1329" s="114"/>
      <c r="AF1329" s="114"/>
      <c r="AG1329" s="114"/>
      <c r="AH1329" s="114"/>
      <c r="AI1329" s="116"/>
      <c r="AJ1329" s="114"/>
      <c r="AK1329" s="114"/>
      <c r="AL1329" s="114"/>
      <c r="AM1329" s="114"/>
      <c r="AN1329" s="114"/>
      <c r="AO1329" s="114"/>
      <c r="AP1329" s="114"/>
      <c r="AQ1329" s="114"/>
      <c r="AR1329" s="114"/>
      <c r="AS1329" s="114"/>
      <c r="AT1329" s="114"/>
      <c r="AU1329" s="114"/>
      <c r="AV1329" s="114"/>
      <c r="AW1329" s="114"/>
      <c r="AX1329" s="114"/>
      <c r="AY1329" s="114"/>
      <c r="AZ1329" s="114"/>
      <c r="BA1329" s="114"/>
      <c r="BB1329" s="114"/>
      <c r="BC1329" s="114"/>
      <c r="BD1329" s="114"/>
      <c r="BE1329" s="114"/>
    </row>
    <row r="1330">
      <c r="A1330" s="114"/>
      <c r="B1330" s="114"/>
      <c r="C1330" s="114"/>
      <c r="D1330" s="114"/>
      <c r="E1330" s="114"/>
      <c r="F1330" s="114"/>
      <c r="G1330" s="114"/>
      <c r="H1330" s="114"/>
      <c r="I1330" s="114"/>
      <c r="J1330" s="114"/>
      <c r="K1330" s="114"/>
      <c r="L1330" s="114"/>
      <c r="M1330" s="114"/>
      <c r="N1330" s="114"/>
      <c r="O1330" s="114"/>
      <c r="P1330" s="114"/>
      <c r="Q1330" s="114"/>
      <c r="R1330" s="114"/>
      <c r="S1330" s="114"/>
      <c r="T1330" s="114"/>
      <c r="U1330" s="114"/>
      <c r="V1330" s="114"/>
      <c r="W1330" s="114"/>
      <c r="X1330" s="115"/>
      <c r="Y1330" s="114"/>
      <c r="Z1330" s="117" t="s">
        <v>6983</v>
      </c>
      <c r="AA1330" s="117" t="s">
        <v>5918</v>
      </c>
      <c r="AB1330" s="114"/>
      <c r="AC1330" s="114"/>
      <c r="AD1330" s="114"/>
      <c r="AE1330" s="114"/>
      <c r="AF1330" s="114"/>
      <c r="AG1330" s="114"/>
      <c r="AH1330" s="114"/>
      <c r="AI1330" s="116"/>
      <c r="AJ1330" s="114"/>
      <c r="AK1330" s="114"/>
      <c r="AL1330" s="114"/>
      <c r="AM1330" s="114"/>
      <c r="AN1330" s="114"/>
      <c r="AO1330" s="114"/>
      <c r="AP1330" s="114"/>
      <c r="AQ1330" s="114"/>
      <c r="AR1330" s="114"/>
      <c r="AS1330" s="114"/>
      <c r="AT1330" s="114"/>
      <c r="AU1330" s="114"/>
      <c r="AV1330" s="114"/>
      <c r="AW1330" s="114"/>
      <c r="AX1330" s="114"/>
      <c r="AY1330" s="114"/>
      <c r="AZ1330" s="114"/>
      <c r="BA1330" s="114"/>
      <c r="BB1330" s="114"/>
      <c r="BC1330" s="114"/>
      <c r="BD1330" s="114"/>
      <c r="BE1330" s="114"/>
    </row>
    <row r="1331">
      <c r="A1331" s="114"/>
      <c r="B1331" s="114"/>
      <c r="C1331" s="114"/>
      <c r="D1331" s="114"/>
      <c r="E1331" s="114"/>
      <c r="F1331" s="114"/>
      <c r="G1331" s="114"/>
      <c r="H1331" s="114"/>
      <c r="I1331" s="114"/>
      <c r="J1331" s="114"/>
      <c r="K1331" s="114"/>
      <c r="L1331" s="114"/>
      <c r="M1331" s="114"/>
      <c r="N1331" s="114"/>
      <c r="O1331" s="114"/>
      <c r="P1331" s="114"/>
      <c r="Q1331" s="114"/>
      <c r="R1331" s="114"/>
      <c r="S1331" s="114"/>
      <c r="T1331" s="114"/>
      <c r="U1331" s="114"/>
      <c r="V1331" s="114"/>
      <c r="W1331" s="114"/>
      <c r="X1331" s="115"/>
      <c r="Y1331" s="114"/>
      <c r="Z1331" s="117" t="s">
        <v>6984</v>
      </c>
      <c r="AA1331" s="117" t="s">
        <v>5925</v>
      </c>
      <c r="AB1331" s="114"/>
      <c r="AC1331" s="114"/>
      <c r="AD1331" s="114"/>
      <c r="AE1331" s="114"/>
      <c r="AF1331" s="114"/>
      <c r="AG1331" s="114"/>
      <c r="AH1331" s="114"/>
      <c r="AI1331" s="116"/>
      <c r="AJ1331" s="114"/>
      <c r="AK1331" s="114"/>
      <c r="AL1331" s="114"/>
      <c r="AM1331" s="114"/>
      <c r="AN1331" s="114"/>
      <c r="AO1331" s="114"/>
      <c r="AP1331" s="114"/>
      <c r="AQ1331" s="114"/>
      <c r="AR1331" s="114"/>
      <c r="AS1331" s="114"/>
      <c r="AT1331" s="114"/>
      <c r="AU1331" s="114"/>
      <c r="AV1331" s="114"/>
      <c r="AW1331" s="114"/>
      <c r="AX1331" s="114"/>
      <c r="AY1331" s="114"/>
      <c r="AZ1331" s="114"/>
      <c r="BA1331" s="114"/>
      <c r="BB1331" s="114"/>
      <c r="BC1331" s="114"/>
      <c r="BD1331" s="114"/>
      <c r="BE1331" s="114"/>
    </row>
    <row r="1332">
      <c r="A1332" s="114"/>
      <c r="B1332" s="114"/>
      <c r="C1332" s="114"/>
      <c r="D1332" s="114"/>
      <c r="E1332" s="114"/>
      <c r="F1332" s="114"/>
      <c r="G1332" s="114"/>
      <c r="H1332" s="114"/>
      <c r="I1332" s="114"/>
      <c r="J1332" s="114"/>
      <c r="K1332" s="114"/>
      <c r="L1332" s="114"/>
      <c r="M1332" s="114"/>
      <c r="N1332" s="114"/>
      <c r="O1332" s="114"/>
      <c r="P1332" s="114"/>
      <c r="Q1332" s="114"/>
      <c r="R1332" s="114"/>
      <c r="S1332" s="114"/>
      <c r="T1332" s="114"/>
      <c r="U1332" s="114"/>
      <c r="V1332" s="114"/>
      <c r="W1332" s="114"/>
      <c r="X1332" s="115"/>
      <c r="Y1332" s="114"/>
      <c r="Z1332" s="117" t="s">
        <v>6985</v>
      </c>
      <c r="AA1332" s="117" t="s">
        <v>5927</v>
      </c>
      <c r="AB1332" s="114"/>
      <c r="AC1332" s="114"/>
      <c r="AD1332" s="114"/>
      <c r="AE1332" s="114"/>
      <c r="AF1332" s="114"/>
      <c r="AG1332" s="114"/>
      <c r="AH1332" s="114"/>
      <c r="AI1332" s="116"/>
      <c r="AJ1332" s="114"/>
      <c r="AK1332" s="114"/>
      <c r="AL1332" s="114"/>
      <c r="AM1332" s="114"/>
      <c r="AN1332" s="114"/>
      <c r="AO1332" s="114"/>
      <c r="AP1332" s="114"/>
      <c r="AQ1332" s="114"/>
      <c r="AR1332" s="114"/>
      <c r="AS1332" s="114"/>
      <c r="AT1332" s="114"/>
      <c r="AU1332" s="114"/>
      <c r="AV1332" s="114"/>
      <c r="AW1332" s="114"/>
      <c r="AX1332" s="114"/>
      <c r="AY1332" s="114"/>
      <c r="AZ1332" s="114"/>
      <c r="BA1332" s="114"/>
      <c r="BB1332" s="114"/>
      <c r="BC1332" s="114"/>
      <c r="BD1332" s="114"/>
      <c r="BE1332" s="114"/>
    </row>
    <row r="1333">
      <c r="A1333" s="114"/>
      <c r="B1333" s="114"/>
      <c r="C1333" s="114"/>
      <c r="D1333" s="114"/>
      <c r="E1333" s="114"/>
      <c r="F1333" s="114"/>
      <c r="G1333" s="114"/>
      <c r="H1333" s="114"/>
      <c r="I1333" s="114"/>
      <c r="J1333" s="114"/>
      <c r="K1333" s="114"/>
      <c r="L1333" s="114"/>
      <c r="M1333" s="114"/>
      <c r="N1333" s="114"/>
      <c r="O1333" s="114"/>
      <c r="P1333" s="114"/>
      <c r="Q1333" s="114"/>
      <c r="R1333" s="114"/>
      <c r="S1333" s="114"/>
      <c r="T1333" s="114"/>
      <c r="U1333" s="114"/>
      <c r="V1333" s="114"/>
      <c r="W1333" s="114"/>
      <c r="X1333" s="115"/>
      <c r="Y1333" s="114"/>
      <c r="Z1333" s="117" t="s">
        <v>6986</v>
      </c>
      <c r="AA1333" s="117" t="s">
        <v>5928</v>
      </c>
      <c r="AB1333" s="114"/>
      <c r="AC1333" s="114"/>
      <c r="AD1333" s="114"/>
      <c r="AE1333" s="114"/>
      <c r="AF1333" s="114"/>
      <c r="AG1333" s="114"/>
      <c r="AH1333" s="114"/>
      <c r="AI1333" s="116"/>
      <c r="AJ1333" s="114"/>
      <c r="AK1333" s="114"/>
      <c r="AL1333" s="114"/>
      <c r="AM1333" s="114"/>
      <c r="AN1333" s="114"/>
      <c r="AO1333" s="114"/>
      <c r="AP1333" s="114"/>
      <c r="AQ1333" s="114"/>
      <c r="AR1333" s="114"/>
      <c r="AS1333" s="114"/>
      <c r="AT1333" s="114"/>
      <c r="AU1333" s="114"/>
      <c r="AV1333" s="114"/>
      <c r="AW1333" s="114"/>
      <c r="AX1333" s="114"/>
      <c r="AY1333" s="114"/>
      <c r="AZ1333" s="114"/>
      <c r="BA1333" s="114"/>
      <c r="BB1333" s="114"/>
      <c r="BC1333" s="114"/>
      <c r="BD1333" s="114"/>
      <c r="BE1333" s="114"/>
    </row>
    <row r="1334">
      <c r="A1334" s="114"/>
      <c r="B1334" s="114"/>
      <c r="C1334" s="114"/>
      <c r="D1334" s="114"/>
      <c r="E1334" s="114"/>
      <c r="F1334" s="114"/>
      <c r="G1334" s="114"/>
      <c r="H1334" s="114"/>
      <c r="I1334" s="114"/>
      <c r="J1334" s="114"/>
      <c r="K1334" s="114"/>
      <c r="L1334" s="114"/>
      <c r="M1334" s="114"/>
      <c r="N1334" s="114"/>
      <c r="O1334" s="114"/>
      <c r="P1334" s="114"/>
      <c r="Q1334" s="114"/>
      <c r="R1334" s="114"/>
      <c r="S1334" s="114"/>
      <c r="T1334" s="114"/>
      <c r="U1334" s="114"/>
      <c r="V1334" s="114"/>
      <c r="W1334" s="114"/>
      <c r="X1334" s="115"/>
      <c r="Y1334" s="114"/>
      <c r="Z1334" s="117" t="s">
        <v>6987</v>
      </c>
      <c r="AA1334" s="117" t="s">
        <v>5926</v>
      </c>
      <c r="AB1334" s="114"/>
      <c r="AC1334" s="114"/>
      <c r="AD1334" s="114"/>
      <c r="AE1334" s="114"/>
      <c r="AF1334" s="114"/>
      <c r="AG1334" s="114"/>
      <c r="AH1334" s="114"/>
      <c r="AI1334" s="116"/>
      <c r="AJ1334" s="114"/>
      <c r="AK1334" s="114"/>
      <c r="AL1334" s="114"/>
      <c r="AM1334" s="114"/>
      <c r="AN1334" s="114"/>
      <c r="AO1334" s="114"/>
      <c r="AP1334" s="114"/>
      <c r="AQ1334" s="114"/>
      <c r="AR1334" s="114"/>
      <c r="AS1334" s="114"/>
      <c r="AT1334" s="114"/>
      <c r="AU1334" s="114"/>
      <c r="AV1334" s="114"/>
      <c r="AW1334" s="114"/>
      <c r="AX1334" s="114"/>
      <c r="AY1334" s="114"/>
      <c r="AZ1334" s="114"/>
      <c r="BA1334" s="114"/>
      <c r="BB1334" s="114"/>
      <c r="BC1334" s="114"/>
      <c r="BD1334" s="114"/>
      <c r="BE1334" s="114"/>
    </row>
    <row r="1335">
      <c r="A1335" s="114"/>
      <c r="B1335" s="114"/>
      <c r="C1335" s="114"/>
      <c r="D1335" s="114"/>
      <c r="E1335" s="114"/>
      <c r="F1335" s="114"/>
      <c r="G1335" s="114"/>
      <c r="H1335" s="114"/>
      <c r="I1335" s="114"/>
      <c r="J1335" s="114"/>
      <c r="K1335" s="114"/>
      <c r="L1335" s="114"/>
      <c r="M1335" s="114"/>
      <c r="N1335" s="114"/>
      <c r="O1335" s="114"/>
      <c r="P1335" s="114"/>
      <c r="Q1335" s="114"/>
      <c r="R1335" s="114"/>
      <c r="S1335" s="114"/>
      <c r="T1335" s="114"/>
      <c r="U1335" s="114"/>
      <c r="V1335" s="114"/>
      <c r="W1335" s="114"/>
      <c r="X1335" s="115"/>
      <c r="Y1335" s="114"/>
      <c r="Z1335" s="117" t="s">
        <v>6988</v>
      </c>
      <c r="AA1335" s="117" t="s">
        <v>5933</v>
      </c>
      <c r="AB1335" s="114"/>
      <c r="AC1335" s="114"/>
      <c r="AD1335" s="114"/>
      <c r="AE1335" s="114"/>
      <c r="AF1335" s="114"/>
      <c r="AG1335" s="114"/>
      <c r="AH1335" s="114"/>
      <c r="AI1335" s="116"/>
      <c r="AJ1335" s="114"/>
      <c r="AK1335" s="114"/>
      <c r="AL1335" s="114"/>
      <c r="AM1335" s="114"/>
      <c r="AN1335" s="114"/>
      <c r="AO1335" s="114"/>
      <c r="AP1335" s="114"/>
      <c r="AQ1335" s="114"/>
      <c r="AR1335" s="114"/>
      <c r="AS1335" s="114"/>
      <c r="AT1335" s="114"/>
      <c r="AU1335" s="114"/>
      <c r="AV1335" s="114"/>
      <c r="AW1335" s="114"/>
      <c r="AX1335" s="114"/>
      <c r="AY1335" s="114"/>
      <c r="AZ1335" s="114"/>
      <c r="BA1335" s="114"/>
      <c r="BB1335" s="114"/>
      <c r="BC1335" s="114"/>
      <c r="BD1335" s="114"/>
      <c r="BE1335" s="114"/>
    </row>
    <row r="1336">
      <c r="A1336" s="114"/>
      <c r="B1336" s="114"/>
      <c r="C1336" s="114"/>
      <c r="D1336" s="114"/>
      <c r="E1336" s="114"/>
      <c r="F1336" s="114"/>
      <c r="G1336" s="114"/>
      <c r="H1336" s="114"/>
      <c r="I1336" s="114"/>
      <c r="J1336" s="114"/>
      <c r="K1336" s="114"/>
      <c r="L1336" s="114"/>
      <c r="M1336" s="114"/>
      <c r="N1336" s="114"/>
      <c r="O1336" s="114"/>
      <c r="P1336" s="114"/>
      <c r="Q1336" s="114"/>
      <c r="R1336" s="114"/>
      <c r="S1336" s="114"/>
      <c r="T1336" s="114"/>
      <c r="U1336" s="114"/>
      <c r="V1336" s="114"/>
      <c r="W1336" s="114"/>
      <c r="X1336" s="115"/>
      <c r="Y1336" s="114"/>
      <c r="Z1336" s="117" t="s">
        <v>6989</v>
      </c>
      <c r="AA1336" s="117" t="s">
        <v>5935</v>
      </c>
      <c r="AB1336" s="114"/>
      <c r="AC1336" s="114"/>
      <c r="AD1336" s="114"/>
      <c r="AE1336" s="114"/>
      <c r="AF1336" s="114"/>
      <c r="AG1336" s="114"/>
      <c r="AH1336" s="114"/>
      <c r="AI1336" s="116"/>
      <c r="AJ1336" s="114"/>
      <c r="AK1336" s="114"/>
      <c r="AL1336" s="114"/>
      <c r="AM1336" s="114"/>
      <c r="AN1336" s="114"/>
      <c r="AO1336" s="114"/>
      <c r="AP1336" s="114"/>
      <c r="AQ1336" s="114"/>
      <c r="AR1336" s="114"/>
      <c r="AS1336" s="114"/>
      <c r="AT1336" s="114"/>
      <c r="AU1336" s="114"/>
      <c r="AV1336" s="114"/>
      <c r="AW1336" s="114"/>
      <c r="AX1336" s="114"/>
      <c r="AY1336" s="114"/>
      <c r="AZ1336" s="114"/>
      <c r="BA1336" s="114"/>
      <c r="BB1336" s="114"/>
      <c r="BC1336" s="114"/>
      <c r="BD1336" s="114"/>
      <c r="BE1336" s="114"/>
    </row>
    <row r="1337">
      <c r="A1337" s="114"/>
      <c r="B1337" s="114"/>
      <c r="C1337" s="114"/>
      <c r="D1337" s="114"/>
      <c r="E1337" s="114"/>
      <c r="F1337" s="114"/>
      <c r="G1337" s="114"/>
      <c r="H1337" s="114"/>
      <c r="I1337" s="114"/>
      <c r="J1337" s="114"/>
      <c r="K1337" s="114"/>
      <c r="L1337" s="114"/>
      <c r="M1337" s="114"/>
      <c r="N1337" s="114"/>
      <c r="O1337" s="114"/>
      <c r="P1337" s="114"/>
      <c r="Q1337" s="114"/>
      <c r="R1337" s="114"/>
      <c r="S1337" s="114"/>
      <c r="T1337" s="114"/>
      <c r="U1337" s="114"/>
      <c r="V1337" s="114"/>
      <c r="W1337" s="114"/>
      <c r="X1337" s="115"/>
      <c r="Y1337" s="114"/>
      <c r="Z1337" s="117" t="s">
        <v>6990</v>
      </c>
      <c r="AA1337" s="117" t="s">
        <v>5936</v>
      </c>
      <c r="AB1337" s="114"/>
      <c r="AC1337" s="114"/>
      <c r="AD1337" s="114"/>
      <c r="AE1337" s="114"/>
      <c r="AF1337" s="114"/>
      <c r="AG1337" s="114"/>
      <c r="AH1337" s="114"/>
      <c r="AI1337" s="116"/>
      <c r="AJ1337" s="114"/>
      <c r="AK1337" s="114"/>
      <c r="AL1337" s="114"/>
      <c r="AM1337" s="114"/>
      <c r="AN1337" s="114"/>
      <c r="AO1337" s="114"/>
      <c r="AP1337" s="114"/>
      <c r="AQ1337" s="114"/>
      <c r="AR1337" s="114"/>
      <c r="AS1337" s="114"/>
      <c r="AT1337" s="114"/>
      <c r="AU1337" s="114"/>
      <c r="AV1337" s="114"/>
      <c r="AW1337" s="114"/>
      <c r="AX1337" s="114"/>
      <c r="AY1337" s="114"/>
      <c r="AZ1337" s="114"/>
      <c r="BA1337" s="114"/>
      <c r="BB1337" s="114"/>
      <c r="BC1337" s="114"/>
      <c r="BD1337" s="114"/>
      <c r="BE1337" s="114"/>
    </row>
    <row r="1338">
      <c r="A1338" s="114"/>
      <c r="B1338" s="114"/>
      <c r="C1338" s="114"/>
      <c r="D1338" s="114"/>
      <c r="E1338" s="114"/>
      <c r="F1338" s="114"/>
      <c r="G1338" s="114"/>
      <c r="H1338" s="114"/>
      <c r="I1338" s="114"/>
      <c r="J1338" s="114"/>
      <c r="K1338" s="114"/>
      <c r="L1338" s="114"/>
      <c r="M1338" s="114"/>
      <c r="N1338" s="114"/>
      <c r="O1338" s="114"/>
      <c r="P1338" s="114"/>
      <c r="Q1338" s="114"/>
      <c r="R1338" s="114"/>
      <c r="S1338" s="114"/>
      <c r="T1338" s="114"/>
      <c r="U1338" s="114"/>
      <c r="V1338" s="114"/>
      <c r="W1338" s="114"/>
      <c r="X1338" s="115"/>
      <c r="Y1338" s="114"/>
      <c r="Z1338" s="117" t="s">
        <v>6991</v>
      </c>
      <c r="AA1338" s="117" t="s">
        <v>5934</v>
      </c>
      <c r="AB1338" s="114"/>
      <c r="AC1338" s="114"/>
      <c r="AD1338" s="114"/>
      <c r="AE1338" s="114"/>
      <c r="AF1338" s="114"/>
      <c r="AG1338" s="114"/>
      <c r="AH1338" s="114"/>
      <c r="AI1338" s="116"/>
      <c r="AJ1338" s="114"/>
      <c r="AK1338" s="114"/>
      <c r="AL1338" s="114"/>
      <c r="AM1338" s="114"/>
      <c r="AN1338" s="114"/>
      <c r="AO1338" s="114"/>
      <c r="AP1338" s="114"/>
      <c r="AQ1338" s="114"/>
      <c r="AR1338" s="114"/>
      <c r="AS1338" s="114"/>
      <c r="AT1338" s="114"/>
      <c r="AU1338" s="114"/>
      <c r="AV1338" s="114"/>
      <c r="AW1338" s="114"/>
      <c r="AX1338" s="114"/>
      <c r="AY1338" s="114"/>
      <c r="AZ1338" s="114"/>
      <c r="BA1338" s="114"/>
      <c r="BB1338" s="114"/>
      <c r="BC1338" s="114"/>
      <c r="BD1338" s="114"/>
      <c r="BE1338" s="114"/>
    </row>
    <row r="1339">
      <c r="A1339" s="114"/>
      <c r="B1339" s="114"/>
      <c r="C1339" s="114"/>
      <c r="D1339" s="114"/>
      <c r="E1339" s="114"/>
      <c r="F1339" s="114"/>
      <c r="G1339" s="114"/>
      <c r="H1339" s="114"/>
      <c r="I1339" s="114"/>
      <c r="J1339" s="114"/>
      <c r="K1339" s="114"/>
      <c r="L1339" s="114"/>
      <c r="M1339" s="114"/>
      <c r="N1339" s="114"/>
      <c r="O1339" s="114"/>
      <c r="P1339" s="114"/>
      <c r="Q1339" s="114"/>
      <c r="R1339" s="114"/>
      <c r="S1339" s="114"/>
      <c r="T1339" s="114"/>
      <c r="U1339" s="114"/>
      <c r="V1339" s="114"/>
      <c r="W1339" s="114"/>
      <c r="X1339" s="115"/>
      <c r="Y1339" s="114"/>
      <c r="Z1339" s="117" t="s">
        <v>6992</v>
      </c>
      <c r="AA1339" s="117" t="s">
        <v>5941</v>
      </c>
      <c r="AB1339" s="114"/>
      <c r="AC1339" s="114"/>
      <c r="AD1339" s="114"/>
      <c r="AE1339" s="114"/>
      <c r="AF1339" s="114"/>
      <c r="AG1339" s="114"/>
      <c r="AH1339" s="114"/>
      <c r="AI1339" s="116"/>
      <c r="AJ1339" s="114"/>
      <c r="AK1339" s="114"/>
      <c r="AL1339" s="114"/>
      <c r="AM1339" s="114"/>
      <c r="AN1339" s="114"/>
      <c r="AO1339" s="114"/>
      <c r="AP1339" s="114"/>
      <c r="AQ1339" s="114"/>
      <c r="AR1339" s="114"/>
      <c r="AS1339" s="114"/>
      <c r="AT1339" s="114"/>
      <c r="AU1339" s="114"/>
      <c r="AV1339" s="114"/>
      <c r="AW1339" s="114"/>
      <c r="AX1339" s="114"/>
      <c r="AY1339" s="114"/>
      <c r="AZ1339" s="114"/>
      <c r="BA1339" s="114"/>
      <c r="BB1339" s="114"/>
      <c r="BC1339" s="114"/>
      <c r="BD1339" s="114"/>
      <c r="BE1339" s="114"/>
    </row>
    <row r="1340">
      <c r="A1340" s="114"/>
      <c r="B1340" s="114"/>
      <c r="C1340" s="114"/>
      <c r="D1340" s="114"/>
      <c r="E1340" s="114"/>
      <c r="F1340" s="114"/>
      <c r="G1340" s="114"/>
      <c r="H1340" s="114"/>
      <c r="I1340" s="114"/>
      <c r="J1340" s="114"/>
      <c r="K1340" s="114"/>
      <c r="L1340" s="114"/>
      <c r="M1340" s="114"/>
      <c r="N1340" s="114"/>
      <c r="O1340" s="114"/>
      <c r="P1340" s="114"/>
      <c r="Q1340" s="114"/>
      <c r="R1340" s="114"/>
      <c r="S1340" s="114"/>
      <c r="T1340" s="114"/>
      <c r="U1340" s="114"/>
      <c r="V1340" s="114"/>
      <c r="W1340" s="114"/>
      <c r="X1340" s="115"/>
      <c r="Y1340" s="114"/>
      <c r="Z1340" s="117" t="s">
        <v>6993</v>
      </c>
      <c r="AA1340" s="117" t="s">
        <v>5943</v>
      </c>
      <c r="AB1340" s="114"/>
      <c r="AC1340" s="114"/>
      <c r="AD1340" s="114"/>
      <c r="AE1340" s="114"/>
      <c r="AF1340" s="114"/>
      <c r="AG1340" s="114"/>
      <c r="AH1340" s="114"/>
      <c r="AI1340" s="116"/>
      <c r="AJ1340" s="114"/>
      <c r="AK1340" s="114"/>
      <c r="AL1340" s="114"/>
      <c r="AM1340" s="114"/>
      <c r="AN1340" s="114"/>
      <c r="AO1340" s="114"/>
      <c r="AP1340" s="114"/>
      <c r="AQ1340" s="114"/>
      <c r="AR1340" s="114"/>
      <c r="AS1340" s="114"/>
      <c r="AT1340" s="114"/>
      <c r="AU1340" s="114"/>
      <c r="AV1340" s="114"/>
      <c r="AW1340" s="114"/>
      <c r="AX1340" s="114"/>
      <c r="AY1340" s="114"/>
      <c r="AZ1340" s="114"/>
      <c r="BA1340" s="114"/>
      <c r="BB1340" s="114"/>
      <c r="BC1340" s="114"/>
      <c r="BD1340" s="114"/>
      <c r="BE1340" s="114"/>
    </row>
    <row r="1341">
      <c r="A1341" s="114"/>
      <c r="B1341" s="114"/>
      <c r="C1341" s="114"/>
      <c r="D1341" s="114"/>
      <c r="E1341" s="114"/>
      <c r="F1341" s="114"/>
      <c r="G1341" s="114"/>
      <c r="H1341" s="114"/>
      <c r="I1341" s="114"/>
      <c r="J1341" s="114"/>
      <c r="K1341" s="114"/>
      <c r="L1341" s="114"/>
      <c r="M1341" s="114"/>
      <c r="N1341" s="114"/>
      <c r="O1341" s="114"/>
      <c r="P1341" s="114"/>
      <c r="Q1341" s="114"/>
      <c r="R1341" s="114"/>
      <c r="S1341" s="114"/>
      <c r="T1341" s="114"/>
      <c r="U1341" s="114"/>
      <c r="V1341" s="114"/>
      <c r="W1341" s="114"/>
      <c r="X1341" s="115"/>
      <c r="Y1341" s="114"/>
      <c r="Z1341" s="117" t="s">
        <v>6994</v>
      </c>
      <c r="AA1341" s="117" t="s">
        <v>5944</v>
      </c>
      <c r="AB1341" s="114"/>
      <c r="AC1341" s="114"/>
      <c r="AD1341" s="114"/>
      <c r="AE1341" s="114"/>
      <c r="AF1341" s="114"/>
      <c r="AG1341" s="114"/>
      <c r="AH1341" s="114"/>
      <c r="AI1341" s="116"/>
      <c r="AJ1341" s="114"/>
      <c r="AK1341" s="114"/>
      <c r="AL1341" s="114"/>
      <c r="AM1341" s="114"/>
      <c r="AN1341" s="114"/>
      <c r="AO1341" s="114"/>
      <c r="AP1341" s="114"/>
      <c r="AQ1341" s="114"/>
      <c r="AR1341" s="114"/>
      <c r="AS1341" s="114"/>
      <c r="AT1341" s="114"/>
      <c r="AU1341" s="114"/>
      <c r="AV1341" s="114"/>
      <c r="AW1341" s="114"/>
      <c r="AX1341" s="114"/>
      <c r="AY1341" s="114"/>
      <c r="AZ1341" s="114"/>
      <c r="BA1341" s="114"/>
      <c r="BB1341" s="114"/>
      <c r="BC1341" s="114"/>
      <c r="BD1341" s="114"/>
      <c r="BE1341" s="114"/>
    </row>
    <row r="1342">
      <c r="A1342" s="114"/>
      <c r="B1342" s="114"/>
      <c r="C1342" s="114"/>
      <c r="D1342" s="114"/>
      <c r="E1342" s="114"/>
      <c r="F1342" s="114"/>
      <c r="G1342" s="114"/>
      <c r="H1342" s="114"/>
      <c r="I1342" s="114"/>
      <c r="J1342" s="114"/>
      <c r="K1342" s="114"/>
      <c r="L1342" s="114"/>
      <c r="M1342" s="114"/>
      <c r="N1342" s="114"/>
      <c r="O1342" s="114"/>
      <c r="P1342" s="114"/>
      <c r="Q1342" s="114"/>
      <c r="R1342" s="114"/>
      <c r="S1342" s="114"/>
      <c r="T1342" s="114"/>
      <c r="U1342" s="114"/>
      <c r="V1342" s="114"/>
      <c r="W1342" s="114"/>
      <c r="X1342" s="115"/>
      <c r="Y1342" s="114"/>
      <c r="Z1342" s="117" t="s">
        <v>6995</v>
      </c>
      <c r="AA1342" s="117" t="s">
        <v>5942</v>
      </c>
      <c r="AB1342" s="114"/>
      <c r="AC1342" s="114"/>
      <c r="AD1342" s="114"/>
      <c r="AE1342" s="114"/>
      <c r="AF1342" s="114"/>
      <c r="AG1342" s="114"/>
      <c r="AH1342" s="114"/>
      <c r="AI1342" s="116"/>
      <c r="AJ1342" s="114"/>
      <c r="AK1342" s="114"/>
      <c r="AL1342" s="114"/>
      <c r="AM1342" s="114"/>
      <c r="AN1342" s="114"/>
      <c r="AO1342" s="114"/>
      <c r="AP1342" s="114"/>
      <c r="AQ1342" s="114"/>
      <c r="AR1342" s="114"/>
      <c r="AS1342" s="114"/>
      <c r="AT1342" s="114"/>
      <c r="AU1342" s="114"/>
      <c r="AV1342" s="114"/>
      <c r="AW1342" s="114"/>
      <c r="AX1342" s="114"/>
      <c r="AY1342" s="114"/>
      <c r="AZ1342" s="114"/>
      <c r="BA1342" s="114"/>
      <c r="BB1342" s="114"/>
      <c r="BC1342" s="114"/>
      <c r="BD1342" s="114"/>
      <c r="BE1342" s="114"/>
    </row>
    <row r="1343">
      <c r="A1343" s="114"/>
      <c r="B1343" s="114"/>
      <c r="C1343" s="114"/>
      <c r="D1343" s="114"/>
      <c r="E1343" s="114"/>
      <c r="F1343" s="114"/>
      <c r="G1343" s="114"/>
      <c r="H1343" s="114"/>
      <c r="I1343" s="114"/>
      <c r="J1343" s="114"/>
      <c r="K1343" s="114"/>
      <c r="L1343" s="114"/>
      <c r="M1343" s="114"/>
      <c r="N1343" s="114"/>
      <c r="O1343" s="114"/>
      <c r="P1343" s="114"/>
      <c r="Q1343" s="114"/>
      <c r="R1343" s="114"/>
      <c r="S1343" s="114"/>
      <c r="T1343" s="114"/>
      <c r="U1343" s="114"/>
      <c r="V1343" s="114"/>
      <c r="W1343" s="114"/>
      <c r="X1343" s="115"/>
      <c r="Y1343" s="114"/>
      <c r="Z1343" s="117" t="s">
        <v>6996</v>
      </c>
      <c r="AA1343" s="117" t="s">
        <v>5949</v>
      </c>
      <c r="AB1343" s="114"/>
      <c r="AC1343" s="114"/>
      <c r="AD1343" s="114"/>
      <c r="AE1343" s="114"/>
      <c r="AF1343" s="114"/>
      <c r="AG1343" s="114"/>
      <c r="AH1343" s="114"/>
      <c r="AI1343" s="116"/>
      <c r="AJ1343" s="114"/>
      <c r="AK1343" s="114"/>
      <c r="AL1343" s="114"/>
      <c r="AM1343" s="114"/>
      <c r="AN1343" s="114"/>
      <c r="AO1343" s="114"/>
      <c r="AP1343" s="114"/>
      <c r="AQ1343" s="114"/>
      <c r="AR1343" s="114"/>
      <c r="AS1343" s="114"/>
      <c r="AT1343" s="114"/>
      <c r="AU1343" s="114"/>
      <c r="AV1343" s="114"/>
      <c r="AW1343" s="114"/>
      <c r="AX1343" s="114"/>
      <c r="AY1343" s="114"/>
      <c r="AZ1343" s="114"/>
      <c r="BA1343" s="114"/>
      <c r="BB1343" s="114"/>
      <c r="BC1343" s="114"/>
      <c r="BD1343" s="114"/>
      <c r="BE1343" s="114"/>
    </row>
    <row r="1344">
      <c r="A1344" s="114"/>
      <c r="B1344" s="114"/>
      <c r="C1344" s="114"/>
      <c r="D1344" s="114"/>
      <c r="E1344" s="114"/>
      <c r="F1344" s="114"/>
      <c r="G1344" s="114"/>
      <c r="H1344" s="114"/>
      <c r="I1344" s="114"/>
      <c r="J1344" s="114"/>
      <c r="K1344" s="114"/>
      <c r="L1344" s="114"/>
      <c r="M1344" s="114"/>
      <c r="N1344" s="114"/>
      <c r="O1344" s="114"/>
      <c r="P1344" s="114"/>
      <c r="Q1344" s="114"/>
      <c r="R1344" s="114"/>
      <c r="S1344" s="114"/>
      <c r="T1344" s="114"/>
      <c r="U1344" s="114"/>
      <c r="V1344" s="114"/>
      <c r="W1344" s="114"/>
      <c r="X1344" s="115"/>
      <c r="Y1344" s="114"/>
      <c r="Z1344" s="117" t="s">
        <v>6997</v>
      </c>
      <c r="AA1344" s="117" t="s">
        <v>5951</v>
      </c>
      <c r="AB1344" s="114"/>
      <c r="AC1344" s="114"/>
      <c r="AD1344" s="114"/>
      <c r="AE1344" s="114"/>
      <c r="AF1344" s="114"/>
      <c r="AG1344" s="114"/>
      <c r="AH1344" s="114"/>
      <c r="AI1344" s="116"/>
      <c r="AJ1344" s="114"/>
      <c r="AK1344" s="114"/>
      <c r="AL1344" s="114"/>
      <c r="AM1344" s="114"/>
      <c r="AN1344" s="114"/>
      <c r="AO1344" s="114"/>
      <c r="AP1344" s="114"/>
      <c r="AQ1344" s="114"/>
      <c r="AR1344" s="114"/>
      <c r="AS1344" s="114"/>
      <c r="AT1344" s="114"/>
      <c r="AU1344" s="114"/>
      <c r="AV1344" s="114"/>
      <c r="AW1344" s="114"/>
      <c r="AX1344" s="114"/>
      <c r="AY1344" s="114"/>
      <c r="AZ1344" s="114"/>
      <c r="BA1344" s="114"/>
      <c r="BB1344" s="114"/>
      <c r="BC1344" s="114"/>
      <c r="BD1344" s="114"/>
      <c r="BE1344" s="114"/>
    </row>
    <row r="1345">
      <c r="A1345" s="114"/>
      <c r="B1345" s="114"/>
      <c r="C1345" s="114"/>
      <c r="D1345" s="114"/>
      <c r="E1345" s="114"/>
      <c r="F1345" s="114"/>
      <c r="G1345" s="114"/>
      <c r="H1345" s="114"/>
      <c r="I1345" s="114"/>
      <c r="J1345" s="114"/>
      <c r="K1345" s="114"/>
      <c r="L1345" s="114"/>
      <c r="M1345" s="114"/>
      <c r="N1345" s="114"/>
      <c r="O1345" s="114"/>
      <c r="P1345" s="114"/>
      <c r="Q1345" s="114"/>
      <c r="R1345" s="114"/>
      <c r="S1345" s="114"/>
      <c r="T1345" s="114"/>
      <c r="U1345" s="114"/>
      <c r="V1345" s="114"/>
      <c r="W1345" s="114"/>
      <c r="X1345" s="115"/>
      <c r="Y1345" s="114"/>
      <c r="Z1345" s="117" t="s">
        <v>6998</v>
      </c>
      <c r="AA1345" s="117" t="s">
        <v>5952</v>
      </c>
      <c r="AB1345" s="114"/>
      <c r="AC1345" s="114"/>
      <c r="AD1345" s="114"/>
      <c r="AE1345" s="114"/>
      <c r="AF1345" s="114"/>
      <c r="AG1345" s="114"/>
      <c r="AH1345" s="114"/>
      <c r="AI1345" s="116"/>
      <c r="AJ1345" s="114"/>
      <c r="AK1345" s="114"/>
      <c r="AL1345" s="114"/>
      <c r="AM1345" s="114"/>
      <c r="AN1345" s="114"/>
      <c r="AO1345" s="114"/>
      <c r="AP1345" s="114"/>
      <c r="AQ1345" s="114"/>
      <c r="AR1345" s="114"/>
      <c r="AS1345" s="114"/>
      <c r="AT1345" s="114"/>
      <c r="AU1345" s="114"/>
      <c r="AV1345" s="114"/>
      <c r="AW1345" s="114"/>
      <c r="AX1345" s="114"/>
      <c r="AY1345" s="114"/>
      <c r="AZ1345" s="114"/>
      <c r="BA1345" s="114"/>
      <c r="BB1345" s="114"/>
      <c r="BC1345" s="114"/>
      <c r="BD1345" s="114"/>
      <c r="BE1345" s="114"/>
    </row>
    <row r="1346">
      <c r="A1346" s="114"/>
      <c r="B1346" s="114"/>
      <c r="C1346" s="114"/>
      <c r="D1346" s="114"/>
      <c r="E1346" s="114"/>
      <c r="F1346" s="114"/>
      <c r="G1346" s="114"/>
      <c r="H1346" s="114"/>
      <c r="I1346" s="114"/>
      <c r="J1346" s="114"/>
      <c r="K1346" s="114"/>
      <c r="L1346" s="114"/>
      <c r="M1346" s="114"/>
      <c r="N1346" s="114"/>
      <c r="O1346" s="114"/>
      <c r="P1346" s="114"/>
      <c r="Q1346" s="114"/>
      <c r="R1346" s="114"/>
      <c r="S1346" s="114"/>
      <c r="T1346" s="114"/>
      <c r="U1346" s="114"/>
      <c r="V1346" s="114"/>
      <c r="W1346" s="114"/>
      <c r="X1346" s="115"/>
      <c r="Y1346" s="114"/>
      <c r="Z1346" s="117" t="s">
        <v>6999</v>
      </c>
      <c r="AA1346" s="117" t="s">
        <v>5950</v>
      </c>
      <c r="AB1346" s="114"/>
      <c r="AC1346" s="114"/>
      <c r="AD1346" s="114"/>
      <c r="AE1346" s="114"/>
      <c r="AF1346" s="114"/>
      <c r="AG1346" s="114"/>
      <c r="AH1346" s="114"/>
      <c r="AI1346" s="116"/>
      <c r="AJ1346" s="114"/>
      <c r="AK1346" s="114"/>
      <c r="AL1346" s="114"/>
      <c r="AM1346" s="114"/>
      <c r="AN1346" s="114"/>
      <c r="AO1346" s="114"/>
      <c r="AP1346" s="114"/>
      <c r="AQ1346" s="114"/>
      <c r="AR1346" s="114"/>
      <c r="AS1346" s="114"/>
      <c r="AT1346" s="114"/>
      <c r="AU1346" s="114"/>
      <c r="AV1346" s="114"/>
      <c r="AW1346" s="114"/>
      <c r="AX1346" s="114"/>
      <c r="AY1346" s="114"/>
      <c r="AZ1346" s="114"/>
      <c r="BA1346" s="114"/>
      <c r="BB1346" s="114"/>
      <c r="BC1346" s="114"/>
      <c r="BD1346" s="114"/>
      <c r="BE1346" s="114"/>
    </row>
    <row r="1347">
      <c r="A1347" s="114"/>
      <c r="B1347" s="114"/>
      <c r="C1347" s="114"/>
      <c r="D1347" s="114"/>
      <c r="E1347" s="114"/>
      <c r="F1347" s="114"/>
      <c r="G1347" s="114"/>
      <c r="H1347" s="114"/>
      <c r="I1347" s="114"/>
      <c r="J1347" s="114"/>
      <c r="K1347" s="114"/>
      <c r="L1347" s="114"/>
      <c r="M1347" s="114"/>
      <c r="N1347" s="114"/>
      <c r="O1347" s="114"/>
      <c r="P1347" s="114"/>
      <c r="Q1347" s="114"/>
      <c r="R1347" s="114"/>
      <c r="S1347" s="114"/>
      <c r="T1347" s="114"/>
      <c r="U1347" s="114"/>
      <c r="V1347" s="114"/>
      <c r="W1347" s="114"/>
      <c r="X1347" s="115"/>
      <c r="Y1347" s="114"/>
      <c r="Z1347" s="117" t="s">
        <v>7000</v>
      </c>
      <c r="AA1347" s="117" t="s">
        <v>5957</v>
      </c>
      <c r="AB1347" s="114"/>
      <c r="AC1347" s="114"/>
      <c r="AD1347" s="114"/>
      <c r="AE1347" s="114"/>
      <c r="AF1347" s="114"/>
      <c r="AG1347" s="114"/>
      <c r="AH1347" s="114"/>
      <c r="AI1347" s="116"/>
      <c r="AJ1347" s="114"/>
      <c r="AK1347" s="114"/>
      <c r="AL1347" s="114"/>
      <c r="AM1347" s="114"/>
      <c r="AN1347" s="114"/>
      <c r="AO1347" s="114"/>
      <c r="AP1347" s="114"/>
      <c r="AQ1347" s="114"/>
      <c r="AR1347" s="114"/>
      <c r="AS1347" s="114"/>
      <c r="AT1347" s="114"/>
      <c r="AU1347" s="114"/>
      <c r="AV1347" s="114"/>
      <c r="AW1347" s="114"/>
      <c r="AX1347" s="114"/>
      <c r="AY1347" s="114"/>
      <c r="AZ1347" s="114"/>
      <c r="BA1347" s="114"/>
      <c r="BB1347" s="114"/>
      <c r="BC1347" s="114"/>
      <c r="BD1347" s="114"/>
      <c r="BE1347" s="114"/>
    </row>
    <row r="1348">
      <c r="A1348" s="114"/>
      <c r="B1348" s="114"/>
      <c r="C1348" s="114"/>
      <c r="D1348" s="114"/>
      <c r="E1348" s="114"/>
      <c r="F1348" s="114"/>
      <c r="G1348" s="114"/>
      <c r="H1348" s="114"/>
      <c r="I1348" s="114"/>
      <c r="J1348" s="114"/>
      <c r="K1348" s="114"/>
      <c r="L1348" s="114"/>
      <c r="M1348" s="114"/>
      <c r="N1348" s="114"/>
      <c r="O1348" s="114"/>
      <c r="P1348" s="114"/>
      <c r="Q1348" s="114"/>
      <c r="R1348" s="114"/>
      <c r="S1348" s="114"/>
      <c r="T1348" s="114"/>
      <c r="U1348" s="114"/>
      <c r="V1348" s="114"/>
      <c r="W1348" s="114"/>
      <c r="X1348" s="115"/>
      <c r="Y1348" s="114"/>
      <c r="Z1348" s="117" t="s">
        <v>7001</v>
      </c>
      <c r="AA1348" s="117" t="s">
        <v>5959</v>
      </c>
      <c r="AB1348" s="114"/>
      <c r="AC1348" s="114"/>
      <c r="AD1348" s="114"/>
      <c r="AE1348" s="114"/>
      <c r="AF1348" s="114"/>
      <c r="AG1348" s="114"/>
      <c r="AH1348" s="114"/>
      <c r="AI1348" s="116"/>
      <c r="AJ1348" s="114"/>
      <c r="AK1348" s="114"/>
      <c r="AL1348" s="114"/>
      <c r="AM1348" s="114"/>
      <c r="AN1348" s="114"/>
      <c r="AO1348" s="114"/>
      <c r="AP1348" s="114"/>
      <c r="AQ1348" s="114"/>
      <c r="AR1348" s="114"/>
      <c r="AS1348" s="114"/>
      <c r="AT1348" s="114"/>
      <c r="AU1348" s="114"/>
      <c r="AV1348" s="114"/>
      <c r="AW1348" s="114"/>
      <c r="AX1348" s="114"/>
      <c r="AY1348" s="114"/>
      <c r="AZ1348" s="114"/>
      <c r="BA1348" s="114"/>
      <c r="BB1348" s="114"/>
      <c r="BC1348" s="114"/>
      <c r="BD1348" s="114"/>
      <c r="BE1348" s="114"/>
    </row>
    <row r="1349">
      <c r="A1349" s="114"/>
      <c r="B1349" s="114"/>
      <c r="C1349" s="114"/>
      <c r="D1349" s="114"/>
      <c r="E1349" s="114"/>
      <c r="F1349" s="114"/>
      <c r="G1349" s="114"/>
      <c r="H1349" s="114"/>
      <c r="I1349" s="114"/>
      <c r="J1349" s="114"/>
      <c r="K1349" s="114"/>
      <c r="L1349" s="114"/>
      <c r="M1349" s="114"/>
      <c r="N1349" s="114"/>
      <c r="O1349" s="114"/>
      <c r="P1349" s="114"/>
      <c r="Q1349" s="114"/>
      <c r="R1349" s="114"/>
      <c r="S1349" s="114"/>
      <c r="T1349" s="114"/>
      <c r="U1349" s="114"/>
      <c r="V1349" s="114"/>
      <c r="W1349" s="114"/>
      <c r="X1349" s="115"/>
      <c r="Y1349" s="114"/>
      <c r="Z1349" s="117" t="s">
        <v>7002</v>
      </c>
      <c r="AA1349" s="117" t="s">
        <v>5960</v>
      </c>
      <c r="AB1349" s="114"/>
      <c r="AC1349" s="114"/>
      <c r="AD1349" s="114"/>
      <c r="AE1349" s="114"/>
      <c r="AF1349" s="114"/>
      <c r="AG1349" s="114"/>
      <c r="AH1349" s="114"/>
      <c r="AI1349" s="116"/>
      <c r="AJ1349" s="114"/>
      <c r="AK1349" s="114"/>
      <c r="AL1349" s="114"/>
      <c r="AM1349" s="114"/>
      <c r="AN1349" s="114"/>
      <c r="AO1349" s="114"/>
      <c r="AP1349" s="114"/>
      <c r="AQ1349" s="114"/>
      <c r="AR1349" s="114"/>
      <c r="AS1349" s="114"/>
      <c r="AT1349" s="114"/>
      <c r="AU1349" s="114"/>
      <c r="AV1349" s="114"/>
      <c r="AW1349" s="114"/>
      <c r="AX1349" s="114"/>
      <c r="AY1349" s="114"/>
      <c r="AZ1349" s="114"/>
      <c r="BA1349" s="114"/>
      <c r="BB1349" s="114"/>
      <c r="BC1349" s="114"/>
      <c r="BD1349" s="114"/>
      <c r="BE1349" s="114"/>
    </row>
    <row r="1350">
      <c r="A1350" s="114"/>
      <c r="B1350" s="114"/>
      <c r="C1350" s="114"/>
      <c r="D1350" s="114"/>
      <c r="E1350" s="114"/>
      <c r="F1350" s="114"/>
      <c r="G1350" s="114"/>
      <c r="H1350" s="114"/>
      <c r="I1350" s="114"/>
      <c r="J1350" s="114"/>
      <c r="K1350" s="114"/>
      <c r="L1350" s="114"/>
      <c r="M1350" s="114"/>
      <c r="N1350" s="114"/>
      <c r="O1350" s="114"/>
      <c r="P1350" s="114"/>
      <c r="Q1350" s="114"/>
      <c r="R1350" s="114"/>
      <c r="S1350" s="114"/>
      <c r="T1350" s="114"/>
      <c r="U1350" s="114"/>
      <c r="V1350" s="114"/>
      <c r="W1350" s="114"/>
      <c r="X1350" s="115"/>
      <c r="Y1350" s="114"/>
      <c r="Z1350" s="117" t="s">
        <v>7003</v>
      </c>
      <c r="AA1350" s="117" t="s">
        <v>5958</v>
      </c>
      <c r="AB1350" s="114"/>
      <c r="AC1350" s="114"/>
      <c r="AD1350" s="114"/>
      <c r="AE1350" s="114"/>
      <c r="AF1350" s="114"/>
      <c r="AG1350" s="114"/>
      <c r="AH1350" s="114"/>
      <c r="AI1350" s="116"/>
      <c r="AJ1350" s="114"/>
      <c r="AK1350" s="114"/>
      <c r="AL1350" s="114"/>
      <c r="AM1350" s="114"/>
      <c r="AN1350" s="114"/>
      <c r="AO1350" s="114"/>
      <c r="AP1350" s="114"/>
      <c r="AQ1350" s="114"/>
      <c r="AR1350" s="114"/>
      <c r="AS1350" s="114"/>
      <c r="AT1350" s="114"/>
      <c r="AU1350" s="114"/>
      <c r="AV1350" s="114"/>
      <c r="AW1350" s="114"/>
      <c r="AX1350" s="114"/>
      <c r="AY1350" s="114"/>
      <c r="AZ1350" s="114"/>
      <c r="BA1350" s="114"/>
      <c r="BB1350" s="114"/>
      <c r="BC1350" s="114"/>
      <c r="BD1350" s="114"/>
      <c r="BE1350" s="114"/>
    </row>
    <row r="1351">
      <c r="A1351" s="114"/>
      <c r="B1351" s="114"/>
      <c r="C1351" s="114"/>
      <c r="D1351" s="114"/>
      <c r="E1351" s="114"/>
      <c r="F1351" s="114"/>
      <c r="G1351" s="114"/>
      <c r="H1351" s="114"/>
      <c r="I1351" s="114"/>
      <c r="J1351" s="114"/>
      <c r="K1351" s="114"/>
      <c r="L1351" s="114"/>
      <c r="M1351" s="114"/>
      <c r="N1351" s="114"/>
      <c r="O1351" s="114"/>
      <c r="P1351" s="114"/>
      <c r="Q1351" s="114"/>
      <c r="R1351" s="114"/>
      <c r="S1351" s="114"/>
      <c r="T1351" s="114"/>
      <c r="U1351" s="114"/>
      <c r="V1351" s="114"/>
      <c r="W1351" s="114"/>
      <c r="X1351" s="115"/>
      <c r="Y1351" s="114"/>
      <c r="Z1351" s="117" t="s">
        <v>7004</v>
      </c>
      <c r="AA1351" s="117" t="s">
        <v>5965</v>
      </c>
      <c r="AB1351" s="114"/>
      <c r="AC1351" s="114"/>
      <c r="AD1351" s="114"/>
      <c r="AE1351" s="114"/>
      <c r="AF1351" s="114"/>
      <c r="AG1351" s="114"/>
      <c r="AH1351" s="114"/>
      <c r="AI1351" s="116"/>
      <c r="AJ1351" s="114"/>
      <c r="AK1351" s="114"/>
      <c r="AL1351" s="114"/>
      <c r="AM1351" s="114"/>
      <c r="AN1351" s="114"/>
      <c r="AO1351" s="114"/>
      <c r="AP1351" s="114"/>
      <c r="AQ1351" s="114"/>
      <c r="AR1351" s="114"/>
      <c r="AS1351" s="114"/>
      <c r="AT1351" s="114"/>
      <c r="AU1351" s="114"/>
      <c r="AV1351" s="114"/>
      <c r="AW1351" s="114"/>
      <c r="AX1351" s="114"/>
      <c r="AY1351" s="114"/>
      <c r="AZ1351" s="114"/>
      <c r="BA1351" s="114"/>
      <c r="BB1351" s="114"/>
      <c r="BC1351" s="114"/>
      <c r="BD1351" s="114"/>
      <c r="BE1351" s="114"/>
    </row>
    <row r="1352">
      <c r="A1352" s="114"/>
      <c r="B1352" s="114"/>
      <c r="C1352" s="114"/>
      <c r="D1352" s="114"/>
      <c r="E1352" s="114"/>
      <c r="F1352" s="114"/>
      <c r="G1352" s="114"/>
      <c r="H1352" s="114"/>
      <c r="I1352" s="114"/>
      <c r="J1352" s="114"/>
      <c r="K1352" s="114"/>
      <c r="L1352" s="114"/>
      <c r="M1352" s="114"/>
      <c r="N1352" s="114"/>
      <c r="O1352" s="114"/>
      <c r="P1352" s="114"/>
      <c r="Q1352" s="114"/>
      <c r="R1352" s="114"/>
      <c r="S1352" s="114"/>
      <c r="T1352" s="114"/>
      <c r="U1352" s="114"/>
      <c r="V1352" s="114"/>
      <c r="W1352" s="114"/>
      <c r="X1352" s="115"/>
      <c r="Y1352" s="114"/>
      <c r="Z1352" s="117" t="s">
        <v>7005</v>
      </c>
      <c r="AA1352" s="117" t="s">
        <v>5967</v>
      </c>
      <c r="AB1352" s="114"/>
      <c r="AC1352" s="114"/>
      <c r="AD1352" s="114"/>
      <c r="AE1352" s="114"/>
      <c r="AF1352" s="114"/>
      <c r="AG1352" s="114"/>
      <c r="AH1352" s="114"/>
      <c r="AI1352" s="116"/>
      <c r="AJ1352" s="114"/>
      <c r="AK1352" s="114"/>
      <c r="AL1352" s="114"/>
      <c r="AM1352" s="114"/>
      <c r="AN1352" s="114"/>
      <c r="AO1352" s="114"/>
      <c r="AP1352" s="114"/>
      <c r="AQ1352" s="114"/>
      <c r="AR1352" s="114"/>
      <c r="AS1352" s="114"/>
      <c r="AT1352" s="114"/>
      <c r="AU1352" s="114"/>
      <c r="AV1352" s="114"/>
      <c r="AW1352" s="114"/>
      <c r="AX1352" s="114"/>
      <c r="AY1352" s="114"/>
      <c r="AZ1352" s="114"/>
      <c r="BA1352" s="114"/>
      <c r="BB1352" s="114"/>
      <c r="BC1352" s="114"/>
      <c r="BD1352" s="114"/>
      <c r="BE1352" s="114"/>
    </row>
    <row r="1353">
      <c r="A1353" s="114"/>
      <c r="B1353" s="114"/>
      <c r="C1353" s="114"/>
      <c r="D1353" s="114"/>
      <c r="E1353" s="114"/>
      <c r="F1353" s="114"/>
      <c r="G1353" s="114"/>
      <c r="H1353" s="114"/>
      <c r="I1353" s="114"/>
      <c r="J1353" s="114"/>
      <c r="K1353" s="114"/>
      <c r="L1353" s="114"/>
      <c r="M1353" s="114"/>
      <c r="N1353" s="114"/>
      <c r="O1353" s="114"/>
      <c r="P1353" s="114"/>
      <c r="Q1353" s="114"/>
      <c r="R1353" s="114"/>
      <c r="S1353" s="114"/>
      <c r="T1353" s="114"/>
      <c r="U1353" s="114"/>
      <c r="V1353" s="114"/>
      <c r="W1353" s="114"/>
      <c r="X1353" s="115"/>
      <c r="Y1353" s="114"/>
      <c r="Z1353" s="117" t="s">
        <v>7006</v>
      </c>
      <c r="AA1353" s="117" t="s">
        <v>5968</v>
      </c>
      <c r="AB1353" s="114"/>
      <c r="AC1353" s="114"/>
      <c r="AD1353" s="114"/>
      <c r="AE1353" s="114"/>
      <c r="AF1353" s="114"/>
      <c r="AG1353" s="114"/>
      <c r="AH1353" s="114"/>
      <c r="AI1353" s="116"/>
      <c r="AJ1353" s="114"/>
      <c r="AK1353" s="114"/>
      <c r="AL1353" s="114"/>
      <c r="AM1353" s="114"/>
      <c r="AN1353" s="114"/>
      <c r="AO1353" s="114"/>
      <c r="AP1353" s="114"/>
      <c r="AQ1353" s="114"/>
      <c r="AR1353" s="114"/>
      <c r="AS1353" s="114"/>
      <c r="AT1353" s="114"/>
      <c r="AU1353" s="114"/>
      <c r="AV1353" s="114"/>
      <c r="AW1353" s="114"/>
      <c r="AX1353" s="114"/>
      <c r="AY1353" s="114"/>
      <c r="AZ1353" s="114"/>
      <c r="BA1353" s="114"/>
      <c r="BB1353" s="114"/>
      <c r="BC1353" s="114"/>
      <c r="BD1353" s="114"/>
      <c r="BE1353" s="114"/>
    </row>
    <row r="1354">
      <c r="A1354" s="114"/>
      <c r="B1354" s="114"/>
      <c r="C1354" s="114"/>
      <c r="D1354" s="114"/>
      <c r="E1354" s="114"/>
      <c r="F1354" s="114"/>
      <c r="G1354" s="114"/>
      <c r="H1354" s="114"/>
      <c r="I1354" s="114"/>
      <c r="J1354" s="114"/>
      <c r="K1354" s="114"/>
      <c r="L1354" s="114"/>
      <c r="M1354" s="114"/>
      <c r="N1354" s="114"/>
      <c r="O1354" s="114"/>
      <c r="P1354" s="114"/>
      <c r="Q1354" s="114"/>
      <c r="R1354" s="114"/>
      <c r="S1354" s="114"/>
      <c r="T1354" s="114"/>
      <c r="U1354" s="114"/>
      <c r="V1354" s="114"/>
      <c r="W1354" s="114"/>
      <c r="X1354" s="115"/>
      <c r="Y1354" s="114"/>
      <c r="Z1354" s="117" t="s">
        <v>7007</v>
      </c>
      <c r="AA1354" s="117" t="s">
        <v>5966</v>
      </c>
      <c r="AB1354" s="114"/>
      <c r="AC1354" s="114"/>
      <c r="AD1354" s="114"/>
      <c r="AE1354" s="114"/>
      <c r="AF1354" s="114"/>
      <c r="AG1354" s="114"/>
      <c r="AH1354" s="114"/>
      <c r="AI1354" s="116"/>
      <c r="AJ1354" s="114"/>
      <c r="AK1354" s="114"/>
      <c r="AL1354" s="114"/>
      <c r="AM1354" s="114"/>
      <c r="AN1354" s="114"/>
      <c r="AO1354" s="114"/>
      <c r="AP1354" s="114"/>
      <c r="AQ1354" s="114"/>
      <c r="AR1354" s="114"/>
      <c r="AS1354" s="114"/>
      <c r="AT1354" s="114"/>
      <c r="AU1354" s="114"/>
      <c r="AV1354" s="114"/>
      <c r="AW1354" s="114"/>
      <c r="AX1354" s="114"/>
      <c r="AY1354" s="114"/>
      <c r="AZ1354" s="114"/>
      <c r="BA1354" s="114"/>
      <c r="BB1354" s="114"/>
      <c r="BC1354" s="114"/>
      <c r="BD1354" s="114"/>
      <c r="BE1354" s="114"/>
    </row>
    <row r="1355">
      <c r="A1355" s="114"/>
      <c r="B1355" s="114"/>
      <c r="C1355" s="114"/>
      <c r="D1355" s="114"/>
      <c r="E1355" s="114"/>
      <c r="F1355" s="114"/>
      <c r="G1355" s="114"/>
      <c r="H1355" s="114"/>
      <c r="I1355" s="114"/>
      <c r="J1355" s="114"/>
      <c r="K1355" s="114"/>
      <c r="L1355" s="114"/>
      <c r="M1355" s="114"/>
      <c r="N1355" s="114"/>
      <c r="O1355" s="114"/>
      <c r="P1355" s="114"/>
      <c r="Q1355" s="114"/>
      <c r="R1355" s="114"/>
      <c r="S1355" s="114"/>
      <c r="T1355" s="114"/>
      <c r="U1355" s="114"/>
      <c r="V1355" s="114"/>
      <c r="W1355" s="114"/>
      <c r="X1355" s="115"/>
      <c r="Y1355" s="114"/>
      <c r="Z1355" s="117" t="s">
        <v>7008</v>
      </c>
      <c r="AA1355" s="117" t="s">
        <v>5973</v>
      </c>
      <c r="AB1355" s="114"/>
      <c r="AC1355" s="114"/>
      <c r="AD1355" s="114"/>
      <c r="AE1355" s="114"/>
      <c r="AF1355" s="114"/>
      <c r="AG1355" s="114"/>
      <c r="AH1355" s="114"/>
      <c r="AI1355" s="116"/>
      <c r="AJ1355" s="114"/>
      <c r="AK1355" s="114"/>
      <c r="AL1355" s="114"/>
      <c r="AM1355" s="114"/>
      <c r="AN1355" s="114"/>
      <c r="AO1355" s="114"/>
      <c r="AP1355" s="114"/>
      <c r="AQ1355" s="114"/>
      <c r="AR1355" s="114"/>
      <c r="AS1355" s="114"/>
      <c r="AT1355" s="114"/>
      <c r="AU1355" s="114"/>
      <c r="AV1355" s="114"/>
      <c r="AW1355" s="114"/>
      <c r="AX1355" s="114"/>
      <c r="AY1355" s="114"/>
      <c r="AZ1355" s="114"/>
      <c r="BA1355" s="114"/>
      <c r="BB1355" s="114"/>
      <c r="BC1355" s="114"/>
      <c r="BD1355" s="114"/>
      <c r="BE1355" s="114"/>
    </row>
    <row r="1356">
      <c r="A1356" s="114"/>
      <c r="B1356" s="114"/>
      <c r="C1356" s="114"/>
      <c r="D1356" s="114"/>
      <c r="E1356" s="114"/>
      <c r="F1356" s="114"/>
      <c r="G1356" s="114"/>
      <c r="H1356" s="114"/>
      <c r="I1356" s="114"/>
      <c r="J1356" s="114"/>
      <c r="K1356" s="114"/>
      <c r="L1356" s="114"/>
      <c r="M1356" s="114"/>
      <c r="N1356" s="114"/>
      <c r="O1356" s="114"/>
      <c r="P1356" s="114"/>
      <c r="Q1356" s="114"/>
      <c r="R1356" s="114"/>
      <c r="S1356" s="114"/>
      <c r="T1356" s="114"/>
      <c r="U1356" s="114"/>
      <c r="V1356" s="114"/>
      <c r="W1356" s="114"/>
      <c r="X1356" s="115"/>
      <c r="Y1356" s="114"/>
      <c r="Z1356" s="117" t="s">
        <v>7009</v>
      </c>
      <c r="AA1356" s="117" t="s">
        <v>5975</v>
      </c>
      <c r="AB1356" s="114"/>
      <c r="AC1356" s="114"/>
      <c r="AD1356" s="114"/>
      <c r="AE1356" s="114"/>
      <c r="AF1356" s="114"/>
      <c r="AG1356" s="114"/>
      <c r="AH1356" s="114"/>
      <c r="AI1356" s="116"/>
      <c r="AJ1356" s="114"/>
      <c r="AK1356" s="114"/>
      <c r="AL1356" s="114"/>
      <c r="AM1356" s="114"/>
      <c r="AN1356" s="114"/>
      <c r="AO1356" s="114"/>
      <c r="AP1356" s="114"/>
      <c r="AQ1356" s="114"/>
      <c r="AR1356" s="114"/>
      <c r="AS1356" s="114"/>
      <c r="AT1356" s="114"/>
      <c r="AU1356" s="114"/>
      <c r="AV1356" s="114"/>
      <c r="AW1356" s="114"/>
      <c r="AX1356" s="114"/>
      <c r="AY1356" s="114"/>
      <c r="AZ1356" s="114"/>
      <c r="BA1356" s="114"/>
      <c r="BB1356" s="114"/>
      <c r="BC1356" s="114"/>
      <c r="BD1356" s="114"/>
      <c r="BE1356" s="114"/>
    </row>
    <row r="1357">
      <c r="A1357" s="114"/>
      <c r="B1357" s="114"/>
      <c r="C1357" s="114"/>
      <c r="D1357" s="114"/>
      <c r="E1357" s="114"/>
      <c r="F1357" s="114"/>
      <c r="G1357" s="114"/>
      <c r="H1357" s="114"/>
      <c r="I1357" s="114"/>
      <c r="J1357" s="114"/>
      <c r="K1357" s="114"/>
      <c r="L1357" s="114"/>
      <c r="M1357" s="114"/>
      <c r="N1357" s="114"/>
      <c r="O1357" s="114"/>
      <c r="P1357" s="114"/>
      <c r="Q1357" s="114"/>
      <c r="R1357" s="114"/>
      <c r="S1357" s="114"/>
      <c r="T1357" s="114"/>
      <c r="U1357" s="114"/>
      <c r="V1357" s="114"/>
      <c r="W1357" s="114"/>
      <c r="X1357" s="115"/>
      <c r="Y1357" s="114"/>
      <c r="Z1357" s="117" t="s">
        <v>7010</v>
      </c>
      <c r="AA1357" s="117" t="s">
        <v>5976</v>
      </c>
      <c r="AB1357" s="114"/>
      <c r="AC1357" s="114"/>
      <c r="AD1357" s="114"/>
      <c r="AE1357" s="114"/>
      <c r="AF1357" s="114"/>
      <c r="AG1357" s="114"/>
      <c r="AH1357" s="114"/>
      <c r="AI1357" s="116"/>
      <c r="AJ1357" s="114"/>
      <c r="AK1357" s="114"/>
      <c r="AL1357" s="114"/>
      <c r="AM1357" s="114"/>
      <c r="AN1357" s="114"/>
      <c r="AO1357" s="114"/>
      <c r="AP1357" s="114"/>
      <c r="AQ1357" s="114"/>
      <c r="AR1357" s="114"/>
      <c r="AS1357" s="114"/>
      <c r="AT1357" s="114"/>
      <c r="AU1357" s="114"/>
      <c r="AV1357" s="114"/>
      <c r="AW1357" s="114"/>
      <c r="AX1357" s="114"/>
      <c r="AY1357" s="114"/>
      <c r="AZ1357" s="114"/>
      <c r="BA1357" s="114"/>
      <c r="BB1357" s="114"/>
      <c r="BC1357" s="114"/>
      <c r="BD1357" s="114"/>
      <c r="BE1357" s="114"/>
    </row>
    <row r="1358">
      <c r="A1358" s="114"/>
      <c r="B1358" s="114"/>
      <c r="C1358" s="114"/>
      <c r="D1358" s="114"/>
      <c r="E1358" s="114"/>
      <c r="F1358" s="114"/>
      <c r="G1358" s="114"/>
      <c r="H1358" s="114"/>
      <c r="I1358" s="114"/>
      <c r="J1358" s="114"/>
      <c r="K1358" s="114"/>
      <c r="L1358" s="114"/>
      <c r="M1358" s="114"/>
      <c r="N1358" s="114"/>
      <c r="O1358" s="114"/>
      <c r="P1358" s="114"/>
      <c r="Q1358" s="114"/>
      <c r="R1358" s="114"/>
      <c r="S1358" s="114"/>
      <c r="T1358" s="114"/>
      <c r="U1358" s="114"/>
      <c r="V1358" s="114"/>
      <c r="W1358" s="114"/>
      <c r="X1358" s="115"/>
      <c r="Y1358" s="114"/>
      <c r="Z1358" s="117" t="s">
        <v>7011</v>
      </c>
      <c r="AA1358" s="117" t="s">
        <v>5974</v>
      </c>
      <c r="AB1358" s="114"/>
      <c r="AC1358" s="114"/>
      <c r="AD1358" s="114"/>
      <c r="AE1358" s="114"/>
      <c r="AF1358" s="114"/>
      <c r="AG1358" s="114"/>
      <c r="AH1358" s="114"/>
      <c r="AI1358" s="116"/>
      <c r="AJ1358" s="114"/>
      <c r="AK1358" s="114"/>
      <c r="AL1358" s="114"/>
      <c r="AM1358" s="114"/>
      <c r="AN1358" s="114"/>
      <c r="AO1358" s="114"/>
      <c r="AP1358" s="114"/>
      <c r="AQ1358" s="114"/>
      <c r="AR1358" s="114"/>
      <c r="AS1358" s="114"/>
      <c r="AT1358" s="114"/>
      <c r="AU1358" s="114"/>
      <c r="AV1358" s="114"/>
      <c r="AW1358" s="114"/>
      <c r="AX1358" s="114"/>
      <c r="AY1358" s="114"/>
      <c r="AZ1358" s="114"/>
      <c r="BA1358" s="114"/>
      <c r="BB1358" s="114"/>
      <c r="BC1358" s="114"/>
      <c r="BD1358" s="114"/>
      <c r="BE1358" s="114"/>
    </row>
    <row r="1359">
      <c r="A1359" s="114"/>
      <c r="B1359" s="114"/>
      <c r="C1359" s="114"/>
      <c r="D1359" s="114"/>
      <c r="E1359" s="114"/>
      <c r="F1359" s="114"/>
      <c r="G1359" s="114"/>
      <c r="H1359" s="114"/>
      <c r="I1359" s="114"/>
      <c r="J1359" s="114"/>
      <c r="K1359" s="114"/>
      <c r="L1359" s="114"/>
      <c r="M1359" s="114"/>
      <c r="N1359" s="114"/>
      <c r="O1359" s="114"/>
      <c r="P1359" s="114"/>
      <c r="Q1359" s="114"/>
      <c r="R1359" s="114"/>
      <c r="S1359" s="114"/>
      <c r="T1359" s="114"/>
      <c r="U1359" s="114"/>
      <c r="V1359" s="114"/>
      <c r="W1359" s="114"/>
      <c r="X1359" s="115"/>
      <c r="Y1359" s="114"/>
      <c r="Z1359" s="117" t="s">
        <v>7012</v>
      </c>
      <c r="AA1359" s="117" t="s">
        <v>5981</v>
      </c>
      <c r="AB1359" s="114"/>
      <c r="AC1359" s="114"/>
      <c r="AD1359" s="114"/>
      <c r="AE1359" s="114"/>
      <c r="AF1359" s="114"/>
      <c r="AG1359" s="114"/>
      <c r="AH1359" s="114"/>
      <c r="AI1359" s="116"/>
      <c r="AJ1359" s="114"/>
      <c r="AK1359" s="114"/>
      <c r="AL1359" s="114"/>
      <c r="AM1359" s="114"/>
      <c r="AN1359" s="114"/>
      <c r="AO1359" s="114"/>
      <c r="AP1359" s="114"/>
      <c r="AQ1359" s="114"/>
      <c r="AR1359" s="114"/>
      <c r="AS1359" s="114"/>
      <c r="AT1359" s="114"/>
      <c r="AU1359" s="114"/>
      <c r="AV1359" s="114"/>
      <c r="AW1359" s="114"/>
      <c r="AX1359" s="114"/>
      <c r="AY1359" s="114"/>
      <c r="AZ1359" s="114"/>
      <c r="BA1359" s="114"/>
      <c r="BB1359" s="114"/>
      <c r="BC1359" s="114"/>
      <c r="BD1359" s="114"/>
      <c r="BE1359" s="114"/>
    </row>
    <row r="1360">
      <c r="A1360" s="114"/>
      <c r="B1360" s="114"/>
      <c r="C1360" s="114"/>
      <c r="D1360" s="114"/>
      <c r="E1360" s="114"/>
      <c r="F1360" s="114"/>
      <c r="G1360" s="114"/>
      <c r="H1360" s="114"/>
      <c r="I1360" s="114"/>
      <c r="J1360" s="114"/>
      <c r="K1360" s="114"/>
      <c r="L1360" s="114"/>
      <c r="M1360" s="114"/>
      <c r="N1360" s="114"/>
      <c r="O1360" s="114"/>
      <c r="P1360" s="114"/>
      <c r="Q1360" s="114"/>
      <c r="R1360" s="114"/>
      <c r="S1360" s="114"/>
      <c r="T1360" s="114"/>
      <c r="U1360" s="114"/>
      <c r="V1360" s="114"/>
      <c r="W1360" s="114"/>
      <c r="X1360" s="115"/>
      <c r="Y1360" s="114"/>
      <c r="Z1360" s="117" t="s">
        <v>7013</v>
      </c>
      <c r="AA1360" s="117" t="s">
        <v>5983</v>
      </c>
      <c r="AB1360" s="114"/>
      <c r="AC1360" s="114"/>
      <c r="AD1360" s="114"/>
      <c r="AE1360" s="114"/>
      <c r="AF1360" s="114"/>
      <c r="AG1360" s="114"/>
      <c r="AH1360" s="114"/>
      <c r="AI1360" s="116"/>
      <c r="AJ1360" s="114"/>
      <c r="AK1360" s="114"/>
      <c r="AL1360" s="114"/>
      <c r="AM1360" s="114"/>
      <c r="AN1360" s="114"/>
      <c r="AO1360" s="114"/>
      <c r="AP1360" s="114"/>
      <c r="AQ1360" s="114"/>
      <c r="AR1360" s="114"/>
      <c r="AS1360" s="114"/>
      <c r="AT1360" s="114"/>
      <c r="AU1360" s="114"/>
      <c r="AV1360" s="114"/>
      <c r="AW1360" s="114"/>
      <c r="AX1360" s="114"/>
      <c r="AY1360" s="114"/>
      <c r="AZ1360" s="114"/>
      <c r="BA1360" s="114"/>
      <c r="BB1360" s="114"/>
      <c r="BC1360" s="114"/>
      <c r="BD1360" s="114"/>
      <c r="BE1360" s="114"/>
    </row>
    <row r="1361">
      <c r="A1361" s="114"/>
      <c r="B1361" s="114"/>
      <c r="C1361" s="114"/>
      <c r="D1361" s="114"/>
      <c r="E1361" s="114"/>
      <c r="F1361" s="114"/>
      <c r="G1361" s="114"/>
      <c r="H1361" s="114"/>
      <c r="I1361" s="114"/>
      <c r="J1361" s="114"/>
      <c r="K1361" s="114"/>
      <c r="L1361" s="114"/>
      <c r="M1361" s="114"/>
      <c r="N1361" s="114"/>
      <c r="O1361" s="114"/>
      <c r="P1361" s="114"/>
      <c r="Q1361" s="114"/>
      <c r="R1361" s="114"/>
      <c r="S1361" s="114"/>
      <c r="T1361" s="114"/>
      <c r="U1361" s="114"/>
      <c r="V1361" s="114"/>
      <c r="W1361" s="114"/>
      <c r="X1361" s="115"/>
      <c r="Y1361" s="114"/>
      <c r="Z1361" s="117" t="s">
        <v>7014</v>
      </c>
      <c r="AA1361" s="117" t="s">
        <v>5984</v>
      </c>
      <c r="AB1361" s="114"/>
      <c r="AC1361" s="114"/>
      <c r="AD1361" s="114"/>
      <c r="AE1361" s="114"/>
      <c r="AF1361" s="114"/>
      <c r="AG1361" s="114"/>
      <c r="AH1361" s="114"/>
      <c r="AI1361" s="116"/>
      <c r="AJ1361" s="114"/>
      <c r="AK1361" s="114"/>
      <c r="AL1361" s="114"/>
      <c r="AM1361" s="114"/>
      <c r="AN1361" s="114"/>
      <c r="AO1361" s="114"/>
      <c r="AP1361" s="114"/>
      <c r="AQ1361" s="114"/>
      <c r="AR1361" s="114"/>
      <c r="AS1361" s="114"/>
      <c r="AT1361" s="114"/>
      <c r="AU1361" s="114"/>
      <c r="AV1361" s="114"/>
      <c r="AW1361" s="114"/>
      <c r="AX1361" s="114"/>
      <c r="AY1361" s="114"/>
      <c r="AZ1361" s="114"/>
      <c r="BA1361" s="114"/>
      <c r="BB1361" s="114"/>
      <c r="BC1361" s="114"/>
      <c r="BD1361" s="114"/>
      <c r="BE1361" s="114"/>
    </row>
    <row r="1362">
      <c r="A1362" s="114"/>
      <c r="B1362" s="114"/>
      <c r="C1362" s="114"/>
      <c r="D1362" s="114"/>
      <c r="E1362" s="114"/>
      <c r="F1362" s="114"/>
      <c r="G1362" s="114"/>
      <c r="H1362" s="114"/>
      <c r="I1362" s="114"/>
      <c r="J1362" s="114"/>
      <c r="K1362" s="114"/>
      <c r="L1362" s="114"/>
      <c r="M1362" s="114"/>
      <c r="N1362" s="114"/>
      <c r="O1362" s="114"/>
      <c r="P1362" s="114"/>
      <c r="Q1362" s="114"/>
      <c r="R1362" s="114"/>
      <c r="S1362" s="114"/>
      <c r="T1362" s="114"/>
      <c r="U1362" s="114"/>
      <c r="V1362" s="114"/>
      <c r="W1362" s="114"/>
      <c r="X1362" s="115"/>
      <c r="Y1362" s="114"/>
      <c r="Z1362" s="117" t="s">
        <v>7015</v>
      </c>
      <c r="AA1362" s="117" t="s">
        <v>5982</v>
      </c>
      <c r="AB1362" s="114"/>
      <c r="AC1362" s="114"/>
      <c r="AD1362" s="114"/>
      <c r="AE1362" s="114"/>
      <c r="AF1362" s="114"/>
      <c r="AG1362" s="114"/>
      <c r="AH1362" s="114"/>
      <c r="AI1362" s="116"/>
      <c r="AJ1362" s="114"/>
      <c r="AK1362" s="114"/>
      <c r="AL1362" s="114"/>
      <c r="AM1362" s="114"/>
      <c r="AN1362" s="114"/>
      <c r="AO1362" s="114"/>
      <c r="AP1362" s="114"/>
      <c r="AQ1362" s="114"/>
      <c r="AR1362" s="114"/>
      <c r="AS1362" s="114"/>
      <c r="AT1362" s="114"/>
      <c r="AU1362" s="114"/>
      <c r="AV1362" s="114"/>
      <c r="AW1362" s="114"/>
      <c r="AX1362" s="114"/>
      <c r="AY1362" s="114"/>
      <c r="AZ1362" s="114"/>
      <c r="BA1362" s="114"/>
      <c r="BB1362" s="114"/>
      <c r="BC1362" s="114"/>
      <c r="BD1362" s="114"/>
      <c r="BE1362" s="114"/>
    </row>
    <row r="1363">
      <c r="A1363" s="114"/>
      <c r="B1363" s="114"/>
      <c r="C1363" s="114"/>
      <c r="D1363" s="114"/>
      <c r="E1363" s="114"/>
      <c r="F1363" s="114"/>
      <c r="G1363" s="114"/>
      <c r="H1363" s="114"/>
      <c r="I1363" s="114"/>
      <c r="J1363" s="114"/>
      <c r="K1363" s="114"/>
      <c r="L1363" s="114"/>
      <c r="M1363" s="114"/>
      <c r="N1363" s="114"/>
      <c r="O1363" s="114"/>
      <c r="P1363" s="114"/>
      <c r="Q1363" s="114"/>
      <c r="R1363" s="114"/>
      <c r="S1363" s="114"/>
      <c r="T1363" s="114"/>
      <c r="U1363" s="114"/>
      <c r="V1363" s="114"/>
      <c r="W1363" s="114"/>
      <c r="X1363" s="115"/>
      <c r="Y1363" s="114"/>
      <c r="Z1363" s="117" t="s">
        <v>7016</v>
      </c>
      <c r="AA1363" s="117" t="s">
        <v>5989</v>
      </c>
      <c r="AB1363" s="114"/>
      <c r="AC1363" s="114"/>
      <c r="AD1363" s="114"/>
      <c r="AE1363" s="114"/>
      <c r="AF1363" s="114"/>
      <c r="AG1363" s="114"/>
      <c r="AH1363" s="114"/>
      <c r="AI1363" s="116"/>
      <c r="AJ1363" s="114"/>
      <c r="AK1363" s="114"/>
      <c r="AL1363" s="114"/>
      <c r="AM1363" s="114"/>
      <c r="AN1363" s="114"/>
      <c r="AO1363" s="114"/>
      <c r="AP1363" s="114"/>
      <c r="AQ1363" s="114"/>
      <c r="AR1363" s="114"/>
      <c r="AS1363" s="114"/>
      <c r="AT1363" s="114"/>
      <c r="AU1363" s="114"/>
      <c r="AV1363" s="114"/>
      <c r="AW1363" s="114"/>
      <c r="AX1363" s="114"/>
      <c r="AY1363" s="114"/>
      <c r="AZ1363" s="114"/>
      <c r="BA1363" s="114"/>
      <c r="BB1363" s="114"/>
      <c r="BC1363" s="114"/>
      <c r="BD1363" s="114"/>
      <c r="BE1363" s="114"/>
    </row>
    <row r="1364">
      <c r="A1364" s="114"/>
      <c r="B1364" s="114"/>
      <c r="C1364" s="114"/>
      <c r="D1364" s="114"/>
      <c r="E1364" s="114"/>
      <c r="F1364" s="114"/>
      <c r="G1364" s="114"/>
      <c r="H1364" s="114"/>
      <c r="I1364" s="114"/>
      <c r="J1364" s="114"/>
      <c r="K1364" s="114"/>
      <c r="L1364" s="114"/>
      <c r="M1364" s="114"/>
      <c r="N1364" s="114"/>
      <c r="O1364" s="114"/>
      <c r="P1364" s="114"/>
      <c r="Q1364" s="114"/>
      <c r="R1364" s="114"/>
      <c r="S1364" s="114"/>
      <c r="T1364" s="114"/>
      <c r="U1364" s="114"/>
      <c r="V1364" s="114"/>
      <c r="W1364" s="114"/>
      <c r="X1364" s="115"/>
      <c r="Y1364" s="114"/>
      <c r="Z1364" s="117" t="s">
        <v>7017</v>
      </c>
      <c r="AA1364" s="117" t="s">
        <v>5991</v>
      </c>
      <c r="AB1364" s="114"/>
      <c r="AC1364" s="114"/>
      <c r="AD1364" s="114"/>
      <c r="AE1364" s="114"/>
      <c r="AF1364" s="114"/>
      <c r="AG1364" s="114"/>
      <c r="AH1364" s="114"/>
      <c r="AI1364" s="116"/>
      <c r="AJ1364" s="114"/>
      <c r="AK1364" s="114"/>
      <c r="AL1364" s="114"/>
      <c r="AM1364" s="114"/>
      <c r="AN1364" s="114"/>
      <c r="AO1364" s="114"/>
      <c r="AP1364" s="114"/>
      <c r="AQ1364" s="114"/>
      <c r="AR1364" s="114"/>
      <c r="AS1364" s="114"/>
      <c r="AT1364" s="114"/>
      <c r="AU1364" s="114"/>
      <c r="AV1364" s="114"/>
      <c r="AW1364" s="114"/>
      <c r="AX1364" s="114"/>
      <c r="AY1364" s="114"/>
      <c r="AZ1364" s="114"/>
      <c r="BA1364" s="114"/>
      <c r="BB1364" s="114"/>
      <c r="BC1364" s="114"/>
      <c r="BD1364" s="114"/>
      <c r="BE1364" s="114"/>
    </row>
    <row r="1365">
      <c r="A1365" s="114"/>
      <c r="B1365" s="114"/>
      <c r="C1365" s="114"/>
      <c r="D1365" s="114"/>
      <c r="E1365" s="114"/>
      <c r="F1365" s="114"/>
      <c r="G1365" s="114"/>
      <c r="H1365" s="114"/>
      <c r="I1365" s="114"/>
      <c r="J1365" s="114"/>
      <c r="K1365" s="114"/>
      <c r="L1365" s="114"/>
      <c r="M1365" s="114"/>
      <c r="N1365" s="114"/>
      <c r="O1365" s="114"/>
      <c r="P1365" s="114"/>
      <c r="Q1365" s="114"/>
      <c r="R1365" s="114"/>
      <c r="S1365" s="114"/>
      <c r="T1365" s="114"/>
      <c r="U1365" s="114"/>
      <c r="V1365" s="114"/>
      <c r="W1365" s="114"/>
      <c r="X1365" s="115"/>
      <c r="Y1365" s="114"/>
      <c r="Z1365" s="117" t="s">
        <v>7018</v>
      </c>
      <c r="AA1365" s="117" t="s">
        <v>5992</v>
      </c>
      <c r="AB1365" s="114"/>
      <c r="AC1365" s="114"/>
      <c r="AD1365" s="114"/>
      <c r="AE1365" s="114"/>
      <c r="AF1365" s="114"/>
      <c r="AG1365" s="114"/>
      <c r="AH1365" s="114"/>
      <c r="AI1365" s="116"/>
      <c r="AJ1365" s="114"/>
      <c r="AK1365" s="114"/>
      <c r="AL1365" s="114"/>
      <c r="AM1365" s="114"/>
      <c r="AN1365" s="114"/>
      <c r="AO1365" s="114"/>
      <c r="AP1365" s="114"/>
      <c r="AQ1365" s="114"/>
      <c r="AR1365" s="114"/>
      <c r="AS1365" s="114"/>
      <c r="AT1365" s="114"/>
      <c r="AU1365" s="114"/>
      <c r="AV1365" s="114"/>
      <c r="AW1365" s="114"/>
      <c r="AX1365" s="114"/>
      <c r="AY1365" s="114"/>
      <c r="AZ1365" s="114"/>
      <c r="BA1365" s="114"/>
      <c r="BB1365" s="114"/>
      <c r="BC1365" s="114"/>
      <c r="BD1365" s="114"/>
      <c r="BE1365" s="114"/>
    </row>
    <row r="1366">
      <c r="A1366" s="114"/>
      <c r="B1366" s="114"/>
      <c r="C1366" s="114"/>
      <c r="D1366" s="114"/>
      <c r="E1366" s="114"/>
      <c r="F1366" s="114"/>
      <c r="G1366" s="114"/>
      <c r="H1366" s="114"/>
      <c r="I1366" s="114"/>
      <c r="J1366" s="114"/>
      <c r="K1366" s="114"/>
      <c r="L1366" s="114"/>
      <c r="M1366" s="114"/>
      <c r="N1366" s="114"/>
      <c r="O1366" s="114"/>
      <c r="P1366" s="114"/>
      <c r="Q1366" s="114"/>
      <c r="R1366" s="114"/>
      <c r="S1366" s="114"/>
      <c r="T1366" s="114"/>
      <c r="U1366" s="114"/>
      <c r="V1366" s="114"/>
      <c r="W1366" s="114"/>
      <c r="X1366" s="115"/>
      <c r="Y1366" s="114"/>
      <c r="Z1366" s="117" t="s">
        <v>7019</v>
      </c>
      <c r="AA1366" s="117" t="s">
        <v>5990</v>
      </c>
      <c r="AB1366" s="114"/>
      <c r="AC1366" s="114"/>
      <c r="AD1366" s="114"/>
      <c r="AE1366" s="114"/>
      <c r="AF1366" s="114"/>
      <c r="AG1366" s="114"/>
      <c r="AH1366" s="114"/>
      <c r="AI1366" s="116"/>
      <c r="AJ1366" s="114"/>
      <c r="AK1366" s="114"/>
      <c r="AL1366" s="114"/>
      <c r="AM1366" s="114"/>
      <c r="AN1366" s="114"/>
      <c r="AO1366" s="114"/>
      <c r="AP1366" s="114"/>
      <c r="AQ1366" s="114"/>
      <c r="AR1366" s="114"/>
      <c r="AS1366" s="114"/>
      <c r="AT1366" s="114"/>
      <c r="AU1366" s="114"/>
      <c r="AV1366" s="114"/>
      <c r="AW1366" s="114"/>
      <c r="AX1366" s="114"/>
      <c r="AY1366" s="114"/>
      <c r="AZ1366" s="114"/>
      <c r="BA1366" s="114"/>
      <c r="BB1366" s="114"/>
      <c r="BC1366" s="114"/>
      <c r="BD1366" s="114"/>
      <c r="BE1366" s="114"/>
    </row>
  </sheetData>
  <hyperlinks>
    <hyperlink r:id="rId1" ref="A2"/>
    <hyperlink r:id="rId2" ref="A3"/>
    <hyperlink r:id="rId3" ref="AT3"/>
    <hyperlink r:id="rId4" ref="A4"/>
    <hyperlink r:id="rId5" ref="AC4"/>
    <hyperlink r:id="rId6" ref="AD4"/>
    <hyperlink r:id="rId7" ref="AE4"/>
    <hyperlink r:id="rId8" ref="AF4"/>
    <hyperlink r:id="rId9" ref="AT4"/>
    <hyperlink r:id="rId10" ref="A5"/>
    <hyperlink r:id="rId11" ref="AC5"/>
    <hyperlink r:id="rId12" ref="AD5"/>
    <hyperlink r:id="rId13" ref="AE5"/>
    <hyperlink r:id="rId14" ref="AF5"/>
    <hyperlink r:id="rId15" ref="AT5"/>
    <hyperlink r:id="rId16" ref="A6"/>
    <hyperlink r:id="rId17" ref="AC6"/>
    <hyperlink r:id="rId18" ref="AD6"/>
    <hyperlink r:id="rId19" ref="AE6"/>
    <hyperlink r:id="rId20" ref="AF6"/>
    <hyperlink r:id="rId21" ref="AT6"/>
    <hyperlink r:id="rId22" ref="A7"/>
    <hyperlink r:id="rId23" ref="AC7"/>
    <hyperlink r:id="rId24" ref="AD7"/>
    <hyperlink r:id="rId25" ref="AE7"/>
    <hyperlink r:id="rId26" ref="AF7"/>
    <hyperlink r:id="rId27" ref="AT7"/>
    <hyperlink r:id="rId28" ref="A8"/>
    <hyperlink r:id="rId29" ref="AC8"/>
    <hyperlink r:id="rId30" ref="AD8"/>
    <hyperlink r:id="rId31" ref="AE8"/>
    <hyperlink r:id="rId32" ref="AF8"/>
    <hyperlink r:id="rId33" ref="AT8"/>
    <hyperlink r:id="rId34" ref="A9"/>
    <hyperlink r:id="rId35" ref="AC9"/>
    <hyperlink r:id="rId36" ref="AD9"/>
    <hyperlink r:id="rId37" ref="AE9"/>
    <hyperlink r:id="rId38" ref="AF9"/>
    <hyperlink r:id="rId39" ref="AT9"/>
    <hyperlink r:id="rId40" ref="A10"/>
    <hyperlink r:id="rId41" ref="AC10"/>
    <hyperlink r:id="rId42" ref="AD10"/>
    <hyperlink r:id="rId43" ref="AE10"/>
    <hyperlink r:id="rId44" ref="AF10"/>
    <hyperlink r:id="rId45" ref="AT10"/>
    <hyperlink r:id="rId46" ref="A11"/>
    <hyperlink r:id="rId47" ref="AC11"/>
    <hyperlink r:id="rId48" ref="AD11"/>
    <hyperlink r:id="rId49" ref="AE11"/>
    <hyperlink r:id="rId50" ref="AF11"/>
    <hyperlink r:id="rId51" ref="AT11"/>
    <hyperlink r:id="rId52" ref="A12"/>
    <hyperlink r:id="rId53" ref="AC12"/>
    <hyperlink r:id="rId54" ref="AD12"/>
    <hyperlink r:id="rId55" ref="AE12"/>
    <hyperlink r:id="rId56" ref="AF12"/>
    <hyperlink r:id="rId57" ref="AT12"/>
    <hyperlink r:id="rId58" ref="A13"/>
    <hyperlink r:id="rId59" ref="AC13"/>
    <hyperlink r:id="rId60" ref="AD13"/>
    <hyperlink r:id="rId61" ref="AE13"/>
    <hyperlink r:id="rId62" ref="AF13"/>
    <hyperlink r:id="rId63" ref="AT13"/>
    <hyperlink r:id="rId64" ref="A14"/>
    <hyperlink r:id="rId65" ref="AC14"/>
    <hyperlink r:id="rId66" ref="AD14"/>
    <hyperlink r:id="rId67" ref="AE14"/>
    <hyperlink r:id="rId68" ref="AF14"/>
    <hyperlink r:id="rId69" ref="AT14"/>
    <hyperlink r:id="rId70" ref="A15"/>
    <hyperlink r:id="rId71" ref="AC15"/>
    <hyperlink r:id="rId72" ref="AD15"/>
    <hyperlink r:id="rId73" ref="AE15"/>
    <hyperlink r:id="rId74" ref="AF15"/>
    <hyperlink r:id="rId75" ref="AT15"/>
    <hyperlink r:id="rId76" ref="A16"/>
    <hyperlink r:id="rId77" ref="AC16"/>
    <hyperlink r:id="rId78" ref="AD16"/>
    <hyperlink r:id="rId79" ref="AE16"/>
    <hyperlink r:id="rId80" ref="AF16"/>
    <hyperlink r:id="rId81" ref="AT16"/>
    <hyperlink r:id="rId82" ref="A17"/>
    <hyperlink r:id="rId83" ref="AC17"/>
    <hyperlink r:id="rId84" ref="AD17"/>
    <hyperlink r:id="rId85" ref="AE17"/>
    <hyperlink r:id="rId86" ref="AF17"/>
    <hyperlink r:id="rId87" ref="AT17"/>
    <hyperlink r:id="rId88" ref="A18"/>
    <hyperlink r:id="rId89" ref="AC18"/>
    <hyperlink r:id="rId90" ref="AD18"/>
    <hyperlink r:id="rId91" ref="AE18"/>
    <hyperlink r:id="rId92" ref="AF18"/>
    <hyperlink r:id="rId93" ref="AT18"/>
    <hyperlink r:id="rId94" ref="A19"/>
    <hyperlink r:id="rId95" ref="AC19"/>
    <hyperlink r:id="rId96" ref="AD19"/>
    <hyperlink r:id="rId97" ref="AE19"/>
    <hyperlink r:id="rId98" ref="AF19"/>
    <hyperlink r:id="rId99" ref="AT19"/>
    <hyperlink r:id="rId100" ref="A20"/>
    <hyperlink r:id="rId101" ref="AC20"/>
    <hyperlink r:id="rId102" ref="AD20"/>
    <hyperlink r:id="rId103" ref="AE20"/>
    <hyperlink r:id="rId104" ref="AF20"/>
    <hyperlink r:id="rId105" ref="AT20"/>
    <hyperlink r:id="rId106" ref="A21"/>
    <hyperlink r:id="rId107" ref="AC21"/>
    <hyperlink r:id="rId108" ref="AD21"/>
    <hyperlink r:id="rId109" ref="AE21"/>
    <hyperlink r:id="rId110" ref="AF21"/>
    <hyperlink r:id="rId111" ref="AT21"/>
    <hyperlink r:id="rId112" ref="A22"/>
    <hyperlink r:id="rId113" ref="AC22"/>
    <hyperlink r:id="rId114" ref="AD22"/>
    <hyperlink r:id="rId115" ref="AE22"/>
    <hyperlink r:id="rId116" ref="AF22"/>
    <hyperlink r:id="rId117" ref="AT22"/>
    <hyperlink r:id="rId118" ref="A23"/>
    <hyperlink r:id="rId119" ref="AC23"/>
    <hyperlink r:id="rId120" ref="AD23"/>
    <hyperlink r:id="rId121" ref="AE23"/>
    <hyperlink r:id="rId122" ref="AF23"/>
    <hyperlink r:id="rId123" ref="AT23"/>
    <hyperlink r:id="rId124" ref="A24"/>
    <hyperlink r:id="rId125" ref="AC24"/>
    <hyperlink r:id="rId126" ref="AD24"/>
    <hyperlink r:id="rId127" ref="AE24"/>
    <hyperlink r:id="rId128" ref="AF24"/>
    <hyperlink r:id="rId129" ref="AT24"/>
    <hyperlink r:id="rId130" ref="A25"/>
    <hyperlink r:id="rId131" ref="AC25"/>
    <hyperlink r:id="rId132" ref="AD25"/>
    <hyperlink r:id="rId133" ref="AE25"/>
    <hyperlink r:id="rId134" ref="AF25"/>
    <hyperlink r:id="rId135" ref="AT25"/>
    <hyperlink r:id="rId136" ref="A26"/>
    <hyperlink r:id="rId137" ref="AC26"/>
    <hyperlink r:id="rId138" ref="AD26"/>
    <hyperlink r:id="rId139" ref="AE26"/>
    <hyperlink r:id="rId140" ref="AF26"/>
    <hyperlink r:id="rId141" ref="AT26"/>
    <hyperlink r:id="rId142" ref="A27"/>
    <hyperlink r:id="rId143" ref="AC27"/>
    <hyperlink r:id="rId144" ref="AD27"/>
    <hyperlink r:id="rId145" ref="AE27"/>
    <hyperlink r:id="rId146" ref="AF27"/>
    <hyperlink r:id="rId147" ref="AT27"/>
    <hyperlink r:id="rId148" ref="A28"/>
    <hyperlink r:id="rId149" ref="AC28"/>
    <hyperlink r:id="rId150" ref="AD28"/>
    <hyperlink r:id="rId151" ref="AE28"/>
    <hyperlink r:id="rId152" ref="AF28"/>
    <hyperlink r:id="rId153" ref="AT28"/>
    <hyperlink r:id="rId154" ref="A29"/>
    <hyperlink r:id="rId155" ref="AC29"/>
    <hyperlink r:id="rId156" ref="AD29"/>
    <hyperlink r:id="rId157" ref="AE29"/>
    <hyperlink r:id="rId158" ref="AF29"/>
    <hyperlink r:id="rId159" ref="AT29"/>
    <hyperlink r:id="rId160" ref="A30"/>
    <hyperlink r:id="rId161" ref="AC30"/>
    <hyperlink r:id="rId162" ref="AD30"/>
    <hyperlink r:id="rId163" ref="AE30"/>
    <hyperlink r:id="rId164" ref="AF30"/>
    <hyperlink r:id="rId165" ref="AT30"/>
    <hyperlink r:id="rId166" ref="A31"/>
    <hyperlink r:id="rId167" ref="AC31"/>
    <hyperlink r:id="rId168" ref="AD31"/>
    <hyperlink r:id="rId169" ref="AE31"/>
    <hyperlink r:id="rId170" ref="AF31"/>
    <hyperlink r:id="rId171" ref="AT31"/>
    <hyperlink r:id="rId172" ref="A32"/>
    <hyperlink r:id="rId173" ref="AC32"/>
    <hyperlink r:id="rId174" ref="AD32"/>
    <hyperlink r:id="rId175" ref="AE32"/>
    <hyperlink r:id="rId176" ref="AF32"/>
    <hyperlink r:id="rId177" ref="AT32"/>
    <hyperlink r:id="rId178" ref="A33"/>
    <hyperlink r:id="rId179" ref="AC33"/>
    <hyperlink r:id="rId180" ref="AD33"/>
    <hyperlink r:id="rId181" ref="AE33"/>
    <hyperlink r:id="rId182" ref="AF33"/>
    <hyperlink r:id="rId183" ref="AT33"/>
    <hyperlink r:id="rId184" ref="A34"/>
    <hyperlink r:id="rId185" ref="AC34"/>
    <hyperlink r:id="rId186" ref="AD34"/>
    <hyperlink r:id="rId187" ref="AE34"/>
    <hyperlink r:id="rId188" ref="AF34"/>
    <hyperlink r:id="rId189" ref="AT34"/>
    <hyperlink r:id="rId190" ref="A35"/>
    <hyperlink r:id="rId191" ref="AC35"/>
    <hyperlink r:id="rId192" ref="AD35"/>
    <hyperlink r:id="rId193" ref="AE35"/>
    <hyperlink r:id="rId194" ref="AF35"/>
    <hyperlink r:id="rId195" ref="AT35"/>
    <hyperlink r:id="rId196" ref="A36"/>
    <hyperlink r:id="rId197" ref="AC36"/>
    <hyperlink r:id="rId198" ref="AD36"/>
    <hyperlink r:id="rId199" ref="AE36"/>
    <hyperlink r:id="rId200" ref="AF36"/>
    <hyperlink r:id="rId201" ref="AT36"/>
    <hyperlink r:id="rId202" ref="A37"/>
    <hyperlink r:id="rId203" ref="AC37"/>
    <hyperlink r:id="rId204" ref="AD37"/>
    <hyperlink r:id="rId205" ref="AE37"/>
    <hyperlink r:id="rId206" ref="AF37"/>
    <hyperlink r:id="rId207" ref="AT37"/>
    <hyperlink r:id="rId208" ref="A38"/>
    <hyperlink r:id="rId209" ref="AC38"/>
    <hyperlink r:id="rId210" ref="AD38"/>
    <hyperlink r:id="rId211" ref="AE38"/>
    <hyperlink r:id="rId212" ref="AF38"/>
    <hyperlink r:id="rId213" ref="AT38"/>
    <hyperlink r:id="rId214" ref="A39"/>
    <hyperlink r:id="rId215" ref="AC39"/>
    <hyperlink r:id="rId216" ref="AD39"/>
    <hyperlink r:id="rId217" ref="AE39"/>
    <hyperlink r:id="rId218" ref="AF39"/>
    <hyperlink r:id="rId219" ref="AT39"/>
    <hyperlink r:id="rId220" ref="A40"/>
    <hyperlink r:id="rId221" ref="AC40"/>
    <hyperlink r:id="rId222" ref="AD40"/>
    <hyperlink r:id="rId223" ref="AE40"/>
    <hyperlink r:id="rId224" ref="AF40"/>
    <hyperlink r:id="rId225" ref="AT40"/>
    <hyperlink r:id="rId226" ref="A41"/>
    <hyperlink r:id="rId227" ref="AC41"/>
    <hyperlink r:id="rId228" ref="AD41"/>
    <hyperlink r:id="rId229" ref="AE41"/>
    <hyperlink r:id="rId230" ref="AF41"/>
    <hyperlink r:id="rId231" ref="AT41"/>
    <hyperlink r:id="rId232" ref="A42"/>
    <hyperlink r:id="rId233" ref="AC42"/>
    <hyperlink r:id="rId234" ref="AD42"/>
    <hyperlink r:id="rId235" ref="AE42"/>
    <hyperlink r:id="rId236" ref="AF42"/>
    <hyperlink r:id="rId237" ref="AT42"/>
    <hyperlink r:id="rId238" ref="A43"/>
    <hyperlink r:id="rId239" ref="AC43"/>
    <hyperlink r:id="rId240" ref="AD43"/>
    <hyperlink r:id="rId241" ref="AE43"/>
    <hyperlink r:id="rId242" ref="AF43"/>
    <hyperlink r:id="rId243" ref="AT43"/>
    <hyperlink r:id="rId244" ref="A44"/>
    <hyperlink r:id="rId245" ref="AC44"/>
    <hyperlink r:id="rId246" ref="AD44"/>
    <hyperlink r:id="rId247" ref="AE44"/>
    <hyperlink r:id="rId248" ref="AF44"/>
    <hyperlink r:id="rId249" ref="AT44"/>
    <hyperlink r:id="rId250" ref="A45"/>
    <hyperlink r:id="rId251" ref="AC45"/>
    <hyperlink r:id="rId252" ref="AD45"/>
    <hyperlink r:id="rId253" ref="AE45"/>
    <hyperlink r:id="rId254" ref="AF45"/>
    <hyperlink r:id="rId255" ref="AT45"/>
    <hyperlink r:id="rId256" ref="A46"/>
    <hyperlink r:id="rId257" ref="AC46"/>
    <hyperlink r:id="rId258" ref="AD46"/>
    <hyperlink r:id="rId259" ref="AE46"/>
    <hyperlink r:id="rId260" ref="AF46"/>
    <hyperlink r:id="rId261" ref="AT46"/>
    <hyperlink r:id="rId262" ref="A47"/>
    <hyperlink r:id="rId263" ref="AC47"/>
    <hyperlink r:id="rId264" ref="AD47"/>
    <hyperlink r:id="rId265" ref="AE47"/>
    <hyperlink r:id="rId266" ref="AF47"/>
    <hyperlink r:id="rId267" ref="AT47"/>
    <hyperlink r:id="rId268" ref="A48"/>
    <hyperlink r:id="rId269" ref="AC48"/>
    <hyperlink r:id="rId270" ref="AD48"/>
    <hyperlink r:id="rId271" ref="AE48"/>
    <hyperlink r:id="rId272" ref="AF48"/>
    <hyperlink r:id="rId273" ref="AT48"/>
    <hyperlink r:id="rId274" ref="A49"/>
    <hyperlink r:id="rId275" ref="AC49"/>
    <hyperlink r:id="rId276" ref="AD49"/>
    <hyperlink r:id="rId277" ref="AE49"/>
    <hyperlink r:id="rId278" ref="AF49"/>
    <hyperlink r:id="rId279" ref="AT49"/>
    <hyperlink r:id="rId280" ref="A50"/>
    <hyperlink r:id="rId281" ref="AC50"/>
    <hyperlink r:id="rId282" ref="AD50"/>
    <hyperlink r:id="rId283" ref="AE50"/>
    <hyperlink r:id="rId284" ref="AF50"/>
    <hyperlink r:id="rId285" ref="AT50"/>
    <hyperlink r:id="rId286" ref="A51"/>
    <hyperlink r:id="rId287" ref="AC51"/>
    <hyperlink r:id="rId288" ref="AD51"/>
    <hyperlink r:id="rId289" ref="AE51"/>
    <hyperlink r:id="rId290" ref="AF51"/>
    <hyperlink r:id="rId291" ref="AT51"/>
    <hyperlink r:id="rId292" ref="A52"/>
    <hyperlink r:id="rId293" ref="AC52"/>
    <hyperlink r:id="rId294" ref="AD52"/>
    <hyperlink r:id="rId295" ref="AE52"/>
    <hyperlink r:id="rId296" ref="AF52"/>
    <hyperlink r:id="rId297" ref="AT52"/>
    <hyperlink r:id="rId298" ref="A53"/>
    <hyperlink r:id="rId299" ref="AC53"/>
    <hyperlink r:id="rId300" ref="AD53"/>
    <hyperlink r:id="rId301" ref="AE53"/>
    <hyperlink r:id="rId302" ref="AF53"/>
    <hyperlink r:id="rId303" ref="AT53"/>
    <hyperlink r:id="rId304" ref="A54"/>
    <hyperlink r:id="rId305" ref="AC54"/>
    <hyperlink r:id="rId306" ref="AD54"/>
    <hyperlink r:id="rId307" ref="AE54"/>
    <hyperlink r:id="rId308" ref="AF54"/>
    <hyperlink r:id="rId309" ref="AT54"/>
    <hyperlink r:id="rId310" ref="A55"/>
    <hyperlink r:id="rId311" ref="AC55"/>
    <hyperlink r:id="rId312" ref="AD55"/>
    <hyperlink r:id="rId313" ref="AE55"/>
    <hyperlink r:id="rId314" ref="AF55"/>
    <hyperlink r:id="rId315" ref="AT55"/>
    <hyperlink r:id="rId316" ref="A56"/>
    <hyperlink r:id="rId317" ref="AC56"/>
    <hyperlink r:id="rId318" ref="AD56"/>
    <hyperlink r:id="rId319" ref="AE56"/>
    <hyperlink r:id="rId320" ref="AF56"/>
    <hyperlink r:id="rId321" ref="AT56"/>
    <hyperlink r:id="rId322" ref="A57"/>
    <hyperlink r:id="rId323" ref="AC57"/>
    <hyperlink r:id="rId324" ref="AD57"/>
    <hyperlink r:id="rId325" ref="AE57"/>
    <hyperlink r:id="rId326" ref="AF57"/>
    <hyperlink r:id="rId327" ref="AT57"/>
    <hyperlink r:id="rId328" ref="A58"/>
    <hyperlink r:id="rId329" ref="AC58"/>
    <hyperlink r:id="rId330" ref="AD58"/>
    <hyperlink r:id="rId331" ref="AE58"/>
    <hyperlink r:id="rId332" ref="AF58"/>
    <hyperlink r:id="rId333" ref="AT58"/>
    <hyperlink r:id="rId334" ref="A59"/>
    <hyperlink r:id="rId335" ref="AC59"/>
    <hyperlink r:id="rId336" ref="AD59"/>
    <hyperlink r:id="rId337" ref="AE59"/>
    <hyperlink r:id="rId338" ref="AF59"/>
    <hyperlink r:id="rId339" ref="AT59"/>
    <hyperlink r:id="rId340" ref="A60"/>
    <hyperlink r:id="rId341" ref="AC60"/>
    <hyperlink r:id="rId342" ref="AD60"/>
    <hyperlink r:id="rId343" ref="AE60"/>
    <hyperlink r:id="rId344" ref="AF60"/>
    <hyperlink r:id="rId345" ref="AT60"/>
    <hyperlink r:id="rId346" ref="A61"/>
    <hyperlink r:id="rId347" ref="AC61"/>
    <hyperlink r:id="rId348" ref="AD61"/>
    <hyperlink r:id="rId349" ref="AE61"/>
    <hyperlink r:id="rId350" ref="AF61"/>
    <hyperlink r:id="rId351" ref="AT61"/>
    <hyperlink r:id="rId352" ref="A62"/>
    <hyperlink r:id="rId353" ref="AC62"/>
    <hyperlink r:id="rId354" ref="AD62"/>
    <hyperlink r:id="rId355" ref="AE62"/>
    <hyperlink r:id="rId356" ref="AF62"/>
    <hyperlink r:id="rId357" ref="AT62"/>
    <hyperlink r:id="rId358" ref="A63"/>
    <hyperlink r:id="rId359" ref="AC63"/>
    <hyperlink r:id="rId360" ref="AD63"/>
    <hyperlink r:id="rId361" ref="AE63"/>
    <hyperlink r:id="rId362" ref="AF63"/>
    <hyperlink r:id="rId363" ref="AT63"/>
    <hyperlink r:id="rId364" ref="A64"/>
    <hyperlink r:id="rId365" ref="AC64"/>
    <hyperlink r:id="rId366" ref="AD64"/>
    <hyperlink r:id="rId367" ref="AE64"/>
    <hyperlink r:id="rId368" ref="AF64"/>
    <hyperlink r:id="rId369" ref="AT64"/>
    <hyperlink r:id="rId370" ref="A65"/>
    <hyperlink r:id="rId371" ref="AC65"/>
    <hyperlink r:id="rId372" ref="AD65"/>
    <hyperlink r:id="rId373" ref="AE65"/>
    <hyperlink r:id="rId374" ref="AF65"/>
    <hyperlink r:id="rId375" ref="AT65"/>
    <hyperlink r:id="rId376" ref="A66"/>
    <hyperlink r:id="rId377" ref="AC66"/>
    <hyperlink r:id="rId378" ref="AD66"/>
    <hyperlink r:id="rId379" ref="AE66"/>
    <hyperlink r:id="rId380" ref="AF66"/>
    <hyperlink r:id="rId381" ref="AT66"/>
    <hyperlink r:id="rId382" ref="A67"/>
    <hyperlink r:id="rId383" ref="AC67"/>
    <hyperlink r:id="rId384" ref="AD67"/>
    <hyperlink r:id="rId385" ref="AE67"/>
    <hyperlink r:id="rId386" ref="AF67"/>
    <hyperlink r:id="rId387" ref="AT67"/>
    <hyperlink r:id="rId388" ref="A68"/>
    <hyperlink r:id="rId389" ref="AC68"/>
    <hyperlink r:id="rId390" ref="AD68"/>
    <hyperlink r:id="rId391" ref="AE68"/>
    <hyperlink r:id="rId392" ref="AF68"/>
    <hyperlink r:id="rId393" ref="AT68"/>
    <hyperlink r:id="rId394" ref="A69"/>
    <hyperlink r:id="rId395" ref="AC69"/>
    <hyperlink r:id="rId396" ref="AD69"/>
    <hyperlink r:id="rId397" ref="AE69"/>
    <hyperlink r:id="rId398" ref="AF69"/>
    <hyperlink r:id="rId399" ref="AT69"/>
    <hyperlink r:id="rId400" ref="A70"/>
    <hyperlink r:id="rId401" ref="AC70"/>
    <hyperlink r:id="rId402" ref="AD70"/>
    <hyperlink r:id="rId403" ref="AE70"/>
    <hyperlink r:id="rId404" ref="AF70"/>
    <hyperlink r:id="rId405" ref="AT70"/>
    <hyperlink r:id="rId406" ref="A71"/>
    <hyperlink r:id="rId407" ref="AC71"/>
    <hyperlink r:id="rId408" ref="AD71"/>
    <hyperlink r:id="rId409" ref="AE71"/>
    <hyperlink r:id="rId410" ref="AF71"/>
    <hyperlink r:id="rId411" ref="AT71"/>
    <hyperlink r:id="rId412" ref="A72"/>
    <hyperlink r:id="rId413" ref="AC72"/>
    <hyperlink r:id="rId414" ref="AD72"/>
    <hyperlink r:id="rId415" ref="AE72"/>
    <hyperlink r:id="rId416" ref="AF72"/>
    <hyperlink r:id="rId417" ref="AT72"/>
    <hyperlink r:id="rId418" ref="A73"/>
    <hyperlink r:id="rId419" ref="AC73"/>
    <hyperlink r:id="rId420" ref="AD73"/>
    <hyperlink r:id="rId421" ref="AE73"/>
    <hyperlink r:id="rId422" ref="AF73"/>
    <hyperlink r:id="rId423" ref="AT73"/>
    <hyperlink r:id="rId424" ref="A74"/>
    <hyperlink r:id="rId425" ref="AC74"/>
    <hyperlink r:id="rId426" ref="AD74"/>
    <hyperlink r:id="rId427" ref="AE74"/>
    <hyperlink r:id="rId428" ref="AF74"/>
    <hyperlink r:id="rId429" ref="AT74"/>
    <hyperlink r:id="rId430" ref="A75"/>
    <hyperlink r:id="rId431" ref="AC75"/>
    <hyperlink r:id="rId432" ref="AD75"/>
    <hyperlink r:id="rId433" ref="AE75"/>
    <hyperlink r:id="rId434" ref="AF75"/>
    <hyperlink r:id="rId435" ref="AT75"/>
    <hyperlink r:id="rId436" ref="A76"/>
    <hyperlink r:id="rId437" ref="AC76"/>
    <hyperlink r:id="rId438" ref="AD76"/>
    <hyperlink r:id="rId439" ref="AE76"/>
    <hyperlink r:id="rId440" ref="AF76"/>
    <hyperlink r:id="rId441" ref="AT76"/>
    <hyperlink r:id="rId442" ref="A77"/>
    <hyperlink r:id="rId443" ref="AC77"/>
    <hyperlink r:id="rId444" ref="AD77"/>
    <hyperlink r:id="rId445" ref="AE77"/>
    <hyperlink r:id="rId446" ref="AF77"/>
    <hyperlink r:id="rId447" ref="AT77"/>
    <hyperlink r:id="rId448" ref="A78"/>
    <hyperlink r:id="rId449" ref="AC78"/>
    <hyperlink r:id="rId450" ref="AD78"/>
    <hyperlink r:id="rId451" ref="AE78"/>
    <hyperlink r:id="rId452" ref="AF78"/>
    <hyperlink r:id="rId453" ref="AT78"/>
    <hyperlink r:id="rId454" ref="A79"/>
    <hyperlink r:id="rId455" ref="AC79"/>
    <hyperlink r:id="rId456" ref="AD79"/>
    <hyperlink r:id="rId457" ref="AE79"/>
    <hyperlink r:id="rId458" ref="AF79"/>
    <hyperlink r:id="rId459" ref="AT79"/>
    <hyperlink r:id="rId460" ref="A80"/>
    <hyperlink r:id="rId461" ref="AC80"/>
    <hyperlink r:id="rId462" ref="AD80"/>
    <hyperlink r:id="rId463" ref="AE80"/>
    <hyperlink r:id="rId464" ref="AF80"/>
    <hyperlink r:id="rId465" ref="AT80"/>
    <hyperlink r:id="rId466" ref="A81"/>
    <hyperlink r:id="rId467" ref="AC81"/>
    <hyperlink r:id="rId468" ref="AD81"/>
    <hyperlink r:id="rId469" ref="AE81"/>
    <hyperlink r:id="rId470" ref="AF81"/>
    <hyperlink r:id="rId471" ref="AT81"/>
    <hyperlink r:id="rId472" ref="A82"/>
    <hyperlink r:id="rId473" ref="AC82"/>
    <hyperlink r:id="rId474" ref="AD82"/>
    <hyperlink r:id="rId475" ref="AE82"/>
    <hyperlink r:id="rId476" ref="AF82"/>
    <hyperlink r:id="rId477" ref="AT82"/>
    <hyperlink r:id="rId478" ref="A83"/>
    <hyperlink r:id="rId479" ref="AC83"/>
    <hyperlink r:id="rId480" ref="AD83"/>
    <hyperlink r:id="rId481" ref="AE83"/>
    <hyperlink r:id="rId482" ref="AF83"/>
    <hyperlink r:id="rId483" ref="AT83"/>
    <hyperlink r:id="rId484" ref="A84"/>
    <hyperlink r:id="rId485" ref="AC84"/>
    <hyperlink r:id="rId486" ref="AD84"/>
    <hyperlink r:id="rId487" ref="AE84"/>
    <hyperlink r:id="rId488" ref="AF84"/>
    <hyperlink r:id="rId489" ref="AT84"/>
    <hyperlink r:id="rId490" ref="A85"/>
    <hyperlink r:id="rId491" ref="AC85"/>
    <hyperlink r:id="rId492" ref="AD85"/>
    <hyperlink r:id="rId493" ref="AE85"/>
    <hyperlink r:id="rId494" ref="AF85"/>
    <hyperlink r:id="rId495" ref="AT85"/>
    <hyperlink r:id="rId496" ref="A86"/>
    <hyperlink r:id="rId497" ref="AC86"/>
    <hyperlink r:id="rId498" ref="AD86"/>
    <hyperlink r:id="rId499" ref="AE86"/>
    <hyperlink r:id="rId500" ref="AF86"/>
    <hyperlink r:id="rId501" ref="AT86"/>
    <hyperlink r:id="rId502" ref="A87"/>
    <hyperlink r:id="rId503" ref="AC87"/>
    <hyperlink r:id="rId504" ref="AD87"/>
    <hyperlink r:id="rId505" ref="AE87"/>
    <hyperlink r:id="rId506" ref="AF87"/>
    <hyperlink r:id="rId507" ref="AT87"/>
    <hyperlink r:id="rId508" ref="A88"/>
    <hyperlink r:id="rId509" ref="AC88"/>
    <hyperlink r:id="rId510" ref="AD88"/>
    <hyperlink r:id="rId511" ref="AE88"/>
    <hyperlink r:id="rId512" ref="AF88"/>
    <hyperlink r:id="rId513" ref="AT88"/>
    <hyperlink r:id="rId514" ref="A89"/>
    <hyperlink r:id="rId515" ref="AC89"/>
    <hyperlink r:id="rId516" ref="AD89"/>
    <hyperlink r:id="rId517" ref="AE89"/>
    <hyperlink r:id="rId518" ref="AF89"/>
    <hyperlink r:id="rId519" ref="AT89"/>
    <hyperlink r:id="rId520" ref="A90"/>
    <hyperlink r:id="rId521" ref="AC90"/>
    <hyperlink r:id="rId522" ref="AD90"/>
    <hyperlink r:id="rId523" ref="AE90"/>
    <hyperlink r:id="rId524" ref="AF90"/>
    <hyperlink r:id="rId525" ref="AT90"/>
    <hyperlink r:id="rId526" ref="A91"/>
    <hyperlink r:id="rId527" ref="AC91"/>
    <hyperlink r:id="rId528" ref="AD91"/>
    <hyperlink r:id="rId529" ref="AE91"/>
    <hyperlink r:id="rId530" ref="AF91"/>
    <hyperlink r:id="rId531" ref="AT91"/>
    <hyperlink r:id="rId532" ref="A92"/>
    <hyperlink r:id="rId533" ref="AC92"/>
    <hyperlink r:id="rId534" ref="AD92"/>
    <hyperlink r:id="rId535" ref="AE92"/>
    <hyperlink r:id="rId536" ref="AF92"/>
    <hyperlink r:id="rId537" ref="AT92"/>
    <hyperlink r:id="rId538" ref="A93"/>
    <hyperlink r:id="rId539" ref="AC93"/>
    <hyperlink r:id="rId540" ref="AD93"/>
    <hyperlink r:id="rId541" ref="AE93"/>
    <hyperlink r:id="rId542" ref="AF93"/>
    <hyperlink r:id="rId543" ref="AT93"/>
    <hyperlink r:id="rId544" ref="A94"/>
    <hyperlink r:id="rId545" ref="AC94"/>
    <hyperlink r:id="rId546" ref="AD94"/>
    <hyperlink r:id="rId547" ref="AE94"/>
    <hyperlink r:id="rId548" ref="AF94"/>
    <hyperlink r:id="rId549" ref="AT94"/>
    <hyperlink r:id="rId550" ref="A95"/>
    <hyperlink r:id="rId551" ref="AC95"/>
    <hyperlink r:id="rId552" ref="AD95"/>
    <hyperlink r:id="rId553" ref="AE95"/>
    <hyperlink r:id="rId554" ref="AF95"/>
    <hyperlink r:id="rId555" ref="AT95"/>
    <hyperlink r:id="rId556" ref="A96"/>
    <hyperlink r:id="rId557" ref="AC96"/>
    <hyperlink r:id="rId558" ref="AD96"/>
    <hyperlink r:id="rId559" ref="AE96"/>
    <hyperlink r:id="rId560" ref="AF96"/>
    <hyperlink r:id="rId561" ref="AT96"/>
    <hyperlink r:id="rId562" ref="A97"/>
    <hyperlink r:id="rId563" ref="AC97"/>
    <hyperlink r:id="rId564" ref="AD97"/>
    <hyperlink r:id="rId565" ref="AE97"/>
    <hyperlink r:id="rId566" ref="AF97"/>
    <hyperlink r:id="rId567" ref="AT97"/>
    <hyperlink r:id="rId568" ref="A98"/>
    <hyperlink r:id="rId569" ref="AC98"/>
    <hyperlink r:id="rId570" ref="AD98"/>
    <hyperlink r:id="rId571" ref="AE98"/>
    <hyperlink r:id="rId572" ref="AF98"/>
    <hyperlink r:id="rId573" ref="AT98"/>
    <hyperlink r:id="rId574" ref="A99"/>
    <hyperlink r:id="rId575" ref="AC99"/>
    <hyperlink r:id="rId576" ref="AD99"/>
    <hyperlink r:id="rId577" ref="AE99"/>
    <hyperlink r:id="rId578" ref="AF99"/>
    <hyperlink r:id="rId579" ref="AT99"/>
    <hyperlink r:id="rId580" ref="A100"/>
    <hyperlink r:id="rId581" ref="AC100"/>
    <hyperlink r:id="rId582" ref="AD100"/>
    <hyperlink r:id="rId583" ref="AE100"/>
    <hyperlink r:id="rId584" ref="AF100"/>
    <hyperlink r:id="rId585" ref="AT100"/>
    <hyperlink r:id="rId586" ref="A101"/>
    <hyperlink r:id="rId587" ref="AC101"/>
    <hyperlink r:id="rId588" ref="AD101"/>
    <hyperlink r:id="rId589" ref="AE101"/>
    <hyperlink r:id="rId590" ref="AF101"/>
    <hyperlink r:id="rId591" ref="AT101"/>
    <hyperlink r:id="rId592" ref="A102"/>
    <hyperlink r:id="rId593" ref="AC102"/>
    <hyperlink r:id="rId594" ref="AD102"/>
    <hyperlink r:id="rId595" ref="AE102"/>
    <hyperlink r:id="rId596" ref="AF102"/>
    <hyperlink r:id="rId597" ref="AT102"/>
    <hyperlink r:id="rId598" ref="A103"/>
    <hyperlink r:id="rId599" ref="AC103"/>
    <hyperlink r:id="rId600" ref="AD103"/>
    <hyperlink r:id="rId601" ref="AE103"/>
    <hyperlink r:id="rId602" ref="AF103"/>
    <hyperlink r:id="rId603" ref="AT103"/>
    <hyperlink r:id="rId604" ref="A104"/>
    <hyperlink r:id="rId605" ref="AC104"/>
    <hyperlink r:id="rId606" ref="AD104"/>
    <hyperlink r:id="rId607" ref="AE104"/>
    <hyperlink r:id="rId608" ref="AF104"/>
    <hyperlink r:id="rId609" ref="AT104"/>
    <hyperlink r:id="rId610" ref="A105"/>
    <hyperlink r:id="rId611" ref="AC105"/>
    <hyperlink r:id="rId612" ref="AD105"/>
    <hyperlink r:id="rId613" ref="AE105"/>
    <hyperlink r:id="rId614" ref="AF105"/>
    <hyperlink r:id="rId615" ref="AT105"/>
    <hyperlink r:id="rId616" ref="A106"/>
    <hyperlink r:id="rId617" ref="AC106"/>
    <hyperlink r:id="rId618" ref="AD106"/>
    <hyperlink r:id="rId619" ref="AE106"/>
    <hyperlink r:id="rId620" ref="AF106"/>
    <hyperlink r:id="rId621" ref="AT106"/>
    <hyperlink r:id="rId622" ref="A107"/>
    <hyperlink r:id="rId623" ref="AC107"/>
    <hyperlink r:id="rId624" ref="AD107"/>
    <hyperlink r:id="rId625" ref="AE107"/>
    <hyperlink r:id="rId626" ref="AF107"/>
    <hyperlink r:id="rId627" ref="AT107"/>
    <hyperlink r:id="rId628" ref="A108"/>
    <hyperlink r:id="rId629" ref="AC108"/>
    <hyperlink r:id="rId630" ref="AD108"/>
    <hyperlink r:id="rId631" ref="AE108"/>
    <hyperlink r:id="rId632" ref="AF108"/>
    <hyperlink r:id="rId633" ref="AT108"/>
    <hyperlink r:id="rId634" ref="A109"/>
    <hyperlink r:id="rId635" ref="AC109"/>
    <hyperlink r:id="rId636" ref="AD109"/>
    <hyperlink r:id="rId637" ref="AE109"/>
    <hyperlink r:id="rId638" ref="AF109"/>
    <hyperlink r:id="rId639" ref="AT109"/>
    <hyperlink r:id="rId640" ref="A110"/>
    <hyperlink r:id="rId641" ref="AC110"/>
    <hyperlink r:id="rId642" ref="AD110"/>
    <hyperlink r:id="rId643" ref="AE110"/>
    <hyperlink r:id="rId644" ref="AF110"/>
    <hyperlink r:id="rId645" ref="AT110"/>
    <hyperlink r:id="rId646" ref="A111"/>
    <hyperlink r:id="rId647" ref="AC111"/>
    <hyperlink r:id="rId648" ref="AD111"/>
    <hyperlink r:id="rId649" ref="AE111"/>
    <hyperlink r:id="rId650" ref="AF111"/>
    <hyperlink r:id="rId651" ref="AT111"/>
    <hyperlink r:id="rId652" ref="A112"/>
    <hyperlink r:id="rId653" ref="AC112"/>
    <hyperlink r:id="rId654" ref="AD112"/>
    <hyperlink r:id="rId655" ref="AE112"/>
    <hyperlink r:id="rId656" ref="AF112"/>
    <hyperlink r:id="rId657" ref="AT112"/>
    <hyperlink r:id="rId658" ref="A113"/>
    <hyperlink r:id="rId659" ref="AC113"/>
    <hyperlink r:id="rId660" ref="AD113"/>
    <hyperlink r:id="rId661" ref="AE113"/>
    <hyperlink r:id="rId662" ref="AF113"/>
    <hyperlink r:id="rId663" ref="AT113"/>
    <hyperlink r:id="rId664" ref="A114"/>
    <hyperlink r:id="rId665" ref="AC114"/>
    <hyperlink r:id="rId666" ref="AD114"/>
    <hyperlink r:id="rId667" ref="AE114"/>
    <hyperlink r:id="rId668" ref="AF114"/>
    <hyperlink r:id="rId669" ref="AT114"/>
    <hyperlink r:id="rId670" ref="A115"/>
    <hyperlink r:id="rId671" ref="AC115"/>
    <hyperlink r:id="rId672" ref="AD115"/>
    <hyperlink r:id="rId673" ref="AE115"/>
    <hyperlink r:id="rId674" ref="AF115"/>
    <hyperlink r:id="rId675" ref="AT115"/>
    <hyperlink r:id="rId676" ref="A116"/>
    <hyperlink r:id="rId677" ref="AC116"/>
    <hyperlink r:id="rId678" ref="AD116"/>
    <hyperlink r:id="rId679" ref="AE116"/>
    <hyperlink r:id="rId680" ref="AF116"/>
    <hyperlink r:id="rId681" ref="AT116"/>
    <hyperlink r:id="rId682" ref="A117"/>
    <hyperlink r:id="rId683" ref="AC117"/>
    <hyperlink r:id="rId684" ref="AD117"/>
    <hyperlink r:id="rId685" ref="AE117"/>
    <hyperlink r:id="rId686" ref="AF117"/>
    <hyperlink r:id="rId687" ref="AT117"/>
    <hyperlink r:id="rId688" ref="A118"/>
    <hyperlink r:id="rId689" ref="AC118"/>
    <hyperlink r:id="rId690" ref="AD118"/>
    <hyperlink r:id="rId691" ref="AE118"/>
    <hyperlink r:id="rId692" ref="AF118"/>
    <hyperlink r:id="rId693" ref="AT118"/>
    <hyperlink r:id="rId694" ref="A119"/>
    <hyperlink r:id="rId695" ref="AC119"/>
    <hyperlink r:id="rId696" ref="AD119"/>
    <hyperlink r:id="rId697" ref="AE119"/>
    <hyperlink r:id="rId698" ref="AF119"/>
    <hyperlink r:id="rId699" ref="AT119"/>
    <hyperlink r:id="rId700" ref="A120"/>
    <hyperlink r:id="rId701" ref="AC120"/>
    <hyperlink r:id="rId702" ref="AD120"/>
    <hyperlink r:id="rId703" ref="AE120"/>
    <hyperlink r:id="rId704" ref="AF120"/>
    <hyperlink r:id="rId705" ref="AT120"/>
    <hyperlink r:id="rId706" ref="A121"/>
    <hyperlink r:id="rId707" ref="AC121"/>
    <hyperlink r:id="rId708" ref="AD121"/>
    <hyperlink r:id="rId709" ref="AE121"/>
    <hyperlink r:id="rId710" ref="AF121"/>
    <hyperlink r:id="rId711" ref="AT121"/>
    <hyperlink r:id="rId712" ref="A122"/>
    <hyperlink r:id="rId713" ref="AC122"/>
    <hyperlink r:id="rId714" ref="AD122"/>
    <hyperlink r:id="rId715" ref="AE122"/>
    <hyperlink r:id="rId716" ref="AF122"/>
    <hyperlink r:id="rId717" ref="AT122"/>
    <hyperlink r:id="rId718" ref="A123"/>
    <hyperlink r:id="rId719" ref="AC123"/>
    <hyperlink r:id="rId720" ref="AD123"/>
    <hyperlink r:id="rId721" ref="AE123"/>
    <hyperlink r:id="rId722" ref="AF123"/>
    <hyperlink r:id="rId723" ref="AT123"/>
    <hyperlink r:id="rId724" ref="A124"/>
    <hyperlink r:id="rId725" ref="AC124"/>
    <hyperlink r:id="rId726" ref="AD124"/>
    <hyperlink r:id="rId727" ref="AE124"/>
    <hyperlink r:id="rId728" ref="AF124"/>
    <hyperlink r:id="rId729" ref="AT124"/>
    <hyperlink r:id="rId730" ref="A125"/>
    <hyperlink r:id="rId731" ref="AC125"/>
    <hyperlink r:id="rId732" ref="AD125"/>
    <hyperlink r:id="rId733" ref="AE125"/>
    <hyperlink r:id="rId734" ref="AF125"/>
    <hyperlink r:id="rId735" ref="AT125"/>
    <hyperlink r:id="rId736" ref="A126"/>
    <hyperlink r:id="rId737" ref="AC126"/>
    <hyperlink r:id="rId738" ref="AD126"/>
    <hyperlink r:id="rId739" ref="AE126"/>
    <hyperlink r:id="rId740" ref="AF126"/>
    <hyperlink r:id="rId741" ref="AT126"/>
    <hyperlink r:id="rId742" ref="A127"/>
    <hyperlink r:id="rId743" ref="AC127"/>
    <hyperlink r:id="rId744" ref="AD127"/>
    <hyperlink r:id="rId745" ref="AE127"/>
    <hyperlink r:id="rId746" ref="AF127"/>
    <hyperlink r:id="rId747" ref="AT127"/>
    <hyperlink r:id="rId748" ref="A128"/>
    <hyperlink r:id="rId749" ref="AC128"/>
    <hyperlink r:id="rId750" ref="AD128"/>
    <hyperlink r:id="rId751" ref="AE128"/>
    <hyperlink r:id="rId752" ref="AF128"/>
    <hyperlink r:id="rId753" ref="AT128"/>
    <hyperlink r:id="rId754" ref="A129"/>
    <hyperlink r:id="rId755" ref="AC129"/>
    <hyperlink r:id="rId756" ref="AD129"/>
    <hyperlink r:id="rId757" ref="AE129"/>
    <hyperlink r:id="rId758" ref="AF129"/>
    <hyperlink r:id="rId759" ref="AT129"/>
    <hyperlink r:id="rId760" ref="A130"/>
    <hyperlink r:id="rId761" ref="AC130"/>
    <hyperlink r:id="rId762" ref="AD130"/>
    <hyperlink r:id="rId763" ref="AE130"/>
    <hyperlink r:id="rId764" ref="AF130"/>
    <hyperlink r:id="rId765" ref="AT130"/>
    <hyperlink r:id="rId766" ref="A131"/>
    <hyperlink r:id="rId767" ref="AC131"/>
    <hyperlink r:id="rId768" ref="AD131"/>
    <hyperlink r:id="rId769" ref="AE131"/>
    <hyperlink r:id="rId770" ref="AF131"/>
    <hyperlink r:id="rId771" ref="AT131"/>
    <hyperlink r:id="rId772" ref="A132"/>
    <hyperlink r:id="rId773" ref="AC132"/>
    <hyperlink r:id="rId774" ref="AD132"/>
    <hyperlink r:id="rId775" ref="AE132"/>
    <hyperlink r:id="rId776" ref="AF132"/>
    <hyperlink r:id="rId777" ref="AT132"/>
    <hyperlink r:id="rId778" ref="A133"/>
    <hyperlink r:id="rId779" ref="AC133"/>
    <hyperlink r:id="rId780" ref="AD133"/>
    <hyperlink r:id="rId781" ref="AE133"/>
    <hyperlink r:id="rId782" ref="AF133"/>
    <hyperlink r:id="rId783" ref="AT133"/>
    <hyperlink r:id="rId784" ref="A134"/>
    <hyperlink r:id="rId785" ref="AC134"/>
    <hyperlink r:id="rId786" ref="AD134"/>
    <hyperlink r:id="rId787" ref="AE134"/>
    <hyperlink r:id="rId788" ref="AF134"/>
    <hyperlink r:id="rId789" ref="AT134"/>
    <hyperlink r:id="rId790" ref="A135"/>
    <hyperlink r:id="rId791" ref="AC135"/>
    <hyperlink r:id="rId792" ref="AD135"/>
    <hyperlink r:id="rId793" ref="AE135"/>
    <hyperlink r:id="rId794" ref="AF135"/>
    <hyperlink r:id="rId795" ref="AT135"/>
    <hyperlink r:id="rId796" ref="A136"/>
    <hyperlink r:id="rId797" ref="AC136"/>
    <hyperlink r:id="rId798" ref="AD136"/>
    <hyperlink r:id="rId799" ref="AE136"/>
    <hyperlink r:id="rId800" ref="AF136"/>
    <hyperlink r:id="rId801" ref="AT136"/>
    <hyperlink r:id="rId802" ref="A137"/>
    <hyperlink r:id="rId803" ref="AC137"/>
    <hyperlink r:id="rId804" ref="AD137"/>
    <hyperlink r:id="rId805" ref="AE137"/>
    <hyperlink r:id="rId806" ref="AF137"/>
    <hyperlink r:id="rId807" ref="AT137"/>
    <hyperlink r:id="rId808" ref="A138"/>
    <hyperlink r:id="rId809" ref="AC138"/>
    <hyperlink r:id="rId810" ref="AD138"/>
    <hyperlink r:id="rId811" ref="AE138"/>
    <hyperlink r:id="rId812" ref="AF138"/>
    <hyperlink r:id="rId813" ref="AT138"/>
    <hyperlink r:id="rId814" ref="A139"/>
    <hyperlink r:id="rId815" ref="AC139"/>
    <hyperlink r:id="rId816" ref="AD139"/>
    <hyperlink r:id="rId817" ref="AE139"/>
    <hyperlink r:id="rId818" ref="AF139"/>
    <hyperlink r:id="rId819" ref="AT139"/>
    <hyperlink r:id="rId820" ref="A140"/>
    <hyperlink r:id="rId821" ref="AC140"/>
    <hyperlink r:id="rId822" ref="AD140"/>
    <hyperlink r:id="rId823" ref="AE140"/>
    <hyperlink r:id="rId824" ref="AF140"/>
    <hyperlink r:id="rId825" ref="AT140"/>
    <hyperlink r:id="rId826" ref="A141"/>
    <hyperlink r:id="rId827" ref="AC141"/>
    <hyperlink r:id="rId828" ref="AD141"/>
    <hyperlink r:id="rId829" ref="AE141"/>
    <hyperlink r:id="rId830" ref="AF141"/>
    <hyperlink r:id="rId831" ref="AT141"/>
    <hyperlink r:id="rId832" ref="A142"/>
    <hyperlink r:id="rId833" ref="AC142"/>
    <hyperlink r:id="rId834" ref="AD142"/>
    <hyperlink r:id="rId835" ref="AE142"/>
    <hyperlink r:id="rId836" ref="AF142"/>
    <hyperlink r:id="rId837" ref="AT142"/>
    <hyperlink r:id="rId838" ref="A143"/>
    <hyperlink r:id="rId839" ref="AC143"/>
    <hyperlink r:id="rId840" ref="AD143"/>
    <hyperlink r:id="rId841" ref="AE143"/>
    <hyperlink r:id="rId842" ref="AF143"/>
    <hyperlink r:id="rId843" ref="AT143"/>
    <hyperlink r:id="rId844" ref="A144"/>
    <hyperlink r:id="rId845" ref="AC144"/>
    <hyperlink r:id="rId846" ref="AD144"/>
    <hyperlink r:id="rId847" ref="AE144"/>
    <hyperlink r:id="rId848" ref="AF144"/>
    <hyperlink r:id="rId849" ref="AT144"/>
    <hyperlink r:id="rId850" ref="A145"/>
    <hyperlink r:id="rId851" ref="AC145"/>
    <hyperlink r:id="rId852" ref="AD145"/>
    <hyperlink r:id="rId853" ref="AE145"/>
    <hyperlink r:id="rId854" ref="AF145"/>
    <hyperlink r:id="rId855" ref="AT145"/>
    <hyperlink r:id="rId856" ref="A146"/>
    <hyperlink r:id="rId857" ref="AC146"/>
    <hyperlink r:id="rId858" ref="AD146"/>
    <hyperlink r:id="rId859" ref="AE146"/>
    <hyperlink r:id="rId860" ref="AF146"/>
    <hyperlink r:id="rId861" ref="AT146"/>
    <hyperlink r:id="rId862" ref="A147"/>
    <hyperlink r:id="rId863" ref="AC147"/>
    <hyperlink r:id="rId864" ref="AD147"/>
    <hyperlink r:id="rId865" ref="AE147"/>
    <hyperlink r:id="rId866" ref="AF147"/>
    <hyperlink r:id="rId867" ref="AT147"/>
    <hyperlink r:id="rId868" ref="A148"/>
    <hyperlink r:id="rId869" ref="AC148"/>
    <hyperlink r:id="rId870" ref="AD148"/>
    <hyperlink r:id="rId871" ref="AE148"/>
    <hyperlink r:id="rId872" ref="AF148"/>
    <hyperlink r:id="rId873" ref="AT148"/>
    <hyperlink r:id="rId874" ref="A149"/>
    <hyperlink r:id="rId875" ref="AC149"/>
    <hyperlink r:id="rId876" ref="AD149"/>
    <hyperlink r:id="rId877" ref="AE149"/>
    <hyperlink r:id="rId878" ref="AF149"/>
    <hyperlink r:id="rId879" ref="AT149"/>
    <hyperlink r:id="rId880" ref="A150"/>
    <hyperlink r:id="rId881" ref="AC150"/>
    <hyperlink r:id="rId882" ref="AD150"/>
    <hyperlink r:id="rId883" ref="AE150"/>
    <hyperlink r:id="rId884" ref="AF150"/>
    <hyperlink r:id="rId885" ref="AT150"/>
    <hyperlink r:id="rId886" ref="A151"/>
    <hyperlink r:id="rId887" ref="AC151"/>
    <hyperlink r:id="rId888" ref="AD151"/>
    <hyperlink r:id="rId889" ref="AE151"/>
    <hyperlink r:id="rId890" ref="AF151"/>
    <hyperlink r:id="rId891" ref="AT151"/>
    <hyperlink r:id="rId892" ref="A152"/>
    <hyperlink r:id="rId893" ref="AC152"/>
    <hyperlink r:id="rId894" ref="AD152"/>
    <hyperlink r:id="rId895" ref="AE152"/>
    <hyperlink r:id="rId896" ref="AF152"/>
    <hyperlink r:id="rId897" ref="AT152"/>
    <hyperlink r:id="rId898" ref="A153"/>
    <hyperlink r:id="rId899" ref="AC153"/>
    <hyperlink r:id="rId900" ref="AD153"/>
    <hyperlink r:id="rId901" ref="AE153"/>
    <hyperlink r:id="rId902" ref="AF153"/>
    <hyperlink r:id="rId903" ref="AT153"/>
    <hyperlink r:id="rId904" ref="A154"/>
    <hyperlink r:id="rId905" ref="AC154"/>
    <hyperlink r:id="rId906" ref="AD154"/>
    <hyperlink r:id="rId907" ref="AE154"/>
    <hyperlink r:id="rId908" ref="AF154"/>
    <hyperlink r:id="rId909" ref="AT154"/>
    <hyperlink r:id="rId910" ref="A155"/>
    <hyperlink r:id="rId911" ref="AC155"/>
    <hyperlink r:id="rId912" ref="AD155"/>
    <hyperlink r:id="rId913" ref="AE155"/>
    <hyperlink r:id="rId914" ref="AF155"/>
    <hyperlink r:id="rId915" ref="AT155"/>
    <hyperlink r:id="rId916" ref="A156"/>
    <hyperlink r:id="rId917" ref="AC156"/>
    <hyperlink r:id="rId918" ref="AD156"/>
    <hyperlink r:id="rId919" ref="AE156"/>
    <hyperlink r:id="rId920" ref="AF156"/>
    <hyperlink r:id="rId921" ref="AT156"/>
    <hyperlink r:id="rId922" ref="A157"/>
    <hyperlink r:id="rId923" ref="AC157"/>
    <hyperlink r:id="rId924" ref="AD157"/>
    <hyperlink r:id="rId925" ref="AE157"/>
    <hyperlink r:id="rId926" ref="AF157"/>
    <hyperlink r:id="rId927" ref="AT157"/>
    <hyperlink r:id="rId928" ref="A158"/>
    <hyperlink r:id="rId929" ref="AC158"/>
    <hyperlink r:id="rId930" ref="AD158"/>
    <hyperlink r:id="rId931" ref="AE158"/>
    <hyperlink r:id="rId932" ref="AF158"/>
    <hyperlink r:id="rId933" ref="AT158"/>
    <hyperlink r:id="rId934" ref="A159"/>
    <hyperlink r:id="rId935" ref="AC159"/>
    <hyperlink r:id="rId936" ref="AD159"/>
    <hyperlink r:id="rId937" ref="AE159"/>
    <hyperlink r:id="rId938" ref="AF159"/>
    <hyperlink r:id="rId939" ref="AT159"/>
    <hyperlink r:id="rId940" ref="A160"/>
    <hyperlink r:id="rId941" ref="AC160"/>
    <hyperlink r:id="rId942" ref="AD160"/>
    <hyperlink r:id="rId943" ref="AE160"/>
    <hyperlink r:id="rId944" ref="AF160"/>
    <hyperlink r:id="rId945" ref="AT160"/>
    <hyperlink r:id="rId946" ref="A161"/>
    <hyperlink r:id="rId947" ref="AC161"/>
    <hyperlink r:id="rId948" ref="AD161"/>
    <hyperlink r:id="rId949" ref="AE161"/>
    <hyperlink r:id="rId950" ref="AF161"/>
    <hyperlink r:id="rId951" ref="AT161"/>
    <hyperlink r:id="rId952" ref="A162"/>
    <hyperlink r:id="rId953" ref="AC162"/>
    <hyperlink r:id="rId954" ref="AD162"/>
    <hyperlink r:id="rId955" ref="AE162"/>
    <hyperlink r:id="rId956" ref="AF162"/>
    <hyperlink r:id="rId957" ref="AT162"/>
    <hyperlink r:id="rId958" ref="A163"/>
    <hyperlink r:id="rId959" ref="AC163"/>
    <hyperlink r:id="rId960" ref="AD163"/>
    <hyperlink r:id="rId961" ref="AE163"/>
    <hyperlink r:id="rId962" ref="AF163"/>
    <hyperlink r:id="rId963" ref="AT163"/>
    <hyperlink r:id="rId964" ref="A164"/>
    <hyperlink r:id="rId965" ref="AC164"/>
    <hyperlink r:id="rId966" ref="AD164"/>
    <hyperlink r:id="rId967" ref="AE164"/>
    <hyperlink r:id="rId968" ref="AF164"/>
    <hyperlink r:id="rId969" ref="AT164"/>
    <hyperlink r:id="rId970" ref="A165"/>
    <hyperlink r:id="rId971" ref="AC165"/>
    <hyperlink r:id="rId972" ref="AD165"/>
    <hyperlink r:id="rId973" ref="AE165"/>
    <hyperlink r:id="rId974" ref="AF165"/>
    <hyperlink r:id="rId975" ref="AT165"/>
    <hyperlink r:id="rId976" ref="A166"/>
    <hyperlink r:id="rId977" ref="AC166"/>
    <hyperlink r:id="rId978" ref="AD166"/>
    <hyperlink r:id="rId979" ref="AE166"/>
    <hyperlink r:id="rId980" ref="AF166"/>
    <hyperlink r:id="rId981" ref="AT166"/>
    <hyperlink r:id="rId982" ref="A167"/>
    <hyperlink r:id="rId983" ref="AC167"/>
    <hyperlink r:id="rId984" ref="AD167"/>
    <hyperlink r:id="rId985" ref="AE167"/>
    <hyperlink r:id="rId986" ref="AF167"/>
    <hyperlink r:id="rId987" ref="AT167"/>
    <hyperlink r:id="rId988" ref="A168"/>
    <hyperlink r:id="rId989" ref="AC168"/>
    <hyperlink r:id="rId990" ref="AD168"/>
    <hyperlink r:id="rId991" ref="AE168"/>
    <hyperlink r:id="rId992" ref="AF168"/>
    <hyperlink r:id="rId993" ref="AT168"/>
    <hyperlink r:id="rId994" ref="A169"/>
    <hyperlink r:id="rId995" ref="AC169"/>
    <hyperlink r:id="rId996" ref="AD169"/>
    <hyperlink r:id="rId997" ref="AE169"/>
    <hyperlink r:id="rId998" ref="AF169"/>
    <hyperlink r:id="rId999" ref="AT169"/>
    <hyperlink r:id="rId1000" ref="A170"/>
    <hyperlink r:id="rId1001" ref="AC170"/>
    <hyperlink r:id="rId1002" ref="AD170"/>
    <hyperlink r:id="rId1003" ref="AE170"/>
    <hyperlink r:id="rId1004" ref="AF170"/>
    <hyperlink r:id="rId1005" ref="AT170"/>
    <hyperlink r:id="rId1006" ref="A171"/>
    <hyperlink r:id="rId1007" ref="AC171"/>
    <hyperlink r:id="rId1008" ref="AD171"/>
    <hyperlink r:id="rId1009" ref="AE171"/>
    <hyperlink r:id="rId1010" ref="AF171"/>
    <hyperlink r:id="rId1011" ref="AT171"/>
    <hyperlink r:id="rId1012" ref="A172"/>
    <hyperlink r:id="rId1013" ref="AC172"/>
    <hyperlink r:id="rId1014" ref="AD172"/>
    <hyperlink r:id="rId1015" ref="AE172"/>
    <hyperlink r:id="rId1016" ref="AF172"/>
    <hyperlink r:id="rId1017" ref="AT172"/>
    <hyperlink r:id="rId1018" ref="A173"/>
    <hyperlink r:id="rId1019" ref="AC173"/>
    <hyperlink r:id="rId1020" ref="AD173"/>
    <hyperlink r:id="rId1021" ref="AE173"/>
    <hyperlink r:id="rId1022" ref="AF173"/>
    <hyperlink r:id="rId1023" ref="AT173"/>
    <hyperlink r:id="rId1024" ref="A174"/>
    <hyperlink r:id="rId1025" ref="AC174"/>
    <hyperlink r:id="rId1026" ref="AD174"/>
    <hyperlink r:id="rId1027" ref="AE174"/>
    <hyperlink r:id="rId1028" ref="AF174"/>
    <hyperlink r:id="rId1029" ref="AT174"/>
    <hyperlink r:id="rId1030" ref="A175"/>
    <hyperlink r:id="rId1031" ref="AC175"/>
    <hyperlink r:id="rId1032" ref="AD175"/>
    <hyperlink r:id="rId1033" ref="AE175"/>
    <hyperlink r:id="rId1034" ref="AF175"/>
    <hyperlink r:id="rId1035" ref="AT175"/>
    <hyperlink r:id="rId1036" ref="A176"/>
    <hyperlink r:id="rId1037" ref="AC176"/>
    <hyperlink r:id="rId1038" ref="AD176"/>
    <hyperlink r:id="rId1039" ref="AE176"/>
    <hyperlink r:id="rId1040" ref="AF176"/>
    <hyperlink r:id="rId1041" ref="AT176"/>
    <hyperlink r:id="rId1042" ref="A177"/>
    <hyperlink r:id="rId1043" ref="AC177"/>
    <hyperlink r:id="rId1044" ref="AD177"/>
    <hyperlink r:id="rId1045" ref="AE177"/>
    <hyperlink r:id="rId1046" ref="AF177"/>
    <hyperlink r:id="rId1047" ref="AT177"/>
    <hyperlink r:id="rId1048" ref="A178"/>
    <hyperlink r:id="rId1049" ref="AC178"/>
    <hyperlink r:id="rId1050" ref="AD178"/>
    <hyperlink r:id="rId1051" ref="AE178"/>
    <hyperlink r:id="rId1052" ref="AF178"/>
    <hyperlink r:id="rId1053" ref="AT178"/>
    <hyperlink r:id="rId1054" ref="A179"/>
    <hyperlink r:id="rId1055" ref="AC179"/>
    <hyperlink r:id="rId1056" ref="AD179"/>
    <hyperlink r:id="rId1057" ref="AE179"/>
    <hyperlink r:id="rId1058" ref="AF179"/>
    <hyperlink r:id="rId1059" ref="AT179"/>
    <hyperlink r:id="rId1060" ref="A180"/>
    <hyperlink r:id="rId1061" ref="AC180"/>
    <hyperlink r:id="rId1062" ref="AD180"/>
    <hyperlink r:id="rId1063" ref="AE180"/>
    <hyperlink r:id="rId1064" ref="AF180"/>
    <hyperlink r:id="rId1065" ref="AT180"/>
    <hyperlink r:id="rId1066" ref="A181"/>
    <hyperlink r:id="rId1067" ref="AC181"/>
    <hyperlink r:id="rId1068" ref="AD181"/>
    <hyperlink r:id="rId1069" ref="AE181"/>
    <hyperlink r:id="rId1070" ref="AF181"/>
    <hyperlink r:id="rId1071" ref="AT181"/>
    <hyperlink r:id="rId1072" ref="A182"/>
    <hyperlink r:id="rId1073" ref="AC182"/>
    <hyperlink r:id="rId1074" ref="AD182"/>
    <hyperlink r:id="rId1075" ref="AE182"/>
    <hyperlink r:id="rId1076" ref="AF182"/>
    <hyperlink r:id="rId1077" ref="AT182"/>
    <hyperlink r:id="rId1078" ref="A183"/>
    <hyperlink r:id="rId1079" ref="AC183"/>
    <hyperlink r:id="rId1080" ref="AD183"/>
    <hyperlink r:id="rId1081" ref="AE183"/>
    <hyperlink r:id="rId1082" ref="AF183"/>
    <hyperlink r:id="rId1083" ref="AT183"/>
    <hyperlink r:id="rId1084" ref="A184"/>
    <hyperlink r:id="rId1085" ref="AC184"/>
    <hyperlink r:id="rId1086" ref="AD184"/>
    <hyperlink r:id="rId1087" ref="AE184"/>
    <hyperlink r:id="rId1088" ref="AF184"/>
    <hyperlink r:id="rId1089" ref="AT184"/>
    <hyperlink r:id="rId1090" ref="A185"/>
    <hyperlink r:id="rId1091" ref="AC185"/>
    <hyperlink r:id="rId1092" ref="AD185"/>
    <hyperlink r:id="rId1093" ref="AE185"/>
    <hyperlink r:id="rId1094" ref="AF185"/>
    <hyperlink r:id="rId1095" ref="AT185"/>
    <hyperlink r:id="rId1096" ref="A186"/>
    <hyperlink r:id="rId1097" ref="AC186"/>
    <hyperlink r:id="rId1098" ref="AD186"/>
    <hyperlink r:id="rId1099" ref="AE186"/>
    <hyperlink r:id="rId1100" ref="AF186"/>
    <hyperlink r:id="rId1101" ref="AT186"/>
    <hyperlink r:id="rId1102" ref="A187"/>
    <hyperlink r:id="rId1103" ref="AC187"/>
    <hyperlink r:id="rId1104" ref="AD187"/>
    <hyperlink r:id="rId1105" ref="AE187"/>
    <hyperlink r:id="rId1106" ref="AF187"/>
    <hyperlink r:id="rId1107" ref="AT187"/>
    <hyperlink r:id="rId1108" ref="A188"/>
    <hyperlink r:id="rId1109" ref="AC188"/>
    <hyperlink r:id="rId1110" ref="AD188"/>
    <hyperlink r:id="rId1111" ref="AE188"/>
    <hyperlink r:id="rId1112" ref="AF188"/>
    <hyperlink r:id="rId1113" ref="AT188"/>
    <hyperlink r:id="rId1114" ref="A189"/>
    <hyperlink r:id="rId1115" ref="AC189"/>
    <hyperlink r:id="rId1116" ref="AD189"/>
    <hyperlink r:id="rId1117" ref="AE189"/>
    <hyperlink r:id="rId1118" ref="AF189"/>
    <hyperlink r:id="rId1119" ref="AT189"/>
    <hyperlink r:id="rId1120" ref="A190"/>
    <hyperlink r:id="rId1121" ref="AC190"/>
    <hyperlink r:id="rId1122" ref="AD190"/>
    <hyperlink r:id="rId1123" ref="AE190"/>
    <hyperlink r:id="rId1124" ref="AF190"/>
    <hyperlink r:id="rId1125" ref="AT190"/>
    <hyperlink r:id="rId1126" ref="A191"/>
    <hyperlink r:id="rId1127" ref="AC191"/>
    <hyperlink r:id="rId1128" ref="AD191"/>
    <hyperlink r:id="rId1129" ref="AE191"/>
    <hyperlink r:id="rId1130" ref="AF191"/>
    <hyperlink r:id="rId1131" ref="AT191"/>
    <hyperlink r:id="rId1132" ref="A192"/>
    <hyperlink r:id="rId1133" ref="AC192"/>
    <hyperlink r:id="rId1134" ref="AD192"/>
    <hyperlink r:id="rId1135" ref="AE192"/>
    <hyperlink r:id="rId1136" ref="AF192"/>
    <hyperlink r:id="rId1137" ref="AT192"/>
    <hyperlink r:id="rId1138" ref="A193"/>
    <hyperlink r:id="rId1139" ref="AC193"/>
    <hyperlink r:id="rId1140" ref="AD193"/>
    <hyperlink r:id="rId1141" ref="AE193"/>
    <hyperlink r:id="rId1142" ref="AF193"/>
    <hyperlink r:id="rId1143" ref="AT193"/>
    <hyperlink r:id="rId1144" ref="A194"/>
    <hyperlink r:id="rId1145" ref="AC194"/>
    <hyperlink r:id="rId1146" ref="AD194"/>
    <hyperlink r:id="rId1147" ref="AE194"/>
    <hyperlink r:id="rId1148" ref="AF194"/>
    <hyperlink r:id="rId1149" ref="AT194"/>
    <hyperlink r:id="rId1150" ref="A195"/>
    <hyperlink r:id="rId1151" ref="AC195"/>
    <hyperlink r:id="rId1152" ref="AD195"/>
    <hyperlink r:id="rId1153" ref="AE195"/>
    <hyperlink r:id="rId1154" ref="AF195"/>
    <hyperlink r:id="rId1155" ref="AT195"/>
    <hyperlink r:id="rId1156" ref="A196"/>
    <hyperlink r:id="rId1157" ref="AC196"/>
    <hyperlink r:id="rId1158" ref="AD196"/>
    <hyperlink r:id="rId1159" ref="AE196"/>
    <hyperlink r:id="rId1160" ref="AF196"/>
    <hyperlink r:id="rId1161" ref="AT196"/>
    <hyperlink r:id="rId1162" ref="A197"/>
    <hyperlink r:id="rId1163" ref="AC197"/>
    <hyperlink r:id="rId1164" ref="AD197"/>
    <hyperlink r:id="rId1165" ref="AE197"/>
    <hyperlink r:id="rId1166" ref="AF197"/>
    <hyperlink r:id="rId1167" ref="AT197"/>
    <hyperlink r:id="rId1168" ref="A198"/>
    <hyperlink r:id="rId1169" ref="AC198"/>
    <hyperlink r:id="rId1170" ref="AD198"/>
    <hyperlink r:id="rId1171" ref="AE198"/>
    <hyperlink r:id="rId1172" ref="AF198"/>
    <hyperlink r:id="rId1173" ref="AT198"/>
    <hyperlink r:id="rId1174" ref="A199"/>
    <hyperlink r:id="rId1175" ref="AC199"/>
    <hyperlink r:id="rId1176" ref="AD199"/>
    <hyperlink r:id="rId1177" ref="AE199"/>
    <hyperlink r:id="rId1178" ref="AF199"/>
    <hyperlink r:id="rId1179" ref="AT199"/>
    <hyperlink r:id="rId1180" ref="A200"/>
    <hyperlink r:id="rId1181" ref="AC200"/>
    <hyperlink r:id="rId1182" ref="AD200"/>
    <hyperlink r:id="rId1183" ref="AE200"/>
    <hyperlink r:id="rId1184" ref="AF200"/>
    <hyperlink r:id="rId1185" ref="AT200"/>
    <hyperlink r:id="rId1186" ref="A201"/>
    <hyperlink r:id="rId1187" ref="AC201"/>
    <hyperlink r:id="rId1188" ref="AD201"/>
    <hyperlink r:id="rId1189" ref="AE201"/>
    <hyperlink r:id="rId1190" ref="AF201"/>
    <hyperlink r:id="rId1191" ref="AT201"/>
    <hyperlink r:id="rId1192" ref="A202"/>
    <hyperlink r:id="rId1193" ref="AC202"/>
    <hyperlink r:id="rId1194" ref="AD202"/>
    <hyperlink r:id="rId1195" ref="AE202"/>
    <hyperlink r:id="rId1196" ref="AF202"/>
    <hyperlink r:id="rId1197" ref="AT202"/>
    <hyperlink r:id="rId1198" ref="A203"/>
    <hyperlink r:id="rId1199" ref="AC203"/>
    <hyperlink r:id="rId1200" ref="AD203"/>
    <hyperlink r:id="rId1201" ref="AE203"/>
    <hyperlink r:id="rId1202" ref="AF203"/>
    <hyperlink r:id="rId1203" ref="AT203"/>
    <hyperlink r:id="rId1204" ref="A204"/>
    <hyperlink r:id="rId1205" ref="AC204"/>
    <hyperlink r:id="rId1206" ref="AD204"/>
    <hyperlink r:id="rId1207" ref="AE204"/>
    <hyperlink r:id="rId1208" ref="AF204"/>
    <hyperlink r:id="rId1209" ref="AT204"/>
    <hyperlink r:id="rId1210" ref="A205"/>
    <hyperlink r:id="rId1211" ref="AC205"/>
    <hyperlink r:id="rId1212" ref="AD205"/>
    <hyperlink r:id="rId1213" ref="AE205"/>
    <hyperlink r:id="rId1214" ref="AF205"/>
    <hyperlink r:id="rId1215" ref="AT205"/>
    <hyperlink r:id="rId1216" ref="A206"/>
    <hyperlink r:id="rId1217" ref="AC206"/>
    <hyperlink r:id="rId1218" ref="AD206"/>
    <hyperlink r:id="rId1219" ref="AE206"/>
    <hyperlink r:id="rId1220" ref="AF206"/>
    <hyperlink r:id="rId1221" ref="AT206"/>
    <hyperlink r:id="rId1222" ref="A207"/>
    <hyperlink r:id="rId1223" ref="AC207"/>
    <hyperlink r:id="rId1224" ref="AD207"/>
    <hyperlink r:id="rId1225" ref="AE207"/>
    <hyperlink r:id="rId1226" ref="AF207"/>
    <hyperlink r:id="rId1227" ref="AT207"/>
    <hyperlink r:id="rId1228" ref="A208"/>
    <hyperlink r:id="rId1229" ref="AC208"/>
    <hyperlink r:id="rId1230" ref="AD208"/>
    <hyperlink r:id="rId1231" ref="AE208"/>
    <hyperlink r:id="rId1232" ref="AF208"/>
    <hyperlink r:id="rId1233" ref="AT208"/>
    <hyperlink r:id="rId1234" ref="A209"/>
    <hyperlink r:id="rId1235" ref="AC209"/>
    <hyperlink r:id="rId1236" ref="AD209"/>
    <hyperlink r:id="rId1237" ref="AE209"/>
    <hyperlink r:id="rId1238" ref="AF209"/>
    <hyperlink r:id="rId1239" ref="AT209"/>
    <hyperlink r:id="rId1240" ref="A210"/>
    <hyperlink r:id="rId1241" ref="AC210"/>
    <hyperlink r:id="rId1242" ref="AD210"/>
    <hyperlink r:id="rId1243" ref="AE210"/>
    <hyperlink r:id="rId1244" ref="AF210"/>
    <hyperlink r:id="rId1245" ref="AT210"/>
    <hyperlink r:id="rId1246" ref="A211"/>
    <hyperlink r:id="rId1247" ref="AC211"/>
    <hyperlink r:id="rId1248" ref="AD211"/>
    <hyperlink r:id="rId1249" ref="AE211"/>
    <hyperlink r:id="rId1250" ref="AF211"/>
    <hyperlink r:id="rId1251" ref="AT211"/>
    <hyperlink r:id="rId1252" ref="A212"/>
    <hyperlink r:id="rId1253" ref="AC212"/>
    <hyperlink r:id="rId1254" ref="AD212"/>
    <hyperlink r:id="rId1255" ref="AE212"/>
    <hyperlink r:id="rId1256" ref="AF212"/>
    <hyperlink r:id="rId1257" ref="AT212"/>
    <hyperlink r:id="rId1258" ref="A213"/>
    <hyperlink r:id="rId1259" ref="AC213"/>
    <hyperlink r:id="rId1260" ref="AD213"/>
    <hyperlink r:id="rId1261" ref="AE213"/>
    <hyperlink r:id="rId1262" ref="AF213"/>
    <hyperlink r:id="rId1263" ref="AT213"/>
    <hyperlink r:id="rId1264" ref="A214"/>
    <hyperlink r:id="rId1265" ref="AC214"/>
    <hyperlink r:id="rId1266" ref="AD214"/>
    <hyperlink r:id="rId1267" ref="AE214"/>
    <hyperlink r:id="rId1268" ref="AF214"/>
    <hyperlink r:id="rId1269" ref="AT214"/>
    <hyperlink r:id="rId1270" ref="A215"/>
    <hyperlink r:id="rId1271" ref="AC215"/>
    <hyperlink r:id="rId1272" ref="AD215"/>
    <hyperlink r:id="rId1273" ref="AE215"/>
    <hyperlink r:id="rId1274" ref="AF215"/>
    <hyperlink r:id="rId1275" ref="AT215"/>
    <hyperlink r:id="rId1276" ref="A216"/>
    <hyperlink r:id="rId1277" ref="AC216"/>
    <hyperlink r:id="rId1278" ref="AD216"/>
    <hyperlink r:id="rId1279" ref="AE216"/>
    <hyperlink r:id="rId1280" ref="AF216"/>
    <hyperlink r:id="rId1281" ref="AT216"/>
    <hyperlink r:id="rId1282" ref="A217"/>
    <hyperlink r:id="rId1283" ref="AC217"/>
    <hyperlink r:id="rId1284" ref="AD217"/>
    <hyperlink r:id="rId1285" ref="AE217"/>
    <hyperlink r:id="rId1286" ref="AF217"/>
    <hyperlink r:id="rId1287" ref="AT217"/>
    <hyperlink r:id="rId1288" ref="A218"/>
    <hyperlink r:id="rId1289" ref="AC218"/>
    <hyperlink r:id="rId1290" ref="AD218"/>
    <hyperlink r:id="rId1291" ref="AE218"/>
    <hyperlink r:id="rId1292" ref="AF218"/>
    <hyperlink r:id="rId1293" ref="AT218"/>
    <hyperlink r:id="rId1294" ref="A219"/>
    <hyperlink r:id="rId1295" ref="AC219"/>
    <hyperlink r:id="rId1296" ref="AD219"/>
    <hyperlink r:id="rId1297" ref="AE219"/>
    <hyperlink r:id="rId1298" ref="AF219"/>
    <hyperlink r:id="rId1299" ref="AT219"/>
    <hyperlink r:id="rId1300" ref="A220"/>
    <hyperlink r:id="rId1301" ref="AC220"/>
    <hyperlink r:id="rId1302" ref="AD220"/>
    <hyperlink r:id="rId1303" ref="AE220"/>
    <hyperlink r:id="rId1304" ref="AF220"/>
    <hyperlink r:id="rId1305" ref="AT220"/>
    <hyperlink r:id="rId1306" ref="A221"/>
    <hyperlink r:id="rId1307" ref="AC221"/>
    <hyperlink r:id="rId1308" ref="AD221"/>
    <hyperlink r:id="rId1309" ref="AE221"/>
    <hyperlink r:id="rId1310" ref="AF221"/>
    <hyperlink r:id="rId1311" ref="AT221"/>
    <hyperlink r:id="rId1312" ref="A222"/>
    <hyperlink r:id="rId1313" ref="AC222"/>
    <hyperlink r:id="rId1314" ref="AD222"/>
    <hyperlink r:id="rId1315" ref="AE222"/>
    <hyperlink r:id="rId1316" ref="AF222"/>
    <hyperlink r:id="rId1317" ref="AT222"/>
    <hyperlink r:id="rId1318" ref="A223"/>
    <hyperlink r:id="rId1319" ref="AC223"/>
    <hyperlink r:id="rId1320" ref="AD223"/>
    <hyperlink r:id="rId1321" ref="AE223"/>
    <hyperlink r:id="rId1322" ref="AF223"/>
    <hyperlink r:id="rId1323" ref="AT223"/>
    <hyperlink r:id="rId1324" ref="A224"/>
    <hyperlink r:id="rId1325" ref="AC224"/>
    <hyperlink r:id="rId1326" ref="AD224"/>
    <hyperlink r:id="rId1327" ref="AE224"/>
    <hyperlink r:id="rId1328" ref="AF224"/>
    <hyperlink r:id="rId1329" ref="AT224"/>
    <hyperlink r:id="rId1330" ref="A225"/>
    <hyperlink r:id="rId1331" ref="AC225"/>
    <hyperlink r:id="rId1332" ref="AD225"/>
    <hyperlink r:id="rId1333" ref="AE225"/>
    <hyperlink r:id="rId1334" ref="AF225"/>
    <hyperlink r:id="rId1335" ref="AT225"/>
    <hyperlink r:id="rId1336" ref="A226"/>
    <hyperlink r:id="rId1337" ref="AC226"/>
    <hyperlink r:id="rId1338" ref="AD226"/>
    <hyperlink r:id="rId1339" ref="AE226"/>
    <hyperlink r:id="rId1340" ref="AF226"/>
    <hyperlink r:id="rId1341" ref="AT226"/>
    <hyperlink r:id="rId1342" ref="A227"/>
    <hyperlink r:id="rId1343" ref="AC227"/>
    <hyperlink r:id="rId1344" ref="AD227"/>
    <hyperlink r:id="rId1345" ref="AE227"/>
    <hyperlink r:id="rId1346" ref="AF227"/>
    <hyperlink r:id="rId1347" ref="AT227"/>
    <hyperlink r:id="rId1348" ref="A228"/>
    <hyperlink r:id="rId1349" ref="AC228"/>
    <hyperlink r:id="rId1350" ref="AD228"/>
    <hyperlink r:id="rId1351" ref="AE228"/>
    <hyperlink r:id="rId1352" ref="AF228"/>
    <hyperlink r:id="rId1353" ref="AT228"/>
    <hyperlink r:id="rId1354" ref="A229"/>
    <hyperlink r:id="rId1355" ref="AC229"/>
    <hyperlink r:id="rId1356" ref="AD229"/>
    <hyperlink r:id="rId1357" ref="AE229"/>
    <hyperlink r:id="rId1358" ref="AF229"/>
    <hyperlink r:id="rId1359" ref="AT229"/>
    <hyperlink r:id="rId1360" ref="A230"/>
    <hyperlink r:id="rId1361" ref="AC230"/>
    <hyperlink r:id="rId1362" ref="AD230"/>
    <hyperlink r:id="rId1363" ref="AE230"/>
    <hyperlink r:id="rId1364" ref="AF230"/>
    <hyperlink r:id="rId1365" ref="AT230"/>
    <hyperlink r:id="rId1366" ref="A231"/>
    <hyperlink r:id="rId1367" ref="AC231"/>
    <hyperlink r:id="rId1368" ref="AD231"/>
    <hyperlink r:id="rId1369" ref="AE231"/>
    <hyperlink r:id="rId1370" ref="AF231"/>
    <hyperlink r:id="rId1371" ref="AT231"/>
    <hyperlink r:id="rId1372" ref="A232"/>
    <hyperlink r:id="rId1373" ref="AC232"/>
    <hyperlink r:id="rId1374" ref="AD232"/>
    <hyperlink r:id="rId1375" ref="AE232"/>
    <hyperlink r:id="rId1376" ref="AF232"/>
    <hyperlink r:id="rId1377" ref="AT232"/>
    <hyperlink r:id="rId1378" ref="A233"/>
    <hyperlink r:id="rId1379" ref="AC233"/>
    <hyperlink r:id="rId1380" ref="AD233"/>
    <hyperlink r:id="rId1381" ref="AE233"/>
    <hyperlink r:id="rId1382" ref="AF233"/>
    <hyperlink r:id="rId1383" ref="AT233"/>
    <hyperlink r:id="rId1384" ref="A234"/>
    <hyperlink r:id="rId1385" ref="AC234"/>
    <hyperlink r:id="rId1386" ref="AD234"/>
    <hyperlink r:id="rId1387" ref="AE234"/>
    <hyperlink r:id="rId1388" ref="AF234"/>
    <hyperlink r:id="rId1389" ref="AT234"/>
    <hyperlink r:id="rId1390" ref="A235"/>
    <hyperlink r:id="rId1391" ref="AC235"/>
    <hyperlink r:id="rId1392" ref="AD235"/>
    <hyperlink r:id="rId1393" ref="AE235"/>
    <hyperlink r:id="rId1394" ref="AF235"/>
    <hyperlink r:id="rId1395" ref="AT235"/>
    <hyperlink r:id="rId1396" ref="A236"/>
    <hyperlink r:id="rId1397" ref="AC236"/>
    <hyperlink r:id="rId1398" ref="AD236"/>
    <hyperlink r:id="rId1399" ref="AE236"/>
    <hyperlink r:id="rId1400" ref="AF236"/>
    <hyperlink r:id="rId1401" ref="AT236"/>
    <hyperlink r:id="rId1402" ref="A237"/>
    <hyperlink r:id="rId1403" ref="AC237"/>
    <hyperlink r:id="rId1404" ref="AD237"/>
    <hyperlink r:id="rId1405" ref="AE237"/>
    <hyperlink r:id="rId1406" ref="AF237"/>
    <hyperlink r:id="rId1407" ref="AT237"/>
    <hyperlink r:id="rId1408" ref="A238"/>
    <hyperlink r:id="rId1409" ref="AC238"/>
    <hyperlink r:id="rId1410" ref="AD238"/>
    <hyperlink r:id="rId1411" ref="AE238"/>
    <hyperlink r:id="rId1412" ref="AF238"/>
    <hyperlink r:id="rId1413" ref="AT238"/>
    <hyperlink r:id="rId1414" ref="A239"/>
    <hyperlink r:id="rId1415" ref="AC239"/>
    <hyperlink r:id="rId1416" ref="AD239"/>
    <hyperlink r:id="rId1417" ref="AE239"/>
    <hyperlink r:id="rId1418" ref="AF239"/>
    <hyperlink r:id="rId1419" ref="AT239"/>
    <hyperlink r:id="rId1420" ref="A240"/>
    <hyperlink r:id="rId1421" ref="AC240"/>
    <hyperlink r:id="rId1422" ref="AD240"/>
    <hyperlink r:id="rId1423" ref="AE240"/>
    <hyperlink r:id="rId1424" ref="AF240"/>
    <hyperlink r:id="rId1425" ref="AT240"/>
    <hyperlink r:id="rId1426" ref="A241"/>
    <hyperlink r:id="rId1427" ref="AC241"/>
    <hyperlink r:id="rId1428" ref="AD241"/>
    <hyperlink r:id="rId1429" ref="AE241"/>
    <hyperlink r:id="rId1430" ref="AF241"/>
    <hyperlink r:id="rId1431" ref="AT241"/>
    <hyperlink r:id="rId1432" ref="A242"/>
    <hyperlink r:id="rId1433" ref="AC242"/>
    <hyperlink r:id="rId1434" ref="AD242"/>
    <hyperlink r:id="rId1435" ref="AE242"/>
    <hyperlink r:id="rId1436" ref="AF242"/>
    <hyperlink r:id="rId1437" ref="AT242"/>
    <hyperlink r:id="rId1438" ref="A243"/>
    <hyperlink r:id="rId1439" ref="AC243"/>
    <hyperlink r:id="rId1440" ref="AD243"/>
    <hyperlink r:id="rId1441" ref="AE243"/>
    <hyperlink r:id="rId1442" ref="AF243"/>
    <hyperlink r:id="rId1443" ref="AT243"/>
    <hyperlink r:id="rId1444" ref="A244"/>
    <hyperlink r:id="rId1445" ref="AC244"/>
    <hyperlink r:id="rId1446" ref="AD244"/>
    <hyperlink r:id="rId1447" ref="AE244"/>
    <hyperlink r:id="rId1448" ref="AF244"/>
    <hyperlink r:id="rId1449" ref="AT244"/>
    <hyperlink r:id="rId1450" ref="A245"/>
    <hyperlink r:id="rId1451" ref="AC245"/>
    <hyperlink r:id="rId1452" ref="AD245"/>
    <hyperlink r:id="rId1453" ref="AE245"/>
    <hyperlink r:id="rId1454" ref="AF245"/>
    <hyperlink r:id="rId1455" ref="AT245"/>
    <hyperlink r:id="rId1456" ref="A246"/>
    <hyperlink r:id="rId1457" ref="AC246"/>
    <hyperlink r:id="rId1458" ref="AD246"/>
    <hyperlink r:id="rId1459" ref="AE246"/>
    <hyperlink r:id="rId1460" ref="AF246"/>
    <hyperlink r:id="rId1461" ref="AT246"/>
    <hyperlink r:id="rId1462" ref="A247"/>
    <hyperlink r:id="rId1463" ref="AC247"/>
    <hyperlink r:id="rId1464" ref="AD247"/>
    <hyperlink r:id="rId1465" ref="AE247"/>
    <hyperlink r:id="rId1466" ref="AF247"/>
    <hyperlink r:id="rId1467" ref="AT247"/>
    <hyperlink r:id="rId1468" ref="A248"/>
    <hyperlink r:id="rId1469" ref="AC248"/>
    <hyperlink r:id="rId1470" ref="AD248"/>
    <hyperlink r:id="rId1471" ref="AE248"/>
    <hyperlink r:id="rId1472" ref="AF248"/>
    <hyperlink r:id="rId1473" ref="AT248"/>
    <hyperlink r:id="rId1474" ref="A249"/>
    <hyperlink r:id="rId1475" ref="AC249"/>
    <hyperlink r:id="rId1476" ref="AD249"/>
    <hyperlink r:id="rId1477" ref="AE249"/>
    <hyperlink r:id="rId1478" ref="AF249"/>
    <hyperlink r:id="rId1479" ref="AT249"/>
    <hyperlink r:id="rId1480" ref="A250"/>
    <hyperlink r:id="rId1481" ref="AC250"/>
    <hyperlink r:id="rId1482" ref="AD250"/>
    <hyperlink r:id="rId1483" ref="AE250"/>
    <hyperlink r:id="rId1484" ref="AF250"/>
    <hyperlink r:id="rId1485" ref="AT250"/>
    <hyperlink r:id="rId1486" ref="A251"/>
    <hyperlink r:id="rId1487" ref="AC251"/>
    <hyperlink r:id="rId1488" ref="AD251"/>
    <hyperlink r:id="rId1489" ref="AE251"/>
    <hyperlink r:id="rId1490" ref="AF251"/>
    <hyperlink r:id="rId1491" ref="AT251"/>
    <hyperlink r:id="rId1492" ref="A252"/>
    <hyperlink r:id="rId1493" ref="AC252"/>
    <hyperlink r:id="rId1494" ref="AD252"/>
    <hyperlink r:id="rId1495" ref="AE252"/>
    <hyperlink r:id="rId1496" ref="AF252"/>
    <hyperlink r:id="rId1497" ref="AT252"/>
    <hyperlink r:id="rId1498" ref="A253"/>
    <hyperlink r:id="rId1499" ref="AC253"/>
    <hyperlink r:id="rId1500" ref="AD253"/>
    <hyperlink r:id="rId1501" ref="AE253"/>
    <hyperlink r:id="rId1502" ref="AF253"/>
    <hyperlink r:id="rId1503" ref="AT253"/>
    <hyperlink r:id="rId1504" ref="A254"/>
    <hyperlink r:id="rId1505" ref="AC254"/>
    <hyperlink r:id="rId1506" ref="AD254"/>
    <hyperlink r:id="rId1507" ref="AE254"/>
    <hyperlink r:id="rId1508" ref="AF254"/>
    <hyperlink r:id="rId1509" ref="AT254"/>
    <hyperlink r:id="rId1510" ref="A255"/>
    <hyperlink r:id="rId1511" ref="AC255"/>
    <hyperlink r:id="rId1512" ref="AD255"/>
    <hyperlink r:id="rId1513" ref="AE255"/>
    <hyperlink r:id="rId1514" ref="AF255"/>
    <hyperlink r:id="rId1515" ref="AT255"/>
    <hyperlink r:id="rId1516" ref="A256"/>
    <hyperlink r:id="rId1517" ref="AC256"/>
    <hyperlink r:id="rId1518" ref="AD256"/>
    <hyperlink r:id="rId1519" ref="AE256"/>
    <hyperlink r:id="rId1520" ref="AF256"/>
    <hyperlink r:id="rId1521" ref="AT256"/>
    <hyperlink r:id="rId1522" ref="A257"/>
    <hyperlink r:id="rId1523" ref="AC257"/>
    <hyperlink r:id="rId1524" ref="AD257"/>
    <hyperlink r:id="rId1525" ref="AE257"/>
    <hyperlink r:id="rId1526" ref="AF257"/>
    <hyperlink r:id="rId1527" ref="AT257"/>
    <hyperlink r:id="rId1528" ref="A258"/>
    <hyperlink r:id="rId1529" ref="AC258"/>
    <hyperlink r:id="rId1530" ref="AD258"/>
    <hyperlink r:id="rId1531" ref="AE258"/>
    <hyperlink r:id="rId1532" ref="AF258"/>
    <hyperlink r:id="rId1533" ref="AT258"/>
    <hyperlink r:id="rId1534" ref="A259"/>
    <hyperlink r:id="rId1535" ref="AC259"/>
    <hyperlink r:id="rId1536" ref="AD259"/>
    <hyperlink r:id="rId1537" ref="AE259"/>
    <hyperlink r:id="rId1538" ref="AF259"/>
    <hyperlink r:id="rId1539" ref="AT259"/>
    <hyperlink r:id="rId1540" ref="A260"/>
    <hyperlink r:id="rId1541" ref="AC260"/>
    <hyperlink r:id="rId1542" ref="AD260"/>
    <hyperlink r:id="rId1543" ref="AE260"/>
    <hyperlink r:id="rId1544" ref="AF260"/>
    <hyperlink r:id="rId1545" ref="AT260"/>
    <hyperlink r:id="rId1546" ref="A261"/>
    <hyperlink r:id="rId1547" ref="AC261"/>
    <hyperlink r:id="rId1548" ref="AD261"/>
    <hyperlink r:id="rId1549" ref="AE261"/>
    <hyperlink r:id="rId1550" ref="AF261"/>
    <hyperlink r:id="rId1551" ref="AT261"/>
    <hyperlink r:id="rId1552" ref="A262"/>
    <hyperlink r:id="rId1553" ref="AC262"/>
    <hyperlink r:id="rId1554" ref="AD262"/>
    <hyperlink r:id="rId1555" ref="AE262"/>
    <hyperlink r:id="rId1556" ref="AF262"/>
    <hyperlink r:id="rId1557" ref="AT262"/>
    <hyperlink r:id="rId1558" ref="A263"/>
    <hyperlink r:id="rId1559" ref="AC263"/>
    <hyperlink r:id="rId1560" ref="AD263"/>
    <hyperlink r:id="rId1561" ref="AE263"/>
    <hyperlink r:id="rId1562" ref="AF263"/>
    <hyperlink r:id="rId1563" ref="AT263"/>
    <hyperlink r:id="rId1564" ref="A264"/>
    <hyperlink r:id="rId1565" ref="AC264"/>
    <hyperlink r:id="rId1566" ref="AD264"/>
    <hyperlink r:id="rId1567" ref="AE264"/>
    <hyperlink r:id="rId1568" ref="AF264"/>
    <hyperlink r:id="rId1569" ref="AT264"/>
    <hyperlink r:id="rId1570" ref="A265"/>
    <hyperlink r:id="rId1571" ref="AC265"/>
    <hyperlink r:id="rId1572" ref="AD265"/>
    <hyperlink r:id="rId1573" ref="AE265"/>
    <hyperlink r:id="rId1574" ref="AF265"/>
    <hyperlink r:id="rId1575" ref="AT265"/>
    <hyperlink r:id="rId1576" ref="A266"/>
    <hyperlink r:id="rId1577" ref="AC266"/>
    <hyperlink r:id="rId1578" ref="AD266"/>
    <hyperlink r:id="rId1579" ref="AE266"/>
    <hyperlink r:id="rId1580" ref="AF266"/>
    <hyperlink r:id="rId1581" ref="AT266"/>
    <hyperlink r:id="rId1582" ref="A267"/>
    <hyperlink r:id="rId1583" ref="AC267"/>
    <hyperlink r:id="rId1584" ref="AD267"/>
    <hyperlink r:id="rId1585" ref="AE267"/>
    <hyperlink r:id="rId1586" ref="AF267"/>
    <hyperlink r:id="rId1587" ref="AT267"/>
    <hyperlink r:id="rId1588" ref="A268"/>
    <hyperlink r:id="rId1589" ref="AC268"/>
    <hyperlink r:id="rId1590" ref="AD268"/>
    <hyperlink r:id="rId1591" ref="AE268"/>
    <hyperlink r:id="rId1592" ref="AF268"/>
    <hyperlink r:id="rId1593" ref="AT268"/>
    <hyperlink r:id="rId1594" ref="A269"/>
    <hyperlink r:id="rId1595" ref="AC269"/>
    <hyperlink r:id="rId1596" ref="AD269"/>
    <hyperlink r:id="rId1597" ref="AE269"/>
    <hyperlink r:id="rId1598" ref="AF269"/>
    <hyperlink r:id="rId1599" ref="AT269"/>
    <hyperlink r:id="rId1600" ref="A270"/>
    <hyperlink r:id="rId1601" ref="AC270"/>
    <hyperlink r:id="rId1602" ref="AD270"/>
    <hyperlink r:id="rId1603" ref="AE270"/>
    <hyperlink r:id="rId1604" ref="AF270"/>
    <hyperlink r:id="rId1605" ref="AT270"/>
    <hyperlink r:id="rId1606" ref="A271"/>
    <hyperlink r:id="rId1607" ref="AC271"/>
    <hyperlink r:id="rId1608" ref="AD271"/>
    <hyperlink r:id="rId1609" ref="AE271"/>
    <hyperlink r:id="rId1610" ref="AF271"/>
    <hyperlink r:id="rId1611" ref="AT271"/>
    <hyperlink r:id="rId1612" ref="A272"/>
    <hyperlink r:id="rId1613" ref="AC272"/>
    <hyperlink r:id="rId1614" ref="AD272"/>
    <hyperlink r:id="rId1615" ref="AE272"/>
    <hyperlink r:id="rId1616" ref="AF272"/>
    <hyperlink r:id="rId1617" ref="AT272"/>
    <hyperlink r:id="rId1618" ref="A273"/>
    <hyperlink r:id="rId1619" ref="AC273"/>
    <hyperlink r:id="rId1620" ref="AD273"/>
    <hyperlink r:id="rId1621" ref="AE273"/>
    <hyperlink r:id="rId1622" ref="AF273"/>
    <hyperlink r:id="rId1623" ref="AT273"/>
    <hyperlink r:id="rId1624" ref="A274"/>
    <hyperlink r:id="rId1625" ref="AC274"/>
    <hyperlink r:id="rId1626" ref="AD274"/>
    <hyperlink r:id="rId1627" ref="AE274"/>
    <hyperlink r:id="rId1628" ref="AF274"/>
    <hyperlink r:id="rId1629" ref="AT274"/>
    <hyperlink r:id="rId1630" ref="A275"/>
    <hyperlink r:id="rId1631" ref="AC275"/>
    <hyperlink r:id="rId1632" ref="AD275"/>
    <hyperlink r:id="rId1633" ref="AE275"/>
    <hyperlink r:id="rId1634" ref="AF275"/>
    <hyperlink r:id="rId1635" ref="AT275"/>
    <hyperlink r:id="rId1636" ref="A276"/>
    <hyperlink r:id="rId1637" ref="AC276"/>
    <hyperlink r:id="rId1638" ref="AD276"/>
    <hyperlink r:id="rId1639" ref="AE276"/>
    <hyperlink r:id="rId1640" ref="AF276"/>
    <hyperlink r:id="rId1641" ref="AT276"/>
    <hyperlink r:id="rId1642" ref="A277"/>
    <hyperlink r:id="rId1643" ref="AC277"/>
    <hyperlink r:id="rId1644" ref="AD277"/>
    <hyperlink r:id="rId1645" ref="AE277"/>
    <hyperlink r:id="rId1646" ref="AF277"/>
    <hyperlink r:id="rId1647" ref="AT277"/>
    <hyperlink r:id="rId1648" ref="A278"/>
    <hyperlink r:id="rId1649" ref="AC278"/>
    <hyperlink r:id="rId1650" ref="AD278"/>
    <hyperlink r:id="rId1651" ref="AE278"/>
    <hyperlink r:id="rId1652" ref="AF278"/>
    <hyperlink r:id="rId1653" ref="AT278"/>
    <hyperlink r:id="rId1654" ref="A279"/>
    <hyperlink r:id="rId1655" ref="AC279"/>
    <hyperlink r:id="rId1656" ref="AD279"/>
    <hyperlink r:id="rId1657" ref="AE279"/>
    <hyperlink r:id="rId1658" ref="AF279"/>
    <hyperlink r:id="rId1659" ref="AT279"/>
    <hyperlink r:id="rId1660" ref="A280"/>
    <hyperlink r:id="rId1661" ref="AC280"/>
    <hyperlink r:id="rId1662" ref="AD280"/>
    <hyperlink r:id="rId1663" ref="AE280"/>
    <hyperlink r:id="rId1664" ref="AF280"/>
    <hyperlink r:id="rId1665" ref="AT280"/>
    <hyperlink r:id="rId1666" ref="A281"/>
    <hyperlink r:id="rId1667" ref="AC281"/>
    <hyperlink r:id="rId1668" ref="AD281"/>
    <hyperlink r:id="rId1669" ref="AE281"/>
    <hyperlink r:id="rId1670" ref="AF281"/>
    <hyperlink r:id="rId1671" ref="AT281"/>
    <hyperlink r:id="rId1672" ref="A282"/>
    <hyperlink r:id="rId1673" ref="AC282"/>
    <hyperlink r:id="rId1674" ref="AD282"/>
    <hyperlink r:id="rId1675" ref="AE282"/>
    <hyperlink r:id="rId1676" ref="AF282"/>
    <hyperlink r:id="rId1677" ref="AT282"/>
    <hyperlink r:id="rId1678" ref="A283"/>
    <hyperlink r:id="rId1679" ref="AC283"/>
    <hyperlink r:id="rId1680" ref="AD283"/>
    <hyperlink r:id="rId1681" ref="AE283"/>
    <hyperlink r:id="rId1682" ref="AF283"/>
    <hyperlink r:id="rId1683" ref="AT283"/>
    <hyperlink r:id="rId1684" ref="A284"/>
    <hyperlink r:id="rId1685" ref="AC284"/>
    <hyperlink r:id="rId1686" ref="AD284"/>
    <hyperlink r:id="rId1687" ref="AE284"/>
    <hyperlink r:id="rId1688" ref="AF284"/>
    <hyperlink r:id="rId1689" ref="AT284"/>
    <hyperlink r:id="rId1690" ref="A285"/>
    <hyperlink r:id="rId1691" ref="AC285"/>
    <hyperlink r:id="rId1692" ref="AD285"/>
    <hyperlink r:id="rId1693" ref="AE285"/>
    <hyperlink r:id="rId1694" ref="AF285"/>
    <hyperlink r:id="rId1695" ref="AT285"/>
    <hyperlink r:id="rId1696" ref="A286"/>
    <hyperlink r:id="rId1697" ref="AC286"/>
    <hyperlink r:id="rId1698" ref="AD286"/>
    <hyperlink r:id="rId1699" ref="AE286"/>
    <hyperlink r:id="rId1700" ref="AF286"/>
    <hyperlink r:id="rId1701" ref="AT286"/>
    <hyperlink r:id="rId1702" ref="A287"/>
    <hyperlink r:id="rId1703" ref="AC287"/>
    <hyperlink r:id="rId1704" ref="AD287"/>
    <hyperlink r:id="rId1705" ref="AE287"/>
    <hyperlink r:id="rId1706" ref="AF287"/>
    <hyperlink r:id="rId1707" ref="AT287"/>
    <hyperlink r:id="rId1708" ref="A288"/>
    <hyperlink r:id="rId1709" ref="AC288"/>
    <hyperlink r:id="rId1710" ref="AD288"/>
    <hyperlink r:id="rId1711" ref="AE288"/>
    <hyperlink r:id="rId1712" ref="AF288"/>
    <hyperlink r:id="rId1713" ref="AT288"/>
    <hyperlink r:id="rId1714" ref="A289"/>
    <hyperlink r:id="rId1715" ref="AC289"/>
    <hyperlink r:id="rId1716" ref="AD289"/>
    <hyperlink r:id="rId1717" ref="AE289"/>
    <hyperlink r:id="rId1718" ref="AF289"/>
    <hyperlink r:id="rId1719" ref="AT289"/>
    <hyperlink r:id="rId1720" ref="A290"/>
    <hyperlink r:id="rId1721" ref="AC290"/>
    <hyperlink r:id="rId1722" ref="AD290"/>
    <hyperlink r:id="rId1723" ref="AE290"/>
    <hyperlink r:id="rId1724" ref="AF290"/>
    <hyperlink r:id="rId1725" ref="AT290"/>
    <hyperlink r:id="rId1726" ref="A291"/>
    <hyperlink r:id="rId1727" ref="AC291"/>
    <hyperlink r:id="rId1728" ref="AD291"/>
    <hyperlink r:id="rId1729" ref="AE291"/>
    <hyperlink r:id="rId1730" ref="AF291"/>
    <hyperlink r:id="rId1731" ref="AT291"/>
    <hyperlink r:id="rId1732" ref="A292"/>
    <hyperlink r:id="rId1733" ref="AC292"/>
    <hyperlink r:id="rId1734" ref="AD292"/>
    <hyperlink r:id="rId1735" ref="AE292"/>
    <hyperlink r:id="rId1736" ref="AF292"/>
    <hyperlink r:id="rId1737" ref="AT292"/>
    <hyperlink r:id="rId1738" ref="A293"/>
    <hyperlink r:id="rId1739" ref="AC293"/>
    <hyperlink r:id="rId1740" ref="AD293"/>
    <hyperlink r:id="rId1741" ref="AE293"/>
    <hyperlink r:id="rId1742" ref="AF293"/>
    <hyperlink r:id="rId1743" ref="AT293"/>
    <hyperlink r:id="rId1744" ref="A294"/>
    <hyperlink r:id="rId1745" ref="AC294"/>
    <hyperlink r:id="rId1746" ref="AD294"/>
    <hyperlink r:id="rId1747" ref="AE294"/>
    <hyperlink r:id="rId1748" ref="AF294"/>
    <hyperlink r:id="rId1749" ref="AT294"/>
    <hyperlink r:id="rId1750" ref="A295"/>
    <hyperlink r:id="rId1751" ref="AC295"/>
    <hyperlink r:id="rId1752" ref="AD295"/>
    <hyperlink r:id="rId1753" ref="AE295"/>
    <hyperlink r:id="rId1754" ref="AF295"/>
    <hyperlink r:id="rId1755" ref="AT295"/>
    <hyperlink r:id="rId1756" ref="A296"/>
    <hyperlink r:id="rId1757" ref="AC296"/>
    <hyperlink r:id="rId1758" ref="AD296"/>
    <hyperlink r:id="rId1759" ref="AE296"/>
    <hyperlink r:id="rId1760" ref="AF296"/>
    <hyperlink r:id="rId1761" ref="AT296"/>
    <hyperlink r:id="rId1762" ref="A297"/>
    <hyperlink r:id="rId1763" ref="AC297"/>
    <hyperlink r:id="rId1764" ref="AD297"/>
    <hyperlink r:id="rId1765" ref="AE297"/>
    <hyperlink r:id="rId1766" ref="AF297"/>
    <hyperlink r:id="rId1767" ref="AT297"/>
    <hyperlink r:id="rId1768" ref="A298"/>
    <hyperlink r:id="rId1769" ref="AC298"/>
    <hyperlink r:id="rId1770" ref="AD298"/>
    <hyperlink r:id="rId1771" ref="AE298"/>
    <hyperlink r:id="rId1772" ref="AF298"/>
    <hyperlink r:id="rId1773" ref="AT298"/>
    <hyperlink r:id="rId1774" ref="A299"/>
    <hyperlink r:id="rId1775" ref="AC299"/>
    <hyperlink r:id="rId1776" ref="AD299"/>
    <hyperlink r:id="rId1777" ref="AE299"/>
    <hyperlink r:id="rId1778" ref="AF299"/>
    <hyperlink r:id="rId1779" ref="AT299"/>
    <hyperlink r:id="rId1780" ref="A300"/>
    <hyperlink r:id="rId1781" ref="AC300"/>
    <hyperlink r:id="rId1782" ref="AD300"/>
    <hyperlink r:id="rId1783" ref="AE300"/>
    <hyperlink r:id="rId1784" ref="AF300"/>
    <hyperlink r:id="rId1785" ref="AT300"/>
    <hyperlink r:id="rId1786" ref="A301"/>
    <hyperlink r:id="rId1787" ref="AC301"/>
    <hyperlink r:id="rId1788" ref="AD301"/>
    <hyperlink r:id="rId1789" ref="AE301"/>
    <hyperlink r:id="rId1790" ref="AF301"/>
    <hyperlink r:id="rId1791" ref="AT301"/>
    <hyperlink r:id="rId1792" ref="A302"/>
    <hyperlink r:id="rId1793" ref="AC302"/>
    <hyperlink r:id="rId1794" ref="AD302"/>
    <hyperlink r:id="rId1795" ref="AE302"/>
    <hyperlink r:id="rId1796" ref="AF302"/>
    <hyperlink r:id="rId1797" ref="AT302"/>
    <hyperlink r:id="rId1798" ref="A303"/>
    <hyperlink r:id="rId1799" ref="AC303"/>
    <hyperlink r:id="rId1800" ref="AD303"/>
    <hyperlink r:id="rId1801" ref="AE303"/>
    <hyperlink r:id="rId1802" ref="AF303"/>
    <hyperlink r:id="rId1803" ref="AT303"/>
    <hyperlink r:id="rId1804" ref="A304"/>
    <hyperlink r:id="rId1805" ref="AC304"/>
    <hyperlink r:id="rId1806" ref="AD304"/>
    <hyperlink r:id="rId1807" ref="AE304"/>
    <hyperlink r:id="rId1808" ref="AF304"/>
    <hyperlink r:id="rId1809" ref="AT304"/>
    <hyperlink r:id="rId1810" ref="A305"/>
    <hyperlink r:id="rId1811" ref="AC305"/>
    <hyperlink r:id="rId1812" ref="AD305"/>
    <hyperlink r:id="rId1813" ref="AE305"/>
    <hyperlink r:id="rId1814" ref="AF305"/>
    <hyperlink r:id="rId1815" ref="AT305"/>
    <hyperlink r:id="rId1816" ref="A306"/>
    <hyperlink r:id="rId1817" ref="AC306"/>
    <hyperlink r:id="rId1818" ref="AD306"/>
    <hyperlink r:id="rId1819" ref="AE306"/>
    <hyperlink r:id="rId1820" ref="AF306"/>
    <hyperlink r:id="rId1821" ref="AT306"/>
    <hyperlink r:id="rId1822" ref="A307"/>
    <hyperlink r:id="rId1823" ref="AC307"/>
    <hyperlink r:id="rId1824" ref="AD307"/>
    <hyperlink r:id="rId1825" ref="AE307"/>
    <hyperlink r:id="rId1826" ref="AF307"/>
    <hyperlink r:id="rId1827" ref="AT307"/>
    <hyperlink r:id="rId1828" ref="A308"/>
    <hyperlink r:id="rId1829" ref="AC308"/>
    <hyperlink r:id="rId1830" ref="AD308"/>
    <hyperlink r:id="rId1831" ref="AE308"/>
    <hyperlink r:id="rId1832" ref="AF308"/>
    <hyperlink r:id="rId1833" ref="AT308"/>
    <hyperlink r:id="rId1834" ref="A309"/>
    <hyperlink r:id="rId1835" ref="AC309"/>
    <hyperlink r:id="rId1836" ref="AD309"/>
    <hyperlink r:id="rId1837" ref="AE309"/>
    <hyperlink r:id="rId1838" ref="AF309"/>
    <hyperlink r:id="rId1839" ref="A310"/>
    <hyperlink r:id="rId1840" ref="AC310"/>
    <hyperlink r:id="rId1841" ref="AD310"/>
    <hyperlink r:id="rId1842" ref="AE310"/>
    <hyperlink r:id="rId1843" ref="AF310"/>
    <hyperlink r:id="rId1844" ref="A311"/>
    <hyperlink r:id="rId1845" ref="AC311"/>
    <hyperlink r:id="rId1846" ref="AD311"/>
    <hyperlink r:id="rId1847" ref="AE311"/>
    <hyperlink r:id="rId1848" ref="AF311"/>
    <hyperlink r:id="rId1849" ref="A312"/>
    <hyperlink r:id="rId1850" ref="AC312"/>
    <hyperlink r:id="rId1851" ref="AD312"/>
    <hyperlink r:id="rId1852" ref="AE312"/>
    <hyperlink r:id="rId1853" ref="AF312"/>
    <hyperlink r:id="rId1854" ref="A313"/>
    <hyperlink r:id="rId1855" ref="AC313"/>
    <hyperlink r:id="rId1856" ref="AD313"/>
    <hyperlink r:id="rId1857" ref="AE313"/>
    <hyperlink r:id="rId1858" ref="AF313"/>
    <hyperlink r:id="rId1859" ref="A314"/>
    <hyperlink r:id="rId1860" ref="AC314"/>
    <hyperlink r:id="rId1861" ref="AD314"/>
    <hyperlink r:id="rId1862" ref="AE314"/>
    <hyperlink r:id="rId1863" ref="AF314"/>
    <hyperlink r:id="rId1864" ref="A315"/>
    <hyperlink r:id="rId1865" ref="AC315"/>
    <hyperlink r:id="rId1866" ref="AD315"/>
    <hyperlink r:id="rId1867" ref="AE315"/>
    <hyperlink r:id="rId1868" ref="AF315"/>
    <hyperlink r:id="rId1869" ref="A316"/>
    <hyperlink r:id="rId1870" ref="AC316"/>
    <hyperlink r:id="rId1871" ref="AD316"/>
    <hyperlink r:id="rId1872" ref="AE316"/>
    <hyperlink r:id="rId1873" ref="AF316"/>
    <hyperlink r:id="rId1874" ref="A317"/>
    <hyperlink r:id="rId1875" ref="AC317"/>
    <hyperlink r:id="rId1876" ref="AD317"/>
    <hyperlink r:id="rId1877" ref="AE317"/>
    <hyperlink r:id="rId1878" ref="AF317"/>
    <hyperlink r:id="rId1879" ref="A318"/>
    <hyperlink r:id="rId1880" ref="AC318"/>
    <hyperlink r:id="rId1881" ref="AD318"/>
    <hyperlink r:id="rId1882" ref="AE318"/>
    <hyperlink r:id="rId1883" ref="AF318"/>
    <hyperlink r:id="rId1884" ref="A319"/>
    <hyperlink r:id="rId1885" ref="AC319"/>
    <hyperlink r:id="rId1886" ref="AD319"/>
    <hyperlink r:id="rId1887" ref="AE319"/>
    <hyperlink r:id="rId1888" ref="AF319"/>
    <hyperlink r:id="rId1889" ref="A320"/>
    <hyperlink r:id="rId1890" ref="AC320"/>
    <hyperlink r:id="rId1891" ref="AD320"/>
    <hyperlink r:id="rId1892" ref="AE320"/>
    <hyperlink r:id="rId1893" ref="AF320"/>
    <hyperlink r:id="rId1894" ref="A321"/>
    <hyperlink r:id="rId1895" ref="AC321"/>
    <hyperlink r:id="rId1896" ref="AD321"/>
    <hyperlink r:id="rId1897" ref="AE321"/>
    <hyperlink r:id="rId1898" ref="AF321"/>
    <hyperlink r:id="rId1899" ref="A322"/>
    <hyperlink r:id="rId1900" ref="AC322"/>
    <hyperlink r:id="rId1901" ref="AD322"/>
    <hyperlink r:id="rId1902" ref="AE322"/>
    <hyperlink r:id="rId1903" ref="AF322"/>
    <hyperlink r:id="rId1904" ref="A323"/>
    <hyperlink r:id="rId1905" ref="AC323"/>
    <hyperlink r:id="rId1906" ref="AD323"/>
    <hyperlink r:id="rId1907" ref="AE323"/>
    <hyperlink r:id="rId1908" ref="AF323"/>
    <hyperlink r:id="rId1909" ref="A324"/>
    <hyperlink r:id="rId1910" ref="AC324"/>
    <hyperlink r:id="rId1911" ref="AD324"/>
    <hyperlink r:id="rId1912" ref="AE324"/>
    <hyperlink r:id="rId1913" ref="AF324"/>
    <hyperlink r:id="rId1914" ref="A325"/>
    <hyperlink r:id="rId1915" ref="AC325"/>
    <hyperlink r:id="rId1916" ref="AD325"/>
    <hyperlink r:id="rId1917" ref="AE325"/>
    <hyperlink r:id="rId1918" ref="AF325"/>
    <hyperlink r:id="rId1919" ref="A326"/>
    <hyperlink r:id="rId1920" ref="AC326"/>
    <hyperlink r:id="rId1921" ref="AD326"/>
    <hyperlink r:id="rId1922" ref="AE326"/>
    <hyperlink r:id="rId1923" ref="AF326"/>
    <hyperlink r:id="rId1924" ref="A327"/>
    <hyperlink r:id="rId1925" ref="AC327"/>
    <hyperlink r:id="rId1926" ref="AD327"/>
    <hyperlink r:id="rId1927" ref="AE327"/>
    <hyperlink r:id="rId1928" ref="AF327"/>
    <hyperlink r:id="rId1929" ref="A328"/>
    <hyperlink r:id="rId1930" ref="AC328"/>
    <hyperlink r:id="rId1931" ref="AD328"/>
    <hyperlink r:id="rId1932" ref="AE328"/>
    <hyperlink r:id="rId1933" ref="AF328"/>
    <hyperlink r:id="rId1934" ref="A329"/>
    <hyperlink r:id="rId1935" ref="AC329"/>
    <hyperlink r:id="rId1936" ref="AD329"/>
    <hyperlink r:id="rId1937" ref="AE329"/>
    <hyperlink r:id="rId1938" ref="AF329"/>
    <hyperlink r:id="rId1939" ref="A330"/>
    <hyperlink r:id="rId1940" ref="AC330"/>
    <hyperlink r:id="rId1941" ref="AD330"/>
    <hyperlink r:id="rId1942" ref="AE330"/>
    <hyperlink r:id="rId1943" ref="AF330"/>
    <hyperlink r:id="rId1944" ref="A331"/>
    <hyperlink r:id="rId1945" ref="AC331"/>
    <hyperlink r:id="rId1946" ref="AD331"/>
    <hyperlink r:id="rId1947" ref="AE331"/>
    <hyperlink r:id="rId1948" ref="AF331"/>
    <hyperlink r:id="rId1949" ref="A332"/>
    <hyperlink r:id="rId1950" ref="AC332"/>
    <hyperlink r:id="rId1951" ref="AD332"/>
    <hyperlink r:id="rId1952" ref="AE332"/>
    <hyperlink r:id="rId1953" ref="AF332"/>
    <hyperlink r:id="rId1954" ref="A333"/>
    <hyperlink r:id="rId1955" ref="AC333"/>
    <hyperlink r:id="rId1956" ref="AD333"/>
    <hyperlink r:id="rId1957" ref="AE333"/>
    <hyperlink r:id="rId1958" ref="AF333"/>
    <hyperlink r:id="rId1959" ref="A334"/>
    <hyperlink r:id="rId1960" ref="AC334"/>
    <hyperlink r:id="rId1961" ref="AD334"/>
    <hyperlink r:id="rId1962" ref="AE334"/>
    <hyperlink r:id="rId1963" ref="AF334"/>
    <hyperlink r:id="rId1964" ref="A335"/>
    <hyperlink r:id="rId1965" ref="AC335"/>
    <hyperlink r:id="rId1966" ref="AD335"/>
    <hyperlink r:id="rId1967" ref="AE335"/>
    <hyperlink r:id="rId1968" ref="AF335"/>
    <hyperlink r:id="rId1969" ref="A336"/>
    <hyperlink r:id="rId1970" ref="AC336"/>
    <hyperlink r:id="rId1971" ref="AD336"/>
    <hyperlink r:id="rId1972" ref="AE336"/>
    <hyperlink r:id="rId1973" ref="AF336"/>
    <hyperlink r:id="rId1974" ref="A337"/>
    <hyperlink r:id="rId1975" ref="AC337"/>
    <hyperlink r:id="rId1976" ref="AD337"/>
    <hyperlink r:id="rId1977" ref="AE337"/>
    <hyperlink r:id="rId1978" ref="AF337"/>
    <hyperlink r:id="rId1979" ref="A338"/>
    <hyperlink r:id="rId1980" ref="AC338"/>
    <hyperlink r:id="rId1981" ref="AD338"/>
    <hyperlink r:id="rId1982" ref="AE338"/>
    <hyperlink r:id="rId1983" ref="AF338"/>
    <hyperlink r:id="rId1984" ref="A339"/>
    <hyperlink r:id="rId1985" ref="AC339"/>
    <hyperlink r:id="rId1986" ref="AD339"/>
    <hyperlink r:id="rId1987" ref="AE339"/>
    <hyperlink r:id="rId1988" ref="AF339"/>
    <hyperlink r:id="rId1989" ref="A340"/>
    <hyperlink r:id="rId1990" ref="AC340"/>
    <hyperlink r:id="rId1991" ref="AD340"/>
    <hyperlink r:id="rId1992" ref="AE340"/>
    <hyperlink r:id="rId1993" ref="AF340"/>
    <hyperlink r:id="rId1994" ref="A341"/>
    <hyperlink r:id="rId1995" ref="AC341"/>
    <hyperlink r:id="rId1996" ref="AD341"/>
    <hyperlink r:id="rId1997" ref="AE341"/>
    <hyperlink r:id="rId1998" ref="AF341"/>
    <hyperlink r:id="rId1999" ref="A342"/>
    <hyperlink r:id="rId2000" ref="AC342"/>
    <hyperlink r:id="rId2001" ref="AD342"/>
    <hyperlink r:id="rId2002" ref="AE342"/>
    <hyperlink r:id="rId2003" ref="AF342"/>
    <hyperlink r:id="rId2004" ref="AC343"/>
    <hyperlink r:id="rId2005" ref="AD343"/>
    <hyperlink r:id="rId2006" ref="AE343"/>
    <hyperlink r:id="rId2007" ref="AF343"/>
  </hyperlinks>
  <drawing r:id="rId200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37.63"/>
    <col customWidth="1" min="3" max="3" width="18.88"/>
    <col customWidth="1" min="4" max="4" width="6.38"/>
    <col customWidth="1" min="5" max="5" width="72.5"/>
    <col customWidth="1" min="6" max="6" width="14.25"/>
    <col customWidth="1" min="7" max="7" width="56.25"/>
    <col customWidth="1" min="8" max="8" width="12.0"/>
    <col customWidth="1" min="9" max="9" width="11.63"/>
    <col customWidth="1" min="10" max="10" width="6.38"/>
    <col customWidth="1" min="11" max="11" width="58.13"/>
    <col customWidth="1" min="12" max="12" width="11.13"/>
    <col customWidth="1" min="13" max="13" width="55.75"/>
    <col customWidth="1" min="14" max="14" width="12.0"/>
    <col customWidth="1" min="15" max="15" width="11.63"/>
    <col customWidth="1" min="16" max="16" width="6.38"/>
    <col collapsed="1" customWidth="1" min="17" max="17" width="96.5"/>
    <col customWidth="1" hidden="1" min="18" max="18" width="35.0" outlineLevel="1"/>
    <col customWidth="1" hidden="1" min="19" max="19" width="67.0" outlineLevel="1"/>
    <col customWidth="1" min="20" max="20" width="6.38"/>
  </cols>
  <sheetData>
    <row r="1" ht="37.5" customHeight="1">
      <c r="A1" s="126"/>
      <c r="B1" s="127" t="s">
        <v>7020</v>
      </c>
      <c r="C1" s="127" t="s">
        <v>7021</v>
      </c>
      <c r="D1" s="126"/>
      <c r="E1" s="128" t="s">
        <v>1984</v>
      </c>
      <c r="F1" s="128" t="s">
        <v>7022</v>
      </c>
      <c r="G1" s="128" t="s">
        <v>1985</v>
      </c>
      <c r="H1" s="128" t="s">
        <v>7023</v>
      </c>
      <c r="I1" s="128" t="s">
        <v>7024</v>
      </c>
      <c r="J1" s="126"/>
      <c r="K1" s="128" t="s">
        <v>1984</v>
      </c>
      <c r="L1" s="128" t="s">
        <v>7022</v>
      </c>
      <c r="M1" s="128" t="s">
        <v>1985</v>
      </c>
      <c r="N1" s="128" t="s">
        <v>7023</v>
      </c>
      <c r="O1" s="128" t="s">
        <v>7024</v>
      </c>
      <c r="P1" s="126"/>
      <c r="Q1" s="128" t="s">
        <v>1986</v>
      </c>
      <c r="R1" s="128" t="s">
        <v>7025</v>
      </c>
      <c r="T1" s="126"/>
    </row>
    <row r="2" ht="37.5" customHeight="1">
      <c r="A2" s="129"/>
      <c r="B2" s="130" t="str">
        <f>IFERROR(__xludf.DUMMYFUNCTION("{
IFNA(
    FILTER({'Medals Database'!E$9:E802; 'Medals Database'!L$9:L802},
        ({'Medals Database'!E$9:E802; 'Medals Database'!L$9:L802} &lt;&gt; """") *
        (IF(Search!D2  &lt;&gt; """", ISNUMBER(SEARCH(Search!D2 &amp; "":"", {'Medals Database'!E$9:E802; 'Me"&amp;"dals Database'!L$9:L802})), TRUE)) *
        (IF(Search!D3  &lt;&gt; """", ISNUMBER(SEARCH(Search!D3      , {'Medals Database'!E$9:E802; 'Medals Database'!L$9:L802})), TRUE)) *
        (IF(Search!D4  &lt;&gt; """", ISNUMBER(SEARCH(Search!D4      , {'Medals Database'!"&amp;"E$9:E802; 'Medals Database'!L$9:L802})), TRUE)) *
        (IF(Search!D5  &lt;&gt; """", ISNUMBER(SEARCH(Search!D5      , {'Medals Database'!E$9:E802; 'Medals Database'!L$9:L802})), TRUE)) *
        (IF(Search!D6  &lt;&gt; """", ISNUMBER(SEARCH(Search!D6      , {'Meda"&amp;"ls Database'!E$9:E802; 'Medals Database'!L$9:L802})), TRUE)) *
        (IF(Search!D10  &lt;&gt; """", REGEXMATCH({'Medals Database'!F$9:F802; 'Medals Database'!M$9:M802}, ""(^|"" &amp; CHAR(10) &amp; "")"" &amp; Search!D10  &amp; ""("" &amp; CHAR(10) &amp; ""|$)""), TRUE)) *
        "&amp;"(IF(Search!D11 &lt;&gt; """", REGEXMATCH({'Medals Database'!F$9:F802; 'Medals Database'!M$9:M802}, ""(^|"" &amp; CHAR(10) &amp; "")"" &amp; Search!D11 &amp; ""("" &amp; CHAR(10) &amp; ""|$)""), TRUE)) *
        (IF(Search!D12 &lt;&gt; """", REGEXMATCH({'Medals Database'!F$9:F802; 'Medals Da"&amp;"tabase'!M$9:M802}, ""(^|"" &amp; CHAR(10) &amp; "")"" &amp; Search!D12 &amp; ""("" &amp; CHAR(10) &amp; ""|$)""), TRUE)) *
        (IF(Search!D13 &lt;&gt; """", REGEXMATCH({'Medals Database'!F$9:F802; 'Medals Database'!M$9:M802}, ""(^|"" &amp; CHAR(10) &amp; "")"" &amp; Search!D13 &amp; ""("" &amp; CHAR("&amp;"10) &amp; ""|$)""), TRUE)) *
        (IF(Search!D14 &lt;&gt; """", REGEXMATCH({'Medals Database'!F$9:F802; 'Medals Database'!M$9:M802}, ""(^|"" &amp; CHAR(10) &amp; "")"" &amp; Search!D14 &amp; ""("" &amp; CHAR(10) &amp; ""|$)""), TRUE)) *
        (IF(Search!D15 &lt;&gt; """", REGEXMATCH({'Meda"&amp;"ls Database'!F$9:F802; 'Medals Database'!M$9:M802}, ""(^|"" &amp; CHAR(10) &amp; "")"" &amp; Search!D15 &amp; ""("" &amp; CHAR(10) &amp; ""|$)""), TRUE)) *
        (IF(Search!D16 &lt;&gt; """", REGEXMATCH({'Medals Database'!F$9:F802; 'Medals Database'!M$9:M802}, ""(^|"" &amp; CHAR(10) &amp; "&amp;""")"" &amp; Search!D16 &amp; ""("" &amp; CHAR(10) &amp; ""|$)""), TRUE))
    ), 
)
;
IFNA(
    ARRAYFORMULA(
        LEFT(
            FILTER(C2:C802, C2:C802 &lt;&gt; """"),
            SEARCH("":"", FILTER(C2:C802, C2:C802 &lt;&gt; """"))
        ) &amp;
        MID(FILTER(C2:C802, C2"&amp;":C802 &lt;&gt; """"), 
            SEARCH("". and"", FILTER(C2:C802, C2:C802 &lt;&gt; """")) + 5,
            LEN(FILTER(C2:C802, C2:C802 &lt;&gt; """"))
        )
    ), 
)
}"),"When attacked by a character type ``Power users`` enemy: Reduce damage recieved by 2%.")</f>
        <v>When attacked by a character type ``Power users`` enemy: Reduce damage recieved by 2%.</v>
      </c>
      <c r="C2" s="130" t="str">
        <f>IFERROR(__xludf.DUMMYFUNCTION("IFERROR(
    FILTER({'Medals Database'!E$9:E802; 'Medals Database'!L$9:L802},
        ISNUMBER(SEARCH("". and"" , {'Medals Database'!E$9:E802; 'Medals Database'!L$9:L802})) *
        ISNUMBER(SEARCH(Search!D2 &amp; "":"", {'Medals Database'!E$9:E802; 'Medals "&amp;"Database'!L$9:L802})) *
        ISNUMBER(SEARCH(Search!D3, {'Medals Database'!E$9:E802; 'Medals Database'!L$9:L802})) *
        ISNUMBER(SEARCH(Search!D4, {'Medals Database'!E$9:E802; 'Medals Database'!L$9:L802})) *
        ISNUMBER(SEARCH(Search!D5, {'Me"&amp;"dals Database'!E$9:E802; 'Medals Database'!L$9:L802})) *
        ISNUMBER(SEARCH(Search!D6, {'Medals Database'!E$9:E802; 'Medals Database'!L$9:L802})) *
        IF(Search!D10  &lt;&gt; """", REGEXMATCH(({'Medals Database'!F$9:F802; 'Medals Database'!M$9:M802}),"&amp;" ""(^|"" &amp; CHAR(10) &amp; "")"" &amp; Search!D10  &amp; ""("" &amp; CHAR(10) &amp; ""|$)""), TRUE) *
        IF(Search!D11 &lt;&gt; """", REGEXMATCH(({'Medals Database'!F$9:F802; 'Medals Database'!M$9:M802}), ""(^|"" &amp; CHAR(10) &amp; "")"" &amp; Search!D11 &amp; ""("" &amp; CHAR(10) &amp; ""|$)""), T"&amp;"RUE) *
        IF(Search!D12 &lt;&gt; """", REGEXMATCH(({'Medals Database'!F$9:F802; 'Medals Database'!M$9:M802}), ""(^|"" &amp; CHAR(10) &amp; "")"" &amp; Search!D12 &amp; ""("" &amp; CHAR(10) &amp; ""|$)""), TRUE) *
        IF(Search!D13 &lt;&gt; """", REGEXMATCH(({'Medals Database'!F$9:F"&amp;"802; 'Medals Database'!M$9:M802}), ""(^|"" &amp; CHAR(10) &amp; "")"" &amp; Search!D13 &amp; ""("" &amp; CHAR(10) &amp; ""|$)""), TRUE) *
        IF(Search!D14 &lt;&gt; """", REGEXMATCH(({'Medals Database'!F$9:F802; 'Medals Database'!M$9:M802}), ""(^|"" &amp; CHAR(10) &amp; "")"" &amp; Search!D14"&amp;" &amp; ""("" &amp; CHAR(10) &amp; ""|$)""), TRUE) *
        IF(Search!D15 &lt;&gt; """", REGEXMATCH(({'Medals Database'!F$9:F802; 'Medals Database'!M$9:M802}), ""(^|"" &amp; CHAR(10) &amp; "")"" &amp; Search!D15 &amp; ""("" &amp; CHAR(10) &amp; ""|$)""), TRUE) *
        IF(Search!D16 &lt;&gt; """", REG"&amp;"EXMATCH(({'Medals Database'!F$9:F802; 'Medals Database'!M$9:M802}), ""(^|"" &amp; CHAR(10) &amp; "")"" &amp; Search!D16 &amp; ""("" &amp; CHAR(10) &amp; ""|$)""), TRUE)
    ), """"
)"),"When you are in your team`s Treasure Area and the Trasure Gauge is 80% or more: Boost the cooldown reduction speed of Skill 1 by 13%. and Reduce damage recieved by 5%.")</f>
        <v>When you are in your team`s Treasure Area and the Trasure Gauge is 80% or more: Boost the cooldown reduction speed of Skill 1 by 13%. and Reduce damage recieved by 5%.</v>
      </c>
      <c r="D2" s="129"/>
      <c r="E2" s="131" t="str">
        <f t="array" ref="E2:E802">IFERROR(
    LEFT(B2:B802, SEARCH(":", B2:B802)-1), ""
)</f>
        <v>When attacked by a character type ``Power users`` enemy</v>
      </c>
      <c r="F2" s="131" t="str">
        <f t="array" ref="F2:F802">IFERROR(
  MID(B2:B802,
      SEARCH(":", B2:B802) + 2,
      SEARCH(",", B2:B802) - SEARCH(":", B2:B802) - 5
    ), ""
)</f>
        <v/>
      </c>
      <c r="G2" s="131" t="str">
        <f t="array" ref="G2:G802">IFERROR(
    IF(ISNUMBER(SEARCH(",", B2:B802)),
            IFERROR(
                MID(B2:B802, 
                    SEARCH(",", B2:B802) + 2,
                    SEARCH("for", B2:B802, SEARCH(",", B2:B802)) - SEARCH(",", B2:B802) - 3
                ),
                IFERROR(
                    MID(B2:B802, 
                        SEARCH(",", B2:B802) + 2,
                        SEARCH("by", B2:B802, SEARCH(",", B2:B802)) - SEARCH(",", B2:B802) - 3
                    ),
                    MID(B2:B802, 
                        SEARCH(",", B2:B802) + 2,
                        SEARCH(".", B2:B802, SEARCH(",", B2:B802)) - SEARCH(",", B2:B802) - 2
                    )
                )
            ),
            IFERROR(
                MID(B2:B802, 
                    SEARCH(":", B2:B802) + 2,
                    SEARCH("by", B2:B802, SEARCH(":", B2:B802)) - SEARCH(":", B2:B802) - 3
                ),
                MID(B2:B802,
                    SEARCH(":", B2:B802) + 2,
                    SEARCH(".", B2:B802) - SEARCH(":", B2:B802) - 2
                )
            )
        ), ""
)</f>
        <v>Reduce damage recieved</v>
      </c>
      <c r="H2" s="132" t="str">
        <f t="array" ref="H2:H802">IFERROR(
    IFERROR(
            MID(B2:B802, 
                SEARCH("by", B2:B802, SEARCH(":", B2:B802)) + 3,
                SEARCH("for", B2:B802, SEARCH("by", B2:B802, SEARCH(":", B2:B802))) - SEARCH("by", B2:B802, SEARCH(":", B2:B802)) - 4
            ),
            MID(B2:B802, 
                SEARCH("by", B2:B802, SEARCH(":", B2:B802)) + 3,
                SEARCH(".", B2:B802, SEARCH("by", B2:B802, SEARCH(":", B2:B802))) - SEARCH("by", B2:B802, SEARCH(":", B2:B802)) - 3
            )
        ), ""
)</f>
        <v>2%</v>
      </c>
      <c r="I2" s="131" t="str">
        <f t="array" ref="I2:I802">IFERROR(
    MID(B2:B802, 
            SEARCH(" for", B2:B802) + 5,
            SEARCH(".", B2:B802, SEARCH(" for", B2:B802)) - SEARCH(" for", B2:B802) - 5
        ), ""
)</f>
        <v/>
      </c>
      <c r="J2" s="129"/>
      <c r="K2" s="133" t="str">
        <f>IFERROR(__xludf.DUMMYFUNCTION("IFERROR(
    SORT(
        UNIQUE(
            FILTER(E2:E802, E2:E802 &lt;&gt; """")
        )
    ), """"
)"),"After KOing an enemy")</f>
        <v>After KOing an enemy</v>
      </c>
      <c r="L2" s="131" t="str">
        <f>IFERROR(__xludf.DUMMYFUNCTION("IF(NOT(AND(Search!D2 = """", Search!D3 = """", Search!B4 = ""-"")),
    IFERROR(
        SORT(
            UNIQUE(
                FILTER(F2:F802, F2:F802 &lt;&gt; """")
            )
        ), """"
    ), "" ""
)"),"1% chance")</f>
        <v>1% chance</v>
      </c>
      <c r="M2" s="131" t="str">
        <f>IFERROR(__xludf.DUMMYFUNCTION("IFERROR(
    SORT(
        UNIQUE(
            FILTER(G2:G802, G2:G802 &lt;&gt; """")
        )
    ), """"
)"),"Boost capture speed")</f>
        <v>Boost capture speed</v>
      </c>
      <c r="N2" s="131" t="str">
        <f>IFERROR(__xludf.DUMMYFUNCTION("IF(NOT(AND(Search!D3 = """", Search!B5 = ""-"")),
    IFERROR(
        SORT(
            UNIQUE(
                FILTER(H2:H802, H2:H802 &lt;&gt; """")
            )
        ), """"
    ), "" ""
)"),"1%")</f>
        <v>1%</v>
      </c>
      <c r="O2" s="131" t="str">
        <f>IFERROR(__xludf.DUMMYFUNCTION("IF(NOT(AND(Search!D3= """", Search!B6 = ""-"")),
    IFERROR(
        SORT(
            UNIQUE(
                FILTER(I2:I802, I2:I802 &lt;&gt; """")
            )
        ), """"
    ), "" ""
)"),"14 second(s)")</f>
        <v>14 second(s)</v>
      </c>
      <c r="P2" s="129"/>
      <c r="Q2" s="132" t="str">
        <f>IFERROR(__xludf.DUMMYFUNCTION("IF(AND(Search!C8, Search!C9),
  SORT(FILTER(""["" &amp; S2:S802 &amp; ""] "" &amp; R2:R802, R2:R802 &lt;&gt; """"), 2, TRUE, 1, TRUE),
IF(Search!C8,
  FILTER(R2:R802 &amp; "" ["" &amp; S2:S802 &amp; ""]"", R2:R802 &lt;&gt; """"),
FILTER(R2:R802, R2:R802 &lt;&gt; """")
)
)"),"``Sweet 3`` General")</f>
        <v>``Sweet 3`` General</v>
      </c>
      <c r="R2" s="132" t="str">
        <f>IFERROR(__xludf.DUMMYFUNCTION("ARRAYFORMULA(
 SORT(
  UNIQUE(
   FILTER(
    FLATTEN( SPLIT({Search!E18:E802; Search!I18:I802}, CHAR(10)) ),
    FLATTEN( SPLIT({Search!E18:E802; Search!I18:I802}, CHAR(10)) ) &lt;&gt; """"
   )
  )
 )
)"),"``Sweet 3`` General")</f>
        <v>``Sweet 3`` General</v>
      </c>
      <c r="S2" s="132" t="str">
        <f>IFERROR(__xludf.DUMMYFUNCTION("ARRAYFORMULA(
 VLOOKUP(FILTER(R2:R802, R2:R802 &lt;&gt; """"), 'Tag Effects'!B2:C802, 2, FALSE)
)"),"Inflicted Damage Increase (When your team has less Treasure secured)")</f>
        <v>Inflicted Damage Increase (When your team has less Treasure secured)</v>
      </c>
      <c r="T2" s="129"/>
    </row>
    <row r="3" ht="37.5" customHeight="1">
      <c r="A3" s="129"/>
      <c r="B3" s="130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C3" s="130" t="str">
        <f>IFERROR(__xludf.DUMMYFUNCTION("""COMPUTED_VALUE"""),"When you are in your team`s Treasure Area and the Trasure Gauge is 80% or more: Boost the cooldown reduction speed of Skill 1 by 10%. and Boost the cooldown reduction speed of Skill 2 by 10%.")</f>
        <v>When you are in your team`s Treasure Area and the Trasure Gauge is 80% or more: Boost the cooldown reduction speed of Skill 1 by 10%. and Boost the cooldown reduction speed of Skill 2 by 10%.</v>
      </c>
      <c r="D3" s="129"/>
      <c r="E3" s="131" t="s">
        <v>7026</v>
      </c>
      <c r="F3" s="131" t="s">
        <v>7027</v>
      </c>
      <c r="G3" s="131" t="s">
        <v>7028</v>
      </c>
      <c r="H3" s="131" t="s">
        <v>7029</v>
      </c>
      <c r="I3" s="131" t="s">
        <v>7027</v>
      </c>
      <c r="J3" s="129"/>
      <c r="K3" s="133" t="str">
        <f>IFERROR(__xludf.DUMMYFUNCTION("""COMPUTED_VALUE"""),"After reciving damage from an enemy which is more than 30% of your max HP")</f>
        <v>After reciving damage from an enemy which is more than 30% of your max HP</v>
      </c>
      <c r="L3" s="131" t="str">
        <f>IFERROR(__xludf.DUMMYFUNCTION("""COMPUTED_VALUE"""),"3% chance")</f>
        <v>3% chance</v>
      </c>
      <c r="M3" s="131" t="str">
        <f>IFERROR(__xludf.DUMMYFUNCTION("""COMPUTED_VALUE"""),"Boost the cooldown reduction speed of dodge")</f>
        <v>Boost the cooldown reduction speed of dodge</v>
      </c>
      <c r="N3" s="131" t="str">
        <f>IFERROR(__xludf.DUMMYFUNCTION("""COMPUTED_VALUE"""),"10%")</f>
        <v>10%</v>
      </c>
      <c r="O3" s="131" t="str">
        <f>IFERROR(__xludf.DUMMYFUNCTION("""COMPUTED_VALUE"""),"20 second(s)")</f>
        <v>20 second(s)</v>
      </c>
      <c r="P3" s="129"/>
      <c r="Q3" s="132" t="str">
        <f>IFERROR(__xludf.DUMMYFUNCTION("""COMPUTED_VALUE"""),"``Sword``")</f>
        <v>``Sword``</v>
      </c>
      <c r="R3" s="131" t="str">
        <f>IFERROR(__xludf.DUMMYFUNCTION("""COMPUTED_VALUE"""),"``Sword``")</f>
        <v>``Sword``</v>
      </c>
      <c r="S3" s="132" t="str">
        <f>IFERROR(__xludf.DUMMYFUNCTION("""COMPUTED_VALUE"""),"Inflicted Damage Increase (When your team has less Treasure secured)")</f>
        <v>Inflicted Damage Increase (When your team has less Treasure secured)</v>
      </c>
      <c r="T3" s="129"/>
    </row>
    <row r="4" ht="37.5" customHeight="1">
      <c r="A4" s="129"/>
      <c r="B4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4" s="130" t="str">
        <f>IFERROR(__xludf.DUMMYFUNCTION("""COMPUTED_VALUE"""),"When you are in your team`s Treasure Area and the Trasure Gauge is 80% or more: Increase damage dealt by 3%. and Reduce damage recieved by 3%.")</f>
        <v>When you are in your team`s Treasure Area and the Trasure Gauge is 80% or more: Increase damage dealt by 3%. and Reduce damage recieved by 3%.</v>
      </c>
      <c r="D4" s="129"/>
      <c r="E4" s="131" t="s">
        <v>7030</v>
      </c>
      <c r="F4" s="131" t="s">
        <v>7027</v>
      </c>
      <c r="G4" s="131" t="s">
        <v>7031</v>
      </c>
      <c r="H4" s="131" t="s">
        <v>7032</v>
      </c>
      <c r="I4" s="131" t="s">
        <v>7027</v>
      </c>
      <c r="J4" s="129"/>
      <c r="K4" s="133" t="str">
        <f>IFERROR(__xludf.DUMMYFUNCTION("""COMPUTED_VALUE"""),"For 90 seconds after the battle has started")</f>
        <v>For 90 seconds after the battle has started</v>
      </c>
      <c r="L4" s="131" t="str">
        <f>IFERROR(__xludf.DUMMYFUNCTION("""COMPUTED_VALUE"""),"30% chance")</f>
        <v>30% chance</v>
      </c>
      <c r="M4" s="131" t="str">
        <f>IFERROR(__xludf.DUMMYFUNCTION("""COMPUTED_VALUE"""),"Boost the cooldown reduction speed of Skill 1")</f>
        <v>Boost the cooldown reduction speed of Skill 1</v>
      </c>
      <c r="N4" s="131" t="str">
        <f>IFERROR(__xludf.DUMMYFUNCTION("""COMPUTED_VALUE"""),"12%")</f>
        <v>12%</v>
      </c>
      <c r="O4" s="131" t="str">
        <f>IFERROR(__xludf.DUMMYFUNCTION("""COMPUTED_VALUE"""),"5 second(s)")</f>
        <v>5 second(s)</v>
      </c>
      <c r="P4" s="129"/>
      <c r="Q4" s="131" t="str">
        <f>IFERROR(__xludf.DUMMYFUNCTION("""COMPUTED_VALUE"""),"2 Years Later")</f>
        <v>2 Years Later</v>
      </c>
      <c r="R4" s="131" t="str">
        <f>IFERROR(__xludf.DUMMYFUNCTION("""COMPUTED_VALUE"""),"2 Years Later")</f>
        <v>2 Years Later</v>
      </c>
      <c r="S4" s="131" t="str">
        <f>IFERROR(__xludf.DUMMYFUNCTION("""COMPUTED_VALUE"""),"Cooldown Reduction (Skill 1)")</f>
        <v>Cooldown Reduction (Skill 1)</v>
      </c>
      <c r="T4" s="129"/>
    </row>
    <row r="5" ht="37.5" customHeight="1">
      <c r="A5" s="129"/>
      <c r="B5" s="130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C5" s="130"/>
      <c r="D5" s="129"/>
      <c r="E5" s="131" t="s">
        <v>7033</v>
      </c>
      <c r="F5" s="131" t="s">
        <v>7027</v>
      </c>
      <c r="G5" s="131" t="s">
        <v>7034</v>
      </c>
      <c r="H5" s="131" t="s">
        <v>7035</v>
      </c>
      <c r="I5" s="131" t="s">
        <v>7027</v>
      </c>
      <c r="J5" s="129"/>
      <c r="K5" s="134" t="str">
        <f>IFERROR(__xludf.DUMMYFUNCTION("""COMPUTED_VALUE"""),"When a damage_dealing Shock infliction has been nullifed")</f>
        <v>When a damage_dealing Shock infliction has been nullifed</v>
      </c>
      <c r="L5" s="131"/>
      <c r="M5" s="131" t="str">
        <f>IFERROR(__xludf.DUMMYFUNCTION("""COMPUTED_VALUE"""),"Boost the cooldown reduction speed of Skill 2")</f>
        <v>Boost the cooldown reduction speed of Skill 2</v>
      </c>
      <c r="N5" s="131" t="str">
        <f>IFERROR(__xludf.DUMMYFUNCTION("""COMPUTED_VALUE"""),"120%")</f>
        <v>120%</v>
      </c>
      <c r="O5" s="131" t="str">
        <f>IFERROR(__xludf.DUMMYFUNCTION("""COMPUTED_VALUE"""),"6 second(s)")</f>
        <v>6 second(s)</v>
      </c>
      <c r="P5" s="129"/>
      <c r="Q5" s="131" t="str">
        <f>IFERROR(__xludf.DUMMYFUNCTION("""COMPUTED_VALUE"""),"Alabasta")</f>
        <v>Alabasta</v>
      </c>
      <c r="R5" s="131" t="str">
        <f>IFERROR(__xludf.DUMMYFUNCTION("""COMPUTED_VALUE"""),"Alabasta")</f>
        <v>Alabasta</v>
      </c>
      <c r="S5" s="131" t="str">
        <f>IFERROR(__xludf.DUMMYFUNCTION("""COMPUTED_VALUE"""),"Cooldown Reduction (Skill 1)")</f>
        <v>Cooldown Reduction (Skill 1)</v>
      </c>
      <c r="T5" s="129"/>
    </row>
    <row r="6" ht="37.5" customHeight="1">
      <c r="A6" s="129"/>
      <c r="B6" s="130" t="str">
        <f>IFERROR(__xludf.DUMMYFUNCTION("""COMPUTED_VALUE"""),"When attacked by a character type ``Navy`` enemy: Reduce damage recieved by 3%.")</f>
        <v>When attacked by a character type ``Navy`` enemy: Reduce damage recieved by 3%.</v>
      </c>
      <c r="C6" s="130"/>
      <c r="D6" s="129"/>
      <c r="E6" s="131" t="s">
        <v>7036</v>
      </c>
      <c r="F6" s="131" t="s">
        <v>7027</v>
      </c>
      <c r="G6" s="131" t="s">
        <v>7037</v>
      </c>
      <c r="H6" s="131" t="s">
        <v>7038</v>
      </c>
      <c r="I6" s="131" t="s">
        <v>7027</v>
      </c>
      <c r="J6" s="129"/>
      <c r="K6" s="134" t="str">
        <f>IFERROR(__xludf.DUMMYFUNCTION("""COMPUTED_VALUE"""),"When an ally is KO`d (not including you)")</f>
        <v>When an ally is KO`d (not including you)</v>
      </c>
      <c r="L6" s="131"/>
      <c r="M6" s="131" t="str">
        <f>IFERROR(__xludf.DUMMYFUNCTION("""COMPUTED_VALUE"""),"CRIT Boosted")</f>
        <v>CRIT Boosted</v>
      </c>
      <c r="N6" s="131" t="str">
        <f>IFERROR(__xludf.DUMMYFUNCTION("""COMPUTED_VALUE"""),"13%")</f>
        <v>13%</v>
      </c>
      <c r="O6" s="131"/>
      <c r="P6" s="129"/>
      <c r="Q6" s="131" t="str">
        <f>IFERROR(__xludf.DUMMYFUNCTION("""COMPUTED_VALUE"""),"Alabasta Kingdom")</f>
        <v>Alabasta Kingdom</v>
      </c>
      <c r="R6" s="131" t="str">
        <f>IFERROR(__xludf.DUMMYFUNCTION("""COMPUTED_VALUE"""),"Alabasta Kingdom")</f>
        <v>Alabasta Kingdom</v>
      </c>
      <c r="S6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6" s="129"/>
    </row>
    <row r="7" ht="37.5" customHeight="1">
      <c r="A7" s="129"/>
      <c r="B7" s="130" t="str">
        <f>IFERROR(__xludf.DUMMYFUNCTION("""COMPUTED_VALUE"""),"After KOing an enemy: Recover HP by 5%.")</f>
        <v>After KOing an enemy: Recover HP by 5%.</v>
      </c>
      <c r="C7" s="130"/>
      <c r="D7" s="129"/>
      <c r="E7" s="131" t="s">
        <v>7039</v>
      </c>
      <c r="F7" s="131" t="s">
        <v>7027</v>
      </c>
      <c r="G7" s="131" t="s">
        <v>7040</v>
      </c>
      <c r="H7" s="131" t="s">
        <v>7035</v>
      </c>
      <c r="I7" s="131" t="s">
        <v>7027</v>
      </c>
      <c r="J7" s="129"/>
      <c r="K7" s="134" t="str">
        <f>IFERROR(__xludf.DUMMYFUNCTION("""COMPUTED_VALUE"""),"When an enemy begins capturing one of your team`s Treasure Areas")</f>
        <v>When an enemy begins capturing one of your team`s Treasure Areas</v>
      </c>
      <c r="L7" s="131"/>
      <c r="M7" s="131" t="str">
        <f>IFERROR(__xludf.DUMMYFUNCTION("""COMPUTED_VALUE"""),"Increase damage dealt")</f>
        <v>Increase damage dealt</v>
      </c>
      <c r="N7" s="131" t="str">
        <f>IFERROR(__xludf.DUMMYFUNCTION("""COMPUTED_VALUE"""),"18%")</f>
        <v>18%</v>
      </c>
      <c r="O7" s="131"/>
      <c r="P7" s="129"/>
      <c r="Q7" s="132" t="str">
        <f>IFERROR(__xludf.DUMMYFUNCTION("""COMPUTED_VALUE"""),"Animal Kingdom Pirates")</f>
        <v>Animal Kingdom Pirates</v>
      </c>
      <c r="R7" s="132" t="str">
        <f>IFERROR(__xludf.DUMMYFUNCTION("""COMPUTED_VALUE"""),"Animal Kingdom Pirates")</f>
        <v>Animal Kingdom Pirates</v>
      </c>
      <c r="S7" s="132" t="str">
        <f>IFERROR(__xludf.DUMMYFUNCTION("""COMPUTED_VALUE"""),"Cooldown Reduction (Skill 2)")</f>
        <v>Cooldown Reduction (Skill 2)</v>
      </c>
      <c r="T7" s="129"/>
    </row>
    <row r="8" ht="37.5" customHeight="1">
      <c r="A8" s="129"/>
      <c r="B8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8" s="130"/>
      <c r="D8" s="129"/>
      <c r="E8" s="131" t="s">
        <v>7041</v>
      </c>
      <c r="F8" s="131" t="s">
        <v>7027</v>
      </c>
      <c r="G8" s="131" t="s">
        <v>7042</v>
      </c>
      <c r="H8" s="131" t="s">
        <v>7029</v>
      </c>
      <c r="I8" s="131" t="s">
        <v>7027</v>
      </c>
      <c r="J8" s="129"/>
      <c r="K8" s="134" t="str">
        <f>IFERROR(__xludf.DUMMYFUNCTION("""COMPUTED_VALUE"""),"When attacked by a character type ``Navy`` enemy")</f>
        <v>When attacked by a character type ``Navy`` enemy</v>
      </c>
      <c r="L8" s="131"/>
      <c r="M8" s="131" t="str">
        <f>IFERROR(__xludf.DUMMYFUNCTION("""COMPUTED_VALUE"""),"Increase damage dealt to Defenders")</f>
        <v>Increase damage dealt to Defenders</v>
      </c>
      <c r="N8" s="131" t="str">
        <f>IFERROR(__xludf.DUMMYFUNCTION("""COMPUTED_VALUE"""),"2%")</f>
        <v>2%</v>
      </c>
      <c r="O8" s="131"/>
      <c r="P8" s="129"/>
      <c r="Q8" s="131" t="str">
        <f>IFERROR(__xludf.DUMMYFUNCTION("""COMPUTED_VALUE"""),"Archaeologist")</f>
        <v>Archaeologist</v>
      </c>
      <c r="R8" s="131" t="str">
        <f>IFERROR(__xludf.DUMMYFUNCTION("""COMPUTED_VALUE"""),"Archaeologist")</f>
        <v>Archaeologist</v>
      </c>
      <c r="S8" s="131" t="str">
        <f>IFERROR(__xludf.DUMMYFUNCTION("""COMPUTED_VALUE"""),"Capture Speed Increase")</f>
        <v>Capture Speed Increase</v>
      </c>
      <c r="T8" s="129"/>
    </row>
    <row r="9" ht="37.5" customHeight="1">
      <c r="A9" s="129"/>
      <c r="B9" s="130" t="str">
        <f>IFERROR(__xludf.DUMMYFUNCTION("""COMPUTED_VALUE"""),"When attacking an enemy with Skill 2: Increase damage dealt by 5%.")</f>
        <v>When attacking an enemy with Skill 2: Increase damage dealt by 5%.</v>
      </c>
      <c r="C9" s="130"/>
      <c r="D9" s="129"/>
      <c r="E9" s="131" t="s">
        <v>7043</v>
      </c>
      <c r="F9" s="131" t="s">
        <v>7027</v>
      </c>
      <c r="G9" s="131" t="s">
        <v>7034</v>
      </c>
      <c r="H9" s="131" t="s">
        <v>7035</v>
      </c>
      <c r="I9" s="131" t="s">
        <v>7027</v>
      </c>
      <c r="J9" s="129"/>
      <c r="K9" s="133" t="str">
        <f>IFERROR(__xludf.DUMMYFUNCTION("""COMPUTED_VALUE"""),"When attacked by a character type ``Power users`` enemy")</f>
        <v>When attacked by a character type ``Power users`` enemy</v>
      </c>
      <c r="L9" s="132"/>
      <c r="M9" s="131" t="str">
        <f>IFERROR(__xludf.DUMMYFUNCTION("""COMPUTED_VALUE"""),"Increase Normal Attack damage dealt")</f>
        <v>Increase Normal Attack damage dealt</v>
      </c>
      <c r="N9" s="131" t="str">
        <f>IFERROR(__xludf.DUMMYFUNCTION("""COMPUTED_VALUE"""),"3%")</f>
        <v>3%</v>
      </c>
      <c r="O9" s="131"/>
      <c r="P9" s="129"/>
      <c r="Q9" s="131" t="str">
        <f>IFERROR(__xludf.DUMMYFUNCTION("""COMPUTED_VALUE"""),"Arlong Pirates")</f>
        <v>Arlong Pirates</v>
      </c>
      <c r="R9" s="131" t="str">
        <f>IFERROR(__xludf.DUMMYFUNCTION("""COMPUTED_VALUE"""),"Arlong Pirates")</f>
        <v>Arlong Pirates</v>
      </c>
      <c r="S9" s="131" t="str">
        <f>IFERROR(__xludf.DUMMYFUNCTION("""COMPUTED_VALUE"""),"Cooldown Reduction (Skill 2)")</f>
        <v>Cooldown Reduction (Skill 2)</v>
      </c>
      <c r="T9" s="129"/>
    </row>
    <row r="10" ht="37.5" customHeight="1">
      <c r="A10" s="129"/>
      <c r="B10" s="130" t="str">
        <f>IFERROR(__xludf.DUMMYFUNCTION("""COMPUTED_VALUE"""),"When in the Treasure Area: Reduce damage recieved by 3%.")</f>
        <v>When in the Treasure Area: Reduce damage recieved by 3%.</v>
      </c>
      <c r="C10" s="130"/>
      <c r="D10" s="129"/>
      <c r="E10" s="131" t="s">
        <v>7044</v>
      </c>
      <c r="F10" s="131" t="s">
        <v>7027</v>
      </c>
      <c r="G10" s="131" t="s">
        <v>7037</v>
      </c>
      <c r="H10" s="131" t="s">
        <v>7038</v>
      </c>
      <c r="I10" s="131" t="s">
        <v>7027</v>
      </c>
      <c r="J10" s="129"/>
      <c r="K10" s="133" t="str">
        <f>IFERROR(__xludf.DUMMYFUNCTION("""COMPUTED_VALUE"""),"When attacked by a character type ``Straw Hat Pirates`` enemy")</f>
        <v>When attacked by a character type ``Straw Hat Pirates`` enemy</v>
      </c>
      <c r="L10" s="131"/>
      <c r="M10" s="131" t="str">
        <f>IFERROR(__xludf.DUMMYFUNCTION("""COMPUTED_VALUE"""),"Increase Treasure Gauge amount when you capture the Treasure")</f>
        <v>Increase Treasure Gauge amount when you capture the Treasure</v>
      </c>
      <c r="N10" s="131" t="str">
        <f>IFERROR(__xludf.DUMMYFUNCTION("""COMPUTED_VALUE"""),"4%")</f>
        <v>4%</v>
      </c>
      <c r="O10" s="131"/>
      <c r="P10" s="129"/>
      <c r="Q10" s="131" t="str">
        <f>IFERROR(__xludf.DUMMYFUNCTION("""COMPUTED_VALUE"""),"Baroque Works")</f>
        <v>Baroque Works</v>
      </c>
      <c r="R10" s="131" t="str">
        <f>IFERROR(__xludf.DUMMYFUNCTION("""COMPUTED_VALUE"""),"Baroque Works")</f>
        <v>Baroque Works</v>
      </c>
      <c r="S10" s="131" t="str">
        <f>IFERROR(__xludf.DUMMYFUNCTION("""COMPUTED_VALUE"""),"Cooldown Reduction (Skill 2)")</f>
        <v>Cooldown Reduction (Skill 2)</v>
      </c>
      <c r="T10" s="129"/>
    </row>
    <row r="11" ht="37.5" customHeight="1">
      <c r="A11" s="129"/>
      <c r="B11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1" s="130"/>
      <c r="D11" s="129"/>
      <c r="E11" s="131" t="s">
        <v>7045</v>
      </c>
      <c r="F11" s="131" t="s">
        <v>7027</v>
      </c>
      <c r="G11" s="131" t="s">
        <v>7046</v>
      </c>
      <c r="H11" s="131" t="s">
        <v>7029</v>
      </c>
      <c r="I11" s="131" t="s">
        <v>7027</v>
      </c>
      <c r="J11" s="129"/>
      <c r="K11" s="133" t="str">
        <f>IFERROR(__xludf.DUMMYFUNCTION("""COMPUTED_VALUE"""),"When attacked by an enemy")</f>
        <v>When attacked by an enemy</v>
      </c>
      <c r="L11" s="131"/>
      <c r="M11" s="131" t="str">
        <f>IFERROR(__xludf.DUMMYFUNCTION("""COMPUTED_VALUE"""),"Increase Treasure Gauge recovery amount")</f>
        <v>Increase Treasure Gauge recovery amount</v>
      </c>
      <c r="N11" s="131" t="str">
        <f>IFERROR(__xludf.DUMMYFUNCTION("""COMPUTED_VALUE"""),"40%")</f>
        <v>40%</v>
      </c>
      <c r="O11" s="131"/>
      <c r="P11" s="129"/>
      <c r="Q11" s="131" t="str">
        <f>IFERROR(__xludf.DUMMYFUNCTION("""COMPUTED_VALUE"""),"Barto Club")</f>
        <v>Barto Club</v>
      </c>
      <c r="R11" s="131" t="str">
        <f>IFERROR(__xludf.DUMMYFUNCTION("""COMPUTED_VALUE"""),"Barto Club")</f>
        <v>Barto Club</v>
      </c>
      <c r="S11" s="131" t="str">
        <f>IFERROR(__xludf.DUMMYFUNCTION("""COMPUTED_VALUE"""),"Cooldown Reduction (Skill 2)")</f>
        <v>Cooldown Reduction (Skill 2)</v>
      </c>
      <c r="T11" s="129"/>
    </row>
    <row r="12" ht="37.5" customHeight="1">
      <c r="A12" s="129"/>
      <c r="B12" s="130" t="str">
        <f>IFERROR(__xludf.DUMMYFUNCTION("""COMPUTED_VALUE"""),"When your HP is 70% or more: Reduce damage recieved by 5%.")</f>
        <v>When your HP is 70% or more: Reduce damage recieved by 5%.</v>
      </c>
      <c r="C12" s="130"/>
      <c r="D12" s="129"/>
      <c r="E12" s="131" t="s">
        <v>7026</v>
      </c>
      <c r="F12" s="131" t="s">
        <v>7027</v>
      </c>
      <c r="G12" s="131" t="s">
        <v>7037</v>
      </c>
      <c r="H12" s="131" t="s">
        <v>7035</v>
      </c>
      <c r="I12" s="131" t="s">
        <v>7027</v>
      </c>
      <c r="J12" s="129"/>
      <c r="K12" s="133" t="str">
        <f>IFERROR(__xludf.DUMMYFUNCTION("""COMPUTED_VALUE"""),"When attacked by an enemy inflicted with Aflame")</f>
        <v>When attacked by an enemy inflicted with Aflame</v>
      </c>
      <c r="L12" s="131"/>
      <c r="M12" s="131" t="str">
        <f>IFERROR(__xludf.DUMMYFUNCTION("""COMPUTED_VALUE"""),"Inflict Poison")</f>
        <v>Inflict Poison</v>
      </c>
      <c r="N12" s="131" t="str">
        <f>IFERROR(__xludf.DUMMYFUNCTION("""COMPUTED_VALUE"""),"5%")</f>
        <v>5%</v>
      </c>
      <c r="O12" s="131"/>
      <c r="P12" s="129"/>
      <c r="Q12" s="131" t="str">
        <f>IFERROR(__xludf.DUMMYFUNCTION("""COMPUTED_VALUE"""),"Beautiful Pirates")</f>
        <v>Beautiful Pirates</v>
      </c>
      <c r="R12" s="131" t="str">
        <f>IFERROR(__xludf.DUMMYFUNCTION("""COMPUTED_VALUE"""),"Beautiful Pirates")</f>
        <v>Beautiful Pirates</v>
      </c>
      <c r="S12" s="131" t="str">
        <f>IFERROR(__xludf.DUMMYFUNCTION("""COMPUTED_VALUE"""),"Cooldown Reduction (Skill 2)")</f>
        <v>Cooldown Reduction (Skill 2)</v>
      </c>
      <c r="T12" s="129"/>
    </row>
    <row r="13" ht="37.5" customHeight="1">
      <c r="A13" s="129"/>
      <c r="B13" s="130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C13" s="130"/>
      <c r="D13" s="129"/>
      <c r="E13" s="131" t="s">
        <v>7047</v>
      </c>
      <c r="F13" s="131" t="s">
        <v>7027</v>
      </c>
      <c r="G13" s="131" t="s">
        <v>7034</v>
      </c>
      <c r="H13" s="131" t="s">
        <v>7035</v>
      </c>
      <c r="I13" s="131" t="s">
        <v>7027</v>
      </c>
      <c r="J13" s="129"/>
      <c r="K13" s="133" t="str">
        <f>IFERROR(__xludf.DUMMYFUNCTION("""COMPUTED_VALUE"""),"When attacked by an enemy whose ATK is boosted")</f>
        <v>When attacked by an enemy whose ATK is boosted</v>
      </c>
      <c r="L13" s="131"/>
      <c r="M13" s="131" t="str">
        <f>IFERROR(__xludf.DUMMYFUNCTION("""COMPUTED_VALUE"""),"Inflict Shock")</f>
        <v>Inflict Shock</v>
      </c>
      <c r="N13" s="131" t="str">
        <f>IFERROR(__xludf.DUMMYFUNCTION("""COMPUTED_VALUE"""),"6%")</f>
        <v>6%</v>
      </c>
      <c r="O13" s="131"/>
      <c r="P13" s="129"/>
      <c r="Q13" s="131" t="str">
        <f>IFERROR(__xludf.DUMMYFUNCTION("""COMPUTED_VALUE"""),"Big Mom Pirates")</f>
        <v>Big Mom Pirates</v>
      </c>
      <c r="R13" s="131" t="str">
        <f>IFERROR(__xludf.DUMMYFUNCTION("""COMPUTED_VALUE"""),"Big Mom Pirates")</f>
        <v>Big Mom Pirates</v>
      </c>
      <c r="S13" s="131" t="str">
        <f>IFERROR(__xludf.DUMMYFUNCTION("""COMPUTED_VALUE"""),"Cooldown Reduction (Skill 2)")</f>
        <v>Cooldown Reduction (Skill 2)</v>
      </c>
      <c r="T13" s="129"/>
    </row>
    <row r="14" ht="37.5" customHeight="1">
      <c r="A14" s="129"/>
      <c r="B14" s="130" t="str">
        <f>IFERROR(__xludf.DUMMYFUNCTION("""COMPUTED_VALUE"""),"When your HP is 70% or more: Reduce damage recieved by 5%.")</f>
        <v>When your HP is 70% or more: Reduce damage recieved by 5%.</v>
      </c>
      <c r="C14" s="130"/>
      <c r="D14" s="129"/>
      <c r="E14" s="131" t="s">
        <v>7026</v>
      </c>
      <c r="F14" s="131" t="s">
        <v>7027</v>
      </c>
      <c r="G14" s="131" t="s">
        <v>7037</v>
      </c>
      <c r="H14" s="131" t="s">
        <v>7035</v>
      </c>
      <c r="I14" s="131" t="s">
        <v>7027</v>
      </c>
      <c r="J14" s="129"/>
      <c r="K14" s="133" t="str">
        <f>IFERROR(__xludf.DUMMYFUNCTION("""COMPUTED_VALUE"""),"When attacking a character type ``Fish_Man`` enemy")</f>
        <v>When attacking a character type ``Fish_Man`` enemy</v>
      </c>
      <c r="L14" s="131"/>
      <c r="M14" s="131" t="str">
        <f>IFERROR(__xludf.DUMMYFUNCTION("""COMPUTED_VALUE"""),"Nullify Aflame")</f>
        <v>Nullify Aflame</v>
      </c>
      <c r="N14" s="131" t="str">
        <f>IFERROR(__xludf.DUMMYFUNCTION("""COMPUTED_VALUE"""),"60%")</f>
        <v>60%</v>
      </c>
      <c r="O14" s="131"/>
      <c r="P14" s="129"/>
      <c r="Q14" s="131" t="str">
        <f>IFERROR(__xludf.DUMMYFUNCTION("""COMPUTED_VALUE"""),"Bikini")</f>
        <v>Bikini</v>
      </c>
      <c r="R14" s="131" t="str">
        <f>IFERROR(__xludf.DUMMYFUNCTION("""COMPUTED_VALUE"""),"Bikini")</f>
        <v>Bikini</v>
      </c>
      <c r="S14" s="131" t="str">
        <f>IFERROR(__xludf.DUMMYFUNCTION("""COMPUTED_VALUE"""),"Cooldown Reduction (Skill 1)")</f>
        <v>Cooldown Reduction (Skill 1)</v>
      </c>
      <c r="T14" s="129"/>
    </row>
    <row r="15" ht="37.5" customHeight="1">
      <c r="A15" s="129"/>
      <c r="B15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5" s="130"/>
      <c r="D15" s="129"/>
      <c r="E15" s="131" t="s">
        <v>7045</v>
      </c>
      <c r="F15" s="131" t="s">
        <v>7027</v>
      </c>
      <c r="G15" s="131" t="s">
        <v>7037</v>
      </c>
      <c r="H15" s="131" t="s">
        <v>7035</v>
      </c>
      <c r="I15" s="131" t="s">
        <v>7027</v>
      </c>
      <c r="J15" s="129"/>
      <c r="K15" s="133" t="str">
        <f>IFERROR(__xludf.DUMMYFUNCTION("""COMPUTED_VALUE"""),"When attacking a character type ``Logia`` enemy")</f>
        <v>When attacking a character type ``Logia`` enemy</v>
      </c>
      <c r="L15" s="131"/>
      <c r="M15" s="131" t="str">
        <f>IFERROR(__xludf.DUMMYFUNCTION("""COMPUTED_VALUE"""),"Nullify Freeze")</f>
        <v>Nullify Freeze</v>
      </c>
      <c r="N15" s="131" t="str">
        <f>IFERROR(__xludf.DUMMYFUNCTION("""COMPUTED_VALUE"""),"7%")</f>
        <v>7%</v>
      </c>
      <c r="O15" s="131"/>
      <c r="P15" s="129"/>
      <c r="Q15" s="131" t="str">
        <f>IFERROR(__xludf.DUMMYFUNCTION("""COMPUTED_VALUE"""),"Black Cat Pirates")</f>
        <v>Black Cat Pirates</v>
      </c>
      <c r="R15" s="131" t="str">
        <f>IFERROR(__xludf.DUMMYFUNCTION("""COMPUTED_VALUE"""),"Black Cat Pirates")</f>
        <v>Black Cat Pirates</v>
      </c>
      <c r="S15" s="131" t="str">
        <f>IFERROR(__xludf.DUMMYFUNCTION("""COMPUTED_VALUE"""),"Cooldown Reduction (Skill 2)")</f>
        <v>Cooldown Reduction (Skill 2)</v>
      </c>
      <c r="T15" s="129"/>
    </row>
    <row r="16" ht="37.5" customHeight="1">
      <c r="A16" s="129"/>
      <c r="B16" s="130" t="str">
        <f>IFERROR(__xludf.DUMMYFUNCTION("""COMPUTED_VALUE"""),"When you capture the Treasure: Recover HP by 5%.")</f>
        <v>When you capture the Treasure: Recover HP by 5%.</v>
      </c>
      <c r="C16" s="130"/>
      <c r="D16" s="129"/>
      <c r="E16" s="131" t="s">
        <v>7048</v>
      </c>
      <c r="F16" s="131" t="s">
        <v>7027</v>
      </c>
      <c r="G16" s="131" t="s">
        <v>7040</v>
      </c>
      <c r="H16" s="131" t="s">
        <v>7035</v>
      </c>
      <c r="I16" s="131" t="s">
        <v>7027</v>
      </c>
      <c r="J16" s="129"/>
      <c r="K16" s="133" t="str">
        <f>IFERROR(__xludf.DUMMYFUNCTION("""COMPUTED_VALUE"""),"When attacking a character type ``Power users`` enemy")</f>
        <v>When attacking a character type ``Power users`` enemy</v>
      </c>
      <c r="L16" s="131"/>
      <c r="M16" s="131" t="str">
        <f>IFERROR(__xludf.DUMMYFUNCTION("""COMPUTED_VALUE"""),"Nullify Shock")</f>
        <v>Nullify Shock</v>
      </c>
      <c r="N16" s="131" t="str">
        <f>IFERROR(__xludf.DUMMYFUNCTION("""COMPUTED_VALUE"""),"8%")</f>
        <v>8%</v>
      </c>
      <c r="O16" s="131"/>
      <c r="P16" s="129"/>
      <c r="Q16" s="131" t="str">
        <f>IFERROR(__xludf.DUMMYFUNCTION("""COMPUTED_VALUE"""),"Blackbeard Pirates")</f>
        <v>Blackbeard Pirates</v>
      </c>
      <c r="R16" s="131" t="str">
        <f>IFERROR(__xludf.DUMMYFUNCTION("""COMPUTED_VALUE"""),"Blackbeard Pirates")</f>
        <v>Blackbeard Pirates</v>
      </c>
      <c r="S16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16" s="129"/>
    </row>
    <row r="17" ht="37.5" customHeight="1">
      <c r="A17" s="129"/>
      <c r="B17" s="130" t="str">
        <f>IFERROR(__xludf.DUMMYFUNCTION("""COMPUTED_VALUE"""),"When you capture the Treasure: Recover HP by 5%.")</f>
        <v>When you capture the Treasure: Recover HP by 5%.</v>
      </c>
      <c r="C17" s="130"/>
      <c r="D17" s="129"/>
      <c r="E17" s="131" t="s">
        <v>7048</v>
      </c>
      <c r="F17" s="131" t="s">
        <v>7027</v>
      </c>
      <c r="G17" s="131" t="s">
        <v>7040</v>
      </c>
      <c r="H17" s="131" t="s">
        <v>7035</v>
      </c>
      <c r="I17" s="131" t="s">
        <v>7027</v>
      </c>
      <c r="J17" s="129"/>
      <c r="K17" s="133" t="str">
        <f>IFERROR(__xludf.DUMMYFUNCTION("""COMPUTED_VALUE"""),"When attacking a character type ``Zoan`` enemy")</f>
        <v>When attacking a character type ``Zoan`` enemy</v>
      </c>
      <c r="L17" s="131"/>
      <c r="M17" s="131" t="str">
        <f>IFERROR(__xludf.DUMMYFUNCTION("""COMPUTED_VALUE"""),"Nullify Stun")</f>
        <v>Nullify Stun</v>
      </c>
      <c r="N17" s="131" t="str">
        <f>IFERROR(__xludf.DUMMYFUNCTION("""COMPUTED_VALUE"""),"80%")</f>
        <v>80%</v>
      </c>
      <c r="O17" s="131"/>
      <c r="P17" s="129"/>
      <c r="Q17" s="131" t="str">
        <f>IFERROR(__xludf.DUMMYFUNCTION("""COMPUTED_VALUE"""),"Blood Brothers")</f>
        <v>Blood Brothers</v>
      </c>
      <c r="R17" s="131" t="str">
        <f>IFERROR(__xludf.DUMMYFUNCTION("""COMPUTED_VALUE"""),"Blood Brothers")</f>
        <v>Blood Brothers</v>
      </c>
      <c r="S17" s="131" t="str">
        <f>IFERROR(__xludf.DUMMYFUNCTION("""COMPUTED_VALUE"""),"Inflicted Damage Increase (When your allies are near the Treasure area)")</f>
        <v>Inflicted Damage Increase (When your allies are near the Treasure area)</v>
      </c>
      <c r="T17" s="129"/>
    </row>
    <row r="18" ht="37.5" customHeight="1">
      <c r="A18" s="129"/>
      <c r="B18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8" s="130"/>
      <c r="D18" s="129"/>
      <c r="E18" s="131" t="s">
        <v>7045</v>
      </c>
      <c r="F18" s="131" t="s">
        <v>7027</v>
      </c>
      <c r="G18" s="131" t="s">
        <v>7046</v>
      </c>
      <c r="H18" s="131" t="s">
        <v>7029</v>
      </c>
      <c r="I18" s="131" t="s">
        <v>7027</v>
      </c>
      <c r="J18" s="129"/>
      <c r="K18" s="133" t="str">
        <f>IFERROR(__xludf.DUMMYFUNCTION("""COMPUTED_VALUE"""),"When attacking an enemy")</f>
        <v>When attacking an enemy</v>
      </c>
      <c r="L18" s="131"/>
      <c r="M18" s="131" t="str">
        <f>IFERROR(__xludf.DUMMYFUNCTION("""COMPUTED_VALUE"""),"Nullify Tremor")</f>
        <v>Nullify Tremor</v>
      </c>
      <c r="N18" s="131" t="str">
        <f>IFERROR(__xludf.DUMMYFUNCTION("""COMPUTED_VALUE"""),"9%")</f>
        <v>9%</v>
      </c>
      <c r="O18" s="131"/>
      <c r="P18" s="129"/>
      <c r="Q18" s="131" t="str">
        <f>IFERROR(__xludf.DUMMYFUNCTION("""COMPUTED_VALUE"""),"Bonney Pirates")</f>
        <v>Bonney Pirates</v>
      </c>
      <c r="R18" s="131" t="str">
        <f>IFERROR(__xludf.DUMMYFUNCTION("""COMPUTED_VALUE"""),"Bonney Pirates")</f>
        <v>Bonney Pirates</v>
      </c>
      <c r="S18" s="131" t="str">
        <f>IFERROR(__xludf.DUMMYFUNCTION("""COMPUTED_VALUE"""),"Cooldown Reduction (Skill 2)")</f>
        <v>Cooldown Reduction (Skill 2)</v>
      </c>
      <c r="T18" s="129"/>
    </row>
    <row r="19" ht="37.5" customHeight="1">
      <c r="A19" s="129"/>
      <c r="B19" s="130" t="str">
        <f>IFERROR(__xludf.DUMMYFUNCTION("""COMPUTED_VALUE"""),"When in the Treasure Area: Reduce damage recieved by 3%.")</f>
        <v>When in the Treasure Area: Reduce damage recieved by 3%.</v>
      </c>
      <c r="C19" s="130"/>
      <c r="D19" s="129"/>
      <c r="E19" s="131" t="s">
        <v>7044</v>
      </c>
      <c r="F19" s="131" t="s">
        <v>7027</v>
      </c>
      <c r="G19" s="131" t="s">
        <v>7037</v>
      </c>
      <c r="H19" s="131" t="s">
        <v>7038</v>
      </c>
      <c r="I19" s="131" t="s">
        <v>7027</v>
      </c>
      <c r="J19" s="129"/>
      <c r="K19" s="133" t="str">
        <f>IFERROR(__xludf.DUMMYFUNCTION("""COMPUTED_VALUE"""),"When attacking an enemy in the area around your captured Treasure")</f>
        <v>When attacking an enemy in the area around your captured Treasure</v>
      </c>
      <c r="L19" s="131"/>
      <c r="M19" s="131" t="str">
        <f>IFERROR(__xludf.DUMMYFUNCTION("""COMPUTED_VALUE"""),"Recover HP")</f>
        <v>Recover HP</v>
      </c>
      <c r="N19" s="131" t="str">
        <f>IFERROR(__xludf.DUMMYFUNCTION("""COMPUTED_VALUE"""),"90%")</f>
        <v>90%</v>
      </c>
      <c r="O19" s="131"/>
      <c r="P19" s="129"/>
      <c r="Q19" s="131" t="str">
        <f>IFERROR(__xludf.DUMMYFUNCTION("""COMPUTED_VALUE"""),"Bounty Hunter")</f>
        <v>Bounty Hunter</v>
      </c>
      <c r="R19" s="131" t="str">
        <f>IFERROR(__xludf.DUMMYFUNCTION("""COMPUTED_VALUE"""),"Bounty Hunter")</f>
        <v>Bounty Hunter</v>
      </c>
      <c r="S19" s="131" t="str">
        <f>IFERROR(__xludf.DUMMYFUNCTION("""COMPUTED_VALUE"""),"Capture Speed Increase")</f>
        <v>Capture Speed Increase</v>
      </c>
      <c r="T19" s="129"/>
    </row>
    <row r="20" ht="37.5" customHeight="1">
      <c r="A20" s="129"/>
      <c r="B20" s="130" t="str">
        <f>IFERROR(__xludf.DUMMYFUNCTION("""COMPUTED_VALUE"""),"When you are Downed: Reduce the cooldown time of Skill 2 by 4%.")</f>
        <v>When you are Downed: Reduce the cooldown time of Skill 2 by 4%.</v>
      </c>
      <c r="C20" s="130"/>
      <c r="D20" s="129"/>
      <c r="E20" s="131" t="s">
        <v>7049</v>
      </c>
      <c r="F20" s="131" t="s">
        <v>7027</v>
      </c>
      <c r="G20" s="131" t="s">
        <v>7050</v>
      </c>
      <c r="H20" s="131" t="s">
        <v>7051</v>
      </c>
      <c r="I20" s="131" t="s">
        <v>7027</v>
      </c>
      <c r="J20" s="129"/>
      <c r="K20" s="133" t="str">
        <f>IFERROR(__xludf.DUMMYFUNCTION("""COMPUTED_VALUE"""),"When attacking an enemy in the area around your enemy`s Treasure")</f>
        <v>When attacking an enemy in the area around your enemy`s Treasure</v>
      </c>
      <c r="L20" s="131"/>
      <c r="M20" s="131" t="str">
        <f>IFERROR(__xludf.DUMMYFUNCTION("""COMPUTED_VALUE"""),"Reduce damage recieved")</f>
        <v>Reduce damage recieved</v>
      </c>
      <c r="N20" s="131"/>
      <c r="O20" s="131"/>
      <c r="P20" s="129"/>
      <c r="Q20" s="131" t="str">
        <f>IFERROR(__xludf.DUMMYFUNCTION("""COMPUTED_VALUE"""),"Buggy Pirates")</f>
        <v>Buggy Pirates</v>
      </c>
      <c r="R20" s="131" t="str">
        <f>IFERROR(__xludf.DUMMYFUNCTION("""COMPUTED_VALUE"""),"Buggy Pirates")</f>
        <v>Buggy Pirates</v>
      </c>
      <c r="S20" s="131" t="str">
        <f>IFERROR(__xludf.DUMMYFUNCTION("""COMPUTED_VALUE"""),"Cooldown Reduction (Skill 2)")</f>
        <v>Cooldown Reduction (Skill 2)</v>
      </c>
      <c r="T20" s="129"/>
    </row>
    <row r="21" ht="37.5" customHeight="1">
      <c r="A21" s="129"/>
      <c r="B21" s="130" t="str">
        <f>IFERROR(__xludf.DUMMYFUNCTION("""COMPUTED_VALUE"""),"When your HP is 70% or more: Reduce damage recieved by 5%.")</f>
        <v>When your HP is 70% or more: Reduce damage recieved by 5%.</v>
      </c>
      <c r="C21" s="130"/>
      <c r="D21" s="129"/>
      <c r="E21" s="131" t="s">
        <v>7026</v>
      </c>
      <c r="F21" s="131" t="s">
        <v>7027</v>
      </c>
      <c r="G21" s="131" t="s">
        <v>7037</v>
      </c>
      <c r="H21" s="131" t="s">
        <v>7035</v>
      </c>
      <c r="I21" s="131" t="s">
        <v>7027</v>
      </c>
      <c r="J21" s="129"/>
      <c r="K21" s="133" t="str">
        <f>IFERROR(__xludf.DUMMYFUNCTION("""COMPUTED_VALUE"""),"When attacking an enemy inflicted With Aflame")</f>
        <v>When attacking an enemy inflicted With Aflame</v>
      </c>
      <c r="L21" s="131"/>
      <c r="M21" s="131" t="str">
        <f>IFERROR(__xludf.DUMMYFUNCTION("""COMPUTED_VALUE"""),"Reduce the cooldown time of Skill 1")</f>
        <v>Reduce the cooldown time of Skill 1</v>
      </c>
      <c r="N21" s="131"/>
      <c r="O21" s="131"/>
      <c r="P21" s="129"/>
      <c r="Q21" s="131" t="str">
        <f>IFERROR(__xludf.DUMMYFUNCTION("""COMPUTED_VALUE"""),"Buggy`s Delivery")</f>
        <v>Buggy`s Delivery</v>
      </c>
      <c r="R21" s="131" t="str">
        <f>IFERROR(__xludf.DUMMYFUNCTION("""COMPUTED_VALUE"""),"Buggy`s Delivery")</f>
        <v>Buggy`s Delivery</v>
      </c>
      <c r="S21" s="131" t="str">
        <f>IFERROR(__xludf.DUMMYFUNCTION("""COMPUTED_VALUE"""),"Cooldown Reduction (Skill 2)")</f>
        <v>Cooldown Reduction (Skill 2)</v>
      </c>
      <c r="T21" s="129"/>
    </row>
    <row r="22" ht="37.5" customHeight="1">
      <c r="A22" s="129"/>
      <c r="B22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22" s="130"/>
      <c r="D22" s="129"/>
      <c r="E22" s="131" t="s">
        <v>7041</v>
      </c>
      <c r="F22" s="131" t="s">
        <v>7027</v>
      </c>
      <c r="G22" s="131" t="s">
        <v>7042</v>
      </c>
      <c r="H22" s="131" t="s">
        <v>7029</v>
      </c>
      <c r="I22" s="131" t="s">
        <v>7027</v>
      </c>
      <c r="J22" s="129"/>
      <c r="K22" s="133" t="str">
        <f>IFERROR(__xludf.DUMMYFUNCTION("""COMPUTED_VALUE"""),"When attacking an enemy inflicted With Shock")</f>
        <v>When attacking an enemy inflicted With Shock</v>
      </c>
      <c r="L22" s="131"/>
      <c r="M22" s="131" t="str">
        <f>IFERROR(__xludf.DUMMYFUNCTION("""COMPUTED_VALUE"""),"Reduce the cooldown time of Skill 2")</f>
        <v>Reduce the cooldown time of Skill 2</v>
      </c>
      <c r="N22" s="131"/>
      <c r="O22" s="131"/>
      <c r="P22" s="129"/>
      <c r="Q22" s="131" t="str">
        <f>IFERROR(__xludf.DUMMYFUNCTION("""COMPUTED_VALUE"""),"Captain")</f>
        <v>Captain</v>
      </c>
      <c r="R22" s="131" t="str">
        <f>IFERROR(__xludf.DUMMYFUNCTION("""COMPUTED_VALUE"""),"Captain")</f>
        <v>Captain</v>
      </c>
      <c r="S22" s="131" t="str">
        <f>IFERROR(__xludf.DUMMYFUNCTION("""COMPUTED_VALUE"""),"Capture Speed Increase")</f>
        <v>Capture Speed Increase</v>
      </c>
      <c r="T22" s="129"/>
    </row>
    <row r="23" ht="37.5" customHeight="1">
      <c r="A23" s="129"/>
      <c r="B23" s="130" t="str">
        <f>IFERROR(__xludf.DUMMYFUNCTION("""COMPUTED_VALUE"""),"When Critical occurs: Recover HP by 2%.")</f>
        <v>When Critical occurs: Recover HP by 2%.</v>
      </c>
      <c r="C23" s="130"/>
      <c r="D23" s="129"/>
      <c r="E23" s="131" t="s">
        <v>7052</v>
      </c>
      <c r="F23" s="131" t="s">
        <v>7027</v>
      </c>
      <c r="G23" s="131" t="s">
        <v>7040</v>
      </c>
      <c r="H23" s="131" t="s">
        <v>7053</v>
      </c>
      <c r="I23" s="131" t="s">
        <v>7027</v>
      </c>
      <c r="J23" s="129"/>
      <c r="K23" s="133" t="str">
        <f>IFERROR(__xludf.DUMMYFUNCTION("""COMPUTED_VALUE"""),"When attacking an enemy inflicted With Sing_Sing")</f>
        <v>When attacking an enemy inflicted With Sing_Sing</v>
      </c>
      <c r="L23" s="131"/>
      <c r="M23" s="131" t="str">
        <f>IFERROR(__xludf.DUMMYFUNCTION("""COMPUTED_VALUE"""),"SPD Boosted")</f>
        <v>SPD Boosted</v>
      </c>
      <c r="N23" s="131"/>
      <c r="O23" s="131"/>
      <c r="P23" s="129"/>
      <c r="Q23" s="131" t="str">
        <f>IFERROR(__xludf.DUMMYFUNCTION("""COMPUTED_VALUE"""),"Captain of the Revolutionary Army")</f>
        <v>Captain of the Revolutionary Army</v>
      </c>
      <c r="R23" s="131" t="str">
        <f>IFERROR(__xludf.DUMMYFUNCTION("""COMPUTED_VALUE"""),"Captain of the Revolutionary Army")</f>
        <v>Captain of the Revolutionary Army</v>
      </c>
      <c r="S23" s="131" t="str">
        <f>IFERROR(__xludf.DUMMYFUNCTION("""COMPUTED_VALUE"""),"Capture Speed Increase")</f>
        <v>Capture Speed Increase</v>
      </c>
      <c r="T23" s="129"/>
    </row>
    <row r="24" ht="37.5" customHeight="1">
      <c r="A24" s="129"/>
      <c r="B24" s="130" t="str">
        <f>IFERROR(__xludf.DUMMYFUNCTION("""COMPUTED_VALUE"""),"When your HP is 70% or more: Reduce damage recieved by 5%.")</f>
        <v>When your HP is 70% or more: Reduce damage recieved by 5%.</v>
      </c>
      <c r="C24" s="130"/>
      <c r="D24" s="129"/>
      <c r="E24" s="131" t="s">
        <v>7026</v>
      </c>
      <c r="F24" s="131" t="s">
        <v>7027</v>
      </c>
      <c r="G24" s="131" t="s">
        <v>7037</v>
      </c>
      <c r="H24" s="131" t="s">
        <v>7035</v>
      </c>
      <c r="I24" s="131" t="s">
        <v>7027</v>
      </c>
      <c r="J24" s="129"/>
      <c r="K24" s="133" t="str">
        <f>IFERROR(__xludf.DUMMYFUNCTION("""COMPUTED_VALUE"""),"When attacking an enemy inflicted With Stun")</f>
        <v>When attacking an enemy inflicted With Stun</v>
      </c>
      <c r="L24" s="131"/>
      <c r="M24" s="131"/>
      <c r="N24" s="131"/>
      <c r="O24" s="131"/>
      <c r="P24" s="129"/>
      <c r="Q24" s="131" t="str">
        <f>IFERROR(__xludf.DUMMYFUNCTION("""COMPUTED_VALUE"""),"Chambres")</f>
        <v>Chambres</v>
      </c>
      <c r="R24" s="131" t="str">
        <f>IFERROR(__xludf.DUMMYFUNCTION("""COMPUTED_VALUE"""),"Chambres")</f>
        <v>Chambres</v>
      </c>
      <c r="S24" s="131" t="str">
        <f>IFERROR(__xludf.DUMMYFUNCTION("""COMPUTED_VALUE"""),"Recieved Damage Reduction (When your team has less Treasure secured)")</f>
        <v>Recieved Damage Reduction (When your team has less Treasure secured)</v>
      </c>
      <c r="T24" s="129"/>
    </row>
    <row r="25" ht="37.5" customHeight="1">
      <c r="A25" s="129"/>
      <c r="B25" s="130" t="str">
        <f>IFERROR(__xludf.DUMMYFUNCTION("""COMPUTED_VALUE"""),"When attacking a character type ``Fish_Man`` enemy: Increase damage dealt by 1%.")</f>
        <v>When attacking a character type ``Fish_Man`` enemy: Increase damage dealt by 1%.</v>
      </c>
      <c r="C25" s="130"/>
      <c r="D25" s="129"/>
      <c r="E25" s="131" t="s">
        <v>7054</v>
      </c>
      <c r="F25" s="131" t="s">
        <v>7027</v>
      </c>
      <c r="G25" s="131" t="s">
        <v>7034</v>
      </c>
      <c r="H25" s="131" t="s">
        <v>7055</v>
      </c>
      <c r="I25" s="131" t="s">
        <v>7027</v>
      </c>
      <c r="J25" s="129"/>
      <c r="K25" s="133" t="str">
        <f>IFERROR(__xludf.DUMMYFUNCTION("""COMPUTED_VALUE"""),"When attacking an enemy that is capturing Treasure")</f>
        <v>When attacking an enemy that is capturing Treasure</v>
      </c>
      <c r="L25" s="131"/>
      <c r="M25" s="131"/>
      <c r="N25" s="131"/>
      <c r="O25" s="131"/>
      <c r="P25" s="129"/>
      <c r="Q25" s="131" t="str">
        <f>IFERROR(__xludf.DUMMYFUNCTION("""COMPUTED_VALUE"""),"Charlotte Family")</f>
        <v>Charlotte Family</v>
      </c>
      <c r="R25" s="131" t="str">
        <f>IFERROR(__xludf.DUMMYFUNCTION("""COMPUTED_VALUE"""),"Charlotte Family")</f>
        <v>Charlotte Family</v>
      </c>
      <c r="S25" s="131" t="str">
        <f>IFERROR(__xludf.DUMMYFUNCTION("""COMPUTED_VALUE"""),"Inflicted Damage Increase (When your allies are near the Treasure area)")</f>
        <v>Inflicted Damage Increase (When your allies are near the Treasure area)</v>
      </c>
      <c r="T25" s="129"/>
    </row>
    <row r="26" ht="37.5" customHeight="1">
      <c r="A26" s="129"/>
      <c r="B26" s="130" t="str">
        <f>IFERROR(__xludf.DUMMYFUNCTION("""COMPUTED_VALUE"""),"After KOing an enemy: Recover HP by 5%.")</f>
        <v>After KOing an enemy: Recover HP by 5%.</v>
      </c>
      <c r="C26" s="130"/>
      <c r="D26" s="129"/>
      <c r="E26" s="131" t="s">
        <v>7039</v>
      </c>
      <c r="F26" s="131" t="s">
        <v>7027</v>
      </c>
      <c r="G26" s="131" t="s">
        <v>7040</v>
      </c>
      <c r="H26" s="131" t="s">
        <v>7035</v>
      </c>
      <c r="I26" s="131" t="s">
        <v>7027</v>
      </c>
      <c r="J26" s="129"/>
      <c r="K26" s="133" t="str">
        <f>IFERROR(__xludf.DUMMYFUNCTION("""COMPUTED_VALUE"""),"When attacking an enemy whose ATK are boosted")</f>
        <v>When attacking an enemy whose ATK are boosted</v>
      </c>
      <c r="L26" s="131"/>
      <c r="M26" s="131"/>
      <c r="N26" s="131"/>
      <c r="O26" s="131"/>
      <c r="P26" s="129"/>
      <c r="Q26" s="131" t="str">
        <f>IFERROR(__xludf.DUMMYFUNCTION("""COMPUTED_VALUE"""),"Chief of Staff")</f>
        <v>Chief of Staff</v>
      </c>
      <c r="R26" s="131" t="str">
        <f>IFERROR(__xludf.DUMMYFUNCTION("""COMPUTED_VALUE"""),"Chief of Staff")</f>
        <v>Chief of Staff</v>
      </c>
      <c r="S26" s="131" t="str">
        <f>IFERROR(__xludf.DUMMYFUNCTION("""COMPUTED_VALUE"""),"Capture Speed Increase")</f>
        <v>Capture Speed Increase</v>
      </c>
      <c r="T26" s="129"/>
    </row>
    <row r="27" ht="37.5" customHeight="1">
      <c r="A27" s="129"/>
      <c r="B27" s="130" t="str">
        <f>IFERROR(__xludf.DUMMYFUNCTION("""COMPUTED_VALUE"""),"When you Knockback an enemy: Recover HP by 3%.")</f>
        <v>When you Knockback an enemy: Recover HP by 3%.</v>
      </c>
      <c r="C27" s="130"/>
      <c r="D27" s="129"/>
      <c r="E27" s="131" t="s">
        <v>7056</v>
      </c>
      <c r="F27" s="131" t="s">
        <v>7027</v>
      </c>
      <c r="G27" s="131" t="s">
        <v>7040</v>
      </c>
      <c r="H27" s="131" t="s">
        <v>7038</v>
      </c>
      <c r="I27" s="131" t="s">
        <v>7027</v>
      </c>
      <c r="J27" s="129"/>
      <c r="K27" s="133" t="str">
        <f>IFERROR(__xludf.DUMMYFUNCTION("""COMPUTED_VALUE"""),"When attacking an enemy whose DEF is boosted")</f>
        <v>When attacking an enemy whose DEF is boosted</v>
      </c>
      <c r="L27" s="131"/>
      <c r="M27" s="131"/>
      <c r="N27" s="131"/>
      <c r="O27" s="131"/>
      <c r="P27" s="129"/>
      <c r="Q27" s="131" t="str">
        <f>IFERROR(__xludf.DUMMYFUNCTION("""COMPUTED_VALUE"""),"Child")</f>
        <v>Child</v>
      </c>
      <c r="R27" s="131" t="str">
        <f>IFERROR(__xludf.DUMMYFUNCTION("""COMPUTED_VALUE"""),"Child")</f>
        <v>Child</v>
      </c>
      <c r="S27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27" s="129"/>
    </row>
    <row r="28" ht="37.5" customHeight="1">
      <c r="A28" s="129"/>
      <c r="B28" s="130" t="str">
        <f>IFERROR(__xludf.DUMMYFUNCTION("""COMPUTED_VALUE"""),"When your HP is 70% or more: Reduce damage recieved by 5%.")</f>
        <v>When your HP is 70% or more: Reduce damage recieved by 5%.</v>
      </c>
      <c r="C28" s="130"/>
      <c r="D28" s="129"/>
      <c r="E28" s="131" t="s">
        <v>7026</v>
      </c>
      <c r="F28" s="131" t="s">
        <v>7027</v>
      </c>
      <c r="G28" s="131" t="s">
        <v>7037</v>
      </c>
      <c r="H28" s="131" t="s">
        <v>7035</v>
      </c>
      <c r="I28" s="131" t="s">
        <v>7027</v>
      </c>
      <c r="J28" s="129"/>
      <c r="K28" s="133" t="str">
        <f>IFERROR(__xludf.DUMMYFUNCTION("""COMPUTED_VALUE"""),"When attacking an enemy with a Normal Attack")</f>
        <v>When attacking an enemy with a Normal Attack</v>
      </c>
      <c r="L28" s="131"/>
      <c r="M28" s="131"/>
      <c r="N28" s="131"/>
      <c r="O28" s="131"/>
      <c r="P28" s="129"/>
      <c r="Q28" s="131" t="str">
        <f>IFERROR(__xludf.DUMMYFUNCTION("""COMPUTED_VALUE"""),"Cipher Pol")</f>
        <v>Cipher Pol</v>
      </c>
      <c r="R28" s="131" t="str">
        <f>IFERROR(__xludf.DUMMYFUNCTION("""COMPUTED_VALUE"""),"Cipher Pol")</f>
        <v>Cipher Pol</v>
      </c>
      <c r="S28" s="131" t="str">
        <f>IFERROR(__xludf.DUMMYFUNCTION("""COMPUTED_VALUE"""),"Cooldown Reduction (Skill 2)")</f>
        <v>Cooldown Reduction (Skill 2)</v>
      </c>
      <c r="T28" s="129"/>
    </row>
    <row r="29" ht="37.5" customHeight="1">
      <c r="A29" s="129"/>
      <c r="B29" s="130" t="str">
        <f>IFERROR(__xludf.DUMMYFUNCTION("""COMPUTED_VALUE"""),"When performing a Perfect Dodge: Reduce the cooldown time of Skill 1 by 3%.")</f>
        <v>When performing a Perfect Dodge: Reduce the cooldown time of Skill 1 by 3%.</v>
      </c>
      <c r="C29" s="130"/>
      <c r="D29" s="129"/>
      <c r="E29" s="131" t="s">
        <v>7057</v>
      </c>
      <c r="F29" s="131" t="s">
        <v>7027</v>
      </c>
      <c r="G29" s="131" t="s">
        <v>7058</v>
      </c>
      <c r="H29" s="131" t="s">
        <v>7038</v>
      </c>
      <c r="I29" s="131" t="s">
        <v>7027</v>
      </c>
      <c r="J29" s="129"/>
      <c r="K29" s="133" t="str">
        <f>IFERROR(__xludf.DUMMYFUNCTION("""COMPUTED_VALUE"""),"When attacking an enemy with Skill 2")</f>
        <v>When attacking an enemy with Skill 2</v>
      </c>
      <c r="L29" s="131"/>
      <c r="M29" s="131"/>
      <c r="N29" s="131"/>
      <c r="O29" s="131"/>
      <c r="P29" s="129"/>
      <c r="Q29" s="131" t="str">
        <f>IFERROR(__xludf.DUMMYFUNCTION("""COMPUTED_VALUE"""),"Combatant")</f>
        <v>Combatant</v>
      </c>
      <c r="R29" s="131" t="str">
        <f>IFERROR(__xludf.DUMMYFUNCTION("""COMPUTED_VALUE"""),"Combatant")</f>
        <v>Combatant</v>
      </c>
      <c r="S29" s="131" t="str">
        <f>IFERROR(__xludf.DUMMYFUNCTION("""COMPUTED_VALUE"""),"Capture Speed Increase")</f>
        <v>Capture Speed Increase</v>
      </c>
      <c r="T29" s="129"/>
    </row>
    <row r="30" ht="37.5" customHeight="1">
      <c r="A30" s="129"/>
      <c r="B30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30" s="130"/>
      <c r="D30" s="129"/>
      <c r="E30" s="131" t="s">
        <v>7041</v>
      </c>
      <c r="F30" s="131" t="s">
        <v>7027</v>
      </c>
      <c r="G30" s="131" t="s">
        <v>7034</v>
      </c>
      <c r="H30" s="131" t="s">
        <v>7035</v>
      </c>
      <c r="I30" s="131" t="s">
        <v>7027</v>
      </c>
      <c r="J30" s="129"/>
      <c r="K30" s="133" t="str">
        <f>IFERROR(__xludf.DUMMYFUNCTION("""COMPUTED_VALUE"""),"When attacking an enemy with the Element you are strong against")</f>
        <v>When attacking an enemy with the Element you are strong against</v>
      </c>
      <c r="L30" s="131"/>
      <c r="M30" s="131"/>
      <c r="N30" s="131"/>
      <c r="O30" s="131"/>
      <c r="P30" s="129"/>
      <c r="Q30" s="131" t="str">
        <f>IFERROR(__xludf.DUMMYFUNCTION("""COMPUTED_VALUE"""),"Cook")</f>
        <v>Cook</v>
      </c>
      <c r="R30" s="131" t="str">
        <f>IFERROR(__xludf.DUMMYFUNCTION("""COMPUTED_VALUE"""),"Cook")</f>
        <v>Cook</v>
      </c>
      <c r="S30" s="131" t="str">
        <f>IFERROR(__xludf.DUMMYFUNCTION("""COMPUTED_VALUE"""),"Capture Speed Increase")</f>
        <v>Capture Speed Increase</v>
      </c>
      <c r="T30" s="129"/>
    </row>
    <row r="31" ht="37.5" customHeight="1">
      <c r="A31" s="129"/>
      <c r="B31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31" s="130"/>
      <c r="D31" s="129"/>
      <c r="E31" s="131" t="s">
        <v>7041</v>
      </c>
      <c r="F31" s="131" t="s">
        <v>7027</v>
      </c>
      <c r="G31" s="131" t="s">
        <v>7037</v>
      </c>
      <c r="H31" s="131" t="s">
        <v>7035</v>
      </c>
      <c r="I31" s="131" t="s">
        <v>7027</v>
      </c>
      <c r="J31" s="129"/>
      <c r="K31" s="133" t="str">
        <f>IFERROR(__xludf.DUMMYFUNCTION("""COMPUTED_VALUE"""),"When attacking an enemy with the same Element")</f>
        <v>When attacking an enemy with the same Element</v>
      </c>
      <c r="L31" s="131"/>
      <c r="M31" s="131"/>
      <c r="N31" s="131"/>
      <c r="O31" s="131"/>
      <c r="P31" s="129"/>
      <c r="Q31" s="131" t="str">
        <f>IFERROR(__xludf.DUMMYFUNCTION("""COMPUTED_VALUE"""),"Diamante Army")</f>
        <v>Diamante Army</v>
      </c>
      <c r="R31" s="131" t="str">
        <f>IFERROR(__xludf.DUMMYFUNCTION("""COMPUTED_VALUE"""),"Diamante Army")</f>
        <v>Diamante Army</v>
      </c>
      <c r="S31" s="131" t="str">
        <f>IFERROR(__xludf.DUMMYFUNCTION("""COMPUTED_VALUE"""),"Capture Speed Increase")</f>
        <v>Capture Speed Increase</v>
      </c>
      <c r="T31" s="129"/>
    </row>
    <row r="32" ht="37.5" customHeight="1">
      <c r="A32" s="129"/>
      <c r="B32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32" s="130"/>
      <c r="D32" s="129"/>
      <c r="E32" s="131" t="s">
        <v>7041</v>
      </c>
      <c r="F32" s="131" t="s">
        <v>7027</v>
      </c>
      <c r="G32" s="131" t="s">
        <v>7034</v>
      </c>
      <c r="H32" s="131" t="s">
        <v>7035</v>
      </c>
      <c r="I32" s="131" t="s">
        <v>7027</v>
      </c>
      <c r="J32" s="129"/>
      <c r="K32" s="133" t="str">
        <f>IFERROR(__xludf.DUMMYFUNCTION("""COMPUTED_VALUE"""),"When Critical occurs")</f>
        <v>When Critical occurs</v>
      </c>
      <c r="L32" s="131"/>
      <c r="M32" s="131"/>
      <c r="N32" s="131"/>
      <c r="O32" s="131"/>
      <c r="P32" s="129"/>
      <c r="Q32" s="131" t="str">
        <f>IFERROR(__xludf.DUMMYFUNCTION("""COMPUTED_VALUE"""),"Doctor")</f>
        <v>Doctor</v>
      </c>
      <c r="R32" s="131" t="str">
        <f>IFERROR(__xludf.DUMMYFUNCTION("""COMPUTED_VALUE"""),"Doctor")</f>
        <v>Doctor</v>
      </c>
      <c r="S32" s="131" t="str">
        <f>IFERROR(__xludf.DUMMYFUNCTION("""COMPUTED_VALUE"""),"Capture Speed Increase")</f>
        <v>Capture Speed Increase</v>
      </c>
      <c r="T32" s="129"/>
    </row>
    <row r="33" ht="37.5" customHeight="1">
      <c r="A33" s="129"/>
      <c r="B33" s="130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C33" s="130"/>
      <c r="D33" s="129"/>
      <c r="E33" s="131" t="s">
        <v>7059</v>
      </c>
      <c r="F33" s="131" t="s">
        <v>7027</v>
      </c>
      <c r="G33" s="131" t="s">
        <v>7050</v>
      </c>
      <c r="H33" s="131" t="s">
        <v>7038</v>
      </c>
      <c r="I33" s="131" t="s">
        <v>7027</v>
      </c>
      <c r="J33" s="129"/>
      <c r="K33" s="133" t="str">
        <f>IFERROR(__xludf.DUMMYFUNCTION("""COMPUTED_VALUE"""),"When enemies are inflicted with Aflame")</f>
        <v>When enemies are inflicted with Aflame</v>
      </c>
      <c r="L33" s="131"/>
      <c r="M33" s="131"/>
      <c r="N33" s="131"/>
      <c r="O33" s="131"/>
      <c r="P33" s="129"/>
      <c r="Q33" s="131" t="str">
        <f>IFERROR(__xludf.DUMMYFUNCTION("""COMPUTED_VALUE"""),"Don Quixote Family")</f>
        <v>Don Quixote Family</v>
      </c>
      <c r="R33" s="131" t="str">
        <f>IFERROR(__xludf.DUMMYFUNCTION("""COMPUTED_VALUE"""),"Don Quixote Family")</f>
        <v>Don Quixote Family</v>
      </c>
      <c r="S33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33" s="129"/>
    </row>
    <row r="34" ht="37.5" customHeight="1">
      <c r="A34" s="129"/>
      <c r="B34" s="130" t="str">
        <f>IFERROR(__xludf.DUMMYFUNCTION("""COMPUTED_VALUE"""),"When an ally is KO`d (not including you): Recover HP by 3%.")</f>
        <v>When an ally is KO`d (not including you): Recover HP by 3%.</v>
      </c>
      <c r="C34" s="130"/>
      <c r="D34" s="129"/>
      <c r="E34" s="131" t="s">
        <v>7060</v>
      </c>
      <c r="F34" s="131" t="s">
        <v>7027</v>
      </c>
      <c r="G34" s="131" t="s">
        <v>7040</v>
      </c>
      <c r="H34" s="131" t="s">
        <v>7038</v>
      </c>
      <c r="I34" s="131" t="s">
        <v>7027</v>
      </c>
      <c r="J34" s="129"/>
      <c r="K34" s="133" t="str">
        <f>IFERROR(__xludf.DUMMYFUNCTION("""COMPUTED_VALUE"""),"When enemies are inflicted with Freeze")</f>
        <v>When enemies are inflicted with Freeze</v>
      </c>
      <c r="L34" s="131"/>
      <c r="M34" s="131"/>
      <c r="N34" s="131"/>
      <c r="O34" s="131"/>
      <c r="P34" s="129"/>
      <c r="Q34" s="131" t="str">
        <f>IFERROR(__xludf.DUMMYFUNCTION("""COMPUTED_VALUE"""),"Dressrosa")</f>
        <v>Dressrosa</v>
      </c>
      <c r="R34" s="131" t="str">
        <f>IFERROR(__xludf.DUMMYFUNCTION("""COMPUTED_VALUE"""),"Dressrosa")</f>
        <v>Dressrosa</v>
      </c>
      <c r="S34" s="131" t="str">
        <f>IFERROR(__xludf.DUMMYFUNCTION("""COMPUTED_VALUE"""),"Cooldown Reduction (Skill 1)")</f>
        <v>Cooldown Reduction (Skill 1)</v>
      </c>
      <c r="T34" s="129"/>
    </row>
    <row r="35" ht="37.5" customHeight="1">
      <c r="A35" s="129"/>
      <c r="B35" s="130" t="str">
        <f>IFERROR(__xludf.DUMMYFUNCTION("""COMPUTED_VALUE"""),"When your HP is 70% or more: Increase damage dealt by 5%.")</f>
        <v>When your HP is 70% or more: Increase damage dealt by 5%.</v>
      </c>
      <c r="C35" s="130"/>
      <c r="D35" s="129"/>
      <c r="E35" s="131" t="s">
        <v>7026</v>
      </c>
      <c r="F35" s="131" t="s">
        <v>7027</v>
      </c>
      <c r="G35" s="131" t="s">
        <v>7034</v>
      </c>
      <c r="H35" s="131" t="s">
        <v>7035</v>
      </c>
      <c r="I35" s="131" t="s">
        <v>7027</v>
      </c>
      <c r="J35" s="129"/>
      <c r="K35" s="133" t="str">
        <f>IFERROR(__xludf.DUMMYFUNCTION("""COMPUTED_VALUE"""),"When enemies are inflicted with Recovery Block")</f>
        <v>When enemies are inflicted with Recovery Block</v>
      </c>
      <c r="L35" s="131"/>
      <c r="M35" s="131"/>
      <c r="N35" s="131"/>
      <c r="O35" s="131"/>
      <c r="P35" s="129"/>
      <c r="Q35" s="131" t="str">
        <f>IFERROR(__xludf.DUMMYFUNCTION("""COMPUTED_VALUE"""),"East Blue")</f>
        <v>East Blue</v>
      </c>
      <c r="R35" s="131" t="str">
        <f>IFERROR(__xludf.DUMMYFUNCTION("""COMPUTED_VALUE"""),"East Blue")</f>
        <v>East Blue</v>
      </c>
      <c r="S35" s="131" t="str">
        <f>IFERROR(__xludf.DUMMYFUNCTION("""COMPUTED_VALUE"""),"Cooldown Reduction (Skill 1)")</f>
        <v>Cooldown Reduction (Skill 1)</v>
      </c>
      <c r="T35" s="129"/>
    </row>
    <row r="36" ht="37.5" customHeight="1">
      <c r="A36" s="129"/>
      <c r="B36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36" s="130"/>
      <c r="D36" s="129"/>
      <c r="E36" s="131" t="s">
        <v>7041</v>
      </c>
      <c r="F36" s="131" t="s">
        <v>7027</v>
      </c>
      <c r="G36" s="131" t="s">
        <v>7037</v>
      </c>
      <c r="H36" s="131" t="s">
        <v>7035</v>
      </c>
      <c r="I36" s="131" t="s">
        <v>7027</v>
      </c>
      <c r="J36" s="129"/>
      <c r="K36" s="133" t="str">
        <f>IFERROR(__xludf.DUMMYFUNCTION("""COMPUTED_VALUE"""),"When enemies are inflicted with Shock")</f>
        <v>When enemies are inflicted with Shock</v>
      </c>
      <c r="L36" s="131"/>
      <c r="M36" s="131"/>
      <c r="N36" s="131"/>
      <c r="O36" s="131"/>
      <c r="P36" s="129"/>
      <c r="Q36" s="131" t="str">
        <f>IFERROR(__xludf.DUMMYFUNCTION("""COMPUTED_VALUE"""),"Egghead")</f>
        <v>Egghead</v>
      </c>
      <c r="R36" s="131" t="str">
        <f>IFERROR(__xludf.DUMMYFUNCTION("""COMPUTED_VALUE"""),"Egghead")</f>
        <v>Egghead</v>
      </c>
      <c r="S36" s="131" t="str">
        <f>IFERROR(__xludf.DUMMYFUNCTION("""COMPUTED_VALUE"""),"Cooldown Reduction (Skill 1)")</f>
        <v>Cooldown Reduction (Skill 1)</v>
      </c>
      <c r="T36" s="129"/>
    </row>
    <row r="37" ht="37.5" customHeight="1">
      <c r="A37" s="129"/>
      <c r="B37" s="130" t="str">
        <f>IFERROR(__xludf.DUMMYFUNCTION("""COMPUTED_VALUE"""),"When attacking an enemy that is capturing Treasure: Reduce the cooldown time of Skill 1 by 2%.")</f>
        <v>When attacking an enemy that is capturing Treasure: Reduce the cooldown time of Skill 1 by 2%.</v>
      </c>
      <c r="C37" s="130"/>
      <c r="D37" s="129"/>
      <c r="E37" s="131" t="s">
        <v>7059</v>
      </c>
      <c r="F37" s="131" t="s">
        <v>7027</v>
      </c>
      <c r="G37" s="131" t="s">
        <v>7058</v>
      </c>
      <c r="H37" s="131" t="s">
        <v>7053</v>
      </c>
      <c r="I37" s="131" t="s">
        <v>7027</v>
      </c>
      <c r="J37" s="129"/>
      <c r="K37" s="133" t="str">
        <f>IFERROR(__xludf.DUMMYFUNCTION("""COMPUTED_VALUE"""),"When hit with Knockback by enemy")</f>
        <v>When hit with Knockback by enemy</v>
      </c>
      <c r="L37" s="131"/>
      <c r="M37" s="131"/>
      <c r="N37" s="131"/>
      <c r="O37" s="131"/>
      <c r="P37" s="129"/>
      <c r="Q37" s="131" t="str">
        <f>IFERROR(__xludf.DUMMYFUNCTION("""COMPUTED_VALUE"""),"Fake Straw Hat Pirates")</f>
        <v>Fake Straw Hat Pirates</v>
      </c>
      <c r="R37" s="131" t="str">
        <f>IFERROR(__xludf.DUMMYFUNCTION("""COMPUTED_VALUE"""),"Fake Straw Hat Pirates")</f>
        <v>Fake Straw Hat Pirates</v>
      </c>
      <c r="S37" s="131" t="str">
        <f>IFERROR(__xludf.DUMMYFUNCTION("""COMPUTED_VALUE"""),"Cooldown Reduction (Skill 2)")</f>
        <v>Cooldown Reduction (Skill 2)</v>
      </c>
      <c r="T37" s="129"/>
    </row>
    <row r="38" ht="37.5" customHeight="1">
      <c r="A38" s="129"/>
      <c r="B38" s="130" t="str">
        <f>IFERROR(__xludf.DUMMYFUNCTION("""COMPUTED_VALUE"""),"When your HP is 70% or more: Reduce damage recieved by 5%.")</f>
        <v>When your HP is 70% or more: Reduce damage recieved by 5%.</v>
      </c>
      <c r="C38" s="130"/>
      <c r="D38" s="129"/>
      <c r="E38" s="131" t="s">
        <v>7026</v>
      </c>
      <c r="F38" s="131" t="s">
        <v>7027</v>
      </c>
      <c r="G38" s="131" t="s">
        <v>7037</v>
      </c>
      <c r="H38" s="131" t="s">
        <v>7035</v>
      </c>
      <c r="I38" s="131" t="s">
        <v>7027</v>
      </c>
      <c r="J38" s="129"/>
      <c r="K38" s="133" t="str">
        <f>IFERROR(__xludf.DUMMYFUNCTION("""COMPUTED_VALUE"""),"When in the area around your captured Treasure")</f>
        <v>When in the area around your captured Treasure</v>
      </c>
      <c r="L38" s="131"/>
      <c r="M38" s="131"/>
      <c r="N38" s="131"/>
      <c r="O38" s="131"/>
      <c r="P38" s="129"/>
      <c r="Q38" s="131" t="str">
        <f>IFERROR(__xludf.DUMMYFUNCTION("""COMPUTED_VALUE"""),"FILM GOLD")</f>
        <v>FILM GOLD</v>
      </c>
      <c r="R38" s="131" t="str">
        <f>IFERROR(__xludf.DUMMYFUNCTION("""COMPUTED_VALUE"""),"FILM GOLD")</f>
        <v>FILM GOLD</v>
      </c>
      <c r="S38" s="131" t="str">
        <f>IFERROR(__xludf.DUMMYFUNCTION("""COMPUTED_VALUE"""),"Cooldown Reduction (Skill 1)")</f>
        <v>Cooldown Reduction (Skill 1)</v>
      </c>
      <c r="T38" s="129"/>
    </row>
    <row r="39" ht="37.5" customHeight="1">
      <c r="A39" s="129"/>
      <c r="B39" s="130" t="str">
        <f>IFERROR(__xludf.DUMMYFUNCTION("""COMPUTED_VALUE"""),"When you capture the Treasure: Reduce the cooldown time of Skill 2 by 8%.")</f>
        <v>When you capture the Treasure: Reduce the cooldown time of Skill 2 by 8%.</v>
      </c>
      <c r="C39" s="130"/>
      <c r="D39" s="129"/>
      <c r="E39" s="131" t="s">
        <v>7048</v>
      </c>
      <c r="F39" s="131" t="s">
        <v>7027</v>
      </c>
      <c r="G39" s="131" t="s">
        <v>7050</v>
      </c>
      <c r="H39" s="131" t="s">
        <v>7032</v>
      </c>
      <c r="I39" s="131" t="s">
        <v>7027</v>
      </c>
      <c r="J39" s="129"/>
      <c r="K39" s="133" t="str">
        <f>IFERROR(__xludf.DUMMYFUNCTION("""COMPUTED_VALUE"""),"When in the area around your enemy`s Treasure")</f>
        <v>When in the area around your enemy`s Treasure</v>
      </c>
      <c r="L39" s="131"/>
      <c r="M39" s="131"/>
      <c r="N39" s="131"/>
      <c r="O39" s="131"/>
      <c r="P39" s="129"/>
      <c r="Q39" s="131" t="str">
        <f>IFERROR(__xludf.DUMMYFUNCTION("""COMPUTED_VALUE"""),"FILM RED")</f>
        <v>FILM RED</v>
      </c>
      <c r="R39" s="131" t="str">
        <f>IFERROR(__xludf.DUMMYFUNCTION("""COMPUTED_VALUE"""),"FILM RED")</f>
        <v>FILM RED</v>
      </c>
      <c r="S39" s="131" t="str">
        <f>IFERROR(__xludf.DUMMYFUNCTION("""COMPUTED_VALUE"""),"Cooldown Reduction (Skill 1)")</f>
        <v>Cooldown Reduction (Skill 1)</v>
      </c>
      <c r="T39" s="129"/>
    </row>
    <row r="40" ht="37.5" customHeight="1">
      <c r="A40" s="129"/>
      <c r="B40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40" s="130"/>
      <c r="D40" s="129"/>
      <c r="E40" s="131" t="s">
        <v>7045</v>
      </c>
      <c r="F40" s="131" t="s">
        <v>7027</v>
      </c>
      <c r="G40" s="131" t="s">
        <v>7037</v>
      </c>
      <c r="H40" s="131" t="s">
        <v>7035</v>
      </c>
      <c r="I40" s="131" t="s">
        <v>7027</v>
      </c>
      <c r="J40" s="129"/>
      <c r="K40" s="133" t="str">
        <f>IFERROR(__xludf.DUMMYFUNCTION("""COMPUTED_VALUE"""),"When in the Treasure Area")</f>
        <v>When in the Treasure Area</v>
      </c>
      <c r="L40" s="131"/>
      <c r="M40" s="131"/>
      <c r="N40" s="131"/>
      <c r="O40" s="131"/>
      <c r="P40" s="129"/>
      <c r="Q40" s="131" t="str">
        <f>IFERROR(__xludf.DUMMYFUNCTION("""COMPUTED_VALUE"""),"FILM STRONG WORLD")</f>
        <v>FILM STRONG WORLD</v>
      </c>
      <c r="R40" s="131" t="str">
        <f>IFERROR(__xludf.DUMMYFUNCTION("""COMPUTED_VALUE"""),"FILM STRONG WORLD")</f>
        <v>FILM STRONG WORLD</v>
      </c>
      <c r="S40" s="131" t="str">
        <f>IFERROR(__xludf.DUMMYFUNCTION("""COMPUTED_VALUE"""),"Cooldown Reduction (Skill 1)")</f>
        <v>Cooldown Reduction (Skill 1)</v>
      </c>
      <c r="T40" s="129"/>
    </row>
    <row r="41" ht="37.5" customHeight="1">
      <c r="A41" s="129"/>
      <c r="B41" s="130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C41" s="130"/>
      <c r="D41" s="129"/>
      <c r="E41" s="131" t="s">
        <v>7026</v>
      </c>
      <c r="F41" s="131" t="s">
        <v>7027</v>
      </c>
      <c r="G41" s="131" t="s">
        <v>7042</v>
      </c>
      <c r="H41" s="131" t="s">
        <v>7029</v>
      </c>
      <c r="I41" s="131" t="s">
        <v>7027</v>
      </c>
      <c r="J41" s="129"/>
      <c r="K41" s="133" t="str">
        <f>IFERROR(__xludf.DUMMYFUNCTION("""COMPUTED_VALUE"""),"When inflicted with Aflame by enemies")</f>
        <v>When inflicted with Aflame by enemies</v>
      </c>
      <c r="L41" s="131"/>
      <c r="M41" s="131"/>
      <c r="N41" s="131"/>
      <c r="O41" s="131"/>
      <c r="P41" s="129"/>
      <c r="Q41" s="131" t="str">
        <f>IFERROR(__xludf.DUMMYFUNCTION("""COMPUTED_VALUE"""),"FILM Z")</f>
        <v>FILM Z</v>
      </c>
      <c r="R41" s="131" t="str">
        <f>IFERROR(__xludf.DUMMYFUNCTION("""COMPUTED_VALUE"""),"FILM Z")</f>
        <v>FILM Z</v>
      </c>
      <c r="S41" s="131" t="str">
        <f>IFERROR(__xludf.DUMMYFUNCTION("""COMPUTED_VALUE"""),"Cooldown Reduction (Skill 1)")</f>
        <v>Cooldown Reduction (Skill 1)</v>
      </c>
      <c r="T41" s="129"/>
    </row>
    <row r="42" ht="37.5" customHeight="1">
      <c r="A42" s="129"/>
      <c r="B42" s="130" t="str">
        <f>IFERROR(__xludf.DUMMYFUNCTION("""COMPUTED_VALUE"""),"When you Knockback an enemy: Recover HP by 3%.")</f>
        <v>When you Knockback an enemy: Recover HP by 3%.</v>
      </c>
      <c r="C42" s="130"/>
      <c r="D42" s="129"/>
      <c r="E42" s="131" t="s">
        <v>7056</v>
      </c>
      <c r="F42" s="131" t="s">
        <v>7027</v>
      </c>
      <c r="G42" s="131" t="s">
        <v>7040</v>
      </c>
      <c r="H42" s="131" t="s">
        <v>7038</v>
      </c>
      <c r="I42" s="131" t="s">
        <v>7027</v>
      </c>
      <c r="J42" s="129"/>
      <c r="K42" s="133" t="str">
        <f>IFERROR(__xludf.DUMMYFUNCTION("""COMPUTED_VALUE"""),"When inflicted with Freeze by enemies")</f>
        <v>When inflicted with Freeze by enemies</v>
      </c>
      <c r="L42" s="131"/>
      <c r="M42" s="131"/>
      <c r="N42" s="131"/>
      <c r="O42" s="131"/>
      <c r="P42" s="129"/>
      <c r="Q42" s="131" t="str">
        <f>IFERROR(__xludf.DUMMYFUNCTION("""COMPUTED_VALUE"""),"Firetank Pirates")</f>
        <v>Firetank Pirates</v>
      </c>
      <c r="R42" s="131" t="str">
        <f>IFERROR(__xludf.DUMMYFUNCTION("""COMPUTED_VALUE"""),"Firetank Pirates")</f>
        <v>Firetank Pirates</v>
      </c>
      <c r="S42" s="131" t="str">
        <f>IFERROR(__xludf.DUMMYFUNCTION("""COMPUTED_VALUE"""),"Cooldown Reduction (Skill 2)")</f>
        <v>Cooldown Reduction (Skill 2)</v>
      </c>
      <c r="T42" s="129"/>
    </row>
    <row r="43" ht="37.5" customHeight="1">
      <c r="A43" s="129"/>
      <c r="B43" s="130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C43" s="130"/>
      <c r="D43" s="129"/>
      <c r="E43" s="131" t="s">
        <v>7061</v>
      </c>
      <c r="F43" s="131" t="s">
        <v>7027</v>
      </c>
      <c r="G43" s="131" t="s">
        <v>7034</v>
      </c>
      <c r="H43" s="131" t="s">
        <v>7038</v>
      </c>
      <c r="I43" s="131" t="s">
        <v>7027</v>
      </c>
      <c r="J43" s="129"/>
      <c r="K43" s="133" t="str">
        <f>IFERROR(__xludf.DUMMYFUNCTION("""COMPUTED_VALUE"""),"When inflicted with Shock by enemies")</f>
        <v>When inflicted with Shock by enemies</v>
      </c>
      <c r="L43" s="131"/>
      <c r="M43" s="131"/>
      <c r="N43" s="131"/>
      <c r="O43" s="131"/>
      <c r="P43" s="129"/>
      <c r="Q43" s="131" t="str">
        <f>IFERROR(__xludf.DUMMYFUNCTION("""COMPUTED_VALUE"""),"Fish_Man")</f>
        <v>Fish_Man</v>
      </c>
      <c r="R43" s="131" t="str">
        <f>IFERROR(__xludf.DUMMYFUNCTION("""COMPUTED_VALUE"""),"Fish_Man")</f>
        <v>Fish_Man</v>
      </c>
      <c r="S43" s="131" t="str">
        <f>IFERROR(__xludf.DUMMYFUNCTION("""COMPUTED_VALUE"""),"SPD Increase (When spawning)")</f>
        <v>SPD Increase (When spawning)</v>
      </c>
      <c r="T43" s="129"/>
    </row>
    <row r="44" ht="37.5" customHeight="1">
      <c r="A44" s="129"/>
      <c r="B44" s="130" t="str">
        <f>IFERROR(__xludf.DUMMYFUNCTION("""COMPUTED_VALUE"""),"When using Skill 2: Reduce the cooldown time of Skill 1 by 5%.")</f>
        <v>When using Skill 2: Reduce the cooldown time of Skill 1 by 5%.</v>
      </c>
      <c r="C44" s="130"/>
      <c r="D44" s="129"/>
      <c r="E44" s="131" t="s">
        <v>7062</v>
      </c>
      <c r="F44" s="131" t="s">
        <v>7027</v>
      </c>
      <c r="G44" s="131" t="s">
        <v>7058</v>
      </c>
      <c r="H44" s="131" t="s">
        <v>7035</v>
      </c>
      <c r="I44" s="131" t="s">
        <v>7027</v>
      </c>
      <c r="J44" s="129"/>
      <c r="K44" s="133" t="str">
        <f>IFERROR(__xludf.DUMMYFUNCTION("""COMPUTED_VALUE"""),"When inflicted with Tremor by enemies")</f>
        <v>When inflicted with Tremor by enemies</v>
      </c>
      <c r="L44" s="131"/>
      <c r="M44" s="131"/>
      <c r="N44" s="131"/>
      <c r="O44" s="131"/>
      <c r="P44" s="129"/>
      <c r="Q44" s="131" t="str">
        <f>IFERROR(__xludf.DUMMYFUNCTION("""COMPUTED_VALUE"""),"Fish_Man Island")</f>
        <v>Fish_Man Island</v>
      </c>
      <c r="R44" s="131" t="str">
        <f>IFERROR(__xludf.DUMMYFUNCTION("""COMPUTED_VALUE"""),"Fish_Man Island")</f>
        <v>Fish_Man Island</v>
      </c>
      <c r="S44" s="131" t="str">
        <f>IFERROR(__xludf.DUMMYFUNCTION("""COMPUTED_VALUE"""),"Cooldown Reduction (Skill 1)")</f>
        <v>Cooldown Reduction (Skill 1)</v>
      </c>
      <c r="T44" s="129"/>
    </row>
    <row r="45" ht="37.5" customHeight="1">
      <c r="A45" s="129"/>
      <c r="B45" s="130" t="str">
        <f>IFERROR(__xludf.DUMMYFUNCTION("""COMPUTED_VALUE"""),"When your HP is 70% or more: Reduce damage recieved by 5%.")</f>
        <v>When your HP is 70% or more: Reduce damage recieved by 5%.</v>
      </c>
      <c r="C45" s="130"/>
      <c r="D45" s="129"/>
      <c r="E45" s="131" t="s">
        <v>7026</v>
      </c>
      <c r="F45" s="131" t="s">
        <v>7027</v>
      </c>
      <c r="G45" s="131" t="s">
        <v>7037</v>
      </c>
      <c r="H45" s="131" t="s">
        <v>7035</v>
      </c>
      <c r="I45" s="131" t="s">
        <v>7027</v>
      </c>
      <c r="J45" s="129"/>
      <c r="K45" s="133" t="str">
        <f>IFERROR(__xludf.DUMMYFUNCTION("""COMPUTED_VALUE"""),"When performing a Perfect Dodge")</f>
        <v>When performing a Perfect Dodge</v>
      </c>
      <c r="L45" s="131"/>
      <c r="M45" s="131"/>
      <c r="N45" s="131"/>
      <c r="O45" s="131"/>
      <c r="P45" s="129"/>
      <c r="Q45" s="131" t="str">
        <f>IFERROR(__xludf.DUMMYFUNCTION("""COMPUTED_VALUE"""),"Fish_Man Karate")</f>
        <v>Fish_Man Karate</v>
      </c>
      <c r="R45" s="131" t="str">
        <f>IFERROR(__xludf.DUMMYFUNCTION("""COMPUTED_VALUE"""),"Fish_Man Karate")</f>
        <v>Fish_Man Karate</v>
      </c>
      <c r="S45" s="131" t="str">
        <f>IFERROR(__xludf.DUMMYFUNCTION("""COMPUTED_VALUE"""),"Recieved Damage Reduction (When your team has less Treasure secured)")</f>
        <v>Recieved Damage Reduction (When your team has less Treasure secured)</v>
      </c>
      <c r="T45" s="129"/>
    </row>
    <row r="46" ht="37.5" customHeight="1">
      <c r="A46" s="129"/>
      <c r="B46" s="130" t="str">
        <f>IFERROR(__xludf.DUMMYFUNCTION("""COMPUTED_VALUE"""),"When your HP is 70% or more: Increase damage dealt by 5%.")</f>
        <v>When your HP is 70% or more: Increase damage dealt by 5%.</v>
      </c>
      <c r="C46" s="130"/>
      <c r="D46" s="129"/>
      <c r="E46" s="131" t="s">
        <v>7026</v>
      </c>
      <c r="F46" s="131" t="s">
        <v>7027</v>
      </c>
      <c r="G46" s="131" t="s">
        <v>7034</v>
      </c>
      <c r="H46" s="131" t="s">
        <v>7035</v>
      </c>
      <c r="I46" s="131" t="s">
        <v>7027</v>
      </c>
      <c r="J46" s="129"/>
      <c r="K46" s="133" t="str">
        <f>IFERROR(__xludf.DUMMYFUNCTION("""COMPUTED_VALUE"""),"When Respawned")</f>
        <v>When Respawned</v>
      </c>
      <c r="L46" s="131"/>
      <c r="M46" s="131"/>
      <c r="N46" s="131"/>
      <c r="O46" s="131"/>
      <c r="P46" s="129"/>
      <c r="Q46" s="131" t="str">
        <f>IFERROR(__xludf.DUMMYFUNCTION("""COMPUTED_VALUE"""),"Fleet Admiral")</f>
        <v>Fleet Admiral</v>
      </c>
      <c r="R46" s="131" t="str">
        <f>IFERROR(__xludf.DUMMYFUNCTION("""COMPUTED_VALUE"""),"Fleet Admiral")</f>
        <v>Fleet Admiral</v>
      </c>
      <c r="S46" s="131" t="str">
        <f>IFERROR(__xludf.DUMMYFUNCTION("""COMPUTED_VALUE"""),"Capture Speed Increase")</f>
        <v>Capture Speed Increase</v>
      </c>
      <c r="T46" s="129"/>
    </row>
    <row r="47" ht="37.5" customHeight="1">
      <c r="A47" s="129"/>
      <c r="B47" s="130" t="str">
        <f>IFERROR(__xludf.DUMMYFUNCTION("""COMPUTED_VALUE"""),"When you capture the Treasure: Reduce the cooldown time of Skill 2 by 8%.")</f>
        <v>When you capture the Treasure: Reduce the cooldown time of Skill 2 by 8%.</v>
      </c>
      <c r="C47" s="130"/>
      <c r="D47" s="129"/>
      <c r="E47" s="131" t="s">
        <v>7048</v>
      </c>
      <c r="F47" s="131" t="s">
        <v>7027</v>
      </c>
      <c r="G47" s="131" t="s">
        <v>7050</v>
      </c>
      <c r="H47" s="131" t="s">
        <v>7032</v>
      </c>
      <c r="I47" s="131" t="s">
        <v>7027</v>
      </c>
      <c r="J47" s="129"/>
      <c r="K47" s="133" t="str">
        <f>IFERROR(__xludf.DUMMYFUNCTION("""COMPUTED_VALUE"""),"When the equipped character is character type ``Cipher Pol``")</f>
        <v>When the equipped character is character type ``Cipher Pol``</v>
      </c>
      <c r="L47" s="131"/>
      <c r="M47" s="131"/>
      <c r="N47" s="131"/>
      <c r="O47" s="131"/>
      <c r="P47" s="129"/>
      <c r="Q47" s="131" t="str">
        <f>IFERROR(__xludf.DUMMYFUNCTION("""COMPUTED_VALUE"""),"Flying Pirates")</f>
        <v>Flying Pirates</v>
      </c>
      <c r="R47" s="131" t="str">
        <f>IFERROR(__xludf.DUMMYFUNCTION("""COMPUTED_VALUE"""),"Flying Pirates")</f>
        <v>Flying Pirates</v>
      </c>
      <c r="S47" s="131" t="str">
        <f>IFERROR(__xludf.DUMMYFUNCTION("""COMPUTED_VALUE"""),"Cooldown Reduction (Skill 2)")</f>
        <v>Cooldown Reduction (Skill 2)</v>
      </c>
      <c r="T47" s="129"/>
    </row>
    <row r="48" ht="37.5" customHeight="1">
      <c r="A48" s="129"/>
      <c r="B48" s="130" t="str">
        <f>IFERROR(__xludf.DUMMYFUNCTION("""COMPUTED_VALUE"""),"When attacking a character type ``Zoan`` enemy: Increase damage dealt by 5%.")</f>
        <v>When attacking a character type ``Zoan`` enemy: Increase damage dealt by 5%.</v>
      </c>
      <c r="C48" s="130"/>
      <c r="D48" s="129"/>
      <c r="E48" s="131" t="s">
        <v>7063</v>
      </c>
      <c r="F48" s="131" t="s">
        <v>7027</v>
      </c>
      <c r="G48" s="131" t="s">
        <v>7034</v>
      </c>
      <c r="H48" s="131" t="s">
        <v>7035</v>
      </c>
      <c r="I48" s="131" t="s">
        <v>7027</v>
      </c>
      <c r="J48" s="129"/>
      <c r="K48" s="133" t="str">
        <f>IFERROR(__xludf.DUMMYFUNCTION("""COMPUTED_VALUE"""),"When the equipped character is character type ``Long_Range Normal Attacks``")</f>
        <v>When the equipped character is character type ``Long_Range Normal Attacks``</v>
      </c>
      <c r="L48" s="131"/>
      <c r="M48" s="131"/>
      <c r="N48" s="131"/>
      <c r="O48" s="131"/>
      <c r="P48" s="129"/>
      <c r="Q48" s="131" t="str">
        <f>IFERROR(__xludf.DUMMYFUNCTION("""COMPUTED_VALUE"""),"Former Rocks Pirates")</f>
        <v>Former Rocks Pirates</v>
      </c>
      <c r="R48" s="131" t="str">
        <f>IFERROR(__xludf.DUMMYFUNCTION("""COMPUTED_VALUE"""),"Former Rocks Pirates")</f>
        <v>Former Rocks Pirates</v>
      </c>
      <c r="S48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48" s="129"/>
    </row>
    <row r="49" ht="37.5" customHeight="1">
      <c r="A49" s="129"/>
      <c r="B49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49" s="130"/>
      <c r="D49" s="129"/>
      <c r="E49" s="131" t="s">
        <v>7045</v>
      </c>
      <c r="F49" s="131" t="s">
        <v>7027</v>
      </c>
      <c r="G49" s="131" t="s">
        <v>7034</v>
      </c>
      <c r="H49" s="131" t="s">
        <v>7035</v>
      </c>
      <c r="I49" s="131" t="s">
        <v>7027</v>
      </c>
      <c r="J49" s="129"/>
      <c r="K49" s="133" t="str">
        <f>IFERROR(__xludf.DUMMYFUNCTION("""COMPUTED_VALUE"""),"When the equipped character is character type ``Straw Hat Pirates``")</f>
        <v>When the equipped character is character type ``Straw Hat Pirates``</v>
      </c>
      <c r="L49" s="131"/>
      <c r="M49" s="131"/>
      <c r="N49" s="131"/>
      <c r="O49" s="131"/>
      <c r="P49" s="129"/>
      <c r="Q49" s="131" t="str">
        <f>IFERROR(__xludf.DUMMYFUNCTION("""COMPUTED_VALUE"""),"Foxy Pirates")</f>
        <v>Foxy Pirates</v>
      </c>
      <c r="R49" s="131" t="str">
        <f>IFERROR(__xludf.DUMMYFUNCTION("""COMPUTED_VALUE"""),"Foxy Pirates")</f>
        <v>Foxy Pirates</v>
      </c>
      <c r="S49" s="131" t="str">
        <f>IFERROR(__xludf.DUMMYFUNCTION("""COMPUTED_VALUE"""),"#N/A")</f>
        <v>#N/A</v>
      </c>
      <c r="T49" s="129"/>
    </row>
    <row r="50" ht="37.5" customHeight="1">
      <c r="A50" s="129"/>
      <c r="B50" s="130" t="str">
        <f>IFERROR(__xludf.DUMMYFUNCTION("""COMPUTED_VALUE"""),"When you capture the Treasure: Reduce the cooldown time of Skill 2 by 8%.")</f>
        <v>When you capture the Treasure: Reduce the cooldown time of Skill 2 by 8%.</v>
      </c>
      <c r="C50" s="130"/>
      <c r="D50" s="129"/>
      <c r="E50" s="131" t="s">
        <v>7048</v>
      </c>
      <c r="F50" s="131" t="s">
        <v>7027</v>
      </c>
      <c r="G50" s="131" t="s">
        <v>7050</v>
      </c>
      <c r="H50" s="131" t="s">
        <v>7032</v>
      </c>
      <c r="I50" s="131" t="s">
        <v>7027</v>
      </c>
      <c r="J50" s="129"/>
      <c r="K50" s="133" t="str">
        <f>IFERROR(__xludf.DUMMYFUNCTION("""COMPUTED_VALUE"""),"When there are 45 seconds or less remaining")</f>
        <v>When there are 45 seconds or less remaining</v>
      </c>
      <c r="L50" s="131"/>
      <c r="M50" s="131"/>
      <c r="N50" s="131"/>
      <c r="O50" s="131"/>
      <c r="P50" s="129"/>
      <c r="Q50" s="131" t="str">
        <f>IFERROR(__xludf.DUMMYFUNCTION("""COMPUTED_VALUE"""),"Germa 66")</f>
        <v>Germa 66</v>
      </c>
      <c r="R50" s="131" t="str">
        <f>IFERROR(__xludf.DUMMYFUNCTION("""COMPUTED_VALUE"""),"Germa 66")</f>
        <v>Germa 66</v>
      </c>
      <c r="S50" s="131" t="str">
        <f>IFERROR(__xludf.DUMMYFUNCTION("""COMPUTED_VALUE"""),"Inflicted Damage Increase (When your team has less Treasure secured)")</f>
        <v>Inflicted Damage Increase (When your team has less Treasure secured)</v>
      </c>
      <c r="T50" s="129"/>
    </row>
    <row r="51" ht="37.5" customHeight="1">
      <c r="A51" s="129"/>
      <c r="B51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51" s="130"/>
      <c r="D51" s="129"/>
      <c r="E51" s="131" t="s">
        <v>7064</v>
      </c>
      <c r="F51" s="131" t="s">
        <v>7027</v>
      </c>
      <c r="G51" s="131" t="s">
        <v>7034</v>
      </c>
      <c r="H51" s="131" t="s">
        <v>7035</v>
      </c>
      <c r="I51" s="131" t="s">
        <v>7027</v>
      </c>
      <c r="J51" s="129"/>
      <c r="K51" s="133" t="str">
        <f>IFERROR(__xludf.DUMMYFUNCTION("""COMPUTED_VALUE"""),"When there are 60 seconds or less remaining")</f>
        <v>When there are 60 seconds or less remaining</v>
      </c>
      <c r="L51" s="131"/>
      <c r="M51" s="131"/>
      <c r="N51" s="131"/>
      <c r="O51" s="131"/>
      <c r="P51" s="129"/>
      <c r="Q51" s="131" t="str">
        <f>IFERROR(__xludf.DUMMYFUNCTION("""COMPUTED_VALUE"""),"Giant")</f>
        <v>Giant</v>
      </c>
      <c r="R51" s="131" t="str">
        <f>IFERROR(__xludf.DUMMYFUNCTION("""COMPUTED_VALUE"""),"Giant")</f>
        <v>Giant</v>
      </c>
      <c r="S51" s="131" t="str">
        <f>IFERROR(__xludf.DUMMYFUNCTION("""COMPUTED_VALUE"""),"Inflicted Damage Increase (When your allies are near the Treasure area)")</f>
        <v>Inflicted Damage Increase (When your allies are near the Treasure area)</v>
      </c>
      <c r="T51" s="129"/>
    </row>
    <row r="52" ht="37.5" customHeight="1">
      <c r="A52" s="129"/>
      <c r="B52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52" s="130"/>
      <c r="D52" s="129"/>
      <c r="E52" s="131" t="s">
        <v>7041</v>
      </c>
      <c r="F52" s="131" t="s">
        <v>7027</v>
      </c>
      <c r="G52" s="131" t="s">
        <v>7037</v>
      </c>
      <c r="H52" s="131" t="s">
        <v>7035</v>
      </c>
      <c r="I52" s="131" t="s">
        <v>7027</v>
      </c>
      <c r="J52" s="129"/>
      <c r="K52" s="133" t="str">
        <f>IFERROR(__xludf.DUMMYFUNCTION("""COMPUTED_VALUE"""),"When there are 90 seconds or less remaining")</f>
        <v>When there are 90 seconds or less remaining</v>
      </c>
      <c r="L52" s="131"/>
      <c r="M52" s="131"/>
      <c r="N52" s="131"/>
      <c r="O52" s="131"/>
      <c r="P52" s="129"/>
      <c r="Q52" s="131" t="str">
        <f>IFERROR(__xludf.DUMMYFUNCTION("""COMPUTED_VALUE"""),"Giant Pirate Crew")</f>
        <v>Giant Pirate Crew</v>
      </c>
      <c r="R52" s="131" t="str">
        <f>IFERROR(__xludf.DUMMYFUNCTION("""COMPUTED_VALUE"""),"Giant Pirate Crew")</f>
        <v>Giant Pirate Crew</v>
      </c>
      <c r="S52" s="131" t="str">
        <f>IFERROR(__xludf.DUMMYFUNCTION("""COMPUTED_VALUE"""),"Cooldown Reduction (Skill 2)")</f>
        <v>Cooldown Reduction (Skill 2)</v>
      </c>
      <c r="T52" s="129"/>
    </row>
    <row r="53" ht="37.5" customHeight="1">
      <c r="A53" s="129"/>
      <c r="B53" s="130" t="str">
        <f>IFERROR(__xludf.DUMMYFUNCTION("""COMPUTED_VALUE"""),"When your HP is 70% or more: Reduce damage recieved by 5%.")</f>
        <v>When your HP is 70% or more: Reduce damage recieved by 5%.</v>
      </c>
      <c r="C53" s="130"/>
      <c r="D53" s="129"/>
      <c r="E53" s="131" t="s">
        <v>7026</v>
      </c>
      <c r="F53" s="131" t="s">
        <v>7027</v>
      </c>
      <c r="G53" s="131" t="s">
        <v>7037</v>
      </c>
      <c r="H53" s="131" t="s">
        <v>7035</v>
      </c>
      <c r="I53" s="131" t="s">
        <v>7027</v>
      </c>
      <c r="J53" s="129"/>
      <c r="K53" s="133" t="str">
        <f>IFERROR(__xludf.DUMMYFUNCTION("""COMPUTED_VALUE"""),"When there are 90 seconds or more remaining")</f>
        <v>When there are 90 seconds or more remaining</v>
      </c>
      <c r="L53" s="131"/>
      <c r="M53" s="131"/>
      <c r="N53" s="131"/>
      <c r="O53" s="131"/>
      <c r="P53" s="129"/>
      <c r="Q53" s="131" t="str">
        <f>IFERROR(__xludf.DUMMYFUNCTION("""COMPUTED_VALUE"""),"God`s Army")</f>
        <v>God`s Army</v>
      </c>
      <c r="R53" s="131" t="str">
        <f>IFERROR(__xludf.DUMMYFUNCTION("""COMPUTED_VALUE"""),"God`s Army")</f>
        <v>God`s Army</v>
      </c>
      <c r="S53" s="131" t="str">
        <f>IFERROR(__xludf.DUMMYFUNCTION("""COMPUTED_VALUE"""),"Cooldown Reduction (Skill 2)")</f>
        <v>Cooldown Reduction (Skill 2)</v>
      </c>
      <c r="T53" s="129"/>
    </row>
    <row r="54" ht="37.5" customHeight="1">
      <c r="A54" s="129"/>
      <c r="B54" s="130" t="str">
        <f>IFERROR(__xludf.DUMMYFUNCTION("""COMPUTED_VALUE"""),"When you capture the Treasure: Reduce the cooldown time of Skill 1 by 8%.")</f>
        <v>When you capture the Treasure: Reduce the cooldown time of Skill 1 by 8%.</v>
      </c>
      <c r="C54" s="130"/>
      <c r="D54" s="129"/>
      <c r="E54" s="131" t="s">
        <v>7048</v>
      </c>
      <c r="F54" s="131" t="s">
        <v>7027</v>
      </c>
      <c r="G54" s="131" t="s">
        <v>7058</v>
      </c>
      <c r="H54" s="131" t="s">
        <v>7032</v>
      </c>
      <c r="I54" s="131" t="s">
        <v>7027</v>
      </c>
      <c r="J54" s="129"/>
      <c r="K54" s="133" t="str">
        <f>IFERROR(__xludf.DUMMYFUNCTION("""COMPUTED_VALUE"""),"When Treasure Gauge is recovered to 100%")</f>
        <v>When Treasure Gauge is recovered to 100%</v>
      </c>
      <c r="L54" s="131"/>
      <c r="M54" s="131"/>
      <c r="N54" s="131"/>
      <c r="O54" s="131"/>
      <c r="P54" s="129"/>
      <c r="Q54" s="131" t="str">
        <f>IFERROR(__xludf.DUMMYFUNCTION("""COMPUTED_VALUE"""),"Gorgon Sisters")</f>
        <v>Gorgon Sisters</v>
      </c>
      <c r="R54" s="131" t="str">
        <f>IFERROR(__xludf.DUMMYFUNCTION("""COMPUTED_VALUE"""),"Gorgon Sisters")</f>
        <v>Gorgon Sisters</v>
      </c>
      <c r="S54" s="131" t="str">
        <f>IFERROR(__xludf.DUMMYFUNCTION("""COMPUTED_VALUE"""),"Inflicted Damage Increase (When your allies are near the Treasure area)")</f>
        <v>Inflicted Damage Increase (When your allies are near the Treasure area)</v>
      </c>
      <c r="T54" s="129"/>
    </row>
    <row r="55" ht="37.5" customHeight="1">
      <c r="A55" s="129"/>
      <c r="B55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55" s="130"/>
      <c r="D55" s="129"/>
      <c r="E55" s="131" t="s">
        <v>7045</v>
      </c>
      <c r="F55" s="131" t="s">
        <v>7027</v>
      </c>
      <c r="G55" s="131" t="s">
        <v>7037</v>
      </c>
      <c r="H55" s="131" t="s">
        <v>7035</v>
      </c>
      <c r="I55" s="131" t="s">
        <v>7027</v>
      </c>
      <c r="J55" s="129"/>
      <c r="K55" s="133" t="str">
        <f>IFERROR(__xludf.DUMMYFUNCTION("""COMPUTED_VALUE"""),"When using Skill 1")</f>
        <v>When using Skill 1</v>
      </c>
      <c r="L55" s="131"/>
      <c r="M55" s="131"/>
      <c r="N55" s="131"/>
      <c r="O55" s="131"/>
      <c r="P55" s="129"/>
      <c r="Q55" s="131" t="str">
        <f>IFERROR(__xludf.DUMMYFUNCTION("""COMPUTED_VALUE"""),"Headliner")</f>
        <v>Headliner</v>
      </c>
      <c r="R55" s="131" t="str">
        <f>IFERROR(__xludf.DUMMYFUNCTION("""COMPUTED_VALUE"""),"Headliner")</f>
        <v>Headliner</v>
      </c>
      <c r="S55" s="131" t="str">
        <f>IFERROR(__xludf.DUMMYFUNCTION("""COMPUTED_VALUE"""),"Capture Speed Increase")</f>
        <v>Capture Speed Increase</v>
      </c>
      <c r="T55" s="129"/>
    </row>
    <row r="56" ht="37.5" customHeight="1">
      <c r="A56" s="129"/>
      <c r="B56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56" s="130"/>
      <c r="D56" s="129"/>
      <c r="E56" s="131" t="s">
        <v>7041</v>
      </c>
      <c r="F56" s="131" t="s">
        <v>7027</v>
      </c>
      <c r="G56" s="131" t="s">
        <v>7037</v>
      </c>
      <c r="H56" s="131" t="s">
        <v>7035</v>
      </c>
      <c r="I56" s="131" t="s">
        <v>7027</v>
      </c>
      <c r="J56" s="129"/>
      <c r="K56" s="133" t="str">
        <f>IFERROR(__xludf.DUMMYFUNCTION("""COMPUTED_VALUE"""),"When using Skill 2")</f>
        <v>When using Skill 2</v>
      </c>
      <c r="L56" s="131"/>
      <c r="M56" s="131"/>
      <c r="N56" s="131"/>
      <c r="O56" s="131"/>
      <c r="P56" s="129"/>
      <c r="Q56" s="131" t="str">
        <f>IFERROR(__xludf.DUMMYFUNCTION("""COMPUTED_VALUE"""),"Heart Pirates")</f>
        <v>Heart Pirates</v>
      </c>
      <c r="R56" s="131" t="str">
        <f>IFERROR(__xludf.DUMMYFUNCTION("""COMPUTED_VALUE"""),"Heart Pirates")</f>
        <v>Heart Pirates</v>
      </c>
      <c r="S56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56" s="129"/>
    </row>
    <row r="57" ht="37.5" customHeight="1">
      <c r="A57" s="129"/>
      <c r="B57" s="130" t="str">
        <f>IFERROR(__xludf.DUMMYFUNCTION("""COMPUTED_VALUE"""),"When you Knockback an enemy: Recover HP by 3%.")</f>
        <v>When you Knockback an enemy: Recover HP by 3%.</v>
      </c>
      <c r="C57" s="130"/>
      <c r="D57" s="129"/>
      <c r="E57" s="131" t="s">
        <v>7056</v>
      </c>
      <c r="F57" s="131" t="s">
        <v>7027</v>
      </c>
      <c r="G57" s="131" t="s">
        <v>7040</v>
      </c>
      <c r="H57" s="131" t="s">
        <v>7038</v>
      </c>
      <c r="I57" s="131" t="s">
        <v>7027</v>
      </c>
      <c r="J57" s="129"/>
      <c r="K57" s="133" t="str">
        <f>IFERROR(__xludf.DUMMYFUNCTION("""COMPUTED_VALUE"""),"When you are Downed")</f>
        <v>When you are Downed</v>
      </c>
      <c r="L57" s="131"/>
      <c r="M57" s="131"/>
      <c r="N57" s="131"/>
      <c r="O57" s="131"/>
      <c r="P57" s="129"/>
      <c r="Q57" s="131" t="str">
        <f>IFERROR(__xludf.DUMMYFUNCTION("""COMPUTED_VALUE"""),"Helmsman")</f>
        <v>Helmsman</v>
      </c>
      <c r="R57" s="131" t="str">
        <f>IFERROR(__xludf.DUMMYFUNCTION("""COMPUTED_VALUE"""),"Helmsman")</f>
        <v>Helmsman</v>
      </c>
      <c r="S57" s="131" t="str">
        <f>IFERROR(__xludf.DUMMYFUNCTION("""COMPUTED_VALUE"""),"Capture Speed Increase")</f>
        <v>Capture Speed Increase</v>
      </c>
      <c r="T57" s="129"/>
    </row>
    <row r="58" ht="37.5" customHeight="1">
      <c r="A58" s="129"/>
      <c r="B58" s="130" t="str">
        <f>IFERROR(__xludf.DUMMYFUNCTION("""COMPUTED_VALUE"""),"When enemies are inflicted with Recovery Block: Reduce the cooldown time of Skill 2 by 6%.")</f>
        <v>When enemies are inflicted with Recovery Block: Reduce the cooldown time of Skill 2 by 6%.</v>
      </c>
      <c r="C58" s="130"/>
      <c r="D58" s="129"/>
      <c r="E58" s="131" t="s">
        <v>7065</v>
      </c>
      <c r="F58" s="131" t="s">
        <v>7027</v>
      </c>
      <c r="G58" s="131" t="s">
        <v>7050</v>
      </c>
      <c r="H58" s="131" t="s">
        <v>7066</v>
      </c>
      <c r="I58" s="131" t="s">
        <v>7027</v>
      </c>
      <c r="J58" s="129"/>
      <c r="K58" s="133" t="str">
        <f>IFERROR(__xludf.DUMMYFUNCTION("""COMPUTED_VALUE"""),"When you are in your Enemy`s Treasure Area and the Treasure Gauge is 50% or less")</f>
        <v>When you are in your Enemy`s Treasure Area and the Treasure Gauge is 50% or less</v>
      </c>
      <c r="L58" s="131"/>
      <c r="M58" s="131"/>
      <c r="N58" s="131"/>
      <c r="O58" s="131"/>
      <c r="P58" s="129"/>
      <c r="Q58" s="131" t="str">
        <f>IFERROR(__xludf.DUMMYFUNCTION("""COMPUTED_VALUE"""),"Holy Night")</f>
        <v>Holy Night</v>
      </c>
      <c r="R58" s="131" t="str">
        <f>IFERROR(__xludf.DUMMYFUNCTION("""COMPUTED_VALUE"""),"Holy Night")</f>
        <v>Holy Night</v>
      </c>
      <c r="S58" s="131" t="str">
        <f>IFERROR(__xludf.DUMMYFUNCTION("""COMPUTED_VALUE"""),"Cooldown Reduction (Skill 1)")</f>
        <v>Cooldown Reduction (Skill 1)</v>
      </c>
      <c r="T58" s="129"/>
    </row>
    <row r="59" ht="37.5" customHeight="1">
      <c r="A59" s="129"/>
      <c r="B59" s="130" t="str">
        <f>IFERROR(__xludf.DUMMYFUNCTION("""COMPUTED_VALUE"""),"When attacked by a character type ``Straw Hat Pirates`` enemy: Reduce damage recieved by 3%.")</f>
        <v>When attacked by a character type ``Straw Hat Pirates`` enemy: Reduce damage recieved by 3%.</v>
      </c>
      <c r="C59" s="130"/>
      <c r="D59" s="129"/>
      <c r="E59" s="131" t="s">
        <v>7067</v>
      </c>
      <c r="F59" s="131" t="s">
        <v>7027</v>
      </c>
      <c r="G59" s="131" t="s">
        <v>7037</v>
      </c>
      <c r="H59" s="131" t="s">
        <v>7038</v>
      </c>
      <c r="I59" s="131" t="s">
        <v>7027</v>
      </c>
      <c r="J59" s="129"/>
      <c r="K59" s="133" t="str">
        <f>IFERROR(__xludf.DUMMYFUNCTION("""COMPUTED_VALUE"""),"When you are in your Enemy`s Treasure Area and the Treasure Gauge is 50% or more")</f>
        <v>When you are in your Enemy`s Treasure Area and the Treasure Gauge is 50% or more</v>
      </c>
      <c r="L59" s="131"/>
      <c r="M59" s="131"/>
      <c r="N59" s="131"/>
      <c r="O59" s="131"/>
      <c r="P59" s="129"/>
      <c r="Q59" s="131" t="str">
        <f>IFERROR(__xludf.DUMMYFUNCTION("""COMPUTED_VALUE"""),"Homies")</f>
        <v>Homies</v>
      </c>
      <c r="R59" s="131" t="str">
        <f>IFERROR(__xludf.DUMMYFUNCTION("""COMPUTED_VALUE"""),"Homies")</f>
        <v>Homies</v>
      </c>
      <c r="S59" s="131" t="str">
        <f>IFERROR(__xludf.DUMMYFUNCTION("""COMPUTED_VALUE"""),"Inflicted Damage Increase (When your team has less Treasure secured)")</f>
        <v>Inflicted Damage Increase (When your team has less Treasure secured)</v>
      </c>
      <c r="T59" s="129"/>
    </row>
    <row r="60" ht="37.5" customHeight="1">
      <c r="A60" s="129"/>
      <c r="B60" s="130" t="str">
        <f>IFERROR(__xludf.DUMMYFUNCTION("""COMPUTED_VALUE"""),"When attacking an enemy that is capturing Treasure: Recover HP by 3%.")</f>
        <v>When attacking an enemy that is capturing Treasure: Recover HP by 3%.</v>
      </c>
      <c r="C60" s="130"/>
      <c r="D60" s="129"/>
      <c r="E60" s="131" t="s">
        <v>7059</v>
      </c>
      <c r="F60" s="131" t="s">
        <v>7027</v>
      </c>
      <c r="G60" s="131" t="s">
        <v>7040</v>
      </c>
      <c r="H60" s="131" t="s">
        <v>7038</v>
      </c>
      <c r="I60" s="131" t="s">
        <v>7027</v>
      </c>
      <c r="J60" s="129"/>
      <c r="K60" s="133" t="str">
        <f>IFERROR(__xludf.DUMMYFUNCTION("""COMPUTED_VALUE"""),"When you are in your team`s Treasure Area and the Trasure Gauge is 80% or more")</f>
        <v>When you are in your team`s Treasure Area and the Trasure Gauge is 80% or more</v>
      </c>
      <c r="L60" s="131"/>
      <c r="M60" s="131"/>
      <c r="N60" s="131"/>
      <c r="O60" s="131"/>
      <c r="P60" s="129"/>
      <c r="Q60" s="131" t="str">
        <f>IFERROR(__xludf.DUMMYFUNCTION("""COMPUTED_VALUE"""),"Impel Down")</f>
        <v>Impel Down</v>
      </c>
      <c r="R60" s="131" t="str">
        <f>IFERROR(__xludf.DUMMYFUNCTION("""COMPUTED_VALUE"""),"Impel Down")</f>
        <v>Impel Down</v>
      </c>
      <c r="S60" s="131" t="str">
        <f>IFERROR(__xludf.DUMMYFUNCTION("""COMPUTED_VALUE"""),"Cooldown Reduction (Skill 1)")</f>
        <v>Cooldown Reduction (Skill 1)</v>
      </c>
      <c r="T60" s="129"/>
    </row>
    <row r="61" ht="37.5" customHeight="1">
      <c r="A61" s="129"/>
      <c r="B61" s="130" t="str">
        <f>IFERROR(__xludf.DUMMYFUNCTION("""COMPUTED_VALUE"""),"When attacking an enemy that is capturing Treasure: Increase damage dealt by 3%.")</f>
        <v>When attacking an enemy that is capturing Treasure: Increase damage dealt by 3%.</v>
      </c>
      <c r="C61" s="130"/>
      <c r="D61" s="129"/>
      <c r="E61" s="131" t="s">
        <v>7059</v>
      </c>
      <c r="F61" s="131" t="s">
        <v>7027</v>
      </c>
      <c r="G61" s="131" t="s">
        <v>7034</v>
      </c>
      <c r="H61" s="131" t="s">
        <v>7038</v>
      </c>
      <c r="I61" s="131" t="s">
        <v>7027</v>
      </c>
      <c r="J61" s="129"/>
      <c r="K61" s="133" t="str">
        <f>IFERROR(__xludf.DUMMYFUNCTION("""COMPUTED_VALUE"""),"When you capture the Treasure")</f>
        <v>When you capture the Treasure</v>
      </c>
      <c r="L61" s="131"/>
      <c r="M61" s="131"/>
      <c r="N61" s="131"/>
      <c r="O61" s="131"/>
      <c r="P61" s="129"/>
      <c r="Q61" s="131" t="str">
        <f>IFERROR(__xludf.DUMMYFUNCTION("""COMPUTED_VALUE"""),"Intelligence Agent")</f>
        <v>Intelligence Agent</v>
      </c>
      <c r="R61" s="131" t="str">
        <f>IFERROR(__xludf.DUMMYFUNCTION("""COMPUTED_VALUE"""),"Intelligence Agent")</f>
        <v>Intelligence Agent</v>
      </c>
      <c r="S61" s="131" t="str">
        <f>IFERROR(__xludf.DUMMYFUNCTION("""COMPUTED_VALUE"""),"Capture Speed Increase")</f>
        <v>Capture Speed Increase</v>
      </c>
      <c r="T61" s="129"/>
    </row>
    <row r="62" ht="37.5" customHeight="1">
      <c r="A62" s="129"/>
      <c r="B62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62" s="130"/>
      <c r="D62" s="129"/>
      <c r="E62" s="131" t="s">
        <v>7045</v>
      </c>
      <c r="F62" s="131" t="s">
        <v>7027</v>
      </c>
      <c r="G62" s="131" t="s">
        <v>7037</v>
      </c>
      <c r="H62" s="131" t="s">
        <v>7035</v>
      </c>
      <c r="I62" s="131" t="s">
        <v>7027</v>
      </c>
      <c r="J62" s="129"/>
      <c r="K62" s="133" t="str">
        <f>IFERROR(__xludf.DUMMYFUNCTION("""COMPUTED_VALUE"""),"When you Down an enemy")</f>
        <v>When you Down an enemy</v>
      </c>
      <c r="L62" s="131"/>
      <c r="M62" s="131"/>
      <c r="N62" s="131"/>
      <c r="O62" s="131"/>
      <c r="P62" s="129"/>
      <c r="Q62" s="131" t="str">
        <f>IFERROR(__xludf.DUMMYFUNCTION("""COMPUTED_VALUE"""),"Kid Pirates")</f>
        <v>Kid Pirates</v>
      </c>
      <c r="R62" s="131" t="str">
        <f>IFERROR(__xludf.DUMMYFUNCTION("""COMPUTED_VALUE"""),"Kid Pirates")</f>
        <v>Kid Pirates</v>
      </c>
      <c r="S62" s="131" t="str">
        <f>IFERROR(__xludf.DUMMYFUNCTION("""COMPUTED_VALUE"""),"Cooldown Reduction (Skill 2)")</f>
        <v>Cooldown Reduction (Skill 2)</v>
      </c>
      <c r="T62" s="129"/>
    </row>
    <row r="63" ht="37.5" customHeight="1">
      <c r="A63" s="129"/>
      <c r="B63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63" s="130"/>
      <c r="D63" s="129"/>
      <c r="E63" s="131" t="s">
        <v>7045</v>
      </c>
      <c r="F63" s="131" t="s">
        <v>7027</v>
      </c>
      <c r="G63" s="131" t="s">
        <v>7037</v>
      </c>
      <c r="H63" s="131" t="s">
        <v>7035</v>
      </c>
      <c r="I63" s="131" t="s">
        <v>7027</v>
      </c>
      <c r="J63" s="129"/>
      <c r="K63" s="133" t="str">
        <f>IFERROR(__xludf.DUMMYFUNCTION("""COMPUTED_VALUE"""),"When you Knockback an enemy")</f>
        <v>When you Knockback an enemy</v>
      </c>
      <c r="L63" s="131"/>
      <c r="M63" s="131"/>
      <c r="N63" s="131"/>
      <c r="O63" s="131"/>
      <c r="P63" s="129"/>
      <c r="Q63" s="131" t="str">
        <f>IFERROR(__xludf.DUMMYFUNCTION("""COMPUTED_VALUE"""),"Kingsbird")</f>
        <v>Kingsbird</v>
      </c>
      <c r="R63" s="131" t="str">
        <f>IFERROR(__xludf.DUMMYFUNCTION("""COMPUTED_VALUE"""),"Kingsbird")</f>
        <v>Kingsbird</v>
      </c>
      <c r="S63" s="131" t="str">
        <f>IFERROR(__xludf.DUMMYFUNCTION("""COMPUTED_VALUE"""),"Capture Speed Increase")</f>
        <v>Capture Speed Increase</v>
      </c>
      <c r="T63" s="129"/>
    </row>
    <row r="64" ht="37.5" customHeight="1">
      <c r="A64" s="129"/>
      <c r="B64" s="130" t="str">
        <f>IFERROR(__xludf.DUMMYFUNCTION("""COMPUTED_VALUE"""),"When you capture the Treasure: Recover HP by 5%.")</f>
        <v>When you capture the Treasure: Recover HP by 5%.</v>
      </c>
      <c r="C64" s="130"/>
      <c r="D64" s="129"/>
      <c r="E64" s="131" t="s">
        <v>7048</v>
      </c>
      <c r="F64" s="131" t="s">
        <v>7027</v>
      </c>
      <c r="G64" s="131" t="s">
        <v>7040</v>
      </c>
      <c r="H64" s="131" t="s">
        <v>7035</v>
      </c>
      <c r="I64" s="131" t="s">
        <v>7027</v>
      </c>
      <c r="J64" s="129"/>
      <c r="K64" s="133" t="str">
        <f>IFERROR(__xludf.DUMMYFUNCTION("""COMPUTED_VALUE"""),"When you or an ally captures Treasure")</f>
        <v>When you or an ally captures Treasure</v>
      </c>
      <c r="L64" s="131"/>
      <c r="M64" s="131"/>
      <c r="N64" s="131"/>
      <c r="O64" s="131"/>
      <c r="P64" s="129"/>
      <c r="Q64" s="131" t="str">
        <f>IFERROR(__xludf.DUMMYFUNCTION("""COMPUTED_VALUE"""),"Kozuki Clan / Kozuki Clan Servant")</f>
        <v>Kozuki Clan / Kozuki Clan Servant</v>
      </c>
      <c r="R64" s="131" t="str">
        <f>IFERROR(__xludf.DUMMYFUNCTION("""COMPUTED_VALUE"""),"Kozuki Clan / Kozuki Clan Servant")</f>
        <v>Kozuki Clan / Kozuki Clan Servant</v>
      </c>
      <c r="S64" s="131" t="str">
        <f>IFERROR(__xludf.DUMMYFUNCTION("""COMPUTED_VALUE"""),"Capture Speed Increase")</f>
        <v>Capture Speed Increase</v>
      </c>
      <c r="T64" s="129"/>
    </row>
    <row r="65" ht="37.5" customHeight="1">
      <c r="A65" s="129"/>
      <c r="B65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65" s="130"/>
      <c r="D65" s="129"/>
      <c r="E65" s="131" t="s">
        <v>7064</v>
      </c>
      <c r="F65" s="131" t="s">
        <v>7027</v>
      </c>
      <c r="G65" s="131" t="s">
        <v>7034</v>
      </c>
      <c r="H65" s="131" t="s">
        <v>7035</v>
      </c>
      <c r="I65" s="131" t="s">
        <v>7027</v>
      </c>
      <c r="J65" s="129"/>
      <c r="K65" s="133" t="str">
        <f>IFERROR(__xludf.DUMMYFUNCTION("""COMPUTED_VALUE"""),"When you or an ally KOs an enemy")</f>
        <v>When you or an ally KOs an enemy</v>
      </c>
      <c r="L65" s="131"/>
      <c r="M65" s="131"/>
      <c r="N65" s="131"/>
      <c r="O65" s="131"/>
      <c r="P65" s="129"/>
      <c r="Q65" s="131" t="str">
        <f>IFERROR(__xludf.DUMMYFUNCTION("""COMPUTED_VALUE"""),"Krieg`s Pirate Armada")</f>
        <v>Krieg`s Pirate Armada</v>
      </c>
      <c r="R65" s="131" t="str">
        <f>IFERROR(__xludf.DUMMYFUNCTION("""COMPUTED_VALUE"""),"Krieg`s Pirate Armada")</f>
        <v>Krieg`s Pirate Armada</v>
      </c>
      <c r="S65" s="131" t="str">
        <f>IFERROR(__xludf.DUMMYFUNCTION("""COMPUTED_VALUE"""),"Cooldown Reduction (Skill 2)")</f>
        <v>Cooldown Reduction (Skill 2)</v>
      </c>
      <c r="T65" s="129"/>
    </row>
    <row r="66" ht="37.5" customHeight="1">
      <c r="A66" s="129"/>
      <c r="B66" s="130" t="str">
        <f>IFERROR(__xludf.DUMMYFUNCTION("""COMPUTED_VALUE"""),"When your HP is 50% or less: Increase damage dealt by 5%.")</f>
        <v>When your HP is 50% or less: Increase damage dealt by 5%.</v>
      </c>
      <c r="C66" s="130"/>
      <c r="D66" s="129"/>
      <c r="E66" s="131" t="s">
        <v>7068</v>
      </c>
      <c r="F66" s="131" t="s">
        <v>7027</v>
      </c>
      <c r="G66" s="131" t="s">
        <v>7034</v>
      </c>
      <c r="H66" s="131" t="s">
        <v>7035</v>
      </c>
      <c r="I66" s="131" t="s">
        <v>7027</v>
      </c>
      <c r="J66" s="129"/>
      <c r="K66" s="133" t="str">
        <f>IFERROR(__xludf.DUMMYFUNCTION("""COMPUTED_VALUE"""),"When your allies are near the Treasure area where you are at")</f>
        <v>When your allies are near the Treasure area where you are at</v>
      </c>
      <c r="L66" s="131"/>
      <c r="M66" s="131"/>
      <c r="N66" s="131"/>
      <c r="O66" s="131"/>
      <c r="P66" s="129"/>
      <c r="Q66" s="131" t="str">
        <f>IFERROR(__xludf.DUMMYFUNCTION("""COMPUTED_VALUE"""),"Kuja Pirates")</f>
        <v>Kuja Pirates</v>
      </c>
      <c r="R66" s="131" t="str">
        <f>IFERROR(__xludf.DUMMYFUNCTION("""COMPUTED_VALUE"""),"Kuja Pirates")</f>
        <v>Kuja Pirates</v>
      </c>
      <c r="S66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66" s="129"/>
    </row>
    <row r="67" ht="37.5" customHeight="1">
      <c r="A67" s="129"/>
      <c r="B67" s="130" t="str">
        <f>IFERROR(__xludf.DUMMYFUNCTION("""COMPUTED_VALUE"""),"When attacked by an enemy: Reduce the cooldown time of Skill 1 by 2%.")</f>
        <v>When attacked by an enemy: Reduce the cooldown time of Skill 1 by 2%.</v>
      </c>
      <c r="C67" s="130"/>
      <c r="D67" s="129"/>
      <c r="E67" s="131" t="s">
        <v>7069</v>
      </c>
      <c r="F67" s="131" t="s">
        <v>7027</v>
      </c>
      <c r="G67" s="131" t="s">
        <v>7058</v>
      </c>
      <c r="H67" s="131" t="s">
        <v>7053</v>
      </c>
      <c r="I67" s="131" t="s">
        <v>7027</v>
      </c>
      <c r="J67" s="129"/>
      <c r="K67" s="133" t="str">
        <f>IFERROR(__xludf.DUMMYFUNCTION("""COMPUTED_VALUE"""),"When your allies are not near the Treasure area where you are at")</f>
        <v>When your allies are not near the Treasure area where you are at</v>
      </c>
      <c r="L67" s="131"/>
      <c r="M67" s="131"/>
      <c r="N67" s="131"/>
      <c r="O67" s="131"/>
      <c r="P67" s="129"/>
      <c r="Q67" s="131" t="str">
        <f>IFERROR(__xludf.DUMMYFUNCTION("""COMPUTED_VALUE"""),"Land of Wano")</f>
        <v>Land of Wano</v>
      </c>
      <c r="R67" s="131" t="str">
        <f>IFERROR(__xludf.DUMMYFUNCTION("""COMPUTED_VALUE"""),"Land of Wano")</f>
        <v>Land of Wano</v>
      </c>
      <c r="S67" s="131" t="str">
        <f>IFERROR(__xludf.DUMMYFUNCTION("""COMPUTED_VALUE"""),"Cooldown Reduction (Skill 1)")</f>
        <v>Cooldown Reduction (Skill 1)</v>
      </c>
      <c r="T67" s="129"/>
    </row>
    <row r="68" ht="37.5" customHeight="1">
      <c r="A68" s="129"/>
      <c r="B68" s="130" t="str">
        <f>IFERROR(__xludf.DUMMYFUNCTION("""COMPUTED_VALUE"""),"When your HP is 70% or more: Reduce damage recieved by 5%.")</f>
        <v>When your HP is 70% or more: Reduce damage recieved by 5%.</v>
      </c>
      <c r="C68" s="130"/>
      <c r="D68" s="129"/>
      <c r="E68" s="131" t="s">
        <v>7026</v>
      </c>
      <c r="F68" s="131" t="s">
        <v>7027</v>
      </c>
      <c r="G68" s="131" t="s">
        <v>7037</v>
      </c>
      <c r="H68" s="131" t="s">
        <v>7035</v>
      </c>
      <c r="I68" s="131" t="s">
        <v>7027</v>
      </c>
      <c r="J68" s="129"/>
      <c r="K68" s="133" t="str">
        <f>IFERROR(__xludf.DUMMYFUNCTION("""COMPUTED_VALUE"""),"When your HP is 10% or less")</f>
        <v>When your HP is 10% or less</v>
      </c>
      <c r="L68" s="131"/>
      <c r="M68" s="131"/>
      <c r="N68" s="131"/>
      <c r="O68" s="131"/>
      <c r="P68" s="129"/>
      <c r="Q68" s="131" t="str">
        <f>IFERROR(__xludf.DUMMYFUNCTION("""COMPUTED_VALUE"""),"Lead Performer")</f>
        <v>Lead Performer</v>
      </c>
      <c r="R68" s="131" t="str">
        <f>IFERROR(__xludf.DUMMYFUNCTION("""COMPUTED_VALUE"""),"Lead Performer")</f>
        <v>Lead Performer</v>
      </c>
      <c r="S68" s="131" t="str">
        <f>IFERROR(__xludf.DUMMYFUNCTION("""COMPUTED_VALUE"""),"Capture Speed Increase")</f>
        <v>Capture Speed Increase</v>
      </c>
      <c r="T68" s="129"/>
    </row>
    <row r="69" ht="37.5" customHeight="1">
      <c r="A69" s="129"/>
      <c r="B69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69" s="130"/>
      <c r="D69" s="129"/>
      <c r="E69" s="131" t="s">
        <v>7045</v>
      </c>
      <c r="F69" s="131" t="s">
        <v>7027</v>
      </c>
      <c r="G69" s="131" t="s">
        <v>7037</v>
      </c>
      <c r="H69" s="131" t="s">
        <v>7035</v>
      </c>
      <c r="I69" s="131" t="s">
        <v>7027</v>
      </c>
      <c r="J69" s="129"/>
      <c r="K69" s="133" t="str">
        <f>IFERROR(__xludf.DUMMYFUNCTION("""COMPUTED_VALUE"""),"When your HP is 15% or less")</f>
        <v>When your HP is 15% or less</v>
      </c>
      <c r="L69" s="131"/>
      <c r="M69" s="131"/>
      <c r="N69" s="131"/>
      <c r="O69" s="131"/>
      <c r="P69" s="129"/>
      <c r="Q69" s="131" t="str">
        <f>IFERROR(__xludf.DUMMYFUNCTION("""COMPUTED_VALUE"""),"Logia")</f>
        <v>Logia</v>
      </c>
      <c r="R69" s="131" t="str">
        <f>IFERROR(__xludf.DUMMYFUNCTION("""COMPUTED_VALUE"""),"Logia")</f>
        <v>Logia</v>
      </c>
      <c r="S69" s="131" t="str">
        <f>IFERROR(__xludf.DUMMYFUNCTION("""COMPUTED_VALUE"""),"Cooldown Reduction (Dodging)")</f>
        <v>Cooldown Reduction (Dodging)</v>
      </c>
      <c r="T69" s="129"/>
    </row>
    <row r="70" ht="37.5" customHeight="1">
      <c r="A70" s="129"/>
      <c r="B70" s="130" t="str">
        <f>IFERROR(__xludf.DUMMYFUNCTION("""COMPUTED_VALUE"""),"When your HP is 70% or more: Boost capture speed by 8%.")</f>
        <v>When your HP is 70% or more: Boost capture speed by 8%.</v>
      </c>
      <c r="C70" s="130"/>
      <c r="D70" s="129"/>
      <c r="E70" s="131" t="s">
        <v>7026</v>
      </c>
      <c r="F70" s="131" t="s">
        <v>7027</v>
      </c>
      <c r="G70" s="131" t="s">
        <v>7031</v>
      </c>
      <c r="H70" s="131" t="s">
        <v>7032</v>
      </c>
      <c r="I70" s="131" t="s">
        <v>7027</v>
      </c>
      <c r="J70" s="129"/>
      <c r="K70" s="133" t="str">
        <f>IFERROR(__xludf.DUMMYFUNCTION("""COMPUTED_VALUE"""),"When your HP is 30% or less")</f>
        <v>When your HP is 30% or less</v>
      </c>
      <c r="L70" s="131"/>
      <c r="M70" s="131"/>
      <c r="N70" s="131"/>
      <c r="O70" s="131"/>
      <c r="P70" s="129"/>
      <c r="Q70" s="131" t="str">
        <f>IFERROR(__xludf.DUMMYFUNCTION("""COMPUTED_VALUE"""),"Mantra")</f>
        <v>Mantra</v>
      </c>
      <c r="R70" s="131" t="str">
        <f>IFERROR(__xludf.DUMMYFUNCTION("""COMPUTED_VALUE"""),"Mantra")</f>
        <v>Mantra</v>
      </c>
      <c r="S70" s="131" t="str">
        <f>IFERROR(__xludf.DUMMYFUNCTION("""COMPUTED_VALUE"""),"Recieved Damage Reduction (When your team has less Treasure secured)")</f>
        <v>Recieved Damage Reduction (When your team has less Treasure secured)</v>
      </c>
      <c r="T70" s="129"/>
    </row>
    <row r="71" ht="37.5" customHeight="1">
      <c r="A71" s="129"/>
      <c r="B71" s="130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C71" s="130"/>
      <c r="D71" s="129"/>
      <c r="E71" s="131" t="s">
        <v>7070</v>
      </c>
      <c r="F71" s="131" t="s">
        <v>7027</v>
      </c>
      <c r="G71" s="131" t="s">
        <v>7042</v>
      </c>
      <c r="H71" s="131" t="s">
        <v>7029</v>
      </c>
      <c r="I71" s="131" t="s">
        <v>7027</v>
      </c>
      <c r="J71" s="129"/>
      <c r="K71" s="133" t="str">
        <f>IFERROR(__xludf.DUMMYFUNCTION("""COMPUTED_VALUE"""),"When your HP is 50% or less")</f>
        <v>When your HP is 50% or less</v>
      </c>
      <c r="L71" s="131"/>
      <c r="M71" s="131"/>
      <c r="N71" s="131"/>
      <c r="O71" s="131"/>
      <c r="P71" s="129"/>
      <c r="Q71" s="131" t="str">
        <f>IFERROR(__xludf.DUMMYFUNCTION("""COMPUTED_VALUE"""),"Master Chief Petty Officer")</f>
        <v>Master Chief Petty Officer</v>
      </c>
      <c r="R71" s="131" t="str">
        <f>IFERROR(__xludf.DUMMYFUNCTION("""COMPUTED_VALUE"""),"Master Chief Petty Officer")</f>
        <v>Master Chief Petty Officer</v>
      </c>
      <c r="S71" s="131" t="str">
        <f>IFERROR(__xludf.DUMMYFUNCTION("""COMPUTED_VALUE"""),"Capture Speed Increase")</f>
        <v>Capture Speed Increase</v>
      </c>
      <c r="T71" s="129"/>
    </row>
    <row r="72" ht="37.5" customHeight="1">
      <c r="A72" s="129"/>
      <c r="B72" s="130" t="str">
        <f>IFERROR(__xludf.DUMMYFUNCTION("""COMPUTED_VALUE"""),"When you capture the Treasure: Reduce the cooldown time of Skill 1 by 8%.")</f>
        <v>When you capture the Treasure: Reduce the cooldown time of Skill 1 by 8%.</v>
      </c>
      <c r="C72" s="130"/>
      <c r="D72" s="129"/>
      <c r="E72" s="131" t="s">
        <v>7048</v>
      </c>
      <c r="F72" s="131" t="s">
        <v>7027</v>
      </c>
      <c r="G72" s="131" t="s">
        <v>7058</v>
      </c>
      <c r="H72" s="131" t="s">
        <v>7032</v>
      </c>
      <c r="I72" s="131" t="s">
        <v>7027</v>
      </c>
      <c r="J72" s="129"/>
      <c r="K72" s="133" t="str">
        <f>IFERROR(__xludf.DUMMYFUNCTION("""COMPUTED_VALUE"""),"When your HP is 50% or more")</f>
        <v>When your HP is 50% or more</v>
      </c>
      <c r="L72" s="131"/>
      <c r="M72" s="131"/>
      <c r="N72" s="131"/>
      <c r="O72" s="131"/>
      <c r="P72" s="129"/>
      <c r="Q72" s="131" t="str">
        <f>IFERROR(__xludf.DUMMYFUNCTION("""COMPUTED_VALUE"""),"Minks")</f>
        <v>Minks</v>
      </c>
      <c r="R72" s="131" t="str">
        <f>IFERROR(__xludf.DUMMYFUNCTION("""COMPUTED_VALUE"""),"Minks")</f>
        <v>Minks</v>
      </c>
      <c r="S72" s="131" t="str">
        <f>IFERROR(__xludf.DUMMYFUNCTION("""COMPUTED_VALUE"""),"Inflicted Damage Increase (When your allies are near the Treasure area)")</f>
        <v>Inflicted Damage Increase (When your allies are near the Treasure area)</v>
      </c>
      <c r="T72" s="129"/>
    </row>
    <row r="73" ht="37.5" customHeight="1">
      <c r="A73" s="129"/>
      <c r="B73" s="130" t="str">
        <f>IFERROR(__xludf.DUMMYFUNCTION("""COMPUTED_VALUE"""),"When hit with Knockback by enemy: Reduce the cooldown time of Skill 2 by 5%.")</f>
        <v>When hit with Knockback by enemy: Reduce the cooldown time of Skill 2 by 5%.</v>
      </c>
      <c r="C73" s="130"/>
      <c r="D73" s="129"/>
      <c r="E73" s="131" t="s">
        <v>7071</v>
      </c>
      <c r="F73" s="131" t="s">
        <v>7027</v>
      </c>
      <c r="G73" s="131" t="s">
        <v>7050</v>
      </c>
      <c r="H73" s="131" t="s">
        <v>7035</v>
      </c>
      <c r="I73" s="131" t="s">
        <v>7027</v>
      </c>
      <c r="J73" s="129"/>
      <c r="K73" s="133" t="str">
        <f>IFERROR(__xludf.DUMMYFUNCTION("""COMPUTED_VALUE"""),"When your HP is 7% or less")</f>
        <v>When your HP is 7% or less</v>
      </c>
      <c r="L73" s="131"/>
      <c r="M73" s="131"/>
      <c r="N73" s="131"/>
      <c r="O73" s="131"/>
      <c r="P73" s="129"/>
      <c r="Q73" s="131" t="str">
        <f>IFERROR(__xludf.DUMMYFUNCTION("""COMPUTED_VALUE"""),"Mokomo Dukedom Musketeer")</f>
        <v>Mokomo Dukedom Musketeer</v>
      </c>
      <c r="R73" s="131" t="str">
        <f>IFERROR(__xludf.DUMMYFUNCTION("""COMPUTED_VALUE"""),"Mokomo Dukedom Musketeer")</f>
        <v>Mokomo Dukedom Musketeer</v>
      </c>
      <c r="S73" s="131" t="str">
        <f>IFERROR(__xludf.DUMMYFUNCTION("""COMPUTED_VALUE"""),"Cooldown Reduction (Skill 2)")</f>
        <v>Cooldown Reduction (Skill 2)</v>
      </c>
      <c r="T73" s="129"/>
    </row>
    <row r="74" ht="37.5" customHeight="1">
      <c r="A74" s="129"/>
      <c r="B74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74" s="130"/>
      <c r="D74" s="129"/>
      <c r="E74" s="131" t="s">
        <v>7045</v>
      </c>
      <c r="F74" s="131" t="s">
        <v>7027</v>
      </c>
      <c r="G74" s="131" t="s">
        <v>7046</v>
      </c>
      <c r="H74" s="131" t="s">
        <v>7029</v>
      </c>
      <c r="I74" s="131" t="s">
        <v>7027</v>
      </c>
      <c r="J74" s="129"/>
      <c r="K74" s="133" t="str">
        <f>IFERROR(__xludf.DUMMYFUNCTION("""COMPUTED_VALUE"""),"When your HP is 70% or more")</f>
        <v>When your HP is 70% or more</v>
      </c>
      <c r="L74" s="131"/>
      <c r="M74" s="131"/>
      <c r="N74" s="131"/>
      <c r="O74" s="131"/>
      <c r="P74" s="129"/>
      <c r="Q74" s="131" t="str">
        <f>IFERROR(__xludf.DUMMYFUNCTION("""COMPUTED_VALUE"""),"Musician")</f>
        <v>Musician</v>
      </c>
      <c r="R74" s="131" t="str">
        <f>IFERROR(__xludf.DUMMYFUNCTION("""COMPUTED_VALUE"""),"Musician")</f>
        <v>Musician</v>
      </c>
      <c r="S74" s="131" t="str">
        <f>IFERROR(__xludf.DUMMYFUNCTION("""COMPUTED_VALUE"""),"Capture Speed Increase")</f>
        <v>Capture Speed Increase</v>
      </c>
      <c r="T74" s="129"/>
    </row>
    <row r="75" ht="37.5" customHeight="1">
      <c r="A75" s="129"/>
      <c r="B75" s="130" t="str">
        <f>IFERROR(__xludf.DUMMYFUNCTION("""COMPUTED_VALUE"""),"When your HP is 70% or more: Reduce damage recieved by 5%.")</f>
        <v>When your HP is 70% or more: Reduce damage recieved by 5%.</v>
      </c>
      <c r="C75" s="130"/>
      <c r="D75" s="129"/>
      <c r="E75" s="131" t="s">
        <v>7026</v>
      </c>
      <c r="F75" s="131" t="s">
        <v>7027</v>
      </c>
      <c r="G75" s="131" t="s">
        <v>7037</v>
      </c>
      <c r="H75" s="131" t="s">
        <v>7035</v>
      </c>
      <c r="I75" s="131" t="s">
        <v>7027</v>
      </c>
      <c r="J75" s="129"/>
      <c r="K75" s="133" t="str">
        <f>IFERROR(__xludf.DUMMYFUNCTION("""COMPUTED_VALUE"""),"When your HP is 90% or more")</f>
        <v>When your HP is 90% or more</v>
      </c>
      <c r="L75" s="131"/>
      <c r="M75" s="131"/>
      <c r="N75" s="131"/>
      <c r="O75" s="131"/>
      <c r="P75" s="129"/>
      <c r="Q75" s="131" t="str">
        <f>IFERROR(__xludf.DUMMYFUNCTION("""COMPUTED_VALUE"""),"Navigator")</f>
        <v>Navigator</v>
      </c>
      <c r="R75" s="131" t="str">
        <f>IFERROR(__xludf.DUMMYFUNCTION("""COMPUTED_VALUE"""),"Navigator")</f>
        <v>Navigator</v>
      </c>
      <c r="S75" s="131" t="str">
        <f>IFERROR(__xludf.DUMMYFUNCTION("""COMPUTED_VALUE"""),"Capture Speed Increase")</f>
        <v>Capture Speed Increase</v>
      </c>
      <c r="T75" s="129"/>
    </row>
    <row r="76" ht="37.5" customHeight="1">
      <c r="A76" s="129"/>
      <c r="B76" s="130" t="str">
        <f>IFERROR(__xludf.DUMMYFUNCTION("""COMPUTED_VALUE"""),"When your HP is 70% or more: Boost capture speed by 8%.")</f>
        <v>When your HP is 70% or more: Boost capture speed by 8%.</v>
      </c>
      <c r="C76" s="130"/>
      <c r="D76" s="129"/>
      <c r="E76" s="131" t="s">
        <v>7026</v>
      </c>
      <c r="F76" s="131" t="s">
        <v>7027</v>
      </c>
      <c r="G76" s="131" t="s">
        <v>7031</v>
      </c>
      <c r="H76" s="131" t="s">
        <v>7032</v>
      </c>
      <c r="I76" s="131" t="s">
        <v>7027</v>
      </c>
      <c r="J76" s="129"/>
      <c r="K76" s="133" t="str">
        <f>IFERROR(__xludf.DUMMYFUNCTION("""COMPUTED_VALUE"""),"When your team has less Treasure secured")</f>
        <v>When your team has less Treasure secured</v>
      </c>
      <c r="L76" s="131"/>
      <c r="M76" s="131"/>
      <c r="N76" s="131"/>
      <c r="O76" s="131"/>
      <c r="P76" s="129"/>
      <c r="Q76" s="131" t="str">
        <f>IFERROR(__xludf.DUMMYFUNCTION("""COMPUTED_VALUE"""),"Navy")</f>
        <v>Navy</v>
      </c>
      <c r="R76" s="131" t="str">
        <f>IFERROR(__xludf.DUMMYFUNCTION("""COMPUTED_VALUE"""),"Navy")</f>
        <v>Navy</v>
      </c>
      <c r="S76" s="131" t="str">
        <f>IFERROR(__xludf.DUMMYFUNCTION("""COMPUTED_VALUE"""),"Cooldown Reduction (Skill 2)")</f>
        <v>Cooldown Reduction (Skill 2)</v>
      </c>
      <c r="T76" s="129"/>
    </row>
    <row r="77" ht="37.5" customHeight="1">
      <c r="A77" s="129"/>
      <c r="B77" s="130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C77" s="130"/>
      <c r="D77" s="129"/>
      <c r="E77" s="131" t="s">
        <v>7072</v>
      </c>
      <c r="F77" s="131" t="s">
        <v>7027</v>
      </c>
      <c r="G77" s="131" t="s">
        <v>7042</v>
      </c>
      <c r="H77" s="131" t="s">
        <v>7029</v>
      </c>
      <c r="I77" s="131" t="s">
        <v>7027</v>
      </c>
      <c r="J77" s="129"/>
      <c r="K77" s="134" t="str">
        <f>IFERROR(__xludf.DUMMYFUNCTION("""COMPUTED_VALUE"""),"When your team has more Treasure secured")</f>
        <v>When your team has more Treasure secured</v>
      </c>
      <c r="L77" s="131"/>
      <c r="M77" s="131"/>
      <c r="N77" s="131"/>
      <c r="O77" s="131"/>
      <c r="P77" s="129"/>
      <c r="Q77" s="131" t="str">
        <f>IFERROR(__xludf.DUMMYFUNCTION("""COMPUTED_VALUE"""),"Navy Admiral / Former Navy Admiral")</f>
        <v>Navy Admiral / Former Navy Admiral</v>
      </c>
      <c r="R77" s="131" t="str">
        <f>IFERROR(__xludf.DUMMYFUNCTION("""COMPUTED_VALUE"""),"Navy Admiral / Former Navy Admiral")</f>
        <v>Navy Admiral / Former Navy Admiral</v>
      </c>
      <c r="S77" s="131" t="str">
        <f>IFERROR(__xludf.DUMMYFUNCTION("""COMPUTED_VALUE"""),"#N/A")</f>
        <v>#N/A</v>
      </c>
      <c r="T77" s="129"/>
    </row>
    <row r="78" ht="37.5" customHeight="1">
      <c r="A78" s="129"/>
      <c r="B78" s="130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C78" s="130"/>
      <c r="D78" s="129"/>
      <c r="E78" s="131" t="s">
        <v>7068</v>
      </c>
      <c r="F78" s="131" t="s">
        <v>7027</v>
      </c>
      <c r="G78" s="131" t="s">
        <v>7042</v>
      </c>
      <c r="H78" s="131" t="s">
        <v>7029</v>
      </c>
      <c r="I78" s="131" t="s">
        <v>7027</v>
      </c>
      <c r="J78" s="129"/>
      <c r="K78" s="133" t="str">
        <f>IFERROR(__xludf.DUMMYFUNCTION("""COMPUTED_VALUE"""),"When your team loses the Treasure")</f>
        <v>When your team loses the Treasure</v>
      </c>
      <c r="L78" s="131"/>
      <c r="M78" s="131"/>
      <c r="N78" s="131"/>
      <c r="O78" s="131"/>
      <c r="P78" s="129"/>
      <c r="Q78" s="131" t="str">
        <f>IFERROR(__xludf.DUMMYFUNCTION("""COMPUTED_VALUE"""),"Navy Captain")</f>
        <v>Navy Captain</v>
      </c>
      <c r="R78" s="131" t="str">
        <f>IFERROR(__xludf.DUMMYFUNCTION("""COMPUTED_VALUE"""),"Navy Captain")</f>
        <v>Navy Captain</v>
      </c>
      <c r="S78" s="131" t="str">
        <f>IFERROR(__xludf.DUMMYFUNCTION("""COMPUTED_VALUE"""),"Capture Speed Increase")</f>
        <v>Capture Speed Increase</v>
      </c>
      <c r="T78" s="129"/>
    </row>
    <row r="79" ht="37.5" customHeight="1">
      <c r="A79" s="129"/>
      <c r="B79" s="130" t="str">
        <f>IFERROR(__xludf.DUMMYFUNCTION("""COMPUTED_VALUE"""),"When hit with Knockback by enemy: Recover HP by 3%.")</f>
        <v>When hit with Knockback by enemy: Recover HP by 3%.</v>
      </c>
      <c r="C79" s="130"/>
      <c r="D79" s="129"/>
      <c r="E79" s="131" t="s">
        <v>7071</v>
      </c>
      <c r="F79" s="131" t="s">
        <v>7027</v>
      </c>
      <c r="G79" s="131" t="s">
        <v>7040</v>
      </c>
      <c r="H79" s="131" t="s">
        <v>7038</v>
      </c>
      <c r="I79" s="131" t="s">
        <v>7027</v>
      </c>
      <c r="J79" s="129"/>
      <c r="K79" s="133"/>
      <c r="L79" s="131"/>
      <c r="M79" s="131"/>
      <c r="N79" s="131"/>
      <c r="O79" s="131"/>
      <c r="P79" s="129"/>
      <c r="Q79" s="131" t="str">
        <f>IFERROR(__xludf.DUMMYFUNCTION("""COMPUTED_VALUE"""),"New Kama")</f>
        <v>New Kama</v>
      </c>
      <c r="R79" s="131" t="str">
        <f>IFERROR(__xludf.DUMMYFUNCTION("""COMPUTED_VALUE"""),"New Kama")</f>
        <v>New Kama</v>
      </c>
      <c r="S79" s="131" t="str">
        <f>IFERROR(__xludf.DUMMYFUNCTION("""COMPUTED_VALUE"""),"Inflicted Damage Increase (When your team has less Treasure secured)")</f>
        <v>Inflicted Damage Increase (When your team has less Treasure secured)</v>
      </c>
      <c r="T79" s="129"/>
    </row>
    <row r="80" ht="37.5" customHeight="1">
      <c r="A80" s="129"/>
      <c r="B80" s="130" t="str">
        <f>IFERROR(__xludf.DUMMYFUNCTION("""COMPUTED_VALUE"""),"When attacking an enemy whose DEF is boosted: Increase damage dealt by 5%.")</f>
        <v>When attacking an enemy whose DEF is boosted: Increase damage dealt by 5%.</v>
      </c>
      <c r="C80" s="130"/>
      <c r="D80" s="129"/>
      <c r="E80" s="131" t="s">
        <v>7073</v>
      </c>
      <c r="F80" s="131" t="s">
        <v>7027</v>
      </c>
      <c r="G80" s="131" t="s">
        <v>7034</v>
      </c>
      <c r="H80" s="131" t="s">
        <v>7035</v>
      </c>
      <c r="I80" s="131" t="s">
        <v>7027</v>
      </c>
      <c r="J80" s="129"/>
      <c r="K80" s="133"/>
      <c r="L80" s="131"/>
      <c r="M80" s="131"/>
      <c r="N80" s="131"/>
      <c r="O80" s="131"/>
      <c r="P80" s="129"/>
      <c r="Q80" s="131" t="str">
        <f>IFERROR(__xludf.DUMMYFUNCTION("""COMPUTED_VALUE"""),"Ninja")</f>
        <v>Ninja</v>
      </c>
      <c r="R80" s="131" t="str">
        <f>IFERROR(__xludf.DUMMYFUNCTION("""COMPUTED_VALUE"""),"Ninja")</f>
        <v>Ninja</v>
      </c>
      <c r="S80" s="131" t="str">
        <f>IFERROR(__xludf.DUMMYFUNCTION("""COMPUTED_VALUE"""),"Inflicted Damage Increase (When your team has less Treasure secured)")</f>
        <v>Inflicted Damage Increase (When your team has less Treasure secured)</v>
      </c>
      <c r="T80" s="129"/>
    </row>
    <row r="81" ht="37.5" customHeight="1">
      <c r="A81" s="129"/>
      <c r="B81" s="130" t="str">
        <f>IFERROR(__xludf.DUMMYFUNCTION("""COMPUTED_VALUE"""),"When your HP is 70% or more: Boost capture speed by 8%.")</f>
        <v>When your HP is 70% or more: Boost capture speed by 8%.</v>
      </c>
      <c r="C81" s="130"/>
      <c r="D81" s="129"/>
      <c r="E81" s="131" t="s">
        <v>7026</v>
      </c>
      <c r="F81" s="131" t="s">
        <v>7027</v>
      </c>
      <c r="G81" s="131" t="s">
        <v>7031</v>
      </c>
      <c r="H81" s="131" t="s">
        <v>7032</v>
      </c>
      <c r="I81" s="131" t="s">
        <v>7027</v>
      </c>
      <c r="J81" s="129"/>
      <c r="K81" s="133"/>
      <c r="L81" s="131"/>
      <c r="M81" s="131"/>
      <c r="N81" s="131"/>
      <c r="O81" s="131"/>
      <c r="P81" s="129"/>
      <c r="Q81" s="131" t="str">
        <f>IFERROR(__xludf.DUMMYFUNCTION("""COMPUTED_VALUE"""),"ODYSSEY")</f>
        <v>ODYSSEY</v>
      </c>
      <c r="R81" s="131" t="str">
        <f>IFERROR(__xludf.DUMMYFUNCTION("""COMPUTED_VALUE"""),"ODYSSEY")</f>
        <v>ODYSSEY</v>
      </c>
      <c r="S81" s="131" t="str">
        <f>IFERROR(__xludf.DUMMYFUNCTION("""COMPUTED_VALUE"""),"Cooldown Reduction (Skill 1)")</f>
        <v>Cooldown Reduction (Skill 1)</v>
      </c>
      <c r="T81" s="129"/>
    </row>
    <row r="82" ht="37.5" customHeight="1">
      <c r="A82" s="129"/>
      <c r="B82" s="130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C82" s="130"/>
      <c r="D82" s="129"/>
      <c r="E82" s="131" t="s">
        <v>7047</v>
      </c>
      <c r="F82" s="131" t="s">
        <v>7027</v>
      </c>
      <c r="G82" s="131" t="s">
        <v>7034</v>
      </c>
      <c r="H82" s="131" t="s">
        <v>7035</v>
      </c>
      <c r="I82" s="131" t="s">
        <v>7027</v>
      </c>
      <c r="J82" s="129"/>
      <c r="K82" s="133"/>
      <c r="L82" s="131"/>
      <c r="M82" s="131"/>
      <c r="N82" s="131"/>
      <c r="O82" s="131"/>
      <c r="P82" s="129"/>
      <c r="Q82" s="131" t="str">
        <f>IFERROR(__xludf.DUMMYFUNCTION("""COMPUTED_VALUE"""),"Officer Agent")</f>
        <v>Officer Agent</v>
      </c>
      <c r="R82" s="131" t="str">
        <f>IFERROR(__xludf.DUMMYFUNCTION("""COMPUTED_VALUE"""),"Officer Agent")</f>
        <v>Officer Agent</v>
      </c>
      <c r="S82" s="131" t="str">
        <f>IFERROR(__xludf.DUMMYFUNCTION("""COMPUTED_VALUE"""),"Capture Speed Increase")</f>
        <v>Capture Speed Increase</v>
      </c>
      <c r="T82" s="129"/>
    </row>
    <row r="83" ht="37.5" customHeight="1">
      <c r="A83" s="129"/>
      <c r="B83" s="130" t="str">
        <f>IFERROR(__xludf.DUMMYFUNCTION("""COMPUTED_VALUE"""),"When you Knockback an enemy: Recover HP by 3%.")</f>
        <v>When you Knockback an enemy: Recover HP by 3%.</v>
      </c>
      <c r="C83" s="130"/>
      <c r="D83" s="129"/>
      <c r="E83" s="131" t="s">
        <v>7056</v>
      </c>
      <c r="F83" s="131" t="s">
        <v>7027</v>
      </c>
      <c r="G83" s="131" t="s">
        <v>7040</v>
      </c>
      <c r="H83" s="131" t="s">
        <v>7038</v>
      </c>
      <c r="I83" s="131" t="s">
        <v>7027</v>
      </c>
      <c r="J83" s="129"/>
      <c r="K83" s="133"/>
      <c r="L83" s="131"/>
      <c r="M83" s="131"/>
      <c r="N83" s="131"/>
      <c r="O83" s="131"/>
      <c r="P83" s="129"/>
      <c r="Q83" s="131" t="str">
        <f>IFERROR(__xludf.DUMMYFUNCTION("""COMPUTED_VALUE"""),"Paramecia")</f>
        <v>Paramecia</v>
      </c>
      <c r="R83" s="131" t="str">
        <f>IFERROR(__xludf.DUMMYFUNCTION("""COMPUTED_VALUE"""),"Paramecia")</f>
        <v>Paramecia</v>
      </c>
      <c r="S83" s="131" t="str">
        <f>IFERROR(__xludf.DUMMYFUNCTION("""COMPUTED_VALUE"""),"Cooldown Reduction (Dodging)")</f>
        <v>Cooldown Reduction (Dodging)</v>
      </c>
      <c r="T83" s="129"/>
    </row>
    <row r="84" ht="37.5" customHeight="1">
      <c r="A84" s="129"/>
      <c r="B84" s="130" t="str">
        <f>IFERROR(__xludf.DUMMYFUNCTION("""COMPUTED_VALUE"""),"When attacking an enemy inflicted With Sing_Sing: Increase damage dealt by 5%.")</f>
        <v>When attacking an enemy inflicted With Sing_Sing: Increase damage dealt by 5%.</v>
      </c>
      <c r="C84" s="130"/>
      <c r="D84" s="129"/>
      <c r="E84" s="131" t="s">
        <v>7074</v>
      </c>
      <c r="F84" s="131" t="s">
        <v>7027</v>
      </c>
      <c r="G84" s="131" t="s">
        <v>7034</v>
      </c>
      <c r="H84" s="131" t="s">
        <v>7035</v>
      </c>
      <c r="I84" s="131" t="s">
        <v>7027</v>
      </c>
      <c r="J84" s="129"/>
      <c r="K84" s="133"/>
      <c r="L84" s="131"/>
      <c r="M84" s="131"/>
      <c r="N84" s="131"/>
      <c r="O84" s="131"/>
      <c r="P84" s="129"/>
      <c r="Q84" s="131" t="str">
        <f>IFERROR(__xludf.DUMMYFUNCTION("""COMPUTED_VALUE"""),"Pica Army")</f>
        <v>Pica Army</v>
      </c>
      <c r="R84" s="131" t="str">
        <f>IFERROR(__xludf.DUMMYFUNCTION("""COMPUTED_VALUE"""),"Pica Army")</f>
        <v>Pica Army</v>
      </c>
      <c r="S84" s="131" t="str">
        <f>IFERROR(__xludf.DUMMYFUNCTION("""COMPUTED_VALUE"""),"Capture Speed Increase")</f>
        <v>Capture Speed Increase</v>
      </c>
      <c r="T84" s="129"/>
    </row>
    <row r="85" ht="37.5" customHeight="1">
      <c r="A85" s="129"/>
      <c r="B85" s="130" t="str">
        <f>IFERROR(__xludf.DUMMYFUNCTION("""COMPUTED_VALUE"""),"When Critical occurs: Reduce the cooldown time of Skill 1 by 3%.")</f>
        <v>When Critical occurs: Reduce the cooldown time of Skill 1 by 3%.</v>
      </c>
      <c r="C85" s="130"/>
      <c r="D85" s="129"/>
      <c r="E85" s="131" t="s">
        <v>7052</v>
      </c>
      <c r="F85" s="131" t="s">
        <v>7027</v>
      </c>
      <c r="G85" s="131" t="s">
        <v>7058</v>
      </c>
      <c r="H85" s="131" t="s">
        <v>7038</v>
      </c>
      <c r="I85" s="131" t="s">
        <v>7027</v>
      </c>
      <c r="J85" s="129"/>
      <c r="K85" s="133"/>
      <c r="L85" s="131"/>
      <c r="M85" s="131"/>
      <c r="N85" s="131"/>
      <c r="O85" s="131"/>
      <c r="P85" s="129"/>
      <c r="Q85" s="131" t="str">
        <f>IFERROR(__xludf.DUMMYFUNCTION("""COMPUTED_VALUE"""),"Punk Hazard")</f>
        <v>Punk Hazard</v>
      </c>
      <c r="R85" s="131" t="str">
        <f>IFERROR(__xludf.DUMMYFUNCTION("""COMPUTED_VALUE"""),"Punk Hazard")</f>
        <v>Punk Hazard</v>
      </c>
      <c r="S85" s="131" t="str">
        <f>IFERROR(__xludf.DUMMYFUNCTION("""COMPUTED_VALUE"""),"Cooldown Reduction (Skill 1)")</f>
        <v>Cooldown Reduction (Skill 1)</v>
      </c>
      <c r="T85" s="129"/>
    </row>
    <row r="86" ht="37.5" customHeight="1">
      <c r="A86" s="129"/>
      <c r="B86" s="130" t="str">
        <f>IFERROR(__xludf.DUMMYFUNCTION("""COMPUTED_VALUE"""),"When your HP is 70% or more: Boost capture speed by 8%.")</f>
        <v>When your HP is 70% or more: Boost capture speed by 8%.</v>
      </c>
      <c r="C86" s="130"/>
      <c r="D86" s="129"/>
      <c r="E86" s="131" t="s">
        <v>7026</v>
      </c>
      <c r="F86" s="131" t="s">
        <v>7027</v>
      </c>
      <c r="G86" s="131" t="s">
        <v>7031</v>
      </c>
      <c r="H86" s="131" t="s">
        <v>7032</v>
      </c>
      <c r="I86" s="131" t="s">
        <v>7027</v>
      </c>
      <c r="J86" s="129"/>
      <c r="K86" s="133"/>
      <c r="L86" s="131"/>
      <c r="M86" s="131"/>
      <c r="N86" s="131"/>
      <c r="O86" s="131"/>
      <c r="P86" s="129"/>
      <c r="Q86" s="131" t="str">
        <f>IFERROR(__xludf.DUMMYFUNCTION("""COMPUTED_VALUE"""),"Red_Haired Pirates")</f>
        <v>Red_Haired Pirates</v>
      </c>
      <c r="R86" s="131" t="str">
        <f>IFERROR(__xludf.DUMMYFUNCTION("""COMPUTED_VALUE"""),"Red_Haired Pirates")</f>
        <v>Red_Haired Pirates</v>
      </c>
      <c r="S86" s="131" t="str">
        <f>IFERROR(__xludf.DUMMYFUNCTION("""COMPUTED_VALUE"""),"Cooldown Reduction (Skill 2)")</f>
        <v>Cooldown Reduction (Skill 2)</v>
      </c>
      <c r="T86" s="129"/>
    </row>
    <row r="87" ht="37.5" customHeight="1">
      <c r="A87" s="129"/>
      <c r="B87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87" s="130"/>
      <c r="D87" s="129"/>
      <c r="E87" s="131" t="s">
        <v>7030</v>
      </c>
      <c r="F87" s="131" t="s">
        <v>7027</v>
      </c>
      <c r="G87" s="131" t="s">
        <v>7031</v>
      </c>
      <c r="H87" s="131" t="s">
        <v>7032</v>
      </c>
      <c r="I87" s="131" t="s">
        <v>7027</v>
      </c>
      <c r="J87" s="129"/>
      <c r="K87" s="133"/>
      <c r="L87" s="131"/>
      <c r="M87" s="131"/>
      <c r="N87" s="131"/>
      <c r="O87" s="131"/>
      <c r="P87" s="129"/>
      <c r="Q87" s="131" t="str">
        <f>IFERROR(__xludf.DUMMYFUNCTION("""COMPUTED_VALUE"""),"Reverie")</f>
        <v>Reverie</v>
      </c>
      <c r="R87" s="131" t="str">
        <f>IFERROR(__xludf.DUMMYFUNCTION("""COMPUTED_VALUE"""),"Reverie")</f>
        <v>Reverie</v>
      </c>
      <c r="S87" s="131" t="str">
        <f>IFERROR(__xludf.DUMMYFUNCTION("""COMPUTED_VALUE"""),"Cooldown Reduction (Skill 1)")</f>
        <v>Cooldown Reduction (Skill 1)</v>
      </c>
      <c r="T87" s="129"/>
    </row>
    <row r="88" ht="37.5" customHeight="1">
      <c r="A88" s="129"/>
      <c r="B88" s="130" t="str">
        <f>IFERROR(__xludf.DUMMYFUNCTION("""COMPUTED_VALUE"""),"When attacked by an enemy: Reduce the cooldown time of Skill 1 by 2%.")</f>
        <v>When attacked by an enemy: Reduce the cooldown time of Skill 1 by 2%.</v>
      </c>
      <c r="C88" s="130"/>
      <c r="D88" s="129"/>
      <c r="E88" s="131" t="s">
        <v>7069</v>
      </c>
      <c r="F88" s="131" t="s">
        <v>7027</v>
      </c>
      <c r="G88" s="131" t="s">
        <v>7058</v>
      </c>
      <c r="H88" s="131" t="s">
        <v>7053</v>
      </c>
      <c r="I88" s="131" t="s">
        <v>7027</v>
      </c>
      <c r="J88" s="129"/>
      <c r="K88" s="133"/>
      <c r="L88" s="131"/>
      <c r="M88" s="131"/>
      <c r="N88" s="131"/>
      <c r="O88" s="131"/>
      <c r="P88" s="129"/>
      <c r="Q88" s="131" t="str">
        <f>IFERROR(__xludf.DUMMYFUNCTION("""COMPUTED_VALUE"""),"Revolutionary Army")</f>
        <v>Revolutionary Army</v>
      </c>
      <c r="R88" s="131" t="str">
        <f>IFERROR(__xludf.DUMMYFUNCTION("""COMPUTED_VALUE"""),"Revolutionary Army")</f>
        <v>Revolutionary Army</v>
      </c>
      <c r="S88" s="131" t="str">
        <f>IFERROR(__xludf.DUMMYFUNCTION("""COMPUTED_VALUE"""),"Cooldown Reduction (Skill 2)")</f>
        <v>Cooldown Reduction (Skill 2)</v>
      </c>
      <c r="T88" s="129"/>
    </row>
    <row r="89" ht="37.5" customHeight="1">
      <c r="A89" s="129"/>
      <c r="B89" s="130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C89" s="130"/>
      <c r="D89" s="129"/>
      <c r="E89" s="131" t="s">
        <v>7070</v>
      </c>
      <c r="F89" s="131" t="s">
        <v>7027</v>
      </c>
      <c r="G89" s="131" t="s">
        <v>7042</v>
      </c>
      <c r="H89" s="131" t="s">
        <v>7029</v>
      </c>
      <c r="I89" s="131" t="s">
        <v>7027</v>
      </c>
      <c r="J89" s="129"/>
      <c r="K89" s="133"/>
      <c r="L89" s="131"/>
      <c r="M89" s="131"/>
      <c r="N89" s="131"/>
      <c r="O89" s="131"/>
      <c r="P89" s="129"/>
      <c r="Q89" s="131" t="str">
        <f>IFERROR(__xludf.DUMMYFUNCTION("""COMPUTED_VALUE"""),"Roger Pirates / Ex_Roger Pirates")</f>
        <v>Roger Pirates / Ex_Roger Pirates</v>
      </c>
      <c r="R89" s="131" t="str">
        <f>IFERROR(__xludf.DUMMYFUNCTION("""COMPUTED_VALUE"""),"Roger Pirates / Ex_Roger Pirates")</f>
        <v>Roger Pirates / Ex_Roger Pirates</v>
      </c>
      <c r="S89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89" s="129"/>
    </row>
    <row r="90" ht="37.5" customHeight="1">
      <c r="A90" s="129"/>
      <c r="B90" s="130" t="str">
        <f>IFERROR(__xludf.DUMMYFUNCTION("""COMPUTED_VALUE"""),"When using Skill 1: Reduce the cooldown time of Skill 2 by 5%.")</f>
        <v>When using Skill 1: Reduce the cooldown time of Skill 2 by 5%.</v>
      </c>
      <c r="C90" s="130"/>
      <c r="D90" s="129"/>
      <c r="E90" s="131" t="s">
        <v>7075</v>
      </c>
      <c r="F90" s="131" t="s">
        <v>7027</v>
      </c>
      <c r="G90" s="131" t="s">
        <v>7050</v>
      </c>
      <c r="H90" s="131" t="s">
        <v>7035</v>
      </c>
      <c r="I90" s="131" t="s">
        <v>7027</v>
      </c>
      <c r="J90" s="129"/>
      <c r="K90" s="133"/>
      <c r="L90" s="131"/>
      <c r="M90" s="131"/>
      <c r="N90" s="131"/>
      <c r="O90" s="131"/>
      <c r="P90" s="129"/>
      <c r="Q90" s="131" t="str">
        <f>IFERROR(__xludf.DUMMYFUNCTION("""COMPUTED_VALUE"""),"Royalty / Former Royalty")</f>
        <v>Royalty / Former Royalty</v>
      </c>
      <c r="R90" s="131" t="str">
        <f>IFERROR(__xludf.DUMMYFUNCTION("""COMPUTED_VALUE"""),"Royalty / Former Royalty")</f>
        <v>Royalty / Former Royalty</v>
      </c>
      <c r="S90" s="131" t="str">
        <f>IFERROR(__xludf.DUMMYFUNCTION("""COMPUTED_VALUE"""),"Capture Speed Increase")</f>
        <v>Capture Speed Increase</v>
      </c>
      <c r="T90" s="129"/>
    </row>
    <row r="91" ht="37.5" customHeight="1">
      <c r="A91" s="129"/>
      <c r="B91" s="130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C91" s="130"/>
      <c r="D91" s="129"/>
      <c r="E91" s="131" t="s">
        <v>7068</v>
      </c>
      <c r="F91" s="131" t="s">
        <v>7027</v>
      </c>
      <c r="G91" s="131" t="s">
        <v>7046</v>
      </c>
      <c r="H91" s="131" t="s">
        <v>7029</v>
      </c>
      <c r="I91" s="131" t="s">
        <v>7027</v>
      </c>
      <c r="J91" s="129"/>
      <c r="K91" s="133"/>
      <c r="L91" s="131"/>
      <c r="M91" s="131"/>
      <c r="N91" s="131"/>
      <c r="O91" s="131"/>
      <c r="P91" s="129"/>
      <c r="Q91" s="131" t="str">
        <f>IFERROR(__xludf.DUMMYFUNCTION("""COMPUTED_VALUE"""),"Sabaody Archipelago / Island of Women")</f>
        <v>Sabaody Archipelago / Island of Women</v>
      </c>
      <c r="R91" s="131" t="str">
        <f>IFERROR(__xludf.DUMMYFUNCTION("""COMPUTED_VALUE"""),"Sabaody Archipelago / Island of Women")</f>
        <v>Sabaody Archipelago / Island of Women</v>
      </c>
      <c r="S91" s="131" t="str">
        <f>IFERROR(__xludf.DUMMYFUNCTION("""COMPUTED_VALUE"""),"Cooldown Reduction (Skill 1)")</f>
        <v>Cooldown Reduction (Skill 1)</v>
      </c>
      <c r="T91" s="129"/>
    </row>
    <row r="92" ht="37.5" customHeight="1">
      <c r="A92" s="129"/>
      <c r="B92" s="130" t="str">
        <f>IFERROR(__xludf.DUMMYFUNCTION("""COMPUTED_VALUE"""),"When your HP is 70% or more: Reduce damage recieved by 5%.")</f>
        <v>When your HP is 70% or more: Reduce damage recieved by 5%.</v>
      </c>
      <c r="C92" s="130"/>
      <c r="D92" s="129"/>
      <c r="E92" s="131" t="s">
        <v>7026</v>
      </c>
      <c r="F92" s="131" t="s">
        <v>7027</v>
      </c>
      <c r="G92" s="131" t="s">
        <v>7037</v>
      </c>
      <c r="H92" s="131" t="s">
        <v>7035</v>
      </c>
      <c r="I92" s="131" t="s">
        <v>7027</v>
      </c>
      <c r="J92" s="129"/>
      <c r="K92" s="133"/>
      <c r="L92" s="131"/>
      <c r="M92" s="131"/>
      <c r="N92" s="131"/>
      <c r="O92" s="131"/>
      <c r="P92" s="129"/>
      <c r="Q92" s="131" t="str">
        <f>IFERROR(__xludf.DUMMYFUNCTION("""COMPUTED_VALUE"""),"Satellite")</f>
        <v>Satellite</v>
      </c>
      <c r="R92" s="131" t="str">
        <f>IFERROR(__xludf.DUMMYFUNCTION("""COMPUTED_VALUE"""),"Satellite")</f>
        <v>Satellite</v>
      </c>
      <c r="S92" s="131" t="str">
        <f>IFERROR(__xludf.DUMMYFUNCTION("""COMPUTED_VALUE"""),"Inflicted Damage Increase (When your team has less Treasure secured)")</f>
        <v>Inflicted Damage Increase (When your team has less Treasure secured)</v>
      </c>
      <c r="T92" s="129"/>
    </row>
    <row r="93" ht="37.5" customHeight="1">
      <c r="A93" s="129"/>
      <c r="B93" s="130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C93" s="130"/>
      <c r="D93" s="129"/>
      <c r="E93" s="131" t="s">
        <v>7076</v>
      </c>
      <c r="F93" s="131" t="s">
        <v>7027</v>
      </c>
      <c r="G93" s="131" t="s">
        <v>7042</v>
      </c>
      <c r="H93" s="131" t="s">
        <v>7029</v>
      </c>
      <c r="I93" s="131" t="s">
        <v>7027</v>
      </c>
      <c r="J93" s="129"/>
      <c r="K93" s="133"/>
      <c r="L93" s="131"/>
      <c r="M93" s="131"/>
      <c r="N93" s="131"/>
      <c r="O93" s="131"/>
      <c r="P93" s="129"/>
      <c r="Q93" s="131" t="str">
        <f>IFERROR(__xludf.DUMMYFUNCTION("""COMPUTED_VALUE"""),"Seraphim")</f>
        <v>Seraphim</v>
      </c>
      <c r="R93" s="131" t="str">
        <f>IFERROR(__xludf.DUMMYFUNCTION("""COMPUTED_VALUE"""),"Seraphim")</f>
        <v>Seraphim</v>
      </c>
      <c r="S93" s="131" t="str">
        <f>IFERROR(__xludf.DUMMYFUNCTION("""COMPUTED_VALUE"""),"Inflicted Damage Increase (When your team has less Treasure secured)")</f>
        <v>Inflicted Damage Increase (When your team has less Treasure secured)</v>
      </c>
      <c r="T93" s="129"/>
    </row>
    <row r="94" ht="37.5" customHeight="1">
      <c r="A94" s="129"/>
      <c r="B94" s="130" t="str">
        <f>IFERROR(__xludf.DUMMYFUNCTION("""COMPUTED_VALUE"""),"When enemies are inflicted with Freeze: Reduce the cooldown time of Skill 1 by 6%.")</f>
        <v>When enemies are inflicted with Freeze: Reduce the cooldown time of Skill 1 by 6%.</v>
      </c>
      <c r="C94" s="130"/>
      <c r="D94" s="129"/>
      <c r="E94" s="131" t="s">
        <v>7077</v>
      </c>
      <c r="F94" s="131" t="s">
        <v>7027</v>
      </c>
      <c r="G94" s="131" t="s">
        <v>7058</v>
      </c>
      <c r="H94" s="131" t="s">
        <v>7066</v>
      </c>
      <c r="I94" s="131" t="s">
        <v>7027</v>
      </c>
      <c r="J94" s="129"/>
      <c r="K94" s="133"/>
      <c r="L94" s="131"/>
      <c r="M94" s="131"/>
      <c r="N94" s="131"/>
      <c r="O94" s="131"/>
      <c r="P94" s="129"/>
      <c r="Q94" s="131" t="str">
        <f>IFERROR(__xludf.DUMMYFUNCTION("""COMPUTED_VALUE"""),"Sharp Shooter")</f>
        <v>Sharp Shooter</v>
      </c>
      <c r="R94" s="131" t="str">
        <f>IFERROR(__xludf.DUMMYFUNCTION("""COMPUTED_VALUE"""),"Sharp Shooter")</f>
        <v>Sharp Shooter</v>
      </c>
      <c r="S94" s="131" t="str">
        <f>IFERROR(__xludf.DUMMYFUNCTION("""COMPUTED_VALUE"""),"Capture Speed Increase")</f>
        <v>Capture Speed Increase</v>
      </c>
      <c r="T94" s="129"/>
    </row>
    <row r="95" ht="37.5" customHeight="1">
      <c r="A95" s="129"/>
      <c r="B95" s="130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C95" s="130"/>
      <c r="D95" s="129"/>
      <c r="E95" s="131" t="s">
        <v>7033</v>
      </c>
      <c r="F95" s="131" t="s">
        <v>7027</v>
      </c>
      <c r="G95" s="131" t="s">
        <v>7034</v>
      </c>
      <c r="H95" s="131" t="s">
        <v>7035</v>
      </c>
      <c r="I95" s="131" t="s">
        <v>7027</v>
      </c>
      <c r="J95" s="129"/>
      <c r="K95" s="133"/>
      <c r="L95" s="131"/>
      <c r="M95" s="131"/>
      <c r="N95" s="131"/>
      <c r="O95" s="131"/>
      <c r="P95" s="129"/>
      <c r="Q95" s="131" t="str">
        <f>IFERROR(__xludf.DUMMYFUNCTION("""COMPUTED_VALUE"""),"Ship Carpenter")</f>
        <v>Ship Carpenter</v>
      </c>
      <c r="R95" s="131" t="str">
        <f>IFERROR(__xludf.DUMMYFUNCTION("""COMPUTED_VALUE"""),"Ship Carpenter")</f>
        <v>Ship Carpenter</v>
      </c>
      <c r="S95" s="131" t="str">
        <f>IFERROR(__xludf.DUMMYFUNCTION("""COMPUTED_VALUE"""),"Capture Speed Increase")</f>
        <v>Capture Speed Increase</v>
      </c>
      <c r="T95" s="129"/>
    </row>
    <row r="96" ht="37.5" customHeight="1">
      <c r="A96" s="129"/>
      <c r="B96" s="130" t="str">
        <f>IFERROR(__xludf.DUMMYFUNCTION("""COMPUTED_VALUE"""),"When you Knockback an enemy: Recover HP by 3%.")</f>
        <v>When you Knockback an enemy: Recover HP by 3%.</v>
      </c>
      <c r="C96" s="130"/>
      <c r="D96" s="129"/>
      <c r="E96" s="131" t="s">
        <v>7056</v>
      </c>
      <c r="F96" s="131" t="s">
        <v>7027</v>
      </c>
      <c r="G96" s="131" t="s">
        <v>7040</v>
      </c>
      <c r="H96" s="131" t="s">
        <v>7038</v>
      </c>
      <c r="I96" s="131" t="s">
        <v>7027</v>
      </c>
      <c r="J96" s="129"/>
      <c r="K96" s="133"/>
      <c r="L96" s="131"/>
      <c r="M96" s="131"/>
      <c r="N96" s="131"/>
      <c r="O96" s="131"/>
      <c r="P96" s="129"/>
      <c r="Q96" s="131" t="str">
        <f>IFERROR(__xludf.DUMMYFUNCTION("""COMPUTED_VALUE"""),"Six Powers")</f>
        <v>Six Powers</v>
      </c>
      <c r="R96" s="131" t="str">
        <f>IFERROR(__xludf.DUMMYFUNCTION("""COMPUTED_VALUE"""),"Six Powers")</f>
        <v>Six Powers</v>
      </c>
      <c r="S96" s="131" t="str">
        <f>IFERROR(__xludf.DUMMYFUNCTION("""COMPUTED_VALUE"""),"Recieved Damage Reduction (When your team has less Treasure secured)")</f>
        <v>Recieved Damage Reduction (When your team has less Treasure secured)</v>
      </c>
      <c r="T96" s="129"/>
    </row>
    <row r="97" ht="37.5" customHeight="1">
      <c r="A97" s="129"/>
      <c r="B97" s="130" t="str">
        <f>IFERROR(__xludf.DUMMYFUNCTION("""COMPUTED_VALUE"""),"When using Skill 1: Reduce the cooldown time of Skill 2 by 5%.")</f>
        <v>When using Skill 1: Reduce the cooldown time of Skill 2 by 5%.</v>
      </c>
      <c r="C97" s="130"/>
      <c r="D97" s="129"/>
      <c r="E97" s="131" t="s">
        <v>7075</v>
      </c>
      <c r="F97" s="131" t="s">
        <v>7027</v>
      </c>
      <c r="G97" s="131" t="s">
        <v>7050</v>
      </c>
      <c r="H97" s="131" t="s">
        <v>7035</v>
      </c>
      <c r="I97" s="131" t="s">
        <v>7027</v>
      </c>
      <c r="J97" s="129"/>
      <c r="K97" s="133"/>
      <c r="L97" s="131"/>
      <c r="M97" s="131"/>
      <c r="N97" s="131"/>
      <c r="O97" s="131"/>
      <c r="P97" s="129"/>
      <c r="Q97" s="131" t="str">
        <f>IFERROR(__xludf.DUMMYFUNCTION("""COMPUTED_VALUE"""),"Sky Island / LRLL")</f>
        <v>Sky Island / LRLL</v>
      </c>
      <c r="R97" s="131" t="str">
        <f>IFERROR(__xludf.DUMMYFUNCTION("""COMPUTED_VALUE"""),"Sky Island / LRLL")</f>
        <v>Sky Island / LRLL</v>
      </c>
      <c r="S97" s="131" t="str">
        <f>IFERROR(__xludf.DUMMYFUNCTION("""COMPUTED_VALUE"""),"Cooldown Reduction (Skill 1)")</f>
        <v>Cooldown Reduction (Skill 1)</v>
      </c>
      <c r="T97" s="129"/>
    </row>
    <row r="98" ht="37.5" customHeight="1">
      <c r="A98" s="129"/>
      <c r="B98" s="130" t="str">
        <f>IFERROR(__xludf.DUMMYFUNCTION("""COMPUTED_VALUE"""),"When attacking an enemy with the same Element: Increase damage dealt by 3%.")</f>
        <v>When attacking an enemy with the same Element: Increase damage dealt by 3%.</v>
      </c>
      <c r="C98" s="130"/>
      <c r="D98" s="129"/>
      <c r="E98" s="131" t="s">
        <v>7078</v>
      </c>
      <c r="F98" s="131" t="s">
        <v>7027</v>
      </c>
      <c r="G98" s="131" t="s">
        <v>7034</v>
      </c>
      <c r="H98" s="131" t="s">
        <v>7038</v>
      </c>
      <c r="I98" s="131" t="s">
        <v>7027</v>
      </c>
      <c r="J98" s="129"/>
      <c r="K98" s="133"/>
      <c r="L98" s="131"/>
      <c r="M98" s="131"/>
      <c r="N98" s="131"/>
      <c r="O98" s="131"/>
      <c r="P98" s="129"/>
      <c r="Q98" s="131" t="str">
        <f>IFERROR(__xludf.DUMMYFUNCTION("""COMPUTED_VALUE"""),"STAMPEDE")</f>
        <v>STAMPEDE</v>
      </c>
      <c r="R98" s="131" t="str">
        <f>IFERROR(__xludf.DUMMYFUNCTION("""COMPUTED_VALUE"""),"STAMPEDE")</f>
        <v>STAMPEDE</v>
      </c>
      <c r="S98" s="131" t="str">
        <f>IFERROR(__xludf.DUMMYFUNCTION("""COMPUTED_VALUE"""),"Cooldown Reduction (Skill 1)")</f>
        <v>Cooldown Reduction (Skill 1)</v>
      </c>
      <c r="T98" s="129"/>
    </row>
    <row r="99" ht="37.5" customHeight="1">
      <c r="A99" s="129"/>
      <c r="B99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99" s="130"/>
      <c r="D99" s="129"/>
      <c r="E99" s="131" t="s">
        <v>7030</v>
      </c>
      <c r="F99" s="131" t="s">
        <v>7027</v>
      </c>
      <c r="G99" s="131" t="s">
        <v>7031</v>
      </c>
      <c r="H99" s="131" t="s">
        <v>7032</v>
      </c>
      <c r="I99" s="131" t="s">
        <v>7027</v>
      </c>
      <c r="J99" s="129"/>
      <c r="K99" s="133"/>
      <c r="L99" s="131"/>
      <c r="M99" s="131"/>
      <c r="N99" s="131"/>
      <c r="O99" s="131"/>
      <c r="P99" s="129"/>
      <c r="Q99" s="131" t="str">
        <f>IFERROR(__xludf.DUMMYFUNCTION("""COMPUTED_VALUE"""),"Straw Hat Fleet")</f>
        <v>Straw Hat Fleet</v>
      </c>
      <c r="R99" s="131" t="str">
        <f>IFERROR(__xludf.DUMMYFUNCTION("""COMPUTED_VALUE"""),"Straw Hat Fleet")</f>
        <v>Straw Hat Fleet</v>
      </c>
      <c r="S99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99" s="129"/>
    </row>
    <row r="100" ht="37.5" customHeight="1">
      <c r="A100" s="129"/>
      <c r="B100" s="130" t="str">
        <f>IFERROR(__xludf.DUMMYFUNCTION("""COMPUTED_VALUE"""),"When hit with Knockback by enemy: Reduce the cooldown time of Skill 2 by 5%.")</f>
        <v>When hit with Knockback by enemy: Reduce the cooldown time of Skill 2 by 5%.</v>
      </c>
      <c r="C100" s="130"/>
      <c r="D100" s="129"/>
      <c r="E100" s="131" t="s">
        <v>7071</v>
      </c>
      <c r="F100" s="131" t="s">
        <v>7027</v>
      </c>
      <c r="G100" s="131" t="s">
        <v>7050</v>
      </c>
      <c r="H100" s="131" t="s">
        <v>7035</v>
      </c>
      <c r="I100" s="131" t="s">
        <v>7027</v>
      </c>
      <c r="J100" s="129"/>
      <c r="K100" s="133"/>
      <c r="L100" s="131"/>
      <c r="M100" s="131"/>
      <c r="N100" s="131"/>
      <c r="O100" s="131"/>
      <c r="P100" s="129"/>
      <c r="Q100" s="131" t="str">
        <f>IFERROR(__xludf.DUMMYFUNCTION("""COMPUTED_VALUE"""),"Straw Hat Pirates")</f>
        <v>Straw Hat Pirates</v>
      </c>
      <c r="R100" s="131" t="str">
        <f>IFERROR(__xludf.DUMMYFUNCTION("""COMPUTED_VALUE"""),"Straw Hat Pirates")</f>
        <v>Straw Hat Pirates</v>
      </c>
      <c r="S100" s="131" t="str">
        <f>IFERROR(__xludf.DUMMYFUNCTION("""COMPUTED_VALUE"""),"Cooldown Reduction (Skill 2)")</f>
        <v>Cooldown Reduction (Skill 2)</v>
      </c>
      <c r="T100" s="129"/>
    </row>
    <row r="101" ht="37.5" customHeight="1">
      <c r="A101" s="129"/>
      <c r="B101" s="130" t="str">
        <f>IFERROR(__xludf.DUMMYFUNCTION("""COMPUTED_VALUE"""),"When attacked by an enemy inflicted with Aflame: Reduce damage recieved by 5%.")</f>
        <v>When attacked by an enemy inflicted with Aflame: Reduce damage recieved by 5%.</v>
      </c>
      <c r="C101" s="130"/>
      <c r="D101" s="129"/>
      <c r="E101" s="131" t="s">
        <v>7079</v>
      </c>
      <c r="F101" s="131" t="s">
        <v>7027</v>
      </c>
      <c r="G101" s="131" t="s">
        <v>7037</v>
      </c>
      <c r="H101" s="131" t="s">
        <v>7035</v>
      </c>
      <c r="I101" s="131" t="s">
        <v>7027</v>
      </c>
      <c r="J101" s="129"/>
      <c r="K101" s="133"/>
      <c r="L101" s="131"/>
      <c r="M101" s="131"/>
      <c r="N101" s="131"/>
      <c r="O101" s="131"/>
      <c r="P101" s="129"/>
      <c r="Q101" s="131" t="str">
        <f>IFERROR(__xludf.DUMMYFUNCTION("""COMPUTED_VALUE"""),"Sun Pirates")</f>
        <v>Sun Pirates</v>
      </c>
      <c r="R101" s="131" t="str">
        <f>IFERROR(__xludf.DUMMYFUNCTION("""COMPUTED_VALUE"""),"Sun Pirates")</f>
        <v>Sun Pirates</v>
      </c>
      <c r="S101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101" s="129"/>
    </row>
    <row r="102" ht="37.5" customHeight="1">
      <c r="A102" s="129"/>
      <c r="B102" s="130" t="str">
        <f>IFERROR(__xludf.DUMMYFUNCTION("""COMPUTED_VALUE"""),"When enemies are inflicted with Shock: Reduce the cooldown time of Skill 2 by 6%.")</f>
        <v>When enemies are inflicted with Shock: Reduce the cooldown time of Skill 2 by 6%.</v>
      </c>
      <c r="C102" s="130"/>
      <c r="D102" s="129"/>
      <c r="E102" s="131" t="s">
        <v>7080</v>
      </c>
      <c r="F102" s="131" t="s">
        <v>7027</v>
      </c>
      <c r="G102" s="131" t="s">
        <v>7050</v>
      </c>
      <c r="H102" s="131" t="s">
        <v>7066</v>
      </c>
      <c r="I102" s="131" t="s">
        <v>7027</v>
      </c>
      <c r="J102" s="129"/>
      <c r="K102" s="133"/>
      <c r="L102" s="131"/>
      <c r="M102" s="131"/>
      <c r="N102" s="131"/>
      <c r="O102" s="131"/>
      <c r="P102" s="129"/>
      <c r="Q102" s="131" t="str">
        <f>IFERROR(__xludf.DUMMYFUNCTION("""COMPUTED_VALUE"""),"The Alvida Pirates")</f>
        <v>The Alvida Pirates</v>
      </c>
      <c r="R102" s="131" t="str">
        <f>IFERROR(__xludf.DUMMYFUNCTION("""COMPUTED_VALUE"""),"The Alvida Pirates")</f>
        <v>The Alvida Pirates</v>
      </c>
      <c r="S102" s="131" t="str">
        <f>IFERROR(__xludf.DUMMYFUNCTION("""COMPUTED_VALUE"""),"Cooldown Reduction (Skill 2)")</f>
        <v>Cooldown Reduction (Skill 2)</v>
      </c>
      <c r="T102" s="129"/>
    </row>
    <row r="103" ht="37.5" customHeight="1">
      <c r="A103" s="129"/>
      <c r="B103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03" s="130"/>
      <c r="D103" s="129"/>
      <c r="E103" s="131" t="s">
        <v>7045</v>
      </c>
      <c r="F103" s="131" t="s">
        <v>7027</v>
      </c>
      <c r="G103" s="131" t="s">
        <v>7037</v>
      </c>
      <c r="H103" s="131" t="s">
        <v>7035</v>
      </c>
      <c r="I103" s="131" t="s">
        <v>7027</v>
      </c>
      <c r="J103" s="129"/>
      <c r="K103" s="133"/>
      <c r="L103" s="131"/>
      <c r="M103" s="131"/>
      <c r="N103" s="131"/>
      <c r="O103" s="131"/>
      <c r="P103" s="129"/>
      <c r="Q103" s="131" t="str">
        <f>IFERROR(__xludf.DUMMYFUNCTION("""COMPUTED_VALUE"""),"The Five Elders")</f>
        <v>The Five Elders</v>
      </c>
      <c r="R103" s="131" t="str">
        <f>IFERROR(__xludf.DUMMYFUNCTION("""COMPUTED_VALUE"""),"The Five Elders")</f>
        <v>The Five Elders</v>
      </c>
      <c r="S103" s="131" t="str">
        <f>IFERROR(__xludf.DUMMYFUNCTION("""COMPUTED_VALUE"""),"#N/A")</f>
        <v>#N/A</v>
      </c>
      <c r="T103" s="129"/>
    </row>
    <row r="104" ht="37.5" customHeight="1">
      <c r="A104" s="129"/>
      <c r="B104" s="130" t="str">
        <f>IFERROR(__xludf.DUMMYFUNCTION("""COMPUTED_VALUE"""),"When attacking an enemy with Skill 2: Increase damage dealt by 5%.")</f>
        <v>When attacking an enemy with Skill 2: Increase damage dealt by 5%.</v>
      </c>
      <c r="C104" s="130"/>
      <c r="D104" s="129"/>
      <c r="E104" s="131" t="s">
        <v>7043</v>
      </c>
      <c r="F104" s="131" t="s">
        <v>7027</v>
      </c>
      <c r="G104" s="131" t="s">
        <v>7034</v>
      </c>
      <c r="H104" s="131" t="s">
        <v>7035</v>
      </c>
      <c r="I104" s="131" t="s">
        <v>7027</v>
      </c>
      <c r="J104" s="129"/>
      <c r="K104" s="133"/>
      <c r="L104" s="131"/>
      <c r="M104" s="131"/>
      <c r="N104" s="131"/>
      <c r="O104" s="131"/>
      <c r="P104" s="129"/>
      <c r="Q104" s="131" t="str">
        <f>IFERROR(__xludf.DUMMYFUNCTION("""COMPUTED_VALUE"""),"The Four Emperors")</f>
        <v>The Four Emperors</v>
      </c>
      <c r="R104" s="131" t="str">
        <f>IFERROR(__xludf.DUMMYFUNCTION("""COMPUTED_VALUE"""),"The Four Emperors")</f>
        <v>The Four Emperors</v>
      </c>
      <c r="S104" s="131" t="str">
        <f>IFERROR(__xludf.DUMMYFUNCTION("""COMPUTED_VALUE"""),"Inflicted Damage Increase (When your team has less Treasure secured)")</f>
        <v>Inflicted Damage Increase (When your team has less Treasure secured)</v>
      </c>
      <c r="T104" s="129"/>
    </row>
    <row r="105" ht="37.5" customHeight="1">
      <c r="A105" s="129"/>
      <c r="B105" s="130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C105" s="130"/>
      <c r="D105" s="129"/>
      <c r="E105" s="131" t="s">
        <v>7072</v>
      </c>
      <c r="F105" s="131" t="s">
        <v>7027</v>
      </c>
      <c r="G105" s="131" t="s">
        <v>7042</v>
      </c>
      <c r="H105" s="131" t="s">
        <v>7029</v>
      </c>
      <c r="I105" s="131" t="s">
        <v>7027</v>
      </c>
      <c r="J105" s="129"/>
      <c r="K105" s="133"/>
      <c r="L105" s="131"/>
      <c r="M105" s="131"/>
      <c r="N105" s="131"/>
      <c r="O105" s="131"/>
      <c r="P105" s="129"/>
      <c r="Q105" s="131" t="str">
        <f>IFERROR(__xludf.DUMMYFUNCTION("""COMPUTED_VALUE"""),"The Grand Line")</f>
        <v>The Grand Line</v>
      </c>
      <c r="R105" s="131" t="str">
        <f>IFERROR(__xludf.DUMMYFUNCTION("""COMPUTED_VALUE"""),"The Grand Line")</f>
        <v>The Grand Line</v>
      </c>
      <c r="S105" s="131" t="str">
        <f>IFERROR(__xludf.DUMMYFUNCTION("""COMPUTED_VALUE"""),"Cooldown Reduction (Skill 1)")</f>
        <v>Cooldown Reduction (Skill 1)</v>
      </c>
      <c r="T105" s="129"/>
    </row>
    <row r="106" ht="37.5" customHeight="1">
      <c r="A106" s="129"/>
      <c r="B106" s="130" t="str">
        <f>IFERROR(__xludf.DUMMYFUNCTION("""COMPUTED_VALUE"""),"When your HP is 70% or more: Increase damage dealt by 5%.")</f>
        <v>When your HP is 70% or more: Increase damage dealt by 5%.</v>
      </c>
      <c r="C106" s="130"/>
      <c r="D106" s="129"/>
      <c r="E106" s="131" t="s">
        <v>7026</v>
      </c>
      <c r="F106" s="131" t="s">
        <v>7027</v>
      </c>
      <c r="G106" s="131" t="s">
        <v>7034</v>
      </c>
      <c r="H106" s="131" t="s">
        <v>7035</v>
      </c>
      <c r="I106" s="131" t="s">
        <v>7027</v>
      </c>
      <c r="J106" s="129"/>
      <c r="K106" s="133"/>
      <c r="L106" s="131"/>
      <c r="M106" s="131"/>
      <c r="N106" s="131"/>
      <c r="O106" s="131"/>
      <c r="P106" s="129"/>
      <c r="Q106" s="131" t="str">
        <f>IFERROR(__xludf.DUMMYFUNCTION("""COMPUTED_VALUE"""),"The Paramount War at Marineford")</f>
        <v>The Paramount War at Marineford</v>
      </c>
      <c r="R106" s="131" t="str">
        <f>IFERROR(__xludf.DUMMYFUNCTION("""COMPUTED_VALUE"""),"The Paramount War at Marineford")</f>
        <v>The Paramount War at Marineford</v>
      </c>
      <c r="S106" s="131" t="str">
        <f>IFERROR(__xludf.DUMMYFUNCTION("""COMPUTED_VALUE"""),"Cooldown Reduction (Skill 1)")</f>
        <v>Cooldown Reduction (Skill 1)</v>
      </c>
      <c r="T106" s="129"/>
    </row>
    <row r="107" ht="37.5" customHeight="1">
      <c r="A107" s="129"/>
      <c r="B107" s="130" t="str">
        <f>IFERROR(__xludf.DUMMYFUNCTION("""COMPUTED_VALUE"""),"When your HP is 70% or more: Reduce damage recieved by 5%.")</f>
        <v>When your HP is 70% or more: Reduce damage recieved by 5%.</v>
      </c>
      <c r="C107" s="130"/>
      <c r="D107" s="129"/>
      <c r="E107" s="131" t="s">
        <v>7026</v>
      </c>
      <c r="F107" s="131" t="s">
        <v>7027</v>
      </c>
      <c r="G107" s="131" t="s">
        <v>7037</v>
      </c>
      <c r="H107" s="131" t="s">
        <v>7035</v>
      </c>
      <c r="I107" s="131" t="s">
        <v>7027</v>
      </c>
      <c r="J107" s="129"/>
      <c r="K107" s="133"/>
      <c r="L107" s="131"/>
      <c r="M107" s="131"/>
      <c r="N107" s="131"/>
      <c r="O107" s="131"/>
      <c r="P107" s="129"/>
      <c r="Q107" s="131" t="str">
        <f>IFERROR(__xludf.DUMMYFUNCTION("""COMPUTED_VALUE"""),"The Seven Warlords of the Sea / Former Warlords of the Sea")</f>
        <v>The Seven Warlords of the Sea / Former Warlords of the Sea</v>
      </c>
      <c r="R107" s="131" t="str">
        <f>IFERROR(__xludf.DUMMYFUNCTION("""COMPUTED_VALUE"""),"The Seven Warlords of the Sea / Former Warlords of the Sea")</f>
        <v>The Seven Warlords of the Sea / Former Warlords of the Sea</v>
      </c>
      <c r="S107" s="131" t="str">
        <f>IFERROR(__xludf.DUMMYFUNCTION("""COMPUTED_VALUE"""),"#N/A")</f>
        <v>#N/A</v>
      </c>
      <c r="T107" s="129"/>
    </row>
    <row r="108" ht="37.5" customHeight="1">
      <c r="A108" s="129"/>
      <c r="B108" s="130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C108" s="130"/>
      <c r="D108" s="129"/>
      <c r="E108" s="131" t="s">
        <v>7068</v>
      </c>
      <c r="F108" s="131" t="s">
        <v>7027</v>
      </c>
      <c r="G108" s="131" t="s">
        <v>7042</v>
      </c>
      <c r="H108" s="131" t="s">
        <v>7029</v>
      </c>
      <c r="I108" s="131" t="s">
        <v>7027</v>
      </c>
      <c r="J108" s="129"/>
      <c r="K108" s="133"/>
      <c r="L108" s="131"/>
      <c r="M108" s="131"/>
      <c r="N108" s="131"/>
      <c r="O108" s="131"/>
      <c r="P108" s="129"/>
      <c r="Q108" s="131" t="str">
        <f>IFERROR(__xludf.DUMMYFUNCTION("""COMPUTED_VALUE"""),"Thriller Bark")</f>
        <v>Thriller Bark</v>
      </c>
      <c r="R108" s="131" t="str">
        <f>IFERROR(__xludf.DUMMYFUNCTION("""COMPUTED_VALUE"""),"Thriller Bark")</f>
        <v>Thriller Bark</v>
      </c>
      <c r="S108" s="131" t="str">
        <f>IFERROR(__xludf.DUMMYFUNCTION("""COMPUTED_VALUE"""),"Cooldown Reduction (Skill 1)")</f>
        <v>Cooldown Reduction (Skill 1)</v>
      </c>
      <c r="T108" s="129"/>
    </row>
    <row r="109" ht="37.5" customHeight="1">
      <c r="A109" s="129"/>
      <c r="B109" s="130" t="str">
        <f>IFERROR(__xludf.DUMMYFUNCTION("""COMPUTED_VALUE"""),"When you capture the Treasure: Reduce the cooldown time of Skill 1 by 8%.")</f>
        <v>When you capture the Treasure: Reduce the cooldown time of Skill 1 by 8%.</v>
      </c>
      <c r="C109" s="130"/>
      <c r="D109" s="129"/>
      <c r="E109" s="131" t="s">
        <v>7048</v>
      </c>
      <c r="F109" s="131" t="s">
        <v>7027</v>
      </c>
      <c r="G109" s="131" t="s">
        <v>7058</v>
      </c>
      <c r="H109" s="131" t="s">
        <v>7032</v>
      </c>
      <c r="I109" s="131" t="s">
        <v>7027</v>
      </c>
      <c r="J109" s="129"/>
      <c r="K109" s="133"/>
      <c r="L109" s="131"/>
      <c r="M109" s="131"/>
      <c r="N109" s="131"/>
      <c r="O109" s="131"/>
      <c r="P109" s="129"/>
      <c r="Q109" s="131" t="str">
        <f>IFERROR(__xludf.DUMMYFUNCTION("""COMPUTED_VALUE"""),"Thriller Bark Pirates")</f>
        <v>Thriller Bark Pirates</v>
      </c>
      <c r="R109" s="131" t="str">
        <f>IFERROR(__xludf.DUMMYFUNCTION("""COMPUTED_VALUE"""),"Thriller Bark Pirates")</f>
        <v>Thriller Bark Pirates</v>
      </c>
      <c r="S109" s="131" t="str">
        <f>IFERROR(__xludf.DUMMYFUNCTION("""COMPUTED_VALUE"""),"Recieved Damage Reduction (When your allies are not near the Treasure area)")</f>
        <v>Recieved Damage Reduction (When your allies are not near the Treasure area)</v>
      </c>
      <c r="T109" s="129"/>
    </row>
    <row r="110" ht="37.5" customHeight="1">
      <c r="A110" s="129"/>
      <c r="B110" s="130" t="str">
        <f>IFERROR(__xludf.DUMMYFUNCTION("""COMPUTED_VALUE"""),"When attacked by an enemy inflicted with Aflame: Reduce damage recieved by 5%.")</f>
        <v>When attacked by an enemy inflicted with Aflame: Reduce damage recieved by 5%.</v>
      </c>
      <c r="C110" s="130"/>
      <c r="D110" s="129"/>
      <c r="E110" s="131" t="s">
        <v>7079</v>
      </c>
      <c r="F110" s="131" t="s">
        <v>7027</v>
      </c>
      <c r="G110" s="131" t="s">
        <v>7037</v>
      </c>
      <c r="H110" s="131" t="s">
        <v>7035</v>
      </c>
      <c r="I110" s="131" t="s">
        <v>7027</v>
      </c>
      <c r="J110" s="129"/>
      <c r="K110" s="133"/>
      <c r="L110" s="131"/>
      <c r="M110" s="131"/>
      <c r="N110" s="131"/>
      <c r="O110" s="131"/>
      <c r="P110" s="129"/>
      <c r="Q110" s="131" t="str">
        <f>IFERROR(__xludf.DUMMYFUNCTION("""COMPUTED_VALUE"""),"Tobi Roppo")</f>
        <v>Tobi Roppo</v>
      </c>
      <c r="R110" s="131" t="str">
        <f>IFERROR(__xludf.DUMMYFUNCTION("""COMPUTED_VALUE"""),"Tobi Roppo")</f>
        <v>Tobi Roppo</v>
      </c>
      <c r="S110" s="131" t="str">
        <f>IFERROR(__xludf.DUMMYFUNCTION("""COMPUTED_VALUE"""),"Capture Speed Increase")</f>
        <v>Capture Speed Increase</v>
      </c>
      <c r="T110" s="129"/>
    </row>
    <row r="111" ht="37.5" customHeight="1">
      <c r="A111" s="129"/>
      <c r="B111" s="130" t="str">
        <f>IFERROR(__xludf.DUMMYFUNCTION("""COMPUTED_VALUE"""),"When in the Treasure Area: Increase Normal Attack damage dealt by 5%.")</f>
        <v>When in the Treasure Area: Increase Normal Attack damage dealt by 5%.</v>
      </c>
      <c r="C111" s="130"/>
      <c r="D111" s="129"/>
      <c r="E111" s="131" t="s">
        <v>7044</v>
      </c>
      <c r="F111" s="131" t="s">
        <v>7027</v>
      </c>
      <c r="G111" s="131" t="s">
        <v>7081</v>
      </c>
      <c r="H111" s="131" t="s">
        <v>7035</v>
      </c>
      <c r="I111" s="131" t="s">
        <v>7027</v>
      </c>
      <c r="J111" s="129"/>
      <c r="K111" s="133"/>
      <c r="L111" s="131"/>
      <c r="M111" s="131"/>
      <c r="N111" s="131"/>
      <c r="O111" s="131"/>
      <c r="P111" s="129"/>
      <c r="Q111" s="131" t="str">
        <f>IFERROR(__xludf.DUMMYFUNCTION("""COMPUTED_VALUE"""),"Trebol Army")</f>
        <v>Trebol Army</v>
      </c>
      <c r="R111" s="131" t="str">
        <f>IFERROR(__xludf.DUMMYFUNCTION("""COMPUTED_VALUE"""),"Trebol Army")</f>
        <v>Trebol Army</v>
      </c>
      <c r="S111" s="131" t="str">
        <f>IFERROR(__xludf.DUMMYFUNCTION("""COMPUTED_VALUE"""),"Capture Speed Increase")</f>
        <v>Capture Speed Increase</v>
      </c>
      <c r="T111" s="129"/>
    </row>
    <row r="112" ht="37.5" customHeight="1">
      <c r="A112" s="129"/>
      <c r="B112" s="130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C112" s="130"/>
      <c r="D112" s="129"/>
      <c r="E112" s="131" t="s">
        <v>7082</v>
      </c>
      <c r="F112" s="131" t="s">
        <v>7027</v>
      </c>
      <c r="G112" s="131" t="s">
        <v>7031</v>
      </c>
      <c r="H112" s="131" t="s">
        <v>7032</v>
      </c>
      <c r="I112" s="131" t="s">
        <v>7027</v>
      </c>
      <c r="J112" s="129"/>
      <c r="K112" s="133"/>
      <c r="L112" s="131"/>
      <c r="M112" s="131"/>
      <c r="N112" s="131"/>
      <c r="O112" s="131"/>
      <c r="P112" s="129"/>
      <c r="Q112" s="131" t="str">
        <f>IFERROR(__xludf.DUMMYFUNCTION("""COMPUTED_VALUE"""),"Vice Admiral")</f>
        <v>Vice Admiral</v>
      </c>
      <c r="R112" s="131" t="str">
        <f>IFERROR(__xludf.DUMMYFUNCTION("""COMPUTED_VALUE"""),"Vice Admiral")</f>
        <v>Vice Admiral</v>
      </c>
      <c r="S112" s="131" t="str">
        <f>IFERROR(__xludf.DUMMYFUNCTION("""COMPUTED_VALUE"""),"Capture Speed Increase")</f>
        <v>Capture Speed Increase</v>
      </c>
      <c r="T112" s="129"/>
    </row>
    <row r="113" ht="37.5" customHeight="1">
      <c r="A113" s="129"/>
      <c r="B113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113" s="130"/>
      <c r="D113" s="129"/>
      <c r="E113" s="131" t="s">
        <v>7041</v>
      </c>
      <c r="F113" s="131" t="s">
        <v>7027</v>
      </c>
      <c r="G113" s="131" t="s">
        <v>7034</v>
      </c>
      <c r="H113" s="131" t="s">
        <v>7035</v>
      </c>
      <c r="I113" s="131" t="s">
        <v>7027</v>
      </c>
      <c r="J113" s="129"/>
      <c r="K113" s="133"/>
      <c r="L113" s="131"/>
      <c r="M113" s="131"/>
      <c r="N113" s="131"/>
      <c r="O113" s="131"/>
      <c r="P113" s="129"/>
      <c r="Q113" s="131" t="str">
        <f>IFERROR(__xludf.DUMMYFUNCTION("""COMPUTED_VALUE"""),"Water 7 / Enies Lobby")</f>
        <v>Water 7 / Enies Lobby</v>
      </c>
      <c r="R113" s="131" t="str">
        <f>IFERROR(__xludf.DUMMYFUNCTION("""COMPUTED_VALUE"""),"Water 7 / Enies Lobby")</f>
        <v>Water 7 / Enies Lobby</v>
      </c>
      <c r="S113" s="131" t="str">
        <f>IFERROR(__xludf.DUMMYFUNCTION("""COMPUTED_VALUE"""),"Cooldown Reduction (Skill 1)")</f>
        <v>Cooldown Reduction (Skill 1)</v>
      </c>
      <c r="T113" s="129"/>
    </row>
    <row r="114" ht="37.5" customHeight="1">
      <c r="A114" s="129"/>
      <c r="B114" s="130" t="str">
        <f>IFERROR(__xludf.DUMMYFUNCTION("""COMPUTED_VALUE"""),"When you are Downed: Reduce the cooldown time of Skill 1 by 4%.")</f>
        <v>When you are Downed: Reduce the cooldown time of Skill 1 by 4%.</v>
      </c>
      <c r="C114" s="130"/>
      <c r="D114" s="129"/>
      <c r="E114" s="131" t="s">
        <v>7049</v>
      </c>
      <c r="F114" s="131" t="s">
        <v>7027</v>
      </c>
      <c r="G114" s="131" t="s">
        <v>7058</v>
      </c>
      <c r="H114" s="131" t="s">
        <v>7051</v>
      </c>
      <c r="I114" s="131" t="s">
        <v>7027</v>
      </c>
      <c r="J114" s="129"/>
      <c r="K114" s="133"/>
      <c r="L114" s="131"/>
      <c r="M114" s="131"/>
      <c r="N114" s="131"/>
      <c r="O114" s="131"/>
      <c r="P114" s="129"/>
      <c r="Q114" s="131" t="str">
        <f>IFERROR(__xludf.DUMMYFUNCTION("""COMPUTED_VALUE"""),"Whitebeard Pirates")</f>
        <v>Whitebeard Pirates</v>
      </c>
      <c r="R114" s="131" t="str">
        <f>IFERROR(__xludf.DUMMYFUNCTION("""COMPUTED_VALUE"""),"Whitebeard Pirates")</f>
        <v>Whitebeard Pirates</v>
      </c>
      <c r="S114" s="131" t="str">
        <f>IFERROR(__xludf.DUMMYFUNCTION("""COMPUTED_VALUE"""),"Cooldown Reduction (Skill 2)")</f>
        <v>Cooldown Reduction (Skill 2)</v>
      </c>
      <c r="T114" s="129"/>
    </row>
    <row r="115" ht="37.5" customHeight="1">
      <c r="A115" s="129"/>
      <c r="B115" s="130" t="str">
        <f>IFERROR(__xludf.DUMMYFUNCTION("""COMPUTED_VALUE"""),"When using Skill 2: SPD Boosted by 6% for 20 second(s).")</f>
        <v>When using Skill 2: SPD Boosted by 6% for 20 second(s).</v>
      </c>
      <c r="C115" s="130"/>
      <c r="D115" s="129"/>
      <c r="E115" s="131" t="s">
        <v>7062</v>
      </c>
      <c r="F115" s="131" t="s">
        <v>7027</v>
      </c>
      <c r="G115" s="131" t="s">
        <v>7083</v>
      </c>
      <c r="H115" s="131" t="s">
        <v>7066</v>
      </c>
      <c r="I115" s="131" t="s">
        <v>7084</v>
      </c>
      <c r="J115" s="129"/>
      <c r="K115" s="133"/>
      <c r="L115" s="131"/>
      <c r="M115" s="131"/>
      <c r="N115" s="131"/>
      <c r="O115" s="131"/>
      <c r="P115" s="129"/>
      <c r="Q115" s="131" t="str">
        <f>IFERROR(__xludf.DUMMYFUNCTION("""COMPUTED_VALUE"""),"Whitebeard Pirates Commander")</f>
        <v>Whitebeard Pirates Commander</v>
      </c>
      <c r="R115" s="131" t="str">
        <f>IFERROR(__xludf.DUMMYFUNCTION("""COMPUTED_VALUE"""),"Whitebeard Pirates Commander")</f>
        <v>Whitebeard Pirates Commander</v>
      </c>
      <c r="S115" s="131" t="str">
        <f>IFERROR(__xludf.DUMMYFUNCTION("""COMPUTED_VALUE"""),"Inflicted Damage Increase (When your team has less Treasure secured)")</f>
        <v>Inflicted Damage Increase (When your team has less Treasure secured)</v>
      </c>
      <c r="T115" s="129"/>
    </row>
    <row r="116" ht="37.5" customHeight="1">
      <c r="A116" s="129"/>
      <c r="B116" s="130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C116" s="130"/>
      <c r="D116" s="129"/>
      <c r="E116" s="131" t="s">
        <v>7072</v>
      </c>
      <c r="F116" s="131" t="s">
        <v>7027</v>
      </c>
      <c r="G116" s="131" t="s">
        <v>7031</v>
      </c>
      <c r="H116" s="131" t="s">
        <v>7032</v>
      </c>
      <c r="I116" s="131" t="s">
        <v>7027</v>
      </c>
      <c r="J116" s="129"/>
      <c r="K116" s="133"/>
      <c r="L116" s="131"/>
      <c r="M116" s="131"/>
      <c r="N116" s="131"/>
      <c r="O116" s="131"/>
      <c r="P116" s="129"/>
      <c r="Q116" s="131" t="str">
        <f>IFERROR(__xludf.DUMMYFUNCTION("""COMPUTED_VALUE"""),"World Noble")</f>
        <v>World Noble</v>
      </c>
      <c r="R116" s="131" t="str">
        <f>IFERROR(__xludf.DUMMYFUNCTION("""COMPUTED_VALUE"""),"World Noble")</f>
        <v>World Noble</v>
      </c>
      <c r="S116" s="131" t="str">
        <f>IFERROR(__xludf.DUMMYFUNCTION("""COMPUTED_VALUE"""),"Cooldown Reduction (Skill 2)")</f>
        <v>Cooldown Reduction (Skill 2)</v>
      </c>
      <c r="T116" s="129"/>
    </row>
    <row r="117" ht="37.5" customHeight="1">
      <c r="A117" s="129"/>
      <c r="B117" s="130" t="str">
        <f>IFERROR(__xludf.DUMMYFUNCTION("""COMPUTED_VALUE"""),"When an ally is KO`d (not including you): Recover HP by 3%.")</f>
        <v>When an ally is KO`d (not including you): Recover HP by 3%.</v>
      </c>
      <c r="C117" s="130"/>
      <c r="D117" s="129"/>
      <c r="E117" s="131" t="s">
        <v>7060</v>
      </c>
      <c r="F117" s="131" t="s">
        <v>7027</v>
      </c>
      <c r="G117" s="131" t="s">
        <v>7040</v>
      </c>
      <c r="H117" s="131" t="s">
        <v>7038</v>
      </c>
      <c r="I117" s="131" t="s">
        <v>7027</v>
      </c>
      <c r="J117" s="129"/>
      <c r="K117" s="133"/>
      <c r="L117" s="131"/>
      <c r="M117" s="131"/>
      <c r="N117" s="131"/>
      <c r="O117" s="131"/>
      <c r="P117" s="129"/>
      <c r="Q117" s="131" t="str">
        <f>IFERROR(__xludf.DUMMYFUNCTION("""COMPUTED_VALUE"""),"Worst Generation")</f>
        <v>Worst Generation</v>
      </c>
      <c r="R117" s="131" t="str">
        <f>IFERROR(__xludf.DUMMYFUNCTION("""COMPUTED_VALUE"""),"Worst Generation")</f>
        <v>Worst Generation</v>
      </c>
      <c r="S117" s="131" t="str">
        <f>IFERROR(__xludf.DUMMYFUNCTION("""COMPUTED_VALUE"""),"Inflicted Damage Increase (When your team has less Treasure secured)")</f>
        <v>Inflicted Damage Increase (When your team has less Treasure secured)</v>
      </c>
      <c r="T117" s="129"/>
    </row>
    <row r="118" ht="37.5" customHeight="1">
      <c r="A118" s="129"/>
      <c r="B118" s="130" t="str">
        <f>IFERROR(__xludf.DUMMYFUNCTION("""COMPUTED_VALUE"""),"When hit with Knockback by enemy: Recover HP by 3%.")</f>
        <v>When hit with Knockback by enemy: Recover HP by 3%.</v>
      </c>
      <c r="C118" s="130"/>
      <c r="D118" s="129"/>
      <c r="E118" s="131" t="s">
        <v>7071</v>
      </c>
      <c r="F118" s="131" t="s">
        <v>7027</v>
      </c>
      <c r="G118" s="131" t="s">
        <v>7040</v>
      </c>
      <c r="H118" s="131" t="s">
        <v>7038</v>
      </c>
      <c r="I118" s="131" t="s">
        <v>7027</v>
      </c>
      <c r="J118" s="129"/>
      <c r="K118" s="133"/>
      <c r="L118" s="131"/>
      <c r="M118" s="131"/>
      <c r="N118" s="131"/>
      <c r="O118" s="131"/>
      <c r="P118" s="129"/>
      <c r="Q118" s="131" t="str">
        <f>IFERROR(__xludf.DUMMYFUNCTION("""COMPUTED_VALUE"""),"Zoan")</f>
        <v>Zoan</v>
      </c>
      <c r="R118" s="131" t="str">
        <f>IFERROR(__xludf.DUMMYFUNCTION("""COMPUTED_VALUE"""),"Zoan")</f>
        <v>Zoan</v>
      </c>
      <c r="S118" s="131" t="str">
        <f>IFERROR(__xludf.DUMMYFUNCTION("""COMPUTED_VALUE"""),"Cooldown Reduction (Dodging)")</f>
        <v>Cooldown Reduction (Dodging)</v>
      </c>
      <c r="T118" s="129"/>
    </row>
    <row r="119" ht="37.5" customHeight="1">
      <c r="A119" s="129"/>
      <c r="B119" s="130" t="str">
        <f>IFERROR(__xludf.DUMMYFUNCTION("""COMPUTED_VALUE"""),"When your HP is 50% or less: Boost capture speed by 8%.")</f>
        <v>When your HP is 50% or less: Boost capture speed by 8%.</v>
      </c>
      <c r="C119" s="130"/>
      <c r="D119" s="129"/>
      <c r="E119" s="131" t="s">
        <v>7068</v>
      </c>
      <c r="F119" s="131" t="s">
        <v>7027</v>
      </c>
      <c r="G119" s="131" t="s">
        <v>7031</v>
      </c>
      <c r="H119" s="131" t="s">
        <v>7032</v>
      </c>
      <c r="I119" s="131" t="s">
        <v>7027</v>
      </c>
      <c r="J119" s="129"/>
      <c r="K119" s="133"/>
      <c r="L119" s="131"/>
      <c r="M119" s="131"/>
      <c r="N119" s="131"/>
      <c r="O119" s="131"/>
      <c r="P119" s="129"/>
      <c r="Q119" s="132" t="str">
        <f>IFERROR(__xludf.DUMMYFUNCTION("""COMPUTED_VALUE"""),"Zombie")</f>
        <v>Zombie</v>
      </c>
      <c r="R119" s="132" t="str">
        <f>IFERROR(__xludf.DUMMYFUNCTION("""COMPUTED_VALUE"""),"Zombie")</f>
        <v>Zombie</v>
      </c>
      <c r="S119" s="132" t="str">
        <f>IFERROR(__xludf.DUMMYFUNCTION("""COMPUTED_VALUE"""),"Recieved Damage Reduction (When your team has less Treasure secured)")</f>
        <v>Recieved Damage Reduction (When your team has less Treasure secured)</v>
      </c>
      <c r="T119" s="129"/>
    </row>
    <row r="120" ht="37.5" customHeight="1">
      <c r="A120" s="129"/>
      <c r="B120" s="130" t="str">
        <f>IFERROR(__xludf.DUMMYFUNCTION("""COMPUTED_VALUE"""),"When hit with Knockback by enemy: Reduce the cooldown time of Skill 1 by 5%.")</f>
        <v>When hit with Knockback by enemy: Reduce the cooldown time of Skill 1 by 5%.</v>
      </c>
      <c r="C120" s="130"/>
      <c r="D120" s="129"/>
      <c r="E120" s="131" t="s">
        <v>7071</v>
      </c>
      <c r="F120" s="131" t="s">
        <v>7027</v>
      </c>
      <c r="G120" s="131" t="s">
        <v>7058</v>
      </c>
      <c r="H120" s="131" t="s">
        <v>7035</v>
      </c>
      <c r="I120" s="131" t="s">
        <v>7027</v>
      </c>
      <c r="J120" s="129"/>
      <c r="K120" s="133"/>
      <c r="L120" s="131"/>
      <c r="M120" s="131"/>
      <c r="N120" s="131"/>
      <c r="O120" s="131"/>
      <c r="P120" s="129"/>
      <c r="Q120" s="131" t="str">
        <f>IFERROR(__xludf.DUMMYFUNCTION("""COMPUTED_VALUE"""),"Zou / Whole Cake Island")</f>
        <v>Zou / Whole Cake Island</v>
      </c>
      <c r="R120" s="132" t="str">
        <f>IFERROR(__xludf.DUMMYFUNCTION("""COMPUTED_VALUE"""),"Zou / Whole Cake Island")</f>
        <v>Zou / Whole Cake Island</v>
      </c>
      <c r="S120" s="131" t="str">
        <f>IFERROR(__xludf.DUMMYFUNCTION("""COMPUTED_VALUE"""),"Cooldown Reduction (Skill 1)")</f>
        <v>Cooldown Reduction (Skill 1)</v>
      </c>
      <c r="T120" s="129"/>
    </row>
    <row r="121" ht="37.5" customHeight="1">
      <c r="A121" s="129"/>
      <c r="B121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121" s="130"/>
      <c r="D121" s="129"/>
      <c r="E121" s="131" t="s">
        <v>7045</v>
      </c>
      <c r="F121" s="131" t="s">
        <v>7027</v>
      </c>
      <c r="G121" s="131" t="s">
        <v>7042</v>
      </c>
      <c r="H121" s="131" t="s">
        <v>7029</v>
      </c>
      <c r="I121" s="131" t="s">
        <v>7027</v>
      </c>
      <c r="J121" s="129"/>
      <c r="K121" s="133"/>
      <c r="L121" s="131"/>
      <c r="M121" s="131"/>
      <c r="N121" s="131"/>
      <c r="O121" s="131"/>
      <c r="P121" s="129"/>
      <c r="Q121" s="131"/>
      <c r="R121" s="131"/>
      <c r="S121" s="131"/>
      <c r="T121" s="129"/>
    </row>
    <row r="122" ht="37.5" customHeight="1">
      <c r="A122" s="129"/>
      <c r="B122" s="130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C122" s="130"/>
      <c r="D122" s="129"/>
      <c r="E122" s="131" t="s">
        <v>7072</v>
      </c>
      <c r="F122" s="131" t="s">
        <v>7027</v>
      </c>
      <c r="G122" s="131" t="s">
        <v>7046</v>
      </c>
      <c r="H122" s="131" t="s">
        <v>7029</v>
      </c>
      <c r="I122" s="131" t="s">
        <v>7027</v>
      </c>
      <c r="J122" s="129"/>
      <c r="K122" s="133"/>
      <c r="L122" s="131"/>
      <c r="M122" s="131"/>
      <c r="N122" s="131"/>
      <c r="O122" s="131"/>
      <c r="P122" s="129"/>
      <c r="Q122" s="131"/>
      <c r="R122" s="131"/>
      <c r="S122" s="131"/>
      <c r="T122" s="129"/>
    </row>
    <row r="123" ht="37.5" customHeight="1">
      <c r="A123" s="129"/>
      <c r="B123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123" s="130"/>
      <c r="D123" s="129"/>
      <c r="E123" s="131" t="s">
        <v>7026</v>
      </c>
      <c r="F123" s="131" t="s">
        <v>7027</v>
      </c>
      <c r="G123" s="131" t="s">
        <v>7046</v>
      </c>
      <c r="H123" s="131" t="s">
        <v>7029</v>
      </c>
      <c r="I123" s="131" t="s">
        <v>7027</v>
      </c>
      <c r="J123" s="129"/>
      <c r="K123" s="133"/>
      <c r="L123" s="131"/>
      <c r="M123" s="131"/>
      <c r="N123" s="131"/>
      <c r="O123" s="131"/>
      <c r="P123" s="129"/>
      <c r="Q123" s="131"/>
      <c r="R123" s="131"/>
      <c r="S123" s="131"/>
      <c r="T123" s="129"/>
    </row>
    <row r="124" ht="37.5" customHeight="1">
      <c r="A124" s="129"/>
      <c r="B124" s="130" t="str">
        <f>IFERROR(__xludf.DUMMYFUNCTION("""COMPUTED_VALUE"""),"When you Knockback an enemy: Recover HP by 3%.")</f>
        <v>When you Knockback an enemy: Recover HP by 3%.</v>
      </c>
      <c r="C124" s="130"/>
      <c r="D124" s="129"/>
      <c r="E124" s="131" t="s">
        <v>7056</v>
      </c>
      <c r="F124" s="131" t="s">
        <v>7027</v>
      </c>
      <c r="G124" s="131" t="s">
        <v>7040</v>
      </c>
      <c r="H124" s="131" t="s">
        <v>7038</v>
      </c>
      <c r="I124" s="131" t="s">
        <v>7027</v>
      </c>
      <c r="J124" s="129"/>
      <c r="K124" s="133"/>
      <c r="L124" s="131"/>
      <c r="M124" s="131"/>
      <c r="N124" s="131"/>
      <c r="O124" s="131"/>
      <c r="P124" s="129"/>
      <c r="Q124" s="132"/>
      <c r="R124" s="132"/>
      <c r="S124" s="132"/>
      <c r="T124" s="129"/>
    </row>
    <row r="125" ht="37.5" customHeight="1">
      <c r="A125" s="129"/>
      <c r="B125" s="130" t="str">
        <f>IFERROR(__xludf.DUMMYFUNCTION("""COMPUTED_VALUE"""),"After KOing an enemy: Reduce the cooldown time of Skill 2 by 8%.")</f>
        <v>After KOing an enemy: Reduce the cooldown time of Skill 2 by 8%.</v>
      </c>
      <c r="C125" s="130"/>
      <c r="D125" s="129"/>
      <c r="E125" s="131" t="s">
        <v>7039</v>
      </c>
      <c r="F125" s="131" t="s">
        <v>7027</v>
      </c>
      <c r="G125" s="131" t="s">
        <v>7050</v>
      </c>
      <c r="H125" s="131" t="s">
        <v>7032</v>
      </c>
      <c r="I125" s="131" t="s">
        <v>7027</v>
      </c>
      <c r="J125" s="129"/>
      <c r="K125" s="133"/>
      <c r="L125" s="131"/>
      <c r="M125" s="131"/>
      <c r="N125" s="131"/>
      <c r="O125" s="131"/>
      <c r="P125" s="129"/>
      <c r="Q125" s="131"/>
      <c r="R125" s="131"/>
      <c r="S125" s="131"/>
      <c r="T125" s="129"/>
    </row>
    <row r="126" ht="37.5" customHeight="1">
      <c r="A126" s="129"/>
      <c r="B126" s="130" t="str">
        <f>IFERROR(__xludf.DUMMYFUNCTION("""COMPUTED_VALUE"""),"When Respawned: CRIT Boosted by 90% for 20 second(s).")</f>
        <v>When Respawned: CRIT Boosted by 90% for 20 second(s).</v>
      </c>
      <c r="C126" s="130"/>
      <c r="D126" s="129"/>
      <c r="E126" s="131" t="s">
        <v>7085</v>
      </c>
      <c r="F126" s="131" t="s">
        <v>7027</v>
      </c>
      <c r="G126" s="131" t="s">
        <v>7086</v>
      </c>
      <c r="H126" s="131" t="s">
        <v>7087</v>
      </c>
      <c r="I126" s="131" t="s">
        <v>7084</v>
      </c>
      <c r="J126" s="129"/>
      <c r="K126" s="133"/>
      <c r="L126" s="131"/>
      <c r="M126" s="131"/>
      <c r="N126" s="131"/>
      <c r="O126" s="131"/>
      <c r="P126" s="129"/>
      <c r="Q126" s="131"/>
      <c r="R126" s="131"/>
      <c r="S126" s="131"/>
      <c r="T126" s="129"/>
    </row>
    <row r="127" ht="37.5" customHeight="1">
      <c r="A127" s="129"/>
      <c r="B127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27" s="130"/>
      <c r="D127" s="129"/>
      <c r="E127" s="131" t="s">
        <v>7064</v>
      </c>
      <c r="F127" s="131" t="s">
        <v>7027</v>
      </c>
      <c r="G127" s="131" t="s">
        <v>7034</v>
      </c>
      <c r="H127" s="131" t="s">
        <v>7035</v>
      </c>
      <c r="I127" s="131" t="s">
        <v>7027</v>
      </c>
      <c r="J127" s="129"/>
      <c r="K127" s="133"/>
      <c r="L127" s="131"/>
      <c r="M127" s="131"/>
      <c r="N127" s="131"/>
      <c r="O127" s="131"/>
      <c r="P127" s="129"/>
      <c r="Q127" s="131"/>
      <c r="R127" s="131"/>
      <c r="S127" s="131"/>
      <c r="T127" s="129"/>
    </row>
    <row r="128" ht="37.5" customHeight="1">
      <c r="A128" s="129"/>
      <c r="B128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28" s="130"/>
      <c r="D128" s="129"/>
      <c r="E128" s="131" t="s">
        <v>7045</v>
      </c>
      <c r="F128" s="131" t="s">
        <v>7027</v>
      </c>
      <c r="G128" s="131" t="s">
        <v>7046</v>
      </c>
      <c r="H128" s="131" t="s">
        <v>7029</v>
      </c>
      <c r="I128" s="131" t="s">
        <v>7027</v>
      </c>
      <c r="J128" s="129"/>
      <c r="K128" s="133"/>
      <c r="L128" s="131"/>
      <c r="M128" s="131"/>
      <c r="N128" s="131"/>
      <c r="O128" s="131"/>
      <c r="P128" s="129"/>
      <c r="Q128" s="131"/>
      <c r="R128" s="131"/>
      <c r="S128" s="131"/>
      <c r="T128" s="129"/>
    </row>
    <row r="129" ht="37.5" customHeight="1">
      <c r="A129" s="129"/>
      <c r="B129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129" s="130"/>
      <c r="D129" s="129"/>
      <c r="E129" s="131" t="s">
        <v>7045</v>
      </c>
      <c r="F129" s="131" t="s">
        <v>7027</v>
      </c>
      <c r="G129" s="131" t="s">
        <v>7034</v>
      </c>
      <c r="H129" s="131" t="s">
        <v>7035</v>
      </c>
      <c r="I129" s="131" t="s">
        <v>7027</v>
      </c>
      <c r="J129" s="129"/>
      <c r="K129" s="133"/>
      <c r="L129" s="131"/>
      <c r="M129" s="131"/>
      <c r="N129" s="131"/>
      <c r="O129" s="131"/>
      <c r="P129" s="129"/>
      <c r="Q129" s="131"/>
      <c r="R129" s="131"/>
      <c r="S129" s="131"/>
      <c r="T129" s="129"/>
    </row>
    <row r="130" ht="37.5" customHeight="1">
      <c r="A130" s="129"/>
      <c r="B130" s="130" t="str">
        <f>IFERROR(__xludf.DUMMYFUNCTION("""COMPUTED_VALUE"""),"When your HP is 70% or more: Boost capture speed by 8%.")</f>
        <v>When your HP is 70% or more: Boost capture speed by 8%.</v>
      </c>
      <c r="C130" s="130"/>
      <c r="D130" s="129"/>
      <c r="E130" s="131" t="s">
        <v>7026</v>
      </c>
      <c r="F130" s="131" t="s">
        <v>7027</v>
      </c>
      <c r="G130" s="131" t="s">
        <v>7031</v>
      </c>
      <c r="H130" s="131" t="s">
        <v>7032</v>
      </c>
      <c r="I130" s="131" t="s">
        <v>7027</v>
      </c>
      <c r="J130" s="129"/>
      <c r="K130" s="133"/>
      <c r="L130" s="131"/>
      <c r="M130" s="131"/>
      <c r="N130" s="131"/>
      <c r="O130" s="131"/>
      <c r="P130" s="129"/>
      <c r="Q130" s="131"/>
      <c r="R130" s="131"/>
      <c r="S130" s="131"/>
      <c r="T130" s="129"/>
    </row>
    <row r="131" ht="37.5" customHeight="1">
      <c r="A131" s="129"/>
      <c r="B131" s="130" t="str">
        <f>IFERROR(__xludf.DUMMYFUNCTION("""COMPUTED_VALUE"""),"When you capture the Treasure: SPD Boosted by 6% for 20 second(s).")</f>
        <v>When you capture the Treasure: SPD Boosted by 6% for 20 second(s).</v>
      </c>
      <c r="C131" s="130"/>
      <c r="D131" s="129"/>
      <c r="E131" s="131" t="s">
        <v>7048</v>
      </c>
      <c r="F131" s="131" t="s">
        <v>7027</v>
      </c>
      <c r="G131" s="131" t="s">
        <v>7083</v>
      </c>
      <c r="H131" s="131" t="s">
        <v>7066</v>
      </c>
      <c r="I131" s="131" t="s">
        <v>7084</v>
      </c>
      <c r="J131" s="129"/>
      <c r="K131" s="133"/>
      <c r="L131" s="131"/>
      <c r="M131" s="131"/>
      <c r="N131" s="131"/>
      <c r="O131" s="131"/>
      <c r="P131" s="129"/>
      <c r="Q131" s="131"/>
      <c r="R131" s="131"/>
      <c r="S131" s="131"/>
      <c r="T131" s="129"/>
    </row>
    <row r="132" ht="37.5" customHeight="1">
      <c r="A132" s="129"/>
      <c r="B132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132" s="130"/>
      <c r="D132" s="129"/>
      <c r="E132" s="131" t="s">
        <v>7030</v>
      </c>
      <c r="F132" s="131" t="s">
        <v>7027</v>
      </c>
      <c r="G132" s="131" t="s">
        <v>7031</v>
      </c>
      <c r="H132" s="131" t="s">
        <v>7032</v>
      </c>
      <c r="I132" s="131" t="s">
        <v>7027</v>
      </c>
      <c r="J132" s="129"/>
      <c r="K132" s="133"/>
      <c r="L132" s="131"/>
      <c r="M132" s="131"/>
      <c r="N132" s="131"/>
      <c r="O132" s="131"/>
      <c r="P132" s="129"/>
      <c r="Q132" s="131"/>
      <c r="R132" s="131"/>
      <c r="S132" s="131"/>
      <c r="T132" s="129"/>
    </row>
    <row r="133" ht="37.5" customHeight="1">
      <c r="A133" s="129"/>
      <c r="B133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133" s="130"/>
      <c r="D133" s="129"/>
      <c r="E133" s="131" t="s">
        <v>7041</v>
      </c>
      <c r="F133" s="131" t="s">
        <v>7027</v>
      </c>
      <c r="G133" s="131" t="s">
        <v>7034</v>
      </c>
      <c r="H133" s="131" t="s">
        <v>7035</v>
      </c>
      <c r="I133" s="131" t="s">
        <v>7027</v>
      </c>
      <c r="J133" s="129"/>
      <c r="K133" s="133"/>
      <c r="L133" s="131"/>
      <c r="M133" s="131"/>
      <c r="N133" s="131"/>
      <c r="O133" s="131"/>
      <c r="P133" s="129"/>
      <c r="Q133" s="131"/>
      <c r="R133" s="131"/>
      <c r="S133" s="131"/>
      <c r="T133" s="129"/>
    </row>
    <row r="134" ht="37.5" customHeight="1">
      <c r="A134" s="129"/>
      <c r="B134" s="130" t="str">
        <f>IFERROR(__xludf.DUMMYFUNCTION("""COMPUTED_VALUE"""),"When your HP is 70% or more: Reduce damage recieved by 5%.")</f>
        <v>When your HP is 70% or more: Reduce damage recieved by 5%.</v>
      </c>
      <c r="C134" s="130"/>
      <c r="D134" s="129"/>
      <c r="E134" s="131" t="s">
        <v>7026</v>
      </c>
      <c r="F134" s="131" t="s">
        <v>7027</v>
      </c>
      <c r="G134" s="131" t="s">
        <v>7037</v>
      </c>
      <c r="H134" s="131" t="s">
        <v>7035</v>
      </c>
      <c r="I134" s="131" t="s">
        <v>7027</v>
      </c>
      <c r="J134" s="129"/>
      <c r="K134" s="133"/>
      <c r="L134" s="131"/>
      <c r="M134" s="131"/>
      <c r="N134" s="131"/>
      <c r="O134" s="131"/>
      <c r="P134" s="129"/>
      <c r="Q134" s="131"/>
      <c r="R134" s="131"/>
      <c r="S134" s="131"/>
      <c r="T134" s="129"/>
    </row>
    <row r="135" ht="37.5" customHeight="1">
      <c r="A135" s="129"/>
      <c r="B135" s="130" t="str">
        <f>IFERROR(__xludf.DUMMYFUNCTION("""COMPUTED_VALUE"""),"When you are Downed: Reduce the cooldown time of Skill 2 by 4%.")</f>
        <v>When you are Downed: Reduce the cooldown time of Skill 2 by 4%.</v>
      </c>
      <c r="C135" s="130"/>
      <c r="D135" s="129"/>
      <c r="E135" s="131" t="s">
        <v>7049</v>
      </c>
      <c r="F135" s="131" t="s">
        <v>7027</v>
      </c>
      <c r="G135" s="131" t="s">
        <v>7050</v>
      </c>
      <c r="H135" s="131" t="s">
        <v>7051</v>
      </c>
      <c r="I135" s="131" t="s">
        <v>7027</v>
      </c>
      <c r="J135" s="129"/>
      <c r="K135" s="133"/>
      <c r="L135" s="131"/>
      <c r="M135" s="131"/>
      <c r="N135" s="131"/>
      <c r="O135" s="131"/>
      <c r="P135" s="129"/>
      <c r="Q135" s="131"/>
      <c r="R135" s="131"/>
      <c r="S135" s="131"/>
      <c r="T135" s="129"/>
    </row>
    <row r="136" ht="37.5" customHeight="1">
      <c r="A136" s="129"/>
      <c r="B136" s="130" t="str">
        <f>IFERROR(__xludf.DUMMYFUNCTION("""COMPUTED_VALUE"""),"When your HP is 70% or more: Increase damage dealt by 3%.")</f>
        <v>When your HP is 70% or more: Increase damage dealt by 3%.</v>
      </c>
      <c r="C136" s="130"/>
      <c r="D136" s="129"/>
      <c r="E136" s="131" t="s">
        <v>7026</v>
      </c>
      <c r="F136" s="131" t="s">
        <v>7027</v>
      </c>
      <c r="G136" s="131" t="s">
        <v>7034</v>
      </c>
      <c r="H136" s="131" t="s">
        <v>7038</v>
      </c>
      <c r="I136" s="131" t="s">
        <v>7027</v>
      </c>
      <c r="J136" s="129"/>
      <c r="K136" s="133"/>
      <c r="L136" s="131"/>
      <c r="M136" s="131"/>
      <c r="N136" s="131"/>
      <c r="O136" s="131"/>
      <c r="P136" s="129"/>
      <c r="Q136" s="131"/>
      <c r="R136" s="131"/>
      <c r="S136" s="131"/>
      <c r="T136" s="129"/>
    </row>
    <row r="137" ht="37.5" customHeight="1">
      <c r="A137" s="129"/>
      <c r="B137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137" s="130"/>
      <c r="D137" s="129"/>
      <c r="E137" s="131" t="s">
        <v>7041</v>
      </c>
      <c r="F137" s="131" t="s">
        <v>7027</v>
      </c>
      <c r="G137" s="131" t="s">
        <v>7034</v>
      </c>
      <c r="H137" s="131" t="s">
        <v>7035</v>
      </c>
      <c r="I137" s="131" t="s">
        <v>7027</v>
      </c>
      <c r="J137" s="129"/>
      <c r="K137" s="133"/>
      <c r="L137" s="131"/>
      <c r="M137" s="131"/>
      <c r="N137" s="131"/>
      <c r="O137" s="131"/>
      <c r="P137" s="129"/>
      <c r="Q137" s="131"/>
      <c r="R137" s="131"/>
      <c r="S137" s="131"/>
      <c r="T137" s="129"/>
    </row>
    <row r="138" ht="37.5" customHeight="1">
      <c r="A138" s="129"/>
      <c r="B138" s="130" t="str">
        <f>IFERROR(__xludf.DUMMYFUNCTION("""COMPUTED_VALUE"""),"When you Knockback an enemy: Recover HP by 3%.")</f>
        <v>When you Knockback an enemy: Recover HP by 3%.</v>
      </c>
      <c r="C138" s="130"/>
      <c r="D138" s="129"/>
      <c r="E138" s="131" t="s">
        <v>7056</v>
      </c>
      <c r="F138" s="131" t="s">
        <v>7027</v>
      </c>
      <c r="G138" s="131" t="s">
        <v>7040</v>
      </c>
      <c r="H138" s="131" t="s">
        <v>7038</v>
      </c>
      <c r="I138" s="131" t="s">
        <v>7027</v>
      </c>
      <c r="J138" s="129"/>
      <c r="K138" s="133"/>
      <c r="L138" s="131"/>
      <c r="M138" s="131"/>
      <c r="N138" s="131"/>
      <c r="O138" s="131"/>
      <c r="P138" s="129"/>
      <c r="Q138" s="131"/>
      <c r="R138" s="131"/>
      <c r="S138" s="131"/>
      <c r="T138" s="129"/>
    </row>
    <row r="139" ht="37.5" customHeight="1">
      <c r="A139" s="129"/>
      <c r="B139" s="130" t="str">
        <f>IFERROR(__xludf.DUMMYFUNCTION("""COMPUTED_VALUE"""),"After KOing an enemy: Reduce the cooldown time of Skill 1 by 8%.")</f>
        <v>After KOing an enemy: Reduce the cooldown time of Skill 1 by 8%.</v>
      </c>
      <c r="C139" s="130"/>
      <c r="D139" s="129"/>
      <c r="E139" s="131" t="s">
        <v>7039</v>
      </c>
      <c r="F139" s="131" t="s">
        <v>7027</v>
      </c>
      <c r="G139" s="131" t="s">
        <v>7058</v>
      </c>
      <c r="H139" s="131" t="s">
        <v>7032</v>
      </c>
      <c r="I139" s="131" t="s">
        <v>7027</v>
      </c>
      <c r="J139" s="129"/>
      <c r="K139" s="133"/>
      <c r="L139" s="131"/>
      <c r="M139" s="131"/>
      <c r="N139" s="131"/>
      <c r="O139" s="131"/>
      <c r="P139" s="129"/>
      <c r="Q139" s="131"/>
      <c r="R139" s="131"/>
      <c r="S139" s="131"/>
      <c r="T139" s="129"/>
    </row>
    <row r="140" ht="37.5" customHeight="1">
      <c r="A140" s="129"/>
      <c r="B140" s="130" t="str">
        <f>IFERROR(__xludf.DUMMYFUNCTION("""COMPUTED_VALUE"""),"When your HP is 70% or more: Reduce damage recieved by 5%.")</f>
        <v>When your HP is 70% or more: Reduce damage recieved by 5%.</v>
      </c>
      <c r="C140" s="130"/>
      <c r="D140" s="129"/>
      <c r="E140" s="131" t="s">
        <v>7026</v>
      </c>
      <c r="F140" s="131" t="s">
        <v>7027</v>
      </c>
      <c r="G140" s="131" t="s">
        <v>7037</v>
      </c>
      <c r="H140" s="131" t="s">
        <v>7035</v>
      </c>
      <c r="I140" s="131" t="s">
        <v>7027</v>
      </c>
      <c r="J140" s="129"/>
      <c r="K140" s="133"/>
      <c r="L140" s="131"/>
      <c r="M140" s="131"/>
      <c r="N140" s="131"/>
      <c r="O140" s="131"/>
      <c r="P140" s="129"/>
      <c r="Q140" s="131"/>
      <c r="R140" s="131"/>
      <c r="S140" s="131"/>
      <c r="T140" s="129"/>
    </row>
    <row r="141" ht="37.5" customHeight="1">
      <c r="A141" s="129"/>
      <c r="B141" s="130" t="str">
        <f>IFERROR(__xludf.DUMMYFUNCTION("""COMPUTED_VALUE"""),"When your HP is 70% or more: Boost capture speed by 8%.")</f>
        <v>When your HP is 70% or more: Boost capture speed by 8%.</v>
      </c>
      <c r="C141" s="130"/>
      <c r="D141" s="129"/>
      <c r="E141" s="131" t="s">
        <v>7026</v>
      </c>
      <c r="F141" s="131" t="s">
        <v>7027</v>
      </c>
      <c r="G141" s="131" t="s">
        <v>7031</v>
      </c>
      <c r="H141" s="131" t="s">
        <v>7032</v>
      </c>
      <c r="I141" s="131" t="s">
        <v>7027</v>
      </c>
      <c r="J141" s="129"/>
      <c r="K141" s="133"/>
      <c r="L141" s="131"/>
      <c r="M141" s="131"/>
      <c r="N141" s="131"/>
      <c r="O141" s="131"/>
      <c r="P141" s="129"/>
      <c r="Q141" s="131"/>
      <c r="R141" s="131"/>
      <c r="S141" s="131"/>
      <c r="T141" s="129"/>
    </row>
    <row r="142" ht="37.5" customHeight="1">
      <c r="A142" s="129"/>
      <c r="B142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142" s="130"/>
      <c r="D142" s="129"/>
      <c r="E142" s="131" t="s">
        <v>7041</v>
      </c>
      <c r="F142" s="131" t="s">
        <v>7027</v>
      </c>
      <c r="G142" s="131" t="s">
        <v>7042</v>
      </c>
      <c r="H142" s="131" t="s">
        <v>7029</v>
      </c>
      <c r="I142" s="131" t="s">
        <v>7027</v>
      </c>
      <c r="J142" s="129"/>
      <c r="K142" s="133"/>
      <c r="L142" s="131"/>
      <c r="M142" s="131"/>
      <c r="N142" s="131"/>
      <c r="O142" s="131"/>
      <c r="P142" s="129"/>
      <c r="Q142" s="131"/>
      <c r="R142" s="131"/>
      <c r="S142" s="131"/>
      <c r="T142" s="129"/>
    </row>
    <row r="143" ht="37.5" customHeight="1">
      <c r="A143" s="129"/>
      <c r="B143" s="130" t="str">
        <f>IFERROR(__xludf.DUMMYFUNCTION("""COMPUTED_VALUE"""),"When you capture the Treasure: Reduce the cooldown time of Skill 1 by 8%.")</f>
        <v>When you capture the Treasure: Reduce the cooldown time of Skill 1 by 8%.</v>
      </c>
      <c r="C143" s="130"/>
      <c r="D143" s="129"/>
      <c r="E143" s="131" t="s">
        <v>7048</v>
      </c>
      <c r="F143" s="131" t="s">
        <v>7027</v>
      </c>
      <c r="G143" s="131" t="s">
        <v>7058</v>
      </c>
      <c r="H143" s="131" t="s">
        <v>7032</v>
      </c>
      <c r="I143" s="131" t="s">
        <v>7027</v>
      </c>
      <c r="J143" s="129"/>
      <c r="K143" s="133"/>
      <c r="L143" s="131"/>
      <c r="M143" s="131"/>
      <c r="N143" s="131"/>
      <c r="O143" s="131"/>
      <c r="P143" s="129"/>
      <c r="Q143" s="131"/>
      <c r="R143" s="131"/>
      <c r="S143" s="131"/>
      <c r="T143" s="129"/>
    </row>
    <row r="144" ht="37.5" customHeight="1">
      <c r="A144" s="129"/>
      <c r="B144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44" s="130"/>
      <c r="D144" s="129"/>
      <c r="E144" s="131" t="s">
        <v>7045</v>
      </c>
      <c r="F144" s="131" t="s">
        <v>7027</v>
      </c>
      <c r="G144" s="131" t="s">
        <v>7037</v>
      </c>
      <c r="H144" s="131" t="s">
        <v>7035</v>
      </c>
      <c r="I144" s="131" t="s">
        <v>7027</v>
      </c>
      <c r="J144" s="129"/>
      <c r="K144" s="133"/>
      <c r="L144" s="131"/>
      <c r="M144" s="131"/>
      <c r="N144" s="131"/>
      <c r="O144" s="131"/>
      <c r="P144" s="129"/>
      <c r="Q144" s="131"/>
      <c r="R144" s="131"/>
      <c r="S144" s="131"/>
      <c r="T144" s="129"/>
    </row>
    <row r="145" ht="37.5" customHeight="1">
      <c r="A145" s="129"/>
      <c r="B145" s="130" t="str">
        <f>IFERROR(__xludf.DUMMYFUNCTION("""COMPUTED_VALUE"""),"After KOing an enemy: Recover HP by 5%.")</f>
        <v>After KOing an enemy: Recover HP by 5%.</v>
      </c>
      <c r="C145" s="130"/>
      <c r="D145" s="129"/>
      <c r="E145" s="131" t="s">
        <v>7039</v>
      </c>
      <c r="F145" s="131" t="s">
        <v>7027</v>
      </c>
      <c r="G145" s="131" t="s">
        <v>7040</v>
      </c>
      <c r="H145" s="131" t="s">
        <v>7035</v>
      </c>
      <c r="I145" s="131" t="s">
        <v>7027</v>
      </c>
      <c r="J145" s="129"/>
      <c r="K145" s="133"/>
      <c r="L145" s="131"/>
      <c r="M145" s="131"/>
      <c r="N145" s="131"/>
      <c r="O145" s="131"/>
      <c r="P145" s="129"/>
      <c r="Q145" s="131"/>
      <c r="R145" s="131"/>
      <c r="S145" s="131"/>
      <c r="T145" s="129"/>
    </row>
    <row r="146" ht="37.5" customHeight="1">
      <c r="A146" s="129"/>
      <c r="B146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146" s="130"/>
      <c r="D146" s="129"/>
      <c r="E146" s="131" t="s">
        <v>7045</v>
      </c>
      <c r="F146" s="131" t="s">
        <v>7027</v>
      </c>
      <c r="G146" s="131" t="s">
        <v>7034</v>
      </c>
      <c r="H146" s="131" t="s">
        <v>7035</v>
      </c>
      <c r="I146" s="131" t="s">
        <v>7027</v>
      </c>
      <c r="J146" s="129"/>
      <c r="K146" s="133"/>
      <c r="L146" s="131"/>
      <c r="M146" s="131"/>
      <c r="N146" s="131"/>
      <c r="O146" s="131"/>
      <c r="P146" s="129"/>
      <c r="Q146" s="131"/>
      <c r="R146" s="131"/>
      <c r="S146" s="131"/>
      <c r="T146" s="129"/>
    </row>
    <row r="147" ht="37.5" customHeight="1">
      <c r="A147" s="129"/>
      <c r="B147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147" s="130"/>
      <c r="D147" s="129"/>
      <c r="E147" s="131" t="s">
        <v>7045</v>
      </c>
      <c r="F147" s="131" t="s">
        <v>7027</v>
      </c>
      <c r="G147" s="131" t="s">
        <v>7042</v>
      </c>
      <c r="H147" s="131" t="s">
        <v>7029</v>
      </c>
      <c r="I147" s="131" t="s">
        <v>7027</v>
      </c>
      <c r="J147" s="129"/>
      <c r="K147" s="133"/>
      <c r="L147" s="131"/>
      <c r="M147" s="131"/>
      <c r="N147" s="131"/>
      <c r="O147" s="131"/>
      <c r="P147" s="129"/>
      <c r="Q147" s="131"/>
      <c r="R147" s="131"/>
      <c r="S147" s="131"/>
      <c r="T147" s="129"/>
    </row>
    <row r="148" ht="37.5" customHeight="1">
      <c r="A148" s="129"/>
      <c r="B148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148" s="130"/>
      <c r="D148" s="129"/>
      <c r="E148" s="131" t="s">
        <v>7041</v>
      </c>
      <c r="F148" s="131" t="s">
        <v>7027</v>
      </c>
      <c r="G148" s="131" t="s">
        <v>7042</v>
      </c>
      <c r="H148" s="131" t="s">
        <v>7029</v>
      </c>
      <c r="I148" s="131" t="s">
        <v>7027</v>
      </c>
      <c r="J148" s="129"/>
      <c r="K148" s="133"/>
      <c r="L148" s="131"/>
      <c r="M148" s="131"/>
      <c r="N148" s="131"/>
      <c r="O148" s="131"/>
      <c r="P148" s="129"/>
      <c r="Q148" s="131"/>
      <c r="R148" s="131"/>
      <c r="S148" s="131"/>
      <c r="T148" s="129"/>
    </row>
    <row r="149" ht="37.5" customHeight="1">
      <c r="A149" s="129"/>
      <c r="B149" s="130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C149" s="130"/>
      <c r="D149" s="129"/>
      <c r="E149" s="131" t="s">
        <v>7070</v>
      </c>
      <c r="F149" s="131" t="s">
        <v>7027</v>
      </c>
      <c r="G149" s="131" t="s">
        <v>7042</v>
      </c>
      <c r="H149" s="131" t="s">
        <v>7029</v>
      </c>
      <c r="I149" s="131" t="s">
        <v>7027</v>
      </c>
      <c r="J149" s="129"/>
      <c r="K149" s="133"/>
      <c r="L149" s="131"/>
      <c r="M149" s="131"/>
      <c r="N149" s="131"/>
      <c r="O149" s="131"/>
      <c r="P149" s="129"/>
      <c r="Q149" s="131"/>
      <c r="R149" s="131"/>
      <c r="S149" s="131"/>
      <c r="T149" s="129"/>
    </row>
    <row r="150" ht="37.5" customHeight="1">
      <c r="A150" s="129"/>
      <c r="B150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50" s="130"/>
      <c r="D150" s="129"/>
      <c r="E150" s="131" t="s">
        <v>7064</v>
      </c>
      <c r="F150" s="131" t="s">
        <v>7027</v>
      </c>
      <c r="G150" s="131" t="s">
        <v>7034</v>
      </c>
      <c r="H150" s="131" t="s">
        <v>7035</v>
      </c>
      <c r="I150" s="131" t="s">
        <v>7027</v>
      </c>
      <c r="J150" s="129"/>
      <c r="K150" s="133"/>
      <c r="L150" s="131"/>
      <c r="M150" s="131"/>
      <c r="N150" s="131"/>
      <c r="O150" s="131"/>
      <c r="P150" s="129"/>
      <c r="Q150" s="131"/>
      <c r="R150" s="131"/>
      <c r="S150" s="131"/>
      <c r="T150" s="129"/>
    </row>
    <row r="151" ht="37.5" customHeight="1">
      <c r="A151" s="129"/>
      <c r="B151" s="130" t="str">
        <f>IFERROR(__xludf.DUMMYFUNCTION("""COMPUTED_VALUE"""),"When you capture the Treasure: Recover HP by 5%.")</f>
        <v>When you capture the Treasure: Recover HP by 5%.</v>
      </c>
      <c r="C151" s="130"/>
      <c r="D151" s="129"/>
      <c r="E151" s="131" t="s">
        <v>7048</v>
      </c>
      <c r="F151" s="131" t="s">
        <v>7027</v>
      </c>
      <c r="G151" s="131" t="s">
        <v>7040</v>
      </c>
      <c r="H151" s="131" t="s">
        <v>7035</v>
      </c>
      <c r="I151" s="131" t="s">
        <v>7027</v>
      </c>
      <c r="J151" s="129"/>
      <c r="K151" s="133"/>
      <c r="L151" s="131"/>
      <c r="M151" s="131"/>
      <c r="N151" s="131"/>
      <c r="O151" s="131"/>
      <c r="P151" s="129"/>
      <c r="Q151" s="131"/>
      <c r="R151" s="131"/>
      <c r="S151" s="131"/>
      <c r="T151" s="129"/>
    </row>
    <row r="152" ht="37.5" customHeight="1">
      <c r="A152" s="129"/>
      <c r="B152" s="130" t="str">
        <f>IFERROR(__xludf.DUMMYFUNCTION("""COMPUTED_VALUE"""),"When you Knockback an enemy: Recover HP by 3%.")</f>
        <v>When you Knockback an enemy: Recover HP by 3%.</v>
      </c>
      <c r="C152" s="130"/>
      <c r="D152" s="129"/>
      <c r="E152" s="131" t="s">
        <v>7056</v>
      </c>
      <c r="F152" s="131" t="s">
        <v>7027</v>
      </c>
      <c r="G152" s="131" t="s">
        <v>7040</v>
      </c>
      <c r="H152" s="131" t="s">
        <v>7038</v>
      </c>
      <c r="I152" s="131" t="s">
        <v>7027</v>
      </c>
      <c r="J152" s="129"/>
      <c r="K152" s="133"/>
      <c r="L152" s="131"/>
      <c r="M152" s="131"/>
      <c r="N152" s="131"/>
      <c r="O152" s="131"/>
      <c r="P152" s="129"/>
      <c r="Q152" s="131"/>
      <c r="R152" s="131"/>
      <c r="S152" s="131"/>
      <c r="T152" s="129"/>
    </row>
    <row r="153" ht="37.5" customHeight="1">
      <c r="A153" s="129"/>
      <c r="B153" s="130" t="str">
        <f>IFERROR(__xludf.DUMMYFUNCTION("""COMPUTED_VALUE"""),"When using Skill 2: Reduce the cooldown time of Skill 1 by 5%.")</f>
        <v>When using Skill 2: Reduce the cooldown time of Skill 1 by 5%.</v>
      </c>
      <c r="C153" s="130"/>
      <c r="D153" s="129"/>
      <c r="E153" s="131" t="s">
        <v>7062</v>
      </c>
      <c r="F153" s="131" t="s">
        <v>7027</v>
      </c>
      <c r="G153" s="131" t="s">
        <v>7058</v>
      </c>
      <c r="H153" s="131" t="s">
        <v>7035</v>
      </c>
      <c r="I153" s="131" t="s">
        <v>7027</v>
      </c>
      <c r="J153" s="129"/>
      <c r="K153" s="133"/>
      <c r="L153" s="131"/>
      <c r="M153" s="131"/>
      <c r="N153" s="131"/>
      <c r="O153" s="131"/>
      <c r="P153" s="129"/>
      <c r="Q153" s="131"/>
      <c r="R153" s="131"/>
      <c r="S153" s="131"/>
      <c r="T153" s="129"/>
    </row>
    <row r="154" ht="37.5" customHeight="1">
      <c r="A154" s="129"/>
      <c r="B154" s="130" t="str">
        <f>IFERROR(__xludf.DUMMYFUNCTION("""COMPUTED_VALUE"""),"When you are Downed: Reduce the cooldown time of Skill 2 by 4%.")</f>
        <v>When you are Downed: Reduce the cooldown time of Skill 2 by 4%.</v>
      </c>
      <c r="C154" s="130"/>
      <c r="D154" s="129"/>
      <c r="E154" s="131" t="s">
        <v>7049</v>
      </c>
      <c r="F154" s="131" t="s">
        <v>7027</v>
      </c>
      <c r="G154" s="131" t="s">
        <v>7050</v>
      </c>
      <c r="H154" s="131" t="s">
        <v>7051</v>
      </c>
      <c r="I154" s="131" t="s">
        <v>7027</v>
      </c>
      <c r="J154" s="129"/>
      <c r="K154" s="133"/>
      <c r="L154" s="131"/>
      <c r="M154" s="131"/>
      <c r="N154" s="131"/>
      <c r="O154" s="131"/>
      <c r="P154" s="129"/>
      <c r="Q154" s="131"/>
      <c r="R154" s="131"/>
      <c r="S154" s="131"/>
      <c r="T154" s="129"/>
    </row>
    <row r="155" ht="37.5" customHeight="1">
      <c r="A155" s="129"/>
      <c r="B155" s="130" t="str">
        <f>IFERROR(__xludf.DUMMYFUNCTION("""COMPUTED_VALUE"""),"When you capture the Treasure: Reduce the cooldown time of Skill 2 by 8%.")</f>
        <v>When you capture the Treasure: Reduce the cooldown time of Skill 2 by 8%.</v>
      </c>
      <c r="C155" s="130"/>
      <c r="D155" s="129"/>
      <c r="E155" s="131" t="s">
        <v>7048</v>
      </c>
      <c r="F155" s="131" t="s">
        <v>7027</v>
      </c>
      <c r="G155" s="131" t="s">
        <v>7050</v>
      </c>
      <c r="H155" s="131" t="s">
        <v>7032</v>
      </c>
      <c r="I155" s="131" t="s">
        <v>7027</v>
      </c>
      <c r="J155" s="129"/>
      <c r="K155" s="133"/>
      <c r="L155" s="131"/>
      <c r="M155" s="131"/>
      <c r="N155" s="131"/>
      <c r="O155" s="131"/>
      <c r="P155" s="129"/>
      <c r="Q155" s="131"/>
      <c r="R155" s="131"/>
      <c r="S155" s="131"/>
      <c r="T155" s="129"/>
    </row>
    <row r="156" ht="37.5" customHeight="1">
      <c r="A156" s="129"/>
      <c r="B156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56" s="130"/>
      <c r="D156" s="129"/>
      <c r="E156" s="131" t="s">
        <v>7045</v>
      </c>
      <c r="F156" s="131" t="s">
        <v>7027</v>
      </c>
      <c r="G156" s="131" t="s">
        <v>7037</v>
      </c>
      <c r="H156" s="131" t="s">
        <v>7035</v>
      </c>
      <c r="I156" s="131" t="s">
        <v>7027</v>
      </c>
      <c r="J156" s="129"/>
      <c r="K156" s="133"/>
      <c r="L156" s="131"/>
      <c r="M156" s="131"/>
      <c r="N156" s="131"/>
      <c r="O156" s="131"/>
      <c r="P156" s="129"/>
      <c r="Q156" s="131"/>
      <c r="R156" s="131"/>
      <c r="S156" s="131"/>
      <c r="T156" s="129"/>
    </row>
    <row r="157" ht="37.5" customHeight="1">
      <c r="A157" s="129"/>
      <c r="B157" s="130" t="str">
        <f>IFERROR(__xludf.DUMMYFUNCTION("""COMPUTED_VALUE"""),"When attacked by an enemy: Reduce the cooldown time of Skill 1 by 2%.")</f>
        <v>When attacked by an enemy: Reduce the cooldown time of Skill 1 by 2%.</v>
      </c>
      <c r="C157" s="130"/>
      <c r="D157" s="129"/>
      <c r="E157" s="131" t="s">
        <v>7069</v>
      </c>
      <c r="F157" s="131" t="s">
        <v>7027</v>
      </c>
      <c r="G157" s="131" t="s">
        <v>7058</v>
      </c>
      <c r="H157" s="131" t="s">
        <v>7053</v>
      </c>
      <c r="I157" s="131" t="s">
        <v>7027</v>
      </c>
      <c r="J157" s="129"/>
      <c r="K157" s="133"/>
      <c r="L157" s="131"/>
      <c r="M157" s="131"/>
      <c r="N157" s="131"/>
      <c r="O157" s="131"/>
      <c r="P157" s="129"/>
      <c r="Q157" s="131"/>
      <c r="R157" s="131"/>
      <c r="S157" s="131"/>
      <c r="T157" s="129"/>
    </row>
    <row r="158" ht="37.5" customHeight="1">
      <c r="A158" s="129"/>
      <c r="B158" s="130" t="str">
        <f>IFERROR(__xludf.DUMMYFUNCTION("""COMPUTED_VALUE"""),"When attacking a character type ``Logia`` enemy: Increase damage dealt by 5%.")</f>
        <v>When attacking a character type ``Logia`` enemy: Increase damage dealt by 5%.</v>
      </c>
      <c r="C158" s="130"/>
      <c r="D158" s="129"/>
      <c r="E158" s="131" t="s">
        <v>7088</v>
      </c>
      <c r="F158" s="131" t="s">
        <v>7027</v>
      </c>
      <c r="G158" s="131" t="s">
        <v>7034</v>
      </c>
      <c r="H158" s="131" t="s">
        <v>7035</v>
      </c>
      <c r="I158" s="131" t="s">
        <v>7027</v>
      </c>
      <c r="J158" s="129"/>
      <c r="K158" s="133"/>
      <c r="L158" s="131"/>
      <c r="M158" s="131"/>
      <c r="N158" s="131"/>
      <c r="O158" s="131"/>
      <c r="P158" s="129"/>
      <c r="Q158" s="131"/>
      <c r="R158" s="131"/>
      <c r="S158" s="131"/>
      <c r="T158" s="129"/>
    </row>
    <row r="159" ht="37.5" customHeight="1">
      <c r="A159" s="129"/>
      <c r="B159" s="130" t="str">
        <f>IFERROR(__xludf.DUMMYFUNCTION("""COMPUTED_VALUE"""),"When you Knockback an enemy: Recover HP by 3%.")</f>
        <v>When you Knockback an enemy: Recover HP by 3%.</v>
      </c>
      <c r="C159" s="130"/>
      <c r="D159" s="129"/>
      <c r="E159" s="131" t="s">
        <v>7056</v>
      </c>
      <c r="F159" s="131" t="s">
        <v>7027</v>
      </c>
      <c r="G159" s="131" t="s">
        <v>7040</v>
      </c>
      <c r="H159" s="131" t="s">
        <v>7038</v>
      </c>
      <c r="I159" s="131" t="s">
        <v>7027</v>
      </c>
      <c r="J159" s="129"/>
      <c r="K159" s="133"/>
      <c r="L159" s="131"/>
      <c r="M159" s="131"/>
      <c r="N159" s="131"/>
      <c r="O159" s="131"/>
      <c r="P159" s="129"/>
      <c r="Q159" s="131"/>
      <c r="R159" s="131"/>
      <c r="S159" s="131"/>
      <c r="T159" s="129"/>
    </row>
    <row r="160" ht="37.5" customHeight="1">
      <c r="A160" s="129"/>
      <c r="B160" s="130" t="str">
        <f>IFERROR(__xludf.DUMMYFUNCTION("""COMPUTED_VALUE"""),"When your HP is 50% or less: Increase damage dealt by 5%.")</f>
        <v>When your HP is 50% or less: Increase damage dealt by 5%.</v>
      </c>
      <c r="C160" s="130"/>
      <c r="D160" s="129"/>
      <c r="E160" s="131" t="s">
        <v>7068</v>
      </c>
      <c r="F160" s="131" t="s">
        <v>7027</v>
      </c>
      <c r="G160" s="131" t="s">
        <v>7034</v>
      </c>
      <c r="H160" s="131" t="s">
        <v>7035</v>
      </c>
      <c r="I160" s="131" t="s">
        <v>7027</v>
      </c>
      <c r="J160" s="129"/>
      <c r="K160" s="133"/>
      <c r="L160" s="131"/>
      <c r="M160" s="131"/>
      <c r="N160" s="131"/>
      <c r="O160" s="131"/>
      <c r="P160" s="129"/>
      <c r="Q160" s="131"/>
      <c r="R160" s="131"/>
      <c r="S160" s="131"/>
      <c r="T160" s="129"/>
    </row>
    <row r="161" ht="37.5" customHeight="1">
      <c r="A161" s="129"/>
      <c r="B161" s="130" t="str">
        <f>IFERROR(__xludf.DUMMYFUNCTION("""COMPUTED_VALUE"""),"When you capture the Treasure: Recover HP by 5%.")</f>
        <v>When you capture the Treasure: Recover HP by 5%.</v>
      </c>
      <c r="C161" s="130"/>
      <c r="D161" s="129"/>
      <c r="E161" s="131" t="s">
        <v>7048</v>
      </c>
      <c r="F161" s="131" t="s">
        <v>7027</v>
      </c>
      <c r="G161" s="131" t="s">
        <v>7040</v>
      </c>
      <c r="H161" s="131" t="s">
        <v>7035</v>
      </c>
      <c r="I161" s="131" t="s">
        <v>7027</v>
      </c>
      <c r="J161" s="129"/>
      <c r="K161" s="133"/>
      <c r="L161" s="131"/>
      <c r="M161" s="131"/>
      <c r="N161" s="131"/>
      <c r="O161" s="131"/>
      <c r="P161" s="129"/>
      <c r="Q161" s="131"/>
      <c r="R161" s="131"/>
      <c r="S161" s="131"/>
      <c r="T161" s="129"/>
    </row>
    <row r="162" ht="37.5" customHeight="1">
      <c r="A162" s="129"/>
      <c r="B162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62" s="130"/>
      <c r="D162" s="129"/>
      <c r="E162" s="131" t="s">
        <v>7045</v>
      </c>
      <c r="F162" s="131" t="s">
        <v>7027</v>
      </c>
      <c r="G162" s="131" t="s">
        <v>7046</v>
      </c>
      <c r="H162" s="131" t="s">
        <v>7029</v>
      </c>
      <c r="I162" s="131" t="s">
        <v>7027</v>
      </c>
      <c r="J162" s="129"/>
      <c r="K162" s="133"/>
      <c r="L162" s="131"/>
      <c r="M162" s="131"/>
      <c r="N162" s="131"/>
      <c r="O162" s="131"/>
      <c r="P162" s="129"/>
      <c r="Q162" s="131"/>
      <c r="R162" s="131"/>
      <c r="S162" s="131"/>
      <c r="T162" s="129"/>
    </row>
    <row r="163" ht="37.5" customHeight="1">
      <c r="A163" s="129"/>
      <c r="B163" s="130" t="str">
        <f>IFERROR(__xludf.DUMMYFUNCTION("""COMPUTED_VALUE"""),"When you Knockback an enemy: Recover HP by 3%.")</f>
        <v>When you Knockback an enemy: Recover HP by 3%.</v>
      </c>
      <c r="C163" s="130"/>
      <c r="D163" s="129"/>
      <c r="E163" s="131" t="s">
        <v>7056</v>
      </c>
      <c r="F163" s="131" t="s">
        <v>7027</v>
      </c>
      <c r="G163" s="131" t="s">
        <v>7040</v>
      </c>
      <c r="H163" s="131" t="s">
        <v>7038</v>
      </c>
      <c r="I163" s="131" t="s">
        <v>7027</v>
      </c>
      <c r="J163" s="129"/>
      <c r="K163" s="133"/>
      <c r="L163" s="131"/>
      <c r="M163" s="131"/>
      <c r="N163" s="131"/>
      <c r="O163" s="131"/>
      <c r="P163" s="129"/>
      <c r="Q163" s="131"/>
      <c r="R163" s="131"/>
      <c r="S163" s="131"/>
      <c r="T163" s="129"/>
    </row>
    <row r="164" ht="37.5" customHeight="1">
      <c r="A164" s="129"/>
      <c r="B164" s="130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C164" s="130"/>
      <c r="D164" s="129"/>
      <c r="E164" s="131" t="s">
        <v>7060</v>
      </c>
      <c r="F164" s="131" t="s">
        <v>7027</v>
      </c>
      <c r="G164" s="131" t="s">
        <v>7050</v>
      </c>
      <c r="H164" s="131" t="s">
        <v>7066</v>
      </c>
      <c r="I164" s="131" t="s">
        <v>7027</v>
      </c>
      <c r="J164" s="129"/>
      <c r="K164" s="133"/>
      <c r="L164" s="131"/>
      <c r="M164" s="131"/>
      <c r="N164" s="131"/>
      <c r="O164" s="131"/>
      <c r="P164" s="129"/>
      <c r="Q164" s="131"/>
      <c r="R164" s="131"/>
      <c r="S164" s="131"/>
      <c r="T164" s="129"/>
    </row>
    <row r="165" ht="37.5" customHeight="1">
      <c r="A165" s="129"/>
      <c r="B165" s="130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C165" s="130"/>
      <c r="D165" s="129"/>
      <c r="E165" s="131" t="s">
        <v>7076</v>
      </c>
      <c r="F165" s="131" t="s">
        <v>7027</v>
      </c>
      <c r="G165" s="131" t="s">
        <v>7042</v>
      </c>
      <c r="H165" s="131" t="s">
        <v>7029</v>
      </c>
      <c r="I165" s="131" t="s">
        <v>7027</v>
      </c>
      <c r="J165" s="129"/>
      <c r="K165" s="133"/>
      <c r="L165" s="131"/>
      <c r="M165" s="131"/>
      <c r="N165" s="131"/>
      <c r="O165" s="131"/>
      <c r="P165" s="129"/>
      <c r="Q165" s="131"/>
      <c r="R165" s="131"/>
      <c r="S165" s="131"/>
      <c r="T165" s="129"/>
    </row>
    <row r="166" ht="37.5" customHeight="1">
      <c r="A166" s="129"/>
      <c r="B166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66" s="130"/>
      <c r="D166" s="129"/>
      <c r="E166" s="131" t="s">
        <v>7045</v>
      </c>
      <c r="F166" s="131" t="s">
        <v>7027</v>
      </c>
      <c r="G166" s="131" t="s">
        <v>7046</v>
      </c>
      <c r="H166" s="131" t="s">
        <v>7029</v>
      </c>
      <c r="I166" s="131" t="s">
        <v>7027</v>
      </c>
      <c r="J166" s="129"/>
      <c r="K166" s="133"/>
      <c r="L166" s="131"/>
      <c r="M166" s="131"/>
      <c r="N166" s="131"/>
      <c r="O166" s="131"/>
      <c r="P166" s="129"/>
      <c r="Q166" s="131"/>
      <c r="R166" s="131"/>
      <c r="S166" s="131"/>
      <c r="T166" s="129"/>
    </row>
    <row r="167" ht="37.5" customHeight="1">
      <c r="A167" s="129"/>
      <c r="B167" s="130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167" s="130"/>
      <c r="D167" s="129"/>
      <c r="E167" s="131" t="s">
        <v>7076</v>
      </c>
      <c r="F167" s="131" t="s">
        <v>7027</v>
      </c>
      <c r="G167" s="131" t="s">
        <v>7046</v>
      </c>
      <c r="H167" s="131" t="s">
        <v>7029</v>
      </c>
      <c r="I167" s="131" t="s">
        <v>7027</v>
      </c>
      <c r="J167" s="129"/>
      <c r="K167" s="133"/>
      <c r="L167" s="131"/>
      <c r="M167" s="131"/>
      <c r="N167" s="131"/>
      <c r="O167" s="131"/>
      <c r="P167" s="129"/>
      <c r="Q167" s="131"/>
      <c r="R167" s="131"/>
      <c r="S167" s="131"/>
      <c r="T167" s="129"/>
    </row>
    <row r="168" ht="37.5" customHeight="1">
      <c r="A168" s="129"/>
      <c r="B168" s="130" t="str">
        <f>IFERROR(__xludf.DUMMYFUNCTION("""COMPUTED_VALUE"""),"When you capture the Treasure: Recover HP by 5%.")</f>
        <v>When you capture the Treasure: Recover HP by 5%.</v>
      </c>
      <c r="C168" s="130"/>
      <c r="D168" s="129"/>
      <c r="E168" s="131" t="s">
        <v>7048</v>
      </c>
      <c r="F168" s="131" t="s">
        <v>7027</v>
      </c>
      <c r="G168" s="131" t="s">
        <v>7040</v>
      </c>
      <c r="H168" s="131" t="s">
        <v>7035</v>
      </c>
      <c r="I168" s="131" t="s">
        <v>7027</v>
      </c>
      <c r="J168" s="129"/>
      <c r="K168" s="133"/>
      <c r="L168" s="131"/>
      <c r="M168" s="131"/>
      <c r="N168" s="131"/>
      <c r="O168" s="131"/>
      <c r="P168" s="129"/>
      <c r="Q168" s="131"/>
      <c r="R168" s="131"/>
      <c r="S168" s="131"/>
      <c r="T168" s="129"/>
    </row>
    <row r="169" ht="37.5" customHeight="1">
      <c r="A169" s="129"/>
      <c r="B169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69" s="130"/>
      <c r="D169" s="129"/>
      <c r="E169" s="131" t="s">
        <v>7064</v>
      </c>
      <c r="F169" s="131" t="s">
        <v>7027</v>
      </c>
      <c r="G169" s="131" t="s">
        <v>7034</v>
      </c>
      <c r="H169" s="131" t="s">
        <v>7035</v>
      </c>
      <c r="I169" s="131" t="s">
        <v>7027</v>
      </c>
      <c r="J169" s="129"/>
      <c r="K169" s="133"/>
      <c r="L169" s="131"/>
      <c r="M169" s="131"/>
      <c r="N169" s="131"/>
      <c r="O169" s="131"/>
      <c r="P169" s="129"/>
      <c r="Q169" s="131"/>
      <c r="R169" s="131"/>
      <c r="S169" s="131"/>
      <c r="T169" s="129"/>
    </row>
    <row r="170" ht="37.5" customHeight="1">
      <c r="A170" s="129"/>
      <c r="B170" s="130" t="str">
        <f>IFERROR(__xludf.DUMMYFUNCTION("""COMPUTED_VALUE"""),"When your HP is 70% or more: Boost capture speed by 8%.")</f>
        <v>When your HP is 70% or more: Boost capture speed by 8%.</v>
      </c>
      <c r="C170" s="130"/>
      <c r="D170" s="129"/>
      <c r="E170" s="131" t="s">
        <v>7026</v>
      </c>
      <c r="F170" s="131" t="s">
        <v>7027</v>
      </c>
      <c r="G170" s="131" t="s">
        <v>7031</v>
      </c>
      <c r="H170" s="131" t="s">
        <v>7032</v>
      </c>
      <c r="I170" s="131" t="s">
        <v>7027</v>
      </c>
      <c r="J170" s="129"/>
      <c r="K170" s="133"/>
      <c r="L170" s="131"/>
      <c r="M170" s="131"/>
      <c r="N170" s="131"/>
      <c r="O170" s="131"/>
      <c r="P170" s="129"/>
      <c r="Q170" s="131"/>
      <c r="R170" s="131"/>
      <c r="S170" s="131"/>
      <c r="T170" s="129"/>
    </row>
    <row r="171" ht="37.5" customHeight="1">
      <c r="A171" s="129"/>
      <c r="B171" s="130" t="str">
        <f>IFERROR(__xludf.DUMMYFUNCTION("""COMPUTED_VALUE"""),"When using Skill 1: Reduce the cooldown time of Skill 2 by 5%.")</f>
        <v>When using Skill 1: Reduce the cooldown time of Skill 2 by 5%.</v>
      </c>
      <c r="C171" s="130"/>
      <c r="D171" s="129"/>
      <c r="E171" s="131" t="s">
        <v>7075</v>
      </c>
      <c r="F171" s="131" t="s">
        <v>7027</v>
      </c>
      <c r="G171" s="131" t="s">
        <v>7050</v>
      </c>
      <c r="H171" s="131" t="s">
        <v>7035</v>
      </c>
      <c r="I171" s="131" t="s">
        <v>7027</v>
      </c>
      <c r="J171" s="129"/>
      <c r="K171" s="133"/>
      <c r="L171" s="131"/>
      <c r="M171" s="131"/>
      <c r="N171" s="131"/>
      <c r="O171" s="131"/>
      <c r="P171" s="129"/>
      <c r="Q171" s="131"/>
      <c r="R171" s="131"/>
      <c r="S171" s="131"/>
      <c r="T171" s="129"/>
    </row>
    <row r="172" ht="37.5" customHeight="1">
      <c r="A172" s="129"/>
      <c r="B172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172" s="130"/>
      <c r="D172" s="129"/>
      <c r="E172" s="131" t="s">
        <v>7041</v>
      </c>
      <c r="F172" s="131" t="s">
        <v>7027</v>
      </c>
      <c r="G172" s="131" t="s">
        <v>7034</v>
      </c>
      <c r="H172" s="131" t="s">
        <v>7035</v>
      </c>
      <c r="I172" s="131" t="s">
        <v>7027</v>
      </c>
      <c r="J172" s="129"/>
      <c r="K172" s="133"/>
      <c r="L172" s="131"/>
      <c r="M172" s="131"/>
      <c r="N172" s="131"/>
      <c r="O172" s="131"/>
      <c r="P172" s="129"/>
      <c r="Q172" s="131"/>
      <c r="R172" s="131"/>
      <c r="S172" s="131"/>
      <c r="T172" s="129"/>
    </row>
    <row r="173" ht="37.5" customHeight="1">
      <c r="A173" s="129"/>
      <c r="B173" s="130" t="str">
        <f>IFERROR(__xludf.DUMMYFUNCTION("""COMPUTED_VALUE"""),"When hit with Knockback by enemy: Recover HP by 3%.")</f>
        <v>When hit with Knockback by enemy: Recover HP by 3%.</v>
      </c>
      <c r="C173" s="130"/>
      <c r="D173" s="129"/>
      <c r="E173" s="131" t="s">
        <v>7071</v>
      </c>
      <c r="F173" s="131" t="s">
        <v>7027</v>
      </c>
      <c r="G173" s="131" t="s">
        <v>7040</v>
      </c>
      <c r="H173" s="131" t="s">
        <v>7038</v>
      </c>
      <c r="I173" s="131" t="s">
        <v>7027</v>
      </c>
      <c r="J173" s="129"/>
      <c r="K173" s="133"/>
      <c r="L173" s="131"/>
      <c r="M173" s="131"/>
      <c r="N173" s="131"/>
      <c r="O173" s="131"/>
      <c r="P173" s="129"/>
      <c r="Q173" s="131"/>
      <c r="R173" s="131"/>
      <c r="S173" s="131"/>
      <c r="T173" s="129"/>
    </row>
    <row r="174" ht="37.5" customHeight="1">
      <c r="A174" s="129"/>
      <c r="B174" s="130" t="str">
        <f>IFERROR(__xludf.DUMMYFUNCTION("""COMPUTED_VALUE"""),"When your HP is 70% or more: Boost capture speed by 8%.")</f>
        <v>When your HP is 70% or more: Boost capture speed by 8%.</v>
      </c>
      <c r="C174" s="130"/>
      <c r="D174" s="129"/>
      <c r="E174" s="131" t="s">
        <v>7026</v>
      </c>
      <c r="F174" s="131" t="s">
        <v>7027</v>
      </c>
      <c r="G174" s="131" t="s">
        <v>7031</v>
      </c>
      <c r="H174" s="131" t="s">
        <v>7032</v>
      </c>
      <c r="I174" s="131" t="s">
        <v>7027</v>
      </c>
      <c r="J174" s="129"/>
      <c r="K174" s="133"/>
      <c r="L174" s="131"/>
      <c r="M174" s="131"/>
      <c r="N174" s="131"/>
      <c r="O174" s="131"/>
      <c r="P174" s="129"/>
      <c r="Q174" s="131"/>
      <c r="R174" s="131"/>
      <c r="S174" s="131"/>
      <c r="T174" s="129"/>
    </row>
    <row r="175" ht="37.5" customHeight="1">
      <c r="A175" s="129"/>
      <c r="B175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75" s="130"/>
      <c r="D175" s="129"/>
      <c r="E175" s="131" t="s">
        <v>7045</v>
      </c>
      <c r="F175" s="131" t="s">
        <v>7027</v>
      </c>
      <c r="G175" s="131" t="s">
        <v>7037</v>
      </c>
      <c r="H175" s="131" t="s">
        <v>7035</v>
      </c>
      <c r="I175" s="131" t="s">
        <v>7027</v>
      </c>
      <c r="J175" s="129"/>
      <c r="K175" s="133"/>
      <c r="L175" s="131"/>
      <c r="M175" s="131"/>
      <c r="N175" s="131"/>
      <c r="O175" s="131"/>
      <c r="P175" s="129"/>
      <c r="Q175" s="131"/>
      <c r="R175" s="131"/>
      <c r="S175" s="131"/>
      <c r="T175" s="129"/>
    </row>
    <row r="176" ht="37.5" customHeight="1">
      <c r="A176" s="129"/>
      <c r="B176" s="130" t="str">
        <f>IFERROR(__xludf.DUMMYFUNCTION("""COMPUTED_VALUE"""),"When attacked by an enemy: Reduce the cooldown time of Skill 1 by 2%.")</f>
        <v>When attacked by an enemy: Reduce the cooldown time of Skill 1 by 2%.</v>
      </c>
      <c r="C176" s="130"/>
      <c r="D176" s="129"/>
      <c r="E176" s="131" t="s">
        <v>7069</v>
      </c>
      <c r="F176" s="131" t="s">
        <v>7027</v>
      </c>
      <c r="G176" s="131" t="s">
        <v>7058</v>
      </c>
      <c r="H176" s="131" t="s">
        <v>7053</v>
      </c>
      <c r="I176" s="131" t="s">
        <v>7027</v>
      </c>
      <c r="J176" s="129"/>
      <c r="K176" s="133"/>
      <c r="L176" s="131"/>
      <c r="M176" s="131"/>
      <c r="N176" s="131"/>
      <c r="O176" s="131"/>
      <c r="P176" s="129"/>
      <c r="Q176" s="131"/>
      <c r="R176" s="131"/>
      <c r="S176" s="131"/>
      <c r="T176" s="129"/>
    </row>
    <row r="177" ht="37.5" customHeight="1">
      <c r="A177" s="129"/>
      <c r="B177" s="130" t="str">
        <f>IFERROR(__xludf.DUMMYFUNCTION("""COMPUTED_VALUE"""),"When using Skill 2: Reduce the cooldown time of Skill 1 by 5%.")</f>
        <v>When using Skill 2: Reduce the cooldown time of Skill 1 by 5%.</v>
      </c>
      <c r="C177" s="130"/>
      <c r="D177" s="129"/>
      <c r="E177" s="131" t="s">
        <v>7062</v>
      </c>
      <c r="F177" s="131" t="s">
        <v>7027</v>
      </c>
      <c r="G177" s="131" t="s">
        <v>7058</v>
      </c>
      <c r="H177" s="131" t="s">
        <v>7035</v>
      </c>
      <c r="I177" s="131" t="s">
        <v>7027</v>
      </c>
      <c r="J177" s="129"/>
      <c r="K177" s="133"/>
      <c r="L177" s="131"/>
      <c r="M177" s="131"/>
      <c r="N177" s="131"/>
      <c r="O177" s="131"/>
      <c r="P177" s="129"/>
      <c r="Q177" s="131"/>
      <c r="R177" s="131"/>
      <c r="S177" s="131"/>
      <c r="T177" s="129"/>
    </row>
    <row r="178" ht="37.5" customHeight="1">
      <c r="A178" s="129"/>
      <c r="B178" s="130" t="str">
        <f>IFERROR(__xludf.DUMMYFUNCTION("""COMPUTED_VALUE"""),"When there are 90 seconds or less remaining: Reduce damage recieved by 3%.")</f>
        <v>When there are 90 seconds or less remaining: Reduce damage recieved by 3%.</v>
      </c>
      <c r="C178" s="130"/>
      <c r="D178" s="129"/>
      <c r="E178" s="131" t="s">
        <v>7089</v>
      </c>
      <c r="F178" s="131" t="s">
        <v>7027</v>
      </c>
      <c r="G178" s="131" t="s">
        <v>7037</v>
      </c>
      <c r="H178" s="131" t="s">
        <v>7038</v>
      </c>
      <c r="I178" s="131" t="s">
        <v>7027</v>
      </c>
      <c r="J178" s="129"/>
      <c r="K178" s="133"/>
      <c r="L178" s="131"/>
      <c r="M178" s="131"/>
      <c r="N178" s="131"/>
      <c r="O178" s="131"/>
      <c r="P178" s="129"/>
      <c r="Q178" s="131"/>
      <c r="R178" s="131"/>
      <c r="S178" s="131"/>
      <c r="T178" s="129"/>
    </row>
    <row r="179" ht="37.5" customHeight="1">
      <c r="A179" s="129"/>
      <c r="B179" s="130" t="str">
        <f>IFERROR(__xludf.DUMMYFUNCTION("""COMPUTED_VALUE"""),"For 90 seconds after the battle has started: Increase damage dealt by 3%.")</f>
        <v>For 90 seconds after the battle has started: Increase damage dealt by 3%.</v>
      </c>
      <c r="C179" s="130"/>
      <c r="D179" s="129"/>
      <c r="E179" s="131" t="s">
        <v>7090</v>
      </c>
      <c r="F179" s="131" t="s">
        <v>7027</v>
      </c>
      <c r="G179" s="131" t="s">
        <v>7034</v>
      </c>
      <c r="H179" s="131" t="s">
        <v>7038</v>
      </c>
      <c r="I179" s="131" t="s">
        <v>7027</v>
      </c>
      <c r="J179" s="129"/>
      <c r="K179" s="133"/>
      <c r="L179" s="131"/>
      <c r="M179" s="131"/>
      <c r="N179" s="131"/>
      <c r="O179" s="131"/>
      <c r="P179" s="129"/>
      <c r="Q179" s="131"/>
      <c r="R179" s="131"/>
      <c r="S179" s="131"/>
      <c r="T179" s="129"/>
    </row>
    <row r="180" ht="37.5" customHeight="1">
      <c r="A180" s="129"/>
      <c r="B180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180" s="130"/>
      <c r="D180" s="129"/>
      <c r="E180" s="131" t="s">
        <v>7045</v>
      </c>
      <c r="F180" s="131" t="s">
        <v>7027</v>
      </c>
      <c r="G180" s="131" t="s">
        <v>7037</v>
      </c>
      <c r="H180" s="131" t="s">
        <v>7038</v>
      </c>
      <c r="I180" s="131" t="s">
        <v>7027</v>
      </c>
      <c r="J180" s="129"/>
      <c r="K180" s="133"/>
      <c r="L180" s="131"/>
      <c r="M180" s="131"/>
      <c r="N180" s="131"/>
      <c r="O180" s="131"/>
      <c r="P180" s="129"/>
      <c r="Q180" s="131"/>
      <c r="R180" s="131"/>
      <c r="S180" s="131"/>
      <c r="T180" s="129"/>
    </row>
    <row r="181" ht="37.5" customHeight="1">
      <c r="A181" s="129"/>
      <c r="B181" s="130" t="str">
        <f>IFERROR(__xludf.DUMMYFUNCTION("""COMPUTED_VALUE"""),"When you are Downed: Reduce the cooldown time of Skill 1 by 4%.")</f>
        <v>When you are Downed: Reduce the cooldown time of Skill 1 by 4%.</v>
      </c>
      <c r="C181" s="130"/>
      <c r="D181" s="129"/>
      <c r="E181" s="131" t="s">
        <v>7049</v>
      </c>
      <c r="F181" s="131" t="s">
        <v>7027</v>
      </c>
      <c r="G181" s="131" t="s">
        <v>7058</v>
      </c>
      <c r="H181" s="131" t="s">
        <v>7051</v>
      </c>
      <c r="I181" s="131" t="s">
        <v>7027</v>
      </c>
      <c r="J181" s="129"/>
      <c r="K181" s="133"/>
      <c r="L181" s="131"/>
      <c r="M181" s="131"/>
      <c r="N181" s="131"/>
      <c r="O181" s="131"/>
      <c r="P181" s="129"/>
      <c r="Q181" s="131"/>
      <c r="R181" s="131"/>
      <c r="S181" s="131"/>
      <c r="T181" s="129"/>
    </row>
    <row r="182" ht="37.5" customHeight="1">
      <c r="A182" s="129"/>
      <c r="B182" s="130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C182" s="130"/>
      <c r="D182" s="129"/>
      <c r="E182" s="131" t="s">
        <v>7082</v>
      </c>
      <c r="F182" s="131" t="s">
        <v>7027</v>
      </c>
      <c r="G182" s="131" t="s">
        <v>7031</v>
      </c>
      <c r="H182" s="131" t="s">
        <v>7032</v>
      </c>
      <c r="I182" s="131" t="s">
        <v>7027</v>
      </c>
      <c r="J182" s="129"/>
      <c r="K182" s="133"/>
      <c r="L182" s="131"/>
      <c r="M182" s="131"/>
      <c r="N182" s="131"/>
      <c r="O182" s="131"/>
      <c r="P182" s="129"/>
      <c r="Q182" s="131"/>
      <c r="R182" s="131"/>
      <c r="S182" s="131"/>
      <c r="T182" s="129"/>
    </row>
    <row r="183" ht="37.5" customHeight="1">
      <c r="A183" s="129"/>
      <c r="B183" s="130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C183" s="130"/>
      <c r="D183" s="129"/>
      <c r="E183" s="131" t="s">
        <v>7076</v>
      </c>
      <c r="F183" s="131" t="s">
        <v>7027</v>
      </c>
      <c r="G183" s="131" t="s">
        <v>7028</v>
      </c>
      <c r="H183" s="131" t="s">
        <v>7029</v>
      </c>
      <c r="I183" s="131" t="s">
        <v>7027</v>
      </c>
      <c r="J183" s="129"/>
      <c r="K183" s="133"/>
      <c r="L183" s="131"/>
      <c r="M183" s="131"/>
      <c r="N183" s="131"/>
      <c r="O183" s="131"/>
      <c r="P183" s="129"/>
      <c r="Q183" s="131"/>
      <c r="R183" s="131"/>
      <c r="S183" s="131"/>
      <c r="T183" s="129"/>
    </row>
    <row r="184" ht="37.5" customHeight="1">
      <c r="A184" s="129"/>
      <c r="B184" s="130" t="str">
        <f>IFERROR(__xludf.DUMMYFUNCTION("""COMPUTED_VALUE"""),"When your HP is 70% or more: Boost capture speed by 8%.")</f>
        <v>When your HP is 70% or more: Boost capture speed by 8%.</v>
      </c>
      <c r="C184" s="130"/>
      <c r="D184" s="129"/>
      <c r="E184" s="131" t="s">
        <v>7026</v>
      </c>
      <c r="F184" s="131" t="s">
        <v>7027</v>
      </c>
      <c r="G184" s="131" t="s">
        <v>7031</v>
      </c>
      <c r="H184" s="131" t="s">
        <v>7032</v>
      </c>
      <c r="I184" s="131" t="s">
        <v>7027</v>
      </c>
      <c r="J184" s="129"/>
      <c r="K184" s="133"/>
      <c r="L184" s="131"/>
      <c r="M184" s="131"/>
      <c r="N184" s="131"/>
      <c r="O184" s="131"/>
      <c r="P184" s="129"/>
      <c r="Q184" s="131"/>
      <c r="R184" s="131"/>
      <c r="S184" s="131"/>
      <c r="T184" s="129"/>
    </row>
    <row r="185" ht="37.5" customHeight="1">
      <c r="A185" s="129"/>
      <c r="B185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85" s="130"/>
      <c r="D185" s="129"/>
      <c r="E185" s="131" t="s">
        <v>7064</v>
      </c>
      <c r="F185" s="131" t="s">
        <v>7027</v>
      </c>
      <c r="G185" s="131" t="s">
        <v>7034</v>
      </c>
      <c r="H185" s="131" t="s">
        <v>7035</v>
      </c>
      <c r="I185" s="131" t="s">
        <v>7027</v>
      </c>
      <c r="J185" s="129"/>
      <c r="K185" s="133"/>
      <c r="L185" s="131"/>
      <c r="M185" s="131"/>
      <c r="N185" s="131"/>
      <c r="O185" s="131"/>
      <c r="P185" s="129"/>
      <c r="Q185" s="131"/>
      <c r="R185" s="131"/>
      <c r="S185" s="131"/>
      <c r="T185" s="129"/>
    </row>
    <row r="186" ht="37.5" customHeight="1">
      <c r="A186" s="129"/>
      <c r="B186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86" s="130"/>
      <c r="D186" s="129"/>
      <c r="E186" s="131" t="s">
        <v>7045</v>
      </c>
      <c r="F186" s="131" t="s">
        <v>7027</v>
      </c>
      <c r="G186" s="131" t="s">
        <v>7037</v>
      </c>
      <c r="H186" s="131" t="s">
        <v>7035</v>
      </c>
      <c r="I186" s="131" t="s">
        <v>7027</v>
      </c>
      <c r="J186" s="129"/>
      <c r="K186" s="133"/>
      <c r="L186" s="131"/>
      <c r="M186" s="131"/>
      <c r="N186" s="131"/>
      <c r="O186" s="131"/>
      <c r="P186" s="129"/>
      <c r="Q186" s="131"/>
      <c r="R186" s="131"/>
      <c r="S186" s="131"/>
      <c r="T186" s="129"/>
    </row>
    <row r="187" ht="37.5" customHeight="1">
      <c r="A187" s="129"/>
      <c r="B187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87" s="130"/>
      <c r="D187" s="129"/>
      <c r="E187" s="131" t="s">
        <v>7045</v>
      </c>
      <c r="F187" s="131" t="s">
        <v>7027</v>
      </c>
      <c r="G187" s="131" t="s">
        <v>7037</v>
      </c>
      <c r="H187" s="131" t="s">
        <v>7035</v>
      </c>
      <c r="I187" s="131" t="s">
        <v>7027</v>
      </c>
      <c r="J187" s="129"/>
      <c r="K187" s="133"/>
      <c r="L187" s="131"/>
      <c r="M187" s="131"/>
      <c r="N187" s="131"/>
      <c r="O187" s="131"/>
      <c r="P187" s="129"/>
      <c r="Q187" s="131"/>
      <c r="R187" s="131"/>
      <c r="S187" s="131"/>
      <c r="T187" s="129"/>
    </row>
    <row r="188" ht="37.5" customHeight="1">
      <c r="A188" s="129"/>
      <c r="B188" s="130" t="str">
        <f>IFERROR(__xludf.DUMMYFUNCTION("""COMPUTED_VALUE"""),"When your HP is 70% or more: Boost capture speed by 8%.")</f>
        <v>When your HP is 70% or more: Boost capture speed by 8%.</v>
      </c>
      <c r="C188" s="130"/>
      <c r="D188" s="129"/>
      <c r="E188" s="131" t="s">
        <v>7026</v>
      </c>
      <c r="F188" s="131" t="s">
        <v>7027</v>
      </c>
      <c r="G188" s="131" t="s">
        <v>7031</v>
      </c>
      <c r="H188" s="131" t="s">
        <v>7032</v>
      </c>
      <c r="I188" s="131" t="s">
        <v>7027</v>
      </c>
      <c r="J188" s="129"/>
      <c r="K188" s="133"/>
      <c r="L188" s="131"/>
      <c r="M188" s="131"/>
      <c r="N188" s="131"/>
      <c r="O188" s="131"/>
      <c r="P188" s="129"/>
      <c r="Q188" s="131"/>
      <c r="R188" s="131"/>
      <c r="S188" s="131"/>
      <c r="T188" s="129"/>
    </row>
    <row r="189" ht="37.5" customHeight="1">
      <c r="A189" s="129"/>
      <c r="B189" s="130" t="str">
        <f>IFERROR(__xludf.DUMMYFUNCTION("""COMPUTED_VALUE"""),"After KOing an enemy: Reduce the cooldown time of Skill 1 by 8%.")</f>
        <v>After KOing an enemy: Reduce the cooldown time of Skill 1 by 8%.</v>
      </c>
      <c r="C189" s="130"/>
      <c r="D189" s="129"/>
      <c r="E189" s="131" t="s">
        <v>7039</v>
      </c>
      <c r="F189" s="131" t="s">
        <v>7027</v>
      </c>
      <c r="G189" s="131" t="s">
        <v>7058</v>
      </c>
      <c r="H189" s="131" t="s">
        <v>7032</v>
      </c>
      <c r="I189" s="131" t="s">
        <v>7027</v>
      </c>
      <c r="J189" s="129"/>
      <c r="K189" s="133"/>
      <c r="L189" s="131"/>
      <c r="M189" s="131"/>
      <c r="N189" s="131"/>
      <c r="O189" s="131"/>
      <c r="P189" s="129"/>
      <c r="Q189" s="131"/>
      <c r="R189" s="131"/>
      <c r="S189" s="131"/>
      <c r="T189" s="129"/>
    </row>
    <row r="190" ht="37.5" customHeight="1">
      <c r="A190" s="129"/>
      <c r="B190" s="130" t="str">
        <f>IFERROR(__xludf.DUMMYFUNCTION("""COMPUTED_VALUE"""),"When you capture the Treasure: Reduce the cooldown time of Skill 1 by 5%.")</f>
        <v>When you capture the Treasure: Reduce the cooldown time of Skill 1 by 5%.</v>
      </c>
      <c r="C190" s="130"/>
      <c r="D190" s="129"/>
      <c r="E190" s="131" t="s">
        <v>7048</v>
      </c>
      <c r="F190" s="131" t="s">
        <v>7027</v>
      </c>
      <c r="G190" s="131" t="s">
        <v>7058</v>
      </c>
      <c r="H190" s="131" t="s">
        <v>7035</v>
      </c>
      <c r="I190" s="131" t="s">
        <v>7027</v>
      </c>
      <c r="J190" s="129"/>
      <c r="K190" s="133"/>
      <c r="L190" s="131"/>
      <c r="M190" s="131"/>
      <c r="N190" s="131"/>
      <c r="O190" s="131"/>
      <c r="P190" s="129"/>
      <c r="Q190" s="131"/>
      <c r="R190" s="131"/>
      <c r="S190" s="131"/>
      <c r="T190" s="129"/>
    </row>
    <row r="191" ht="37.5" customHeight="1">
      <c r="A191" s="129"/>
      <c r="B191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191" s="130"/>
      <c r="D191" s="129"/>
      <c r="E191" s="131" t="s">
        <v>7045</v>
      </c>
      <c r="F191" s="131" t="s">
        <v>7027</v>
      </c>
      <c r="G191" s="131" t="s">
        <v>7046</v>
      </c>
      <c r="H191" s="131" t="s">
        <v>7029</v>
      </c>
      <c r="I191" s="131" t="s">
        <v>7027</v>
      </c>
      <c r="J191" s="129"/>
      <c r="K191" s="133"/>
      <c r="L191" s="131"/>
      <c r="M191" s="131"/>
      <c r="N191" s="131"/>
      <c r="O191" s="131"/>
      <c r="P191" s="129"/>
      <c r="Q191" s="131"/>
      <c r="R191" s="131"/>
      <c r="S191" s="131"/>
      <c r="T191" s="129"/>
    </row>
    <row r="192" ht="37.5" customHeight="1">
      <c r="A192" s="129"/>
      <c r="B192" s="130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C192" s="130"/>
      <c r="D192" s="129"/>
      <c r="E192" s="131" t="s">
        <v>7091</v>
      </c>
      <c r="F192" s="131" t="s">
        <v>7027</v>
      </c>
      <c r="G192" s="131" t="s">
        <v>7046</v>
      </c>
      <c r="H192" s="131" t="s">
        <v>7029</v>
      </c>
      <c r="I192" s="131" t="s">
        <v>7027</v>
      </c>
      <c r="J192" s="129"/>
      <c r="K192" s="133"/>
      <c r="L192" s="131"/>
      <c r="M192" s="131"/>
      <c r="N192" s="131"/>
      <c r="O192" s="131"/>
      <c r="P192" s="129"/>
      <c r="Q192" s="131"/>
      <c r="R192" s="131"/>
      <c r="S192" s="131"/>
      <c r="T192" s="129"/>
    </row>
    <row r="193" ht="37.5" customHeight="1">
      <c r="A193" s="129"/>
      <c r="B193" s="130" t="str">
        <f>IFERROR(__xludf.DUMMYFUNCTION("""COMPUTED_VALUE"""),"When your HP is 70% or more: Reduce damage recieved by 5%.")</f>
        <v>When your HP is 70% or more: Reduce damage recieved by 5%.</v>
      </c>
      <c r="C193" s="130"/>
      <c r="D193" s="129"/>
      <c r="E193" s="131" t="s">
        <v>7026</v>
      </c>
      <c r="F193" s="131" t="s">
        <v>7027</v>
      </c>
      <c r="G193" s="131" t="s">
        <v>7037</v>
      </c>
      <c r="H193" s="131" t="s">
        <v>7035</v>
      </c>
      <c r="I193" s="131" t="s">
        <v>7027</v>
      </c>
      <c r="J193" s="129"/>
      <c r="K193" s="133"/>
      <c r="L193" s="131"/>
      <c r="M193" s="131"/>
      <c r="N193" s="131"/>
      <c r="O193" s="131"/>
      <c r="P193" s="129"/>
      <c r="Q193" s="131"/>
      <c r="R193" s="131"/>
      <c r="S193" s="131"/>
      <c r="T193" s="129"/>
    </row>
    <row r="194" ht="37.5" customHeight="1">
      <c r="A194" s="129"/>
      <c r="B194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194" s="130"/>
      <c r="D194" s="129"/>
      <c r="E194" s="131" t="s">
        <v>7045</v>
      </c>
      <c r="F194" s="131" t="s">
        <v>7027</v>
      </c>
      <c r="G194" s="131" t="s">
        <v>7037</v>
      </c>
      <c r="H194" s="131" t="s">
        <v>7035</v>
      </c>
      <c r="I194" s="131" t="s">
        <v>7027</v>
      </c>
      <c r="J194" s="129"/>
      <c r="K194" s="133"/>
      <c r="L194" s="131"/>
      <c r="M194" s="131"/>
      <c r="N194" s="131"/>
      <c r="O194" s="131"/>
      <c r="P194" s="129"/>
      <c r="Q194" s="131"/>
      <c r="R194" s="131"/>
      <c r="S194" s="131"/>
      <c r="T194" s="129"/>
    </row>
    <row r="195" ht="37.5" customHeight="1">
      <c r="A195" s="129"/>
      <c r="B195" s="130" t="str">
        <f>IFERROR(__xludf.DUMMYFUNCTION("""COMPUTED_VALUE"""),"When your HP is 70% or more: Boost capture speed by 8%.")</f>
        <v>When your HP is 70% or more: Boost capture speed by 8%.</v>
      </c>
      <c r="C195" s="130"/>
      <c r="D195" s="129"/>
      <c r="E195" s="131" t="s">
        <v>7026</v>
      </c>
      <c r="F195" s="131" t="s">
        <v>7027</v>
      </c>
      <c r="G195" s="131" t="s">
        <v>7031</v>
      </c>
      <c r="H195" s="131" t="s">
        <v>7032</v>
      </c>
      <c r="I195" s="131" t="s">
        <v>7027</v>
      </c>
      <c r="J195" s="129"/>
      <c r="K195" s="133"/>
      <c r="L195" s="131"/>
      <c r="M195" s="131"/>
      <c r="N195" s="131"/>
      <c r="O195" s="131"/>
      <c r="P195" s="129"/>
      <c r="Q195" s="131"/>
      <c r="R195" s="131"/>
      <c r="S195" s="131"/>
      <c r="T195" s="129"/>
    </row>
    <row r="196" ht="37.5" customHeight="1">
      <c r="A196" s="129"/>
      <c r="B196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96" s="130"/>
      <c r="D196" s="129"/>
      <c r="E196" s="131" t="s">
        <v>7064</v>
      </c>
      <c r="F196" s="131" t="s">
        <v>7027</v>
      </c>
      <c r="G196" s="131" t="s">
        <v>7034</v>
      </c>
      <c r="H196" s="131" t="s">
        <v>7035</v>
      </c>
      <c r="I196" s="131" t="s">
        <v>7027</v>
      </c>
      <c r="J196" s="129"/>
      <c r="K196" s="133"/>
      <c r="L196" s="131"/>
      <c r="M196" s="131"/>
      <c r="N196" s="131"/>
      <c r="O196" s="131"/>
      <c r="P196" s="129"/>
      <c r="Q196" s="131"/>
      <c r="R196" s="131"/>
      <c r="S196" s="131"/>
      <c r="T196" s="129"/>
    </row>
    <row r="197" ht="37.5" customHeight="1">
      <c r="A197" s="129"/>
      <c r="B197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97" s="130"/>
      <c r="D197" s="129"/>
      <c r="E197" s="131" t="s">
        <v>7064</v>
      </c>
      <c r="F197" s="131" t="s">
        <v>7027</v>
      </c>
      <c r="G197" s="131" t="s">
        <v>7034</v>
      </c>
      <c r="H197" s="131" t="s">
        <v>7035</v>
      </c>
      <c r="I197" s="131" t="s">
        <v>7027</v>
      </c>
      <c r="J197" s="129"/>
      <c r="K197" s="133"/>
      <c r="L197" s="131"/>
      <c r="M197" s="131"/>
      <c r="N197" s="131"/>
      <c r="O197" s="131"/>
      <c r="P197" s="129"/>
      <c r="Q197" s="131"/>
      <c r="R197" s="131"/>
      <c r="S197" s="131"/>
      <c r="T197" s="129"/>
    </row>
    <row r="198" ht="37.5" customHeight="1">
      <c r="A198" s="129"/>
      <c r="B198" s="130" t="str">
        <f>IFERROR(__xludf.DUMMYFUNCTION("""COMPUTED_VALUE"""),"When your HP is 70% or more: Reduce damage recieved by 5%.")</f>
        <v>When your HP is 70% or more: Reduce damage recieved by 5%.</v>
      </c>
      <c r="C198" s="130"/>
      <c r="D198" s="129"/>
      <c r="E198" s="131" t="s">
        <v>7026</v>
      </c>
      <c r="F198" s="131" t="s">
        <v>7027</v>
      </c>
      <c r="G198" s="131" t="s">
        <v>7037</v>
      </c>
      <c r="H198" s="131" t="s">
        <v>7035</v>
      </c>
      <c r="I198" s="131" t="s">
        <v>7027</v>
      </c>
      <c r="J198" s="129"/>
      <c r="K198" s="133"/>
      <c r="L198" s="131"/>
      <c r="M198" s="131"/>
      <c r="N198" s="131"/>
      <c r="O198" s="131"/>
      <c r="P198" s="129"/>
      <c r="Q198" s="131"/>
      <c r="R198" s="131"/>
      <c r="S198" s="131"/>
      <c r="T198" s="129"/>
    </row>
    <row r="199" ht="37.5" customHeight="1">
      <c r="A199" s="129"/>
      <c r="B199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199" s="130"/>
      <c r="D199" s="129"/>
      <c r="E199" s="131" t="s">
        <v>7064</v>
      </c>
      <c r="F199" s="131" t="s">
        <v>7027</v>
      </c>
      <c r="G199" s="131" t="s">
        <v>7034</v>
      </c>
      <c r="H199" s="131" t="s">
        <v>7035</v>
      </c>
      <c r="I199" s="131" t="s">
        <v>7027</v>
      </c>
      <c r="J199" s="129"/>
      <c r="K199" s="133"/>
      <c r="L199" s="131"/>
      <c r="M199" s="131"/>
      <c r="N199" s="131"/>
      <c r="O199" s="131"/>
      <c r="P199" s="129"/>
      <c r="Q199" s="131"/>
      <c r="R199" s="131"/>
      <c r="S199" s="131"/>
      <c r="T199" s="129"/>
    </row>
    <row r="200" ht="37.5" customHeight="1">
      <c r="A200" s="129"/>
      <c r="B200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200" s="130"/>
      <c r="D200" s="129"/>
      <c r="E200" s="131" t="s">
        <v>7041</v>
      </c>
      <c r="F200" s="131" t="s">
        <v>7027</v>
      </c>
      <c r="G200" s="131" t="s">
        <v>7034</v>
      </c>
      <c r="H200" s="131" t="s">
        <v>7035</v>
      </c>
      <c r="I200" s="131" t="s">
        <v>7027</v>
      </c>
      <c r="J200" s="129"/>
      <c r="K200" s="133"/>
      <c r="L200" s="131"/>
      <c r="M200" s="131"/>
      <c r="N200" s="131"/>
      <c r="O200" s="131"/>
      <c r="P200" s="129"/>
      <c r="Q200" s="131"/>
      <c r="R200" s="131"/>
      <c r="S200" s="131"/>
      <c r="T200" s="129"/>
    </row>
    <row r="201" ht="37.5" customHeight="1">
      <c r="A201" s="129"/>
      <c r="B201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201" s="130"/>
      <c r="D201" s="129"/>
      <c r="E201" s="131" t="s">
        <v>7041</v>
      </c>
      <c r="F201" s="131" t="s">
        <v>7027</v>
      </c>
      <c r="G201" s="131" t="s">
        <v>7034</v>
      </c>
      <c r="H201" s="131" t="s">
        <v>7035</v>
      </c>
      <c r="I201" s="131" t="s">
        <v>7027</v>
      </c>
      <c r="J201" s="129"/>
      <c r="K201" s="133"/>
      <c r="L201" s="131"/>
      <c r="M201" s="131"/>
      <c r="N201" s="131"/>
      <c r="O201" s="131"/>
      <c r="P201" s="129"/>
      <c r="Q201" s="131"/>
      <c r="R201" s="131"/>
      <c r="S201" s="131"/>
      <c r="T201" s="129"/>
    </row>
    <row r="202" ht="37.5" customHeight="1">
      <c r="A202" s="129"/>
      <c r="B202" s="130" t="str">
        <f>IFERROR(__xludf.DUMMYFUNCTION("""COMPUTED_VALUE"""),"When your HP is 70% or more: Boost capture speed by 8%.")</f>
        <v>When your HP is 70% or more: Boost capture speed by 8%.</v>
      </c>
      <c r="C202" s="130"/>
      <c r="D202" s="129"/>
      <c r="E202" s="131" t="s">
        <v>7026</v>
      </c>
      <c r="F202" s="131" t="s">
        <v>7027</v>
      </c>
      <c r="G202" s="131" t="s">
        <v>7031</v>
      </c>
      <c r="H202" s="131" t="s">
        <v>7032</v>
      </c>
      <c r="I202" s="131" t="s">
        <v>7027</v>
      </c>
      <c r="J202" s="129"/>
      <c r="K202" s="133"/>
      <c r="L202" s="131"/>
      <c r="M202" s="131"/>
      <c r="N202" s="131"/>
      <c r="O202" s="131"/>
      <c r="P202" s="129"/>
      <c r="Q202" s="131"/>
      <c r="R202" s="131"/>
      <c r="S202" s="131"/>
      <c r="T202" s="129"/>
    </row>
    <row r="203" ht="37.5" customHeight="1">
      <c r="A203" s="129"/>
      <c r="B203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203" s="130"/>
      <c r="D203" s="129"/>
      <c r="E203" s="131" t="s">
        <v>7045</v>
      </c>
      <c r="F203" s="131" t="s">
        <v>7027</v>
      </c>
      <c r="G203" s="131" t="s">
        <v>7042</v>
      </c>
      <c r="H203" s="131" t="s">
        <v>7029</v>
      </c>
      <c r="I203" s="131" t="s">
        <v>7027</v>
      </c>
      <c r="J203" s="129"/>
      <c r="K203" s="133"/>
      <c r="L203" s="131"/>
      <c r="M203" s="131"/>
      <c r="N203" s="131"/>
      <c r="O203" s="131"/>
      <c r="P203" s="129"/>
      <c r="Q203" s="131"/>
      <c r="R203" s="131"/>
      <c r="S203" s="131"/>
      <c r="T203" s="129"/>
    </row>
    <row r="204" ht="37.5" customHeight="1">
      <c r="A204" s="129"/>
      <c r="B204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04" s="130"/>
      <c r="D204" s="129"/>
      <c r="E204" s="131" t="s">
        <v>7064</v>
      </c>
      <c r="F204" s="131" t="s">
        <v>7027</v>
      </c>
      <c r="G204" s="131" t="s">
        <v>7034</v>
      </c>
      <c r="H204" s="131" t="s">
        <v>7035</v>
      </c>
      <c r="I204" s="131" t="s">
        <v>7027</v>
      </c>
      <c r="J204" s="129"/>
      <c r="K204" s="133"/>
      <c r="L204" s="131"/>
      <c r="M204" s="131"/>
      <c r="N204" s="131"/>
      <c r="O204" s="131"/>
      <c r="P204" s="129"/>
      <c r="Q204" s="131"/>
      <c r="R204" s="131"/>
      <c r="S204" s="131"/>
      <c r="T204" s="129"/>
    </row>
    <row r="205" ht="37.5" customHeight="1">
      <c r="A205" s="129"/>
      <c r="B205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205" s="130"/>
      <c r="D205" s="129"/>
      <c r="E205" s="131" t="s">
        <v>7045</v>
      </c>
      <c r="F205" s="131" t="s">
        <v>7027</v>
      </c>
      <c r="G205" s="131" t="s">
        <v>7046</v>
      </c>
      <c r="H205" s="131" t="s">
        <v>7029</v>
      </c>
      <c r="I205" s="131" t="s">
        <v>7027</v>
      </c>
      <c r="J205" s="129"/>
      <c r="K205" s="133"/>
      <c r="L205" s="131"/>
      <c r="M205" s="131"/>
      <c r="N205" s="131"/>
      <c r="O205" s="131"/>
      <c r="P205" s="129"/>
      <c r="Q205" s="131"/>
      <c r="R205" s="131"/>
      <c r="S205" s="131"/>
      <c r="T205" s="129"/>
    </row>
    <row r="206" ht="37.5" customHeight="1">
      <c r="A206" s="129"/>
      <c r="B206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06" s="130"/>
      <c r="D206" s="129"/>
      <c r="E206" s="131" t="s">
        <v>7045</v>
      </c>
      <c r="F206" s="131" t="s">
        <v>7027</v>
      </c>
      <c r="G206" s="131" t="s">
        <v>7037</v>
      </c>
      <c r="H206" s="131" t="s">
        <v>7035</v>
      </c>
      <c r="I206" s="131" t="s">
        <v>7027</v>
      </c>
      <c r="J206" s="129"/>
      <c r="K206" s="133"/>
      <c r="L206" s="131"/>
      <c r="M206" s="131"/>
      <c r="N206" s="131"/>
      <c r="O206" s="131"/>
      <c r="P206" s="129"/>
      <c r="Q206" s="131"/>
      <c r="R206" s="131"/>
      <c r="S206" s="131"/>
      <c r="T206" s="129"/>
    </row>
    <row r="207" ht="37.5" customHeight="1">
      <c r="A207" s="129"/>
      <c r="B207" s="130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C207" s="130"/>
      <c r="D207" s="129"/>
      <c r="E207" s="131" t="s">
        <v>7070</v>
      </c>
      <c r="F207" s="131" t="s">
        <v>7027</v>
      </c>
      <c r="G207" s="131" t="s">
        <v>7042</v>
      </c>
      <c r="H207" s="131" t="s">
        <v>7029</v>
      </c>
      <c r="I207" s="131" t="s">
        <v>7027</v>
      </c>
      <c r="J207" s="129"/>
      <c r="K207" s="133"/>
      <c r="L207" s="131"/>
      <c r="M207" s="131"/>
      <c r="N207" s="131"/>
      <c r="O207" s="131"/>
      <c r="P207" s="129"/>
      <c r="Q207" s="131"/>
      <c r="R207" s="131"/>
      <c r="S207" s="131"/>
      <c r="T207" s="129"/>
    </row>
    <row r="208" ht="37.5" customHeight="1">
      <c r="A208" s="129"/>
      <c r="B208" s="130" t="str">
        <f>IFERROR(__xludf.DUMMYFUNCTION("""COMPUTED_VALUE"""),"When your HP is 70% or more: Reduce damage recieved by 5%.")</f>
        <v>When your HP is 70% or more: Reduce damage recieved by 5%.</v>
      </c>
      <c r="C208" s="130"/>
      <c r="D208" s="129"/>
      <c r="E208" s="131" t="s">
        <v>7026</v>
      </c>
      <c r="F208" s="131" t="s">
        <v>7027</v>
      </c>
      <c r="G208" s="131" t="s">
        <v>7037</v>
      </c>
      <c r="H208" s="131" t="s">
        <v>7035</v>
      </c>
      <c r="I208" s="131" t="s">
        <v>7027</v>
      </c>
      <c r="J208" s="129"/>
      <c r="K208" s="133"/>
      <c r="L208" s="131"/>
      <c r="M208" s="131"/>
      <c r="N208" s="131"/>
      <c r="O208" s="131"/>
      <c r="P208" s="129"/>
      <c r="Q208" s="131"/>
      <c r="R208" s="131"/>
      <c r="S208" s="131"/>
      <c r="T208" s="129"/>
    </row>
    <row r="209" ht="37.5" customHeight="1">
      <c r="A209" s="129"/>
      <c r="B209" s="130" t="str">
        <f>IFERROR(__xludf.DUMMYFUNCTION("""COMPUTED_VALUE"""),"When your HP is 70% or more: Boost capture speed by 8%.")</f>
        <v>When your HP is 70% or more: Boost capture speed by 8%.</v>
      </c>
      <c r="C209" s="130"/>
      <c r="D209" s="129"/>
      <c r="E209" s="131" t="s">
        <v>7026</v>
      </c>
      <c r="F209" s="131" t="s">
        <v>7027</v>
      </c>
      <c r="G209" s="131" t="s">
        <v>7031</v>
      </c>
      <c r="H209" s="131" t="s">
        <v>7032</v>
      </c>
      <c r="I209" s="131" t="s">
        <v>7027</v>
      </c>
      <c r="J209" s="129"/>
      <c r="K209" s="133"/>
      <c r="L209" s="131"/>
      <c r="M209" s="131"/>
      <c r="N209" s="131"/>
      <c r="O209" s="131"/>
      <c r="P209" s="129"/>
      <c r="Q209" s="131"/>
      <c r="R209" s="131"/>
      <c r="S209" s="131"/>
      <c r="T209" s="129"/>
    </row>
    <row r="210" ht="37.5" customHeight="1">
      <c r="A210" s="129"/>
      <c r="B210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10" s="130"/>
      <c r="D210" s="129"/>
      <c r="E210" s="131" t="s">
        <v>7045</v>
      </c>
      <c r="F210" s="131" t="s">
        <v>7027</v>
      </c>
      <c r="G210" s="131" t="s">
        <v>7037</v>
      </c>
      <c r="H210" s="131" t="s">
        <v>7035</v>
      </c>
      <c r="I210" s="131" t="s">
        <v>7027</v>
      </c>
      <c r="J210" s="129"/>
      <c r="K210" s="133"/>
      <c r="L210" s="131"/>
      <c r="M210" s="131"/>
      <c r="N210" s="131"/>
      <c r="O210" s="131"/>
      <c r="P210" s="129"/>
      <c r="Q210" s="131"/>
      <c r="R210" s="131"/>
      <c r="S210" s="131"/>
      <c r="T210" s="129"/>
    </row>
    <row r="211" ht="37.5" customHeight="1">
      <c r="A211" s="129"/>
      <c r="B211" s="130" t="str">
        <f>IFERROR(__xludf.DUMMYFUNCTION("""COMPUTED_VALUE"""),"When performing a Perfect Dodge: Reduce the cooldown time of Skill 2 by 3%.")</f>
        <v>When performing a Perfect Dodge: Reduce the cooldown time of Skill 2 by 3%.</v>
      </c>
      <c r="C211" s="130"/>
      <c r="D211" s="129"/>
      <c r="E211" s="131" t="s">
        <v>7057</v>
      </c>
      <c r="F211" s="131" t="s">
        <v>7027</v>
      </c>
      <c r="G211" s="131" t="s">
        <v>7050</v>
      </c>
      <c r="H211" s="131" t="s">
        <v>7038</v>
      </c>
      <c r="I211" s="131" t="s">
        <v>7027</v>
      </c>
      <c r="J211" s="129"/>
      <c r="K211" s="133"/>
      <c r="L211" s="131"/>
      <c r="M211" s="131"/>
      <c r="N211" s="131"/>
      <c r="O211" s="131"/>
      <c r="P211" s="129"/>
      <c r="Q211" s="131"/>
      <c r="R211" s="131"/>
      <c r="S211" s="131"/>
      <c r="T211" s="129"/>
    </row>
    <row r="212" ht="37.5" customHeight="1">
      <c r="A212" s="129"/>
      <c r="B212" s="130" t="str">
        <f>IFERROR(__xludf.DUMMYFUNCTION("""COMPUTED_VALUE"""),"When your HP is 70% or more: Boost capture speed by 8%.")</f>
        <v>When your HP is 70% or more: Boost capture speed by 8%.</v>
      </c>
      <c r="C212" s="130"/>
      <c r="D212" s="129"/>
      <c r="E212" s="131" t="s">
        <v>7026</v>
      </c>
      <c r="F212" s="131" t="s">
        <v>7027</v>
      </c>
      <c r="G212" s="131" t="s">
        <v>7031</v>
      </c>
      <c r="H212" s="131" t="s">
        <v>7032</v>
      </c>
      <c r="I212" s="131" t="s">
        <v>7027</v>
      </c>
      <c r="J212" s="129"/>
      <c r="K212" s="133"/>
      <c r="L212" s="131"/>
      <c r="M212" s="131"/>
      <c r="N212" s="131"/>
      <c r="O212" s="131"/>
      <c r="P212" s="129"/>
      <c r="Q212" s="131"/>
      <c r="R212" s="131"/>
      <c r="S212" s="131"/>
      <c r="T212" s="129"/>
    </row>
    <row r="213" ht="37.5" customHeight="1">
      <c r="A213" s="129"/>
      <c r="B213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13" s="130"/>
      <c r="D213" s="129"/>
      <c r="E213" s="131" t="s">
        <v>7045</v>
      </c>
      <c r="F213" s="131" t="s">
        <v>7027</v>
      </c>
      <c r="G213" s="131" t="s">
        <v>7037</v>
      </c>
      <c r="H213" s="131" t="s">
        <v>7035</v>
      </c>
      <c r="I213" s="131" t="s">
        <v>7027</v>
      </c>
      <c r="J213" s="129"/>
      <c r="K213" s="133"/>
      <c r="L213" s="131"/>
      <c r="M213" s="131"/>
      <c r="N213" s="131"/>
      <c r="O213" s="131"/>
      <c r="P213" s="129"/>
      <c r="Q213" s="131"/>
      <c r="R213" s="131"/>
      <c r="S213" s="131"/>
      <c r="T213" s="129"/>
    </row>
    <row r="214" ht="37.5" customHeight="1">
      <c r="A214" s="129"/>
      <c r="B214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14" s="130"/>
      <c r="D214" s="129"/>
      <c r="E214" s="131" t="s">
        <v>7064</v>
      </c>
      <c r="F214" s="131" t="s">
        <v>7027</v>
      </c>
      <c r="G214" s="131" t="s">
        <v>7034</v>
      </c>
      <c r="H214" s="131" t="s">
        <v>7035</v>
      </c>
      <c r="I214" s="131" t="s">
        <v>7027</v>
      </c>
      <c r="J214" s="129"/>
      <c r="K214" s="133"/>
      <c r="L214" s="131"/>
      <c r="M214" s="131"/>
      <c r="N214" s="131"/>
      <c r="O214" s="131"/>
      <c r="P214" s="129"/>
      <c r="Q214" s="131"/>
      <c r="R214" s="131"/>
      <c r="S214" s="131"/>
      <c r="T214" s="129"/>
    </row>
    <row r="215" ht="37.5" customHeight="1">
      <c r="A215" s="129"/>
      <c r="B215" s="130" t="str">
        <f>IFERROR(__xludf.DUMMYFUNCTION("""COMPUTED_VALUE"""),"When in the Treasure Area: Increase damage dealt to Defenders by 5%.")</f>
        <v>When in the Treasure Area: Increase damage dealt to Defenders by 5%.</v>
      </c>
      <c r="C215" s="130"/>
      <c r="D215" s="129"/>
      <c r="E215" s="131" t="s">
        <v>7044</v>
      </c>
      <c r="F215" s="131" t="s">
        <v>7027</v>
      </c>
      <c r="G215" s="131" t="s">
        <v>7092</v>
      </c>
      <c r="H215" s="131" t="s">
        <v>7035</v>
      </c>
      <c r="I215" s="131" t="s">
        <v>7027</v>
      </c>
      <c r="J215" s="129"/>
      <c r="K215" s="133"/>
      <c r="L215" s="131"/>
      <c r="M215" s="131"/>
      <c r="N215" s="131"/>
      <c r="O215" s="131"/>
      <c r="P215" s="129"/>
      <c r="Q215" s="131"/>
      <c r="R215" s="131"/>
      <c r="S215" s="131"/>
      <c r="T215" s="129"/>
    </row>
    <row r="216" ht="37.5" customHeight="1">
      <c r="A216" s="129"/>
      <c r="B216" s="130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216" s="130"/>
      <c r="D216" s="129"/>
      <c r="E216" s="131" t="s">
        <v>7076</v>
      </c>
      <c r="F216" s="131" t="s">
        <v>7027</v>
      </c>
      <c r="G216" s="131" t="s">
        <v>7046</v>
      </c>
      <c r="H216" s="131" t="s">
        <v>7029</v>
      </c>
      <c r="I216" s="131" t="s">
        <v>7027</v>
      </c>
      <c r="J216" s="129"/>
      <c r="K216" s="133"/>
      <c r="L216" s="131"/>
      <c r="M216" s="131"/>
      <c r="N216" s="131"/>
      <c r="O216" s="131"/>
      <c r="P216" s="129"/>
      <c r="Q216" s="131"/>
      <c r="R216" s="131"/>
      <c r="S216" s="131"/>
      <c r="T216" s="129"/>
    </row>
    <row r="217" ht="37.5" customHeight="1">
      <c r="A217" s="129"/>
      <c r="B217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17" s="130"/>
      <c r="D217" s="129"/>
      <c r="E217" s="131" t="s">
        <v>7064</v>
      </c>
      <c r="F217" s="131" t="s">
        <v>7027</v>
      </c>
      <c r="G217" s="131" t="s">
        <v>7034</v>
      </c>
      <c r="H217" s="131" t="s">
        <v>7035</v>
      </c>
      <c r="I217" s="131" t="s">
        <v>7027</v>
      </c>
      <c r="J217" s="129"/>
      <c r="K217" s="133"/>
      <c r="L217" s="131"/>
      <c r="M217" s="131"/>
      <c r="N217" s="131"/>
      <c r="O217" s="131"/>
      <c r="P217" s="129"/>
      <c r="Q217" s="131"/>
      <c r="R217" s="131"/>
      <c r="S217" s="131"/>
      <c r="T217" s="129"/>
    </row>
    <row r="218" ht="37.5" customHeight="1">
      <c r="A218" s="129"/>
      <c r="B218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218" s="130"/>
      <c r="D218" s="129"/>
      <c r="E218" s="131" t="s">
        <v>7045</v>
      </c>
      <c r="F218" s="131" t="s">
        <v>7027</v>
      </c>
      <c r="G218" s="131" t="s">
        <v>7034</v>
      </c>
      <c r="H218" s="131" t="s">
        <v>7035</v>
      </c>
      <c r="I218" s="131" t="s">
        <v>7027</v>
      </c>
      <c r="J218" s="129"/>
      <c r="K218" s="133"/>
      <c r="L218" s="131"/>
      <c r="M218" s="131"/>
      <c r="N218" s="131"/>
      <c r="O218" s="131"/>
      <c r="P218" s="129"/>
      <c r="Q218" s="131"/>
      <c r="R218" s="131"/>
      <c r="S218" s="131"/>
      <c r="T218" s="129"/>
    </row>
    <row r="219" ht="37.5" customHeight="1">
      <c r="A219" s="129"/>
      <c r="B219" s="130" t="str">
        <f>IFERROR(__xludf.DUMMYFUNCTION("""COMPUTED_VALUE"""),"When your HP is 50% or less: Increase damage dealt by 3%.")</f>
        <v>When your HP is 50% or less: Increase damage dealt by 3%.</v>
      </c>
      <c r="C219" s="130"/>
      <c r="D219" s="129"/>
      <c r="E219" s="131" t="s">
        <v>7068</v>
      </c>
      <c r="F219" s="131" t="s">
        <v>7027</v>
      </c>
      <c r="G219" s="131" t="s">
        <v>7034</v>
      </c>
      <c r="H219" s="131" t="s">
        <v>7038</v>
      </c>
      <c r="I219" s="131" t="s">
        <v>7027</v>
      </c>
      <c r="J219" s="129"/>
      <c r="K219" s="133"/>
      <c r="L219" s="131"/>
      <c r="M219" s="131"/>
      <c r="N219" s="131"/>
      <c r="O219" s="131"/>
      <c r="P219" s="129"/>
      <c r="Q219" s="131"/>
      <c r="R219" s="131"/>
      <c r="S219" s="131"/>
      <c r="T219" s="129"/>
    </row>
    <row r="220" ht="37.5" customHeight="1">
      <c r="A220" s="129"/>
      <c r="B220" s="130" t="str">
        <f>IFERROR(__xludf.DUMMYFUNCTION("""COMPUTED_VALUE"""),"When you capture the Treasure: Reduce the cooldown time of Skill 2 by 8%.")</f>
        <v>When you capture the Treasure: Reduce the cooldown time of Skill 2 by 8%.</v>
      </c>
      <c r="C220" s="130"/>
      <c r="D220" s="129"/>
      <c r="E220" s="131" t="s">
        <v>7048</v>
      </c>
      <c r="F220" s="131" t="s">
        <v>7027</v>
      </c>
      <c r="G220" s="131" t="s">
        <v>7050</v>
      </c>
      <c r="H220" s="131" t="s">
        <v>7032</v>
      </c>
      <c r="I220" s="131" t="s">
        <v>7027</v>
      </c>
      <c r="J220" s="129"/>
      <c r="K220" s="133"/>
      <c r="L220" s="131"/>
      <c r="M220" s="131"/>
      <c r="N220" s="131"/>
      <c r="O220" s="131"/>
      <c r="P220" s="129"/>
      <c r="Q220" s="131"/>
      <c r="R220" s="131"/>
      <c r="S220" s="131"/>
      <c r="T220" s="129"/>
    </row>
    <row r="221" ht="37.5" customHeight="1">
      <c r="A221" s="129"/>
      <c r="B221" s="130" t="str">
        <f>IFERROR(__xludf.DUMMYFUNCTION("""COMPUTED_VALUE"""),"When attacked by an enemy: Reduce the cooldown time of Skill 1 by 2%.")</f>
        <v>When attacked by an enemy: Reduce the cooldown time of Skill 1 by 2%.</v>
      </c>
      <c r="C221" s="130"/>
      <c r="D221" s="129"/>
      <c r="E221" s="131" t="s">
        <v>7069</v>
      </c>
      <c r="F221" s="131" t="s">
        <v>7027</v>
      </c>
      <c r="G221" s="131" t="s">
        <v>7058</v>
      </c>
      <c r="H221" s="131" t="s">
        <v>7053</v>
      </c>
      <c r="I221" s="131" t="s">
        <v>7027</v>
      </c>
      <c r="J221" s="129"/>
      <c r="K221" s="133"/>
      <c r="L221" s="131"/>
      <c r="M221" s="131"/>
      <c r="N221" s="131"/>
      <c r="O221" s="131"/>
      <c r="P221" s="129"/>
      <c r="Q221" s="131"/>
      <c r="R221" s="131"/>
      <c r="S221" s="131"/>
      <c r="T221" s="129"/>
    </row>
    <row r="222" ht="37.5" customHeight="1">
      <c r="A222" s="129"/>
      <c r="B222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22" s="130"/>
      <c r="D222" s="129"/>
      <c r="E222" s="131" t="s">
        <v>7045</v>
      </c>
      <c r="F222" s="131" t="s">
        <v>7027</v>
      </c>
      <c r="G222" s="131" t="s">
        <v>7037</v>
      </c>
      <c r="H222" s="131" t="s">
        <v>7035</v>
      </c>
      <c r="I222" s="131" t="s">
        <v>7027</v>
      </c>
      <c r="J222" s="129"/>
      <c r="K222" s="133"/>
      <c r="L222" s="131"/>
      <c r="M222" s="131"/>
      <c r="N222" s="131"/>
      <c r="O222" s="131"/>
      <c r="P222" s="129"/>
      <c r="Q222" s="131"/>
      <c r="R222" s="131"/>
      <c r="S222" s="131"/>
      <c r="T222" s="129"/>
    </row>
    <row r="223" ht="37.5" customHeight="1">
      <c r="A223" s="129"/>
      <c r="B223" s="130" t="str">
        <f>IFERROR(__xludf.DUMMYFUNCTION("""COMPUTED_VALUE"""),"After KOing an enemy: Reduce the cooldown time of Skill 1 by 8%.")</f>
        <v>After KOing an enemy: Reduce the cooldown time of Skill 1 by 8%.</v>
      </c>
      <c r="C223" s="130"/>
      <c r="D223" s="129"/>
      <c r="E223" s="131" t="s">
        <v>7039</v>
      </c>
      <c r="F223" s="131" t="s">
        <v>7027</v>
      </c>
      <c r="G223" s="131" t="s">
        <v>7058</v>
      </c>
      <c r="H223" s="131" t="s">
        <v>7032</v>
      </c>
      <c r="I223" s="131" t="s">
        <v>7027</v>
      </c>
      <c r="J223" s="129"/>
      <c r="K223" s="133"/>
      <c r="L223" s="131"/>
      <c r="M223" s="131"/>
      <c r="N223" s="131"/>
      <c r="O223" s="131"/>
      <c r="P223" s="129"/>
      <c r="Q223" s="131"/>
      <c r="R223" s="131"/>
      <c r="S223" s="131"/>
      <c r="T223" s="129"/>
    </row>
    <row r="224" ht="37.5" customHeight="1">
      <c r="A224" s="129"/>
      <c r="B224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224" s="130"/>
      <c r="D224" s="129"/>
      <c r="E224" s="131" t="s">
        <v>7041</v>
      </c>
      <c r="F224" s="131" t="s">
        <v>7027</v>
      </c>
      <c r="G224" s="131" t="s">
        <v>7042</v>
      </c>
      <c r="H224" s="131" t="s">
        <v>7029</v>
      </c>
      <c r="I224" s="131" t="s">
        <v>7027</v>
      </c>
      <c r="J224" s="129"/>
      <c r="K224" s="133"/>
      <c r="L224" s="131"/>
      <c r="M224" s="131"/>
      <c r="N224" s="131"/>
      <c r="O224" s="131"/>
      <c r="P224" s="129"/>
      <c r="Q224" s="131"/>
      <c r="R224" s="131"/>
      <c r="S224" s="131"/>
      <c r="T224" s="129"/>
    </row>
    <row r="225" ht="37.5" customHeight="1">
      <c r="A225" s="129"/>
      <c r="B225" s="130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C225" s="130"/>
      <c r="D225" s="129"/>
      <c r="E225" s="131" t="s">
        <v>7060</v>
      </c>
      <c r="F225" s="131" t="s">
        <v>7027</v>
      </c>
      <c r="G225" s="131" t="s">
        <v>7058</v>
      </c>
      <c r="H225" s="131" t="s">
        <v>7032</v>
      </c>
      <c r="I225" s="131" t="s">
        <v>7027</v>
      </c>
      <c r="J225" s="129"/>
      <c r="K225" s="133"/>
      <c r="L225" s="131"/>
      <c r="M225" s="131"/>
      <c r="N225" s="131"/>
      <c r="O225" s="131"/>
      <c r="P225" s="129"/>
      <c r="Q225" s="131"/>
      <c r="R225" s="131"/>
      <c r="S225" s="131"/>
      <c r="T225" s="129"/>
    </row>
    <row r="226" ht="37.5" customHeight="1">
      <c r="A226" s="129"/>
      <c r="B226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26" s="130"/>
      <c r="D226" s="129"/>
      <c r="E226" s="131" t="s">
        <v>7045</v>
      </c>
      <c r="F226" s="131" t="s">
        <v>7027</v>
      </c>
      <c r="G226" s="131" t="s">
        <v>7037</v>
      </c>
      <c r="H226" s="131" t="s">
        <v>7035</v>
      </c>
      <c r="I226" s="131" t="s">
        <v>7027</v>
      </c>
      <c r="J226" s="129"/>
      <c r="K226" s="133"/>
      <c r="L226" s="131"/>
      <c r="M226" s="131"/>
      <c r="N226" s="131"/>
      <c r="O226" s="131"/>
      <c r="P226" s="129"/>
      <c r="Q226" s="131"/>
      <c r="R226" s="131"/>
      <c r="S226" s="131"/>
      <c r="T226" s="129"/>
    </row>
    <row r="227" ht="37.5" customHeight="1">
      <c r="A227" s="129"/>
      <c r="B227" s="130" t="str">
        <f>IFERROR(__xludf.DUMMYFUNCTION("""COMPUTED_VALUE"""),"When there are 60 seconds or less remaining: Increase damage dealt by 5%.")</f>
        <v>When there are 60 seconds or less remaining: Increase damage dealt by 5%.</v>
      </c>
      <c r="C227" s="130"/>
      <c r="D227" s="129"/>
      <c r="E227" s="131" t="s">
        <v>7091</v>
      </c>
      <c r="F227" s="131" t="s">
        <v>7027</v>
      </c>
      <c r="G227" s="131" t="s">
        <v>7034</v>
      </c>
      <c r="H227" s="131" t="s">
        <v>7035</v>
      </c>
      <c r="I227" s="131" t="s">
        <v>7027</v>
      </c>
      <c r="J227" s="129"/>
      <c r="K227" s="133"/>
      <c r="L227" s="131"/>
      <c r="M227" s="131"/>
      <c r="N227" s="131"/>
      <c r="O227" s="131"/>
      <c r="P227" s="129"/>
      <c r="Q227" s="131"/>
      <c r="R227" s="131"/>
      <c r="S227" s="131"/>
      <c r="T227" s="129"/>
    </row>
    <row r="228" ht="37.5" customHeight="1">
      <c r="A228" s="129"/>
      <c r="B228" s="130" t="str">
        <f>IFERROR(__xludf.DUMMYFUNCTION("""COMPUTED_VALUE"""),"When your team has less Treasure secured: Boost the cooldown reduction speed of Skill 1 by 10%.")</f>
        <v>When your team has less Treasure secured: Boost the cooldown reduction speed of Skill 1 by 10%.</v>
      </c>
      <c r="C228" s="130"/>
      <c r="D228" s="129"/>
      <c r="E228" s="131" t="s">
        <v>7076</v>
      </c>
      <c r="F228" s="131" t="s">
        <v>7027</v>
      </c>
      <c r="G228" s="131" t="s">
        <v>7046</v>
      </c>
      <c r="H228" s="131" t="s">
        <v>7093</v>
      </c>
      <c r="I228" s="131" t="s">
        <v>7027</v>
      </c>
      <c r="J228" s="129"/>
      <c r="K228" s="133"/>
      <c r="L228" s="131"/>
      <c r="M228" s="131"/>
      <c r="N228" s="131"/>
      <c r="O228" s="131"/>
      <c r="P228" s="129"/>
      <c r="Q228" s="131"/>
      <c r="R228" s="131"/>
      <c r="S228" s="131"/>
      <c r="T228" s="129"/>
    </row>
    <row r="229" ht="37.5" customHeight="1">
      <c r="A229" s="129"/>
      <c r="B229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229" s="130"/>
      <c r="D229" s="129"/>
      <c r="E229" s="131" t="s">
        <v>7045</v>
      </c>
      <c r="F229" s="131" t="s">
        <v>7027</v>
      </c>
      <c r="G229" s="131" t="s">
        <v>7042</v>
      </c>
      <c r="H229" s="131" t="s">
        <v>7029</v>
      </c>
      <c r="I229" s="131" t="s">
        <v>7027</v>
      </c>
      <c r="J229" s="129"/>
      <c r="K229" s="133"/>
      <c r="L229" s="131"/>
      <c r="M229" s="131"/>
      <c r="N229" s="131"/>
      <c r="O229" s="131"/>
      <c r="P229" s="129"/>
      <c r="Q229" s="131"/>
      <c r="R229" s="131"/>
      <c r="S229" s="131"/>
      <c r="T229" s="129"/>
    </row>
    <row r="230" ht="37.5" customHeight="1">
      <c r="A230" s="129"/>
      <c r="B230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230" s="130"/>
      <c r="D230" s="129"/>
      <c r="E230" s="131" t="s">
        <v>7041</v>
      </c>
      <c r="F230" s="131" t="s">
        <v>7027</v>
      </c>
      <c r="G230" s="131" t="s">
        <v>7034</v>
      </c>
      <c r="H230" s="131" t="s">
        <v>7035</v>
      </c>
      <c r="I230" s="131" t="s">
        <v>7027</v>
      </c>
      <c r="J230" s="129"/>
      <c r="K230" s="133"/>
      <c r="L230" s="131"/>
      <c r="M230" s="131"/>
      <c r="N230" s="131"/>
      <c r="O230" s="131"/>
      <c r="P230" s="129"/>
      <c r="Q230" s="131"/>
      <c r="R230" s="131"/>
      <c r="S230" s="131"/>
      <c r="T230" s="129"/>
    </row>
    <row r="231" ht="37.5" customHeight="1">
      <c r="A231" s="129"/>
      <c r="B231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31" s="130"/>
      <c r="D231" s="129"/>
      <c r="E231" s="131" t="s">
        <v>7064</v>
      </c>
      <c r="F231" s="131" t="s">
        <v>7027</v>
      </c>
      <c r="G231" s="131" t="s">
        <v>7034</v>
      </c>
      <c r="H231" s="131" t="s">
        <v>7035</v>
      </c>
      <c r="I231" s="131" t="s">
        <v>7027</v>
      </c>
      <c r="J231" s="129"/>
      <c r="K231" s="133"/>
      <c r="L231" s="131"/>
      <c r="M231" s="131"/>
      <c r="N231" s="131"/>
      <c r="O231" s="131"/>
      <c r="P231" s="129"/>
      <c r="Q231" s="131"/>
      <c r="R231" s="131"/>
      <c r="S231" s="131"/>
      <c r="T231" s="129"/>
    </row>
    <row r="232" ht="37.5" customHeight="1">
      <c r="A232" s="129"/>
      <c r="B232" s="130" t="str">
        <f>IFERROR(__xludf.DUMMYFUNCTION("""COMPUTED_VALUE"""),"When using Skill 1: SPD Boosted by 6% for 20 second(s).")</f>
        <v>When using Skill 1: SPD Boosted by 6% for 20 second(s).</v>
      </c>
      <c r="C232" s="130"/>
      <c r="D232" s="129"/>
      <c r="E232" s="131" t="s">
        <v>7075</v>
      </c>
      <c r="F232" s="131" t="s">
        <v>7027</v>
      </c>
      <c r="G232" s="131" t="s">
        <v>7083</v>
      </c>
      <c r="H232" s="131" t="s">
        <v>7066</v>
      </c>
      <c r="I232" s="131" t="s">
        <v>7084</v>
      </c>
      <c r="J232" s="129"/>
      <c r="K232" s="133"/>
      <c r="L232" s="131"/>
      <c r="M232" s="131"/>
      <c r="N232" s="131"/>
      <c r="O232" s="131"/>
      <c r="P232" s="129"/>
      <c r="Q232" s="131"/>
      <c r="R232" s="131"/>
      <c r="S232" s="131"/>
      <c r="T232" s="129"/>
    </row>
    <row r="233" ht="37.5" customHeight="1">
      <c r="A233" s="129"/>
      <c r="B233" s="130" t="str">
        <f>IFERROR(__xludf.DUMMYFUNCTION("""COMPUTED_VALUE"""),"When Critical occurs: Reduce the cooldown time of Skill 2 by 3%.")</f>
        <v>When Critical occurs: Reduce the cooldown time of Skill 2 by 3%.</v>
      </c>
      <c r="C233" s="130"/>
      <c r="D233" s="129"/>
      <c r="E233" s="131" t="s">
        <v>7052</v>
      </c>
      <c r="F233" s="131" t="s">
        <v>7027</v>
      </c>
      <c r="G233" s="131" t="s">
        <v>7050</v>
      </c>
      <c r="H233" s="131" t="s">
        <v>7038</v>
      </c>
      <c r="I233" s="131" t="s">
        <v>7027</v>
      </c>
      <c r="J233" s="129"/>
      <c r="K233" s="133"/>
      <c r="L233" s="131"/>
      <c r="M233" s="131"/>
      <c r="N233" s="131"/>
      <c r="O233" s="131"/>
      <c r="P233" s="129"/>
      <c r="Q233" s="131"/>
      <c r="R233" s="131"/>
      <c r="S233" s="131"/>
      <c r="T233" s="129"/>
    </row>
    <row r="234" ht="37.5" customHeight="1">
      <c r="A234" s="129"/>
      <c r="B234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34" s="130"/>
      <c r="D234" s="129"/>
      <c r="E234" s="131" t="s">
        <v>7064</v>
      </c>
      <c r="F234" s="131" t="s">
        <v>7027</v>
      </c>
      <c r="G234" s="131" t="s">
        <v>7034</v>
      </c>
      <c r="H234" s="131" t="s">
        <v>7035</v>
      </c>
      <c r="I234" s="131" t="s">
        <v>7027</v>
      </c>
      <c r="J234" s="129"/>
      <c r="K234" s="133"/>
      <c r="L234" s="131"/>
      <c r="M234" s="131"/>
      <c r="N234" s="131"/>
      <c r="O234" s="131"/>
      <c r="P234" s="129"/>
      <c r="Q234" s="131"/>
      <c r="R234" s="131"/>
      <c r="S234" s="131"/>
      <c r="T234" s="129"/>
    </row>
    <row r="235" ht="37.5" customHeight="1">
      <c r="A235" s="129"/>
      <c r="B235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35" s="130"/>
      <c r="D235" s="129"/>
      <c r="E235" s="131" t="s">
        <v>7045</v>
      </c>
      <c r="F235" s="131" t="s">
        <v>7027</v>
      </c>
      <c r="G235" s="131" t="s">
        <v>7037</v>
      </c>
      <c r="H235" s="131" t="s">
        <v>7035</v>
      </c>
      <c r="I235" s="131" t="s">
        <v>7027</v>
      </c>
      <c r="J235" s="129"/>
      <c r="K235" s="133"/>
      <c r="L235" s="131"/>
      <c r="M235" s="131"/>
      <c r="N235" s="131"/>
      <c r="O235" s="131"/>
      <c r="P235" s="129"/>
      <c r="Q235" s="131"/>
      <c r="R235" s="131"/>
      <c r="S235" s="131"/>
      <c r="T235" s="129"/>
    </row>
    <row r="236" ht="37.5" customHeight="1">
      <c r="A236" s="129"/>
      <c r="B236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36" s="130"/>
      <c r="D236" s="129"/>
      <c r="E236" s="131" t="s">
        <v>7064</v>
      </c>
      <c r="F236" s="131" t="s">
        <v>7027</v>
      </c>
      <c r="G236" s="131" t="s">
        <v>7034</v>
      </c>
      <c r="H236" s="131" t="s">
        <v>7035</v>
      </c>
      <c r="I236" s="131" t="s">
        <v>7027</v>
      </c>
      <c r="J236" s="129"/>
      <c r="K236" s="133"/>
      <c r="L236" s="131"/>
      <c r="M236" s="131"/>
      <c r="N236" s="131"/>
      <c r="O236" s="131"/>
      <c r="P236" s="129"/>
      <c r="Q236" s="131"/>
      <c r="R236" s="131"/>
      <c r="S236" s="131"/>
      <c r="T236" s="129"/>
    </row>
    <row r="237" ht="37.5" customHeight="1">
      <c r="A237" s="129"/>
      <c r="B237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237" s="130"/>
      <c r="D237" s="129"/>
      <c r="E237" s="131" t="s">
        <v>7045</v>
      </c>
      <c r="F237" s="131" t="s">
        <v>7027</v>
      </c>
      <c r="G237" s="131" t="s">
        <v>7042</v>
      </c>
      <c r="H237" s="131" t="s">
        <v>7029</v>
      </c>
      <c r="I237" s="131" t="s">
        <v>7027</v>
      </c>
      <c r="J237" s="129"/>
      <c r="K237" s="133"/>
      <c r="L237" s="131"/>
      <c r="M237" s="131"/>
      <c r="N237" s="131"/>
      <c r="O237" s="131"/>
      <c r="P237" s="129"/>
      <c r="Q237" s="131"/>
      <c r="R237" s="131"/>
      <c r="S237" s="131"/>
      <c r="T237" s="129"/>
    </row>
    <row r="238" ht="37.5" customHeight="1">
      <c r="A238" s="129"/>
      <c r="B238" s="130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238" s="130"/>
      <c r="D238" s="129"/>
      <c r="E238" s="131" t="s">
        <v>7076</v>
      </c>
      <c r="F238" s="131" t="s">
        <v>7027</v>
      </c>
      <c r="G238" s="131" t="s">
        <v>7046</v>
      </c>
      <c r="H238" s="131" t="s">
        <v>7029</v>
      </c>
      <c r="I238" s="131" t="s">
        <v>7027</v>
      </c>
      <c r="J238" s="129"/>
      <c r="K238" s="133"/>
      <c r="L238" s="131"/>
      <c r="M238" s="131"/>
      <c r="N238" s="131"/>
      <c r="O238" s="131"/>
      <c r="P238" s="129"/>
      <c r="Q238" s="131"/>
      <c r="R238" s="131"/>
      <c r="S238" s="131"/>
      <c r="T238" s="129"/>
    </row>
    <row r="239" ht="37.5" customHeight="1">
      <c r="A239" s="129"/>
      <c r="B239" s="130" t="str">
        <f>IFERROR(__xludf.DUMMYFUNCTION("""COMPUTED_VALUE"""),"After KOing an enemy: Reduce the cooldown time of Skill 1 by 8%.")</f>
        <v>After KOing an enemy: Reduce the cooldown time of Skill 1 by 8%.</v>
      </c>
      <c r="C239" s="130"/>
      <c r="D239" s="129"/>
      <c r="E239" s="131" t="s">
        <v>7039</v>
      </c>
      <c r="F239" s="131" t="s">
        <v>7027</v>
      </c>
      <c r="G239" s="131" t="s">
        <v>7058</v>
      </c>
      <c r="H239" s="131" t="s">
        <v>7032</v>
      </c>
      <c r="I239" s="131" t="s">
        <v>7027</v>
      </c>
      <c r="J239" s="129"/>
      <c r="K239" s="133"/>
      <c r="L239" s="131"/>
      <c r="M239" s="131"/>
      <c r="N239" s="131"/>
      <c r="O239" s="131"/>
      <c r="P239" s="129"/>
      <c r="Q239" s="131"/>
      <c r="R239" s="131"/>
      <c r="S239" s="131"/>
      <c r="T239" s="129"/>
    </row>
    <row r="240" ht="37.5" customHeight="1">
      <c r="A240" s="129"/>
      <c r="B240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240" s="130"/>
      <c r="D240" s="129"/>
      <c r="E240" s="131" t="s">
        <v>7045</v>
      </c>
      <c r="F240" s="131" t="s">
        <v>7027</v>
      </c>
      <c r="G240" s="131" t="s">
        <v>7046</v>
      </c>
      <c r="H240" s="131" t="s">
        <v>7029</v>
      </c>
      <c r="I240" s="131" t="s">
        <v>7027</v>
      </c>
      <c r="J240" s="129"/>
      <c r="K240" s="133"/>
      <c r="L240" s="131"/>
      <c r="M240" s="131"/>
      <c r="N240" s="131"/>
      <c r="O240" s="131"/>
      <c r="P240" s="129"/>
      <c r="Q240" s="131"/>
      <c r="R240" s="131"/>
      <c r="S240" s="131"/>
      <c r="T240" s="129"/>
    </row>
    <row r="241" ht="37.5" customHeight="1">
      <c r="A241" s="129"/>
      <c r="B241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241" s="130"/>
      <c r="D241" s="129"/>
      <c r="E241" s="131" t="s">
        <v>7045</v>
      </c>
      <c r="F241" s="131" t="s">
        <v>7027</v>
      </c>
      <c r="G241" s="131" t="s">
        <v>7037</v>
      </c>
      <c r="H241" s="131" t="s">
        <v>7038</v>
      </c>
      <c r="I241" s="131" t="s">
        <v>7027</v>
      </c>
      <c r="J241" s="129"/>
      <c r="K241" s="133"/>
      <c r="L241" s="131"/>
      <c r="M241" s="131"/>
      <c r="N241" s="131"/>
      <c r="O241" s="131"/>
      <c r="P241" s="129"/>
      <c r="Q241" s="131"/>
      <c r="R241" s="131"/>
      <c r="S241" s="131"/>
      <c r="T241" s="129"/>
    </row>
    <row r="242" ht="37.5" customHeight="1">
      <c r="A242" s="129"/>
      <c r="B242" s="130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C242" s="130"/>
      <c r="D242" s="129"/>
      <c r="E242" s="131" t="s">
        <v>7060</v>
      </c>
      <c r="F242" s="131" t="s">
        <v>7027</v>
      </c>
      <c r="G242" s="131" t="s">
        <v>7058</v>
      </c>
      <c r="H242" s="131" t="s">
        <v>7032</v>
      </c>
      <c r="I242" s="131" t="s">
        <v>7027</v>
      </c>
      <c r="J242" s="129"/>
      <c r="K242" s="133"/>
      <c r="L242" s="131"/>
      <c r="M242" s="131"/>
      <c r="N242" s="131"/>
      <c r="O242" s="131"/>
      <c r="P242" s="129"/>
      <c r="Q242" s="131"/>
      <c r="R242" s="131"/>
      <c r="S242" s="131"/>
      <c r="T242" s="129"/>
    </row>
    <row r="243" ht="37.5" customHeight="1">
      <c r="A243" s="129"/>
      <c r="B243" s="130" t="str">
        <f>IFERROR(__xludf.DUMMYFUNCTION("""COMPUTED_VALUE"""),"When attacked by an enemy: 30% chance to, Nullify Aflame.")</f>
        <v>When attacked by an enemy: 30% chance to, Nullify Aflame.</v>
      </c>
      <c r="C243" s="130"/>
      <c r="D243" s="129"/>
      <c r="E243" s="131" t="s">
        <v>7069</v>
      </c>
      <c r="F243" s="131" t="s">
        <v>7094</v>
      </c>
      <c r="G243" s="131" t="s">
        <v>7095</v>
      </c>
      <c r="H243" s="131" t="s">
        <v>7027</v>
      </c>
      <c r="I243" s="131" t="s">
        <v>7027</v>
      </c>
      <c r="J243" s="129"/>
      <c r="K243" s="133"/>
      <c r="L243" s="131"/>
      <c r="M243" s="131"/>
      <c r="N243" s="131"/>
      <c r="O243" s="131"/>
      <c r="P243" s="129"/>
      <c r="Q243" s="131"/>
      <c r="R243" s="131"/>
      <c r="S243" s="131"/>
      <c r="T243" s="129"/>
    </row>
    <row r="244" ht="37.5" customHeight="1">
      <c r="A244" s="129"/>
      <c r="B244" s="130" t="str">
        <f>IFERROR(__xludf.DUMMYFUNCTION("""COMPUTED_VALUE"""),"When attacked by an enemy: Reduce the cooldown time of Skill 1 by 2%.")</f>
        <v>When attacked by an enemy: Reduce the cooldown time of Skill 1 by 2%.</v>
      </c>
      <c r="C244" s="130"/>
      <c r="D244" s="129"/>
      <c r="E244" s="131" t="s">
        <v>7069</v>
      </c>
      <c r="F244" s="131" t="s">
        <v>7027</v>
      </c>
      <c r="G244" s="131" t="s">
        <v>7058</v>
      </c>
      <c r="H244" s="131" t="s">
        <v>7053</v>
      </c>
      <c r="I244" s="131" t="s">
        <v>7027</v>
      </c>
      <c r="J244" s="129"/>
      <c r="K244" s="133"/>
      <c r="L244" s="131"/>
      <c r="M244" s="131"/>
      <c r="N244" s="131"/>
      <c r="O244" s="131"/>
      <c r="P244" s="129"/>
      <c r="Q244" s="131"/>
      <c r="R244" s="131"/>
      <c r="S244" s="131"/>
      <c r="T244" s="129"/>
    </row>
    <row r="245" ht="37.5" customHeight="1">
      <c r="A245" s="129"/>
      <c r="B245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45" s="130"/>
      <c r="D245" s="129"/>
      <c r="E245" s="131" t="s">
        <v>7045</v>
      </c>
      <c r="F245" s="131" t="s">
        <v>7027</v>
      </c>
      <c r="G245" s="131" t="s">
        <v>7037</v>
      </c>
      <c r="H245" s="131" t="s">
        <v>7035</v>
      </c>
      <c r="I245" s="131" t="s">
        <v>7027</v>
      </c>
      <c r="J245" s="129"/>
      <c r="K245" s="133"/>
      <c r="L245" s="131"/>
      <c r="M245" s="131"/>
      <c r="N245" s="131"/>
      <c r="O245" s="131"/>
      <c r="P245" s="129"/>
      <c r="Q245" s="131"/>
      <c r="R245" s="131"/>
      <c r="S245" s="131"/>
      <c r="T245" s="129"/>
    </row>
    <row r="246" ht="37.5" customHeight="1">
      <c r="A246" s="129"/>
      <c r="B246" s="130" t="str">
        <f>IFERROR(__xludf.DUMMYFUNCTION("""COMPUTED_VALUE"""),"When using Skill 2: Reduce the cooldown time of Skill 1 by 3%.")</f>
        <v>When using Skill 2: Reduce the cooldown time of Skill 1 by 3%.</v>
      </c>
      <c r="C246" s="130"/>
      <c r="D246" s="129"/>
      <c r="E246" s="131" t="s">
        <v>7062</v>
      </c>
      <c r="F246" s="131" t="s">
        <v>7027</v>
      </c>
      <c r="G246" s="131" t="s">
        <v>7058</v>
      </c>
      <c r="H246" s="131" t="s">
        <v>7038</v>
      </c>
      <c r="I246" s="131" t="s">
        <v>7027</v>
      </c>
      <c r="J246" s="129"/>
      <c r="K246" s="133"/>
      <c r="L246" s="131"/>
      <c r="M246" s="131"/>
      <c r="N246" s="131"/>
      <c r="O246" s="131"/>
      <c r="P246" s="129"/>
      <c r="Q246" s="131"/>
      <c r="R246" s="131"/>
      <c r="S246" s="131"/>
      <c r="T246" s="129"/>
    </row>
    <row r="247" ht="37.5" customHeight="1">
      <c r="A247" s="129"/>
      <c r="B247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247" s="130"/>
      <c r="D247" s="129"/>
      <c r="E247" s="131" t="s">
        <v>7064</v>
      </c>
      <c r="F247" s="131" t="s">
        <v>7027</v>
      </c>
      <c r="G247" s="131" t="s">
        <v>7034</v>
      </c>
      <c r="H247" s="131" t="s">
        <v>7035</v>
      </c>
      <c r="I247" s="131" t="s">
        <v>7027</v>
      </c>
      <c r="J247" s="129"/>
      <c r="K247" s="133"/>
      <c r="L247" s="131"/>
      <c r="M247" s="131"/>
      <c r="N247" s="131"/>
      <c r="O247" s="131"/>
      <c r="P247" s="129"/>
      <c r="Q247" s="131"/>
      <c r="R247" s="131"/>
      <c r="S247" s="131"/>
      <c r="T247" s="129"/>
    </row>
    <row r="248" ht="37.5" customHeight="1">
      <c r="A248" s="129"/>
      <c r="B248" s="130" t="str">
        <f>IFERROR(__xludf.DUMMYFUNCTION("""COMPUTED_VALUE"""),"When you Knockback an enemy: Recover HP by 3%.")</f>
        <v>When you Knockback an enemy: Recover HP by 3%.</v>
      </c>
      <c r="C248" s="130"/>
      <c r="D248" s="129"/>
      <c r="E248" s="131" t="s">
        <v>7056</v>
      </c>
      <c r="F248" s="131" t="s">
        <v>7027</v>
      </c>
      <c r="G248" s="131" t="s">
        <v>7040</v>
      </c>
      <c r="H248" s="131" t="s">
        <v>7038</v>
      </c>
      <c r="I248" s="131" t="s">
        <v>7027</v>
      </c>
      <c r="J248" s="129"/>
      <c r="K248" s="133"/>
      <c r="L248" s="131"/>
      <c r="M248" s="131"/>
      <c r="N248" s="131"/>
      <c r="O248" s="131"/>
      <c r="P248" s="129"/>
      <c r="Q248" s="131"/>
      <c r="R248" s="131"/>
      <c r="S248" s="131"/>
      <c r="T248" s="129"/>
    </row>
    <row r="249" ht="37.5" customHeight="1">
      <c r="A249" s="129"/>
      <c r="B249" s="130" t="str">
        <f>IFERROR(__xludf.DUMMYFUNCTION("""COMPUTED_VALUE"""),"When your HP is 70% or more: Boost capture speed by 8%.")</f>
        <v>When your HP is 70% or more: Boost capture speed by 8%.</v>
      </c>
      <c r="C249" s="130"/>
      <c r="D249" s="129"/>
      <c r="E249" s="131" t="s">
        <v>7026</v>
      </c>
      <c r="F249" s="131" t="s">
        <v>7027</v>
      </c>
      <c r="G249" s="131" t="s">
        <v>7031</v>
      </c>
      <c r="H249" s="131" t="s">
        <v>7032</v>
      </c>
      <c r="I249" s="131" t="s">
        <v>7027</v>
      </c>
      <c r="J249" s="129"/>
      <c r="K249" s="133"/>
      <c r="L249" s="131"/>
      <c r="M249" s="131"/>
      <c r="N249" s="131"/>
      <c r="O249" s="131"/>
      <c r="P249" s="129"/>
      <c r="Q249" s="131"/>
      <c r="R249" s="131"/>
      <c r="S249" s="131"/>
      <c r="T249" s="129"/>
    </row>
    <row r="250" ht="37.5" customHeight="1">
      <c r="A250" s="129"/>
      <c r="B250" s="135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250" s="135"/>
      <c r="D250" s="129"/>
      <c r="E250" s="131" t="s">
        <v>7026</v>
      </c>
      <c r="F250" s="131" t="s">
        <v>7027</v>
      </c>
      <c r="G250" s="131" t="s">
        <v>7042</v>
      </c>
      <c r="H250" s="131" t="s">
        <v>7093</v>
      </c>
      <c r="I250" s="131" t="s">
        <v>7027</v>
      </c>
      <c r="J250" s="129"/>
      <c r="K250" s="133"/>
      <c r="L250" s="131"/>
      <c r="M250" s="131"/>
      <c r="N250" s="131"/>
      <c r="O250" s="131"/>
      <c r="P250" s="129"/>
      <c r="Q250" s="131"/>
      <c r="R250" s="131"/>
      <c r="S250" s="131"/>
      <c r="T250" s="129"/>
    </row>
    <row r="251" ht="37.5" customHeight="1">
      <c r="A251" s="129"/>
      <c r="B251" s="135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251" s="135"/>
      <c r="D251" s="129"/>
      <c r="E251" s="131" t="s">
        <v>7076</v>
      </c>
      <c r="F251" s="131" t="s">
        <v>7027</v>
      </c>
      <c r="G251" s="131" t="s">
        <v>7046</v>
      </c>
      <c r="H251" s="131" t="s">
        <v>7029</v>
      </c>
      <c r="I251" s="131" t="s">
        <v>7027</v>
      </c>
      <c r="J251" s="129"/>
      <c r="K251" s="133"/>
      <c r="L251" s="131"/>
      <c r="M251" s="131"/>
      <c r="N251" s="131"/>
      <c r="O251" s="131"/>
      <c r="P251" s="129"/>
      <c r="Q251" s="131"/>
      <c r="R251" s="131"/>
      <c r="S251" s="131"/>
      <c r="T251" s="129"/>
    </row>
    <row r="252" ht="37.5" customHeight="1">
      <c r="A252" s="129"/>
      <c r="B252" s="130" t="str">
        <f>IFERROR(__xludf.DUMMYFUNCTION("""COMPUTED_VALUE"""),"When your team has less Treasure secured: Increase damage dealt by 5%.")</f>
        <v>When your team has less Treasure secured: Increase damage dealt by 5%.</v>
      </c>
      <c r="C252" s="130"/>
      <c r="D252" s="129"/>
      <c r="E252" s="131" t="s">
        <v>7076</v>
      </c>
      <c r="F252" s="131" t="s">
        <v>7027</v>
      </c>
      <c r="G252" s="131" t="s">
        <v>7034</v>
      </c>
      <c r="H252" s="131" t="s">
        <v>7035</v>
      </c>
      <c r="I252" s="131" t="s">
        <v>7027</v>
      </c>
      <c r="J252" s="129"/>
      <c r="K252" s="133"/>
      <c r="L252" s="131"/>
      <c r="M252" s="131"/>
      <c r="N252" s="131"/>
      <c r="O252" s="131"/>
      <c r="P252" s="129"/>
      <c r="Q252" s="131"/>
      <c r="R252" s="131"/>
      <c r="S252" s="131"/>
      <c r="T252" s="129"/>
    </row>
    <row r="253" ht="37.5" customHeight="1">
      <c r="A253" s="129"/>
      <c r="B253" s="135" t="str">
        <f>IFERROR(__xludf.DUMMYFUNCTION("""COMPUTED_VALUE"""),"When attacking an enemy: 1% chance to, Inflict Shock for 5 second(s).")</f>
        <v>When attacking an enemy: 1% chance to, Inflict Shock for 5 second(s).</v>
      </c>
      <c r="C253" s="135"/>
      <c r="D253" s="129"/>
      <c r="E253" s="131" t="s">
        <v>7096</v>
      </c>
      <c r="F253" s="131" t="s">
        <v>7097</v>
      </c>
      <c r="G253" s="131" t="s">
        <v>7098</v>
      </c>
      <c r="H253" s="131" t="s">
        <v>7027</v>
      </c>
      <c r="I253" s="131" t="s">
        <v>7099</v>
      </c>
      <c r="J253" s="129"/>
      <c r="K253" s="133"/>
      <c r="L253" s="131"/>
      <c r="M253" s="131"/>
      <c r="N253" s="131"/>
      <c r="O253" s="131"/>
      <c r="P253" s="129"/>
      <c r="Q253" s="131"/>
      <c r="R253" s="131"/>
      <c r="S253" s="131"/>
      <c r="T253" s="129"/>
    </row>
    <row r="254" ht="37.5" customHeight="1">
      <c r="A254" s="129"/>
      <c r="B254" s="130" t="str">
        <f>IFERROR(__xludf.DUMMYFUNCTION("""COMPUTED_VALUE"""),"When your HP is 70% or more: Boost capture speed by 8%.")</f>
        <v>When your HP is 70% or more: Boost capture speed by 8%.</v>
      </c>
      <c r="C254" s="130"/>
      <c r="D254" s="129"/>
      <c r="E254" s="131" t="s">
        <v>7026</v>
      </c>
      <c r="F254" s="131" t="s">
        <v>7027</v>
      </c>
      <c r="G254" s="131" t="s">
        <v>7031</v>
      </c>
      <c r="H254" s="131" t="s">
        <v>7032</v>
      </c>
      <c r="I254" s="131" t="s">
        <v>7027</v>
      </c>
      <c r="J254" s="129"/>
      <c r="K254" s="133"/>
      <c r="L254" s="131"/>
      <c r="M254" s="131"/>
      <c r="N254" s="131"/>
      <c r="O254" s="131"/>
      <c r="P254" s="129"/>
      <c r="Q254" s="131"/>
      <c r="R254" s="131"/>
      <c r="S254" s="131"/>
      <c r="T254" s="129"/>
    </row>
    <row r="255" ht="37.5" customHeight="1">
      <c r="A255" s="129"/>
      <c r="B255" s="130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C255" s="130"/>
      <c r="D255" s="129"/>
      <c r="E255" s="131" t="s">
        <v>7082</v>
      </c>
      <c r="F255" s="131" t="s">
        <v>7027</v>
      </c>
      <c r="G255" s="131" t="s">
        <v>7028</v>
      </c>
      <c r="H255" s="131" t="s">
        <v>7029</v>
      </c>
      <c r="I255" s="131" t="s">
        <v>7027</v>
      </c>
      <c r="J255" s="129"/>
      <c r="K255" s="133"/>
      <c r="L255" s="131"/>
      <c r="M255" s="131"/>
      <c r="N255" s="131"/>
      <c r="O255" s="131"/>
      <c r="P255" s="129"/>
      <c r="Q255" s="131"/>
      <c r="R255" s="131"/>
      <c r="S255" s="131"/>
      <c r="T255" s="129"/>
    </row>
    <row r="256" ht="37.5" customHeight="1">
      <c r="A256" s="129"/>
      <c r="B256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256" s="130"/>
      <c r="D256" s="129"/>
      <c r="E256" s="131" t="s">
        <v>7045</v>
      </c>
      <c r="F256" s="131" t="s">
        <v>7027</v>
      </c>
      <c r="G256" s="131" t="s">
        <v>7034</v>
      </c>
      <c r="H256" s="131" t="s">
        <v>7035</v>
      </c>
      <c r="I256" s="131" t="s">
        <v>7027</v>
      </c>
      <c r="J256" s="129"/>
      <c r="K256" s="133"/>
      <c r="L256" s="131"/>
      <c r="M256" s="131"/>
      <c r="N256" s="131"/>
      <c r="O256" s="131"/>
      <c r="P256" s="129"/>
      <c r="Q256" s="131"/>
      <c r="R256" s="131"/>
      <c r="S256" s="131"/>
      <c r="T256" s="129"/>
    </row>
    <row r="257" ht="37.5" customHeight="1">
      <c r="A257" s="129"/>
      <c r="B257" s="130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C257" s="130"/>
      <c r="D257" s="129"/>
      <c r="E257" s="131" t="s">
        <v>7082</v>
      </c>
      <c r="F257" s="131" t="s">
        <v>7027</v>
      </c>
      <c r="G257" s="131" t="s">
        <v>7034</v>
      </c>
      <c r="H257" s="131" t="s">
        <v>7035</v>
      </c>
      <c r="I257" s="131" t="s">
        <v>7027</v>
      </c>
      <c r="J257" s="129"/>
      <c r="K257" s="133"/>
      <c r="L257" s="131"/>
      <c r="M257" s="131"/>
      <c r="N257" s="131"/>
      <c r="O257" s="131"/>
      <c r="P257" s="129"/>
      <c r="Q257" s="131"/>
      <c r="R257" s="131"/>
      <c r="S257" s="131"/>
      <c r="T257" s="129"/>
    </row>
    <row r="258" ht="37.5" customHeight="1">
      <c r="A258" s="129"/>
      <c r="B258" s="130" t="str">
        <f>IFERROR(__xludf.DUMMYFUNCTION("""COMPUTED_VALUE"""),"After KOing an enemy: Recover HP by 5%.")</f>
        <v>After KOing an enemy: Recover HP by 5%.</v>
      </c>
      <c r="C258" s="130"/>
      <c r="D258" s="129"/>
      <c r="E258" s="131" t="s">
        <v>7039</v>
      </c>
      <c r="F258" s="131" t="s">
        <v>7027</v>
      </c>
      <c r="G258" s="131" t="s">
        <v>7040</v>
      </c>
      <c r="H258" s="131" t="s">
        <v>7035</v>
      </c>
      <c r="I258" s="131" t="s">
        <v>7027</v>
      </c>
      <c r="J258" s="129"/>
      <c r="K258" s="133"/>
      <c r="L258" s="131"/>
      <c r="M258" s="131"/>
      <c r="N258" s="131"/>
      <c r="O258" s="131"/>
      <c r="P258" s="129"/>
      <c r="Q258" s="131"/>
      <c r="R258" s="131"/>
      <c r="S258" s="131"/>
      <c r="T258" s="129"/>
    </row>
    <row r="259" ht="37.5" customHeight="1">
      <c r="A259" s="129"/>
      <c r="B259" s="130" t="str">
        <f>IFERROR(__xludf.DUMMYFUNCTION("""COMPUTED_VALUE"""),"When your team has more Treasure secured: Increase damage dealt by 5%.")</f>
        <v>When your team has more Treasure secured: Increase damage dealt by 5%.</v>
      </c>
      <c r="C259" s="130"/>
      <c r="D259" s="129"/>
      <c r="E259" s="131" t="s">
        <v>7070</v>
      </c>
      <c r="F259" s="131" t="s">
        <v>7027</v>
      </c>
      <c r="G259" s="131" t="s">
        <v>7034</v>
      </c>
      <c r="H259" s="131" t="s">
        <v>7035</v>
      </c>
      <c r="I259" s="131" t="s">
        <v>7027</v>
      </c>
      <c r="J259" s="129"/>
      <c r="K259" s="133"/>
      <c r="L259" s="131"/>
      <c r="M259" s="131"/>
      <c r="N259" s="131"/>
      <c r="O259" s="131"/>
      <c r="P259" s="129"/>
      <c r="Q259" s="131"/>
      <c r="R259" s="131"/>
      <c r="S259" s="131"/>
      <c r="T259" s="129"/>
    </row>
    <row r="260" ht="37.5" customHeight="1">
      <c r="A260" s="129"/>
      <c r="B260" s="130" t="str">
        <f>IFERROR(__xludf.DUMMYFUNCTION("""COMPUTED_VALUE"""),"When using Skill 2: Reduce the cooldown time of Skill 1 by 3%.")</f>
        <v>When using Skill 2: Reduce the cooldown time of Skill 1 by 3%.</v>
      </c>
      <c r="C260" s="130"/>
      <c r="D260" s="129"/>
      <c r="E260" s="131" t="s">
        <v>7062</v>
      </c>
      <c r="F260" s="131" t="s">
        <v>7027</v>
      </c>
      <c r="G260" s="131" t="s">
        <v>7058</v>
      </c>
      <c r="H260" s="131" t="s">
        <v>7038</v>
      </c>
      <c r="I260" s="131" t="s">
        <v>7027</v>
      </c>
      <c r="J260" s="129"/>
      <c r="K260" s="133"/>
      <c r="L260" s="131"/>
      <c r="M260" s="131"/>
      <c r="N260" s="131"/>
      <c r="O260" s="131"/>
      <c r="P260" s="129"/>
      <c r="Q260" s="131"/>
      <c r="R260" s="131"/>
      <c r="S260" s="131"/>
      <c r="T260" s="129"/>
    </row>
    <row r="261" ht="37.5" customHeight="1">
      <c r="A261" s="129"/>
      <c r="B261" s="130" t="str">
        <f>IFERROR(__xludf.DUMMYFUNCTION("""COMPUTED_VALUE"""),"After KOing an enemy: Recover HP by 5%.")</f>
        <v>After KOing an enemy: Recover HP by 5%.</v>
      </c>
      <c r="C261" s="130"/>
      <c r="D261" s="129"/>
      <c r="E261" s="131" t="s">
        <v>7039</v>
      </c>
      <c r="F261" s="131" t="s">
        <v>7027</v>
      </c>
      <c r="G261" s="131" t="s">
        <v>7040</v>
      </c>
      <c r="H261" s="131" t="s">
        <v>7035</v>
      </c>
      <c r="I261" s="131" t="s">
        <v>7027</v>
      </c>
      <c r="J261" s="129"/>
      <c r="K261" s="133"/>
      <c r="L261" s="131"/>
      <c r="M261" s="131"/>
      <c r="N261" s="131"/>
      <c r="O261" s="131"/>
      <c r="P261" s="129"/>
      <c r="Q261" s="131"/>
      <c r="R261" s="131"/>
      <c r="S261" s="131"/>
      <c r="T261" s="129"/>
    </row>
    <row r="262" ht="37.5" customHeight="1">
      <c r="A262" s="129"/>
      <c r="B262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262" s="130"/>
      <c r="D262" s="129"/>
      <c r="E262" s="131" t="s">
        <v>7030</v>
      </c>
      <c r="F262" s="131" t="s">
        <v>7027</v>
      </c>
      <c r="G262" s="131" t="s">
        <v>7031</v>
      </c>
      <c r="H262" s="131" t="s">
        <v>7032</v>
      </c>
      <c r="I262" s="131" t="s">
        <v>7027</v>
      </c>
      <c r="J262" s="129"/>
      <c r="K262" s="133"/>
      <c r="L262" s="131"/>
      <c r="M262" s="131"/>
      <c r="N262" s="131"/>
      <c r="O262" s="131"/>
      <c r="P262" s="129"/>
      <c r="Q262" s="131"/>
      <c r="R262" s="131"/>
      <c r="S262" s="131"/>
      <c r="T262" s="129"/>
    </row>
    <row r="263" ht="37.5" customHeight="1">
      <c r="A263" s="129"/>
      <c r="B263" s="130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C263" s="130"/>
      <c r="D263" s="129"/>
      <c r="E263" s="131" t="s">
        <v>7082</v>
      </c>
      <c r="F263" s="131" t="s">
        <v>7027</v>
      </c>
      <c r="G263" s="131" t="s">
        <v>7034</v>
      </c>
      <c r="H263" s="131" t="s">
        <v>7035</v>
      </c>
      <c r="I263" s="131" t="s">
        <v>7027</v>
      </c>
      <c r="J263" s="129"/>
      <c r="K263" s="133"/>
      <c r="L263" s="131"/>
      <c r="M263" s="131"/>
      <c r="N263" s="131"/>
      <c r="O263" s="131"/>
      <c r="P263" s="129"/>
      <c r="Q263" s="131"/>
      <c r="R263" s="131"/>
      <c r="S263" s="131"/>
      <c r="T263" s="129"/>
    </row>
    <row r="264" ht="37.5" customHeight="1">
      <c r="A264" s="129"/>
      <c r="B264" s="130" t="str">
        <f>IFERROR(__xludf.DUMMYFUNCTION("""COMPUTED_VALUE"""),"When attacking an enemy inflicted With Aflame: Increase damage dealt by 5%.")</f>
        <v>When attacking an enemy inflicted With Aflame: Increase damage dealt by 5%.</v>
      </c>
      <c r="C264" s="130"/>
      <c r="D264" s="129"/>
      <c r="E264" s="131" t="s">
        <v>7100</v>
      </c>
      <c r="F264" s="131" t="s">
        <v>7027</v>
      </c>
      <c r="G264" s="131" t="s">
        <v>7034</v>
      </c>
      <c r="H264" s="131" t="s">
        <v>7035</v>
      </c>
      <c r="I264" s="131" t="s">
        <v>7027</v>
      </c>
      <c r="J264" s="129"/>
      <c r="K264" s="133"/>
      <c r="L264" s="131"/>
      <c r="M264" s="131"/>
      <c r="N264" s="131"/>
      <c r="O264" s="131"/>
      <c r="P264" s="129"/>
      <c r="Q264" s="131"/>
      <c r="R264" s="131"/>
      <c r="S264" s="131"/>
      <c r="T264" s="129"/>
    </row>
    <row r="265" ht="37.5" customHeight="1">
      <c r="A265" s="129"/>
      <c r="B265" s="130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C265" s="130"/>
      <c r="D265" s="129"/>
      <c r="E265" s="131" t="s">
        <v>7072</v>
      </c>
      <c r="F265" s="131" t="s">
        <v>7027</v>
      </c>
      <c r="G265" s="131" t="s">
        <v>7031</v>
      </c>
      <c r="H265" s="131" t="s">
        <v>7066</v>
      </c>
      <c r="I265" s="131" t="s">
        <v>7027</v>
      </c>
      <c r="J265" s="129"/>
      <c r="K265" s="133"/>
      <c r="L265" s="131"/>
      <c r="M265" s="131"/>
      <c r="N265" s="131"/>
      <c r="O265" s="131"/>
      <c r="P265" s="129"/>
      <c r="Q265" s="131"/>
      <c r="R265" s="131"/>
      <c r="S265" s="131"/>
      <c r="T265" s="129"/>
    </row>
    <row r="266" ht="37.5" customHeight="1">
      <c r="A266" s="129"/>
      <c r="B266" s="130" t="str">
        <f>IFERROR(__xludf.DUMMYFUNCTION("""COMPUTED_VALUE"""),"When attacking an enemy inflicted With Stun: Increase damage dealt by 5%.")</f>
        <v>When attacking an enemy inflicted With Stun: Increase damage dealt by 5%.</v>
      </c>
      <c r="C266" s="130"/>
      <c r="D266" s="129"/>
      <c r="E266" s="131" t="s">
        <v>7101</v>
      </c>
      <c r="F266" s="131" t="s">
        <v>7027</v>
      </c>
      <c r="G266" s="131" t="s">
        <v>7034</v>
      </c>
      <c r="H266" s="131" t="s">
        <v>7035</v>
      </c>
      <c r="I266" s="131" t="s">
        <v>7027</v>
      </c>
      <c r="J266" s="129"/>
      <c r="K266" s="133"/>
      <c r="L266" s="131"/>
      <c r="M266" s="131"/>
      <c r="N266" s="131"/>
      <c r="O266" s="131"/>
      <c r="P266" s="129"/>
      <c r="Q266" s="131"/>
      <c r="R266" s="131"/>
      <c r="S266" s="131"/>
      <c r="T266" s="129"/>
    </row>
    <row r="267" ht="37.5" customHeight="1">
      <c r="A267" s="129"/>
      <c r="B267" s="130" t="str">
        <f>IFERROR(__xludf.DUMMYFUNCTION("""COMPUTED_VALUE"""),"When attacked by an enemy: 30% chance to, Nullify Aflame.")</f>
        <v>When attacked by an enemy: 30% chance to, Nullify Aflame.</v>
      </c>
      <c r="C267" s="130"/>
      <c r="D267" s="129"/>
      <c r="E267" s="131" t="s">
        <v>7069</v>
      </c>
      <c r="F267" s="131" t="s">
        <v>7094</v>
      </c>
      <c r="G267" s="131" t="s">
        <v>7095</v>
      </c>
      <c r="H267" s="131" t="s">
        <v>7027</v>
      </c>
      <c r="I267" s="131" t="s">
        <v>7027</v>
      </c>
      <c r="J267" s="129"/>
      <c r="K267" s="133"/>
      <c r="L267" s="131"/>
      <c r="M267" s="131"/>
      <c r="N267" s="131"/>
      <c r="O267" s="131"/>
      <c r="P267" s="129"/>
      <c r="Q267" s="131"/>
      <c r="R267" s="131"/>
      <c r="S267" s="131"/>
      <c r="T267" s="129"/>
    </row>
    <row r="268" ht="37.5" customHeight="1">
      <c r="A268" s="129"/>
      <c r="B268" s="130" t="str">
        <f>IFERROR(__xludf.DUMMYFUNCTION("""COMPUTED_VALUE"""),"When attacking an enemy: 1% chance to, Inflict Poison for 14 second(s).")</f>
        <v>When attacking an enemy: 1% chance to, Inflict Poison for 14 second(s).</v>
      </c>
      <c r="C268" s="130"/>
      <c r="D268" s="129"/>
      <c r="E268" s="131" t="s">
        <v>7096</v>
      </c>
      <c r="F268" s="131" t="s">
        <v>7097</v>
      </c>
      <c r="G268" s="131" t="s">
        <v>7102</v>
      </c>
      <c r="H268" s="131" t="s">
        <v>7027</v>
      </c>
      <c r="I268" s="131" t="s">
        <v>7103</v>
      </c>
      <c r="J268" s="129"/>
      <c r="K268" s="133"/>
      <c r="L268" s="131"/>
      <c r="M268" s="131"/>
      <c r="N268" s="131"/>
      <c r="O268" s="131"/>
      <c r="P268" s="129"/>
      <c r="Q268" s="131"/>
      <c r="R268" s="131"/>
      <c r="S268" s="131"/>
      <c r="T268" s="129"/>
    </row>
    <row r="269" ht="37.5" customHeight="1">
      <c r="A269" s="129"/>
      <c r="B269" s="130" t="str">
        <f>IFERROR(__xludf.DUMMYFUNCTION("""COMPUTED_VALUE"""),"When your team has less Treasure secured: Increase damage dealt by 5%.")</f>
        <v>When your team has less Treasure secured: Increase damage dealt by 5%.</v>
      </c>
      <c r="C269" s="130"/>
      <c r="D269" s="129"/>
      <c r="E269" s="131" t="s">
        <v>7076</v>
      </c>
      <c r="F269" s="131" t="s">
        <v>7027</v>
      </c>
      <c r="G269" s="131" t="s">
        <v>7034</v>
      </c>
      <c r="H269" s="131" t="s">
        <v>7035</v>
      </c>
      <c r="I269" s="131" t="s">
        <v>7027</v>
      </c>
      <c r="J269" s="129"/>
      <c r="K269" s="133"/>
      <c r="L269" s="131"/>
      <c r="M269" s="131"/>
      <c r="N269" s="131"/>
      <c r="O269" s="131"/>
      <c r="P269" s="129"/>
      <c r="Q269" s="131"/>
      <c r="R269" s="131"/>
      <c r="S269" s="131"/>
      <c r="T269" s="129"/>
    </row>
    <row r="270" ht="37.5" customHeight="1">
      <c r="A270" s="129"/>
      <c r="B270" s="130" t="str">
        <f>IFERROR(__xludf.DUMMYFUNCTION("""COMPUTED_VALUE"""),"When your HP is 70% or more: Boost capture speed by 8%.")</f>
        <v>When your HP is 70% or more: Boost capture speed by 8%.</v>
      </c>
      <c r="C270" s="130"/>
      <c r="D270" s="129"/>
      <c r="E270" s="131" t="s">
        <v>7026</v>
      </c>
      <c r="F270" s="131" t="s">
        <v>7027</v>
      </c>
      <c r="G270" s="131" t="s">
        <v>7031</v>
      </c>
      <c r="H270" s="131" t="s">
        <v>7032</v>
      </c>
      <c r="I270" s="131" t="s">
        <v>7027</v>
      </c>
      <c r="J270" s="129"/>
      <c r="K270" s="133"/>
      <c r="L270" s="131"/>
      <c r="M270" s="131"/>
      <c r="N270" s="131"/>
      <c r="O270" s="131"/>
      <c r="P270" s="129"/>
      <c r="Q270" s="131"/>
      <c r="R270" s="131"/>
      <c r="S270" s="131"/>
      <c r="T270" s="129"/>
    </row>
    <row r="271" ht="37.5" customHeight="1">
      <c r="A271" s="129"/>
      <c r="B271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71" s="130"/>
      <c r="D271" s="129"/>
      <c r="E271" s="131" t="s">
        <v>7045</v>
      </c>
      <c r="F271" s="131" t="s">
        <v>7027</v>
      </c>
      <c r="G271" s="131" t="s">
        <v>7037</v>
      </c>
      <c r="H271" s="131" t="s">
        <v>7035</v>
      </c>
      <c r="I271" s="131" t="s">
        <v>7027</v>
      </c>
      <c r="J271" s="129"/>
      <c r="K271" s="133"/>
      <c r="L271" s="131"/>
      <c r="M271" s="131"/>
      <c r="N271" s="131"/>
      <c r="O271" s="131"/>
      <c r="P271" s="129"/>
      <c r="Q271" s="131"/>
      <c r="R271" s="131"/>
      <c r="S271" s="131"/>
      <c r="T271" s="129"/>
    </row>
    <row r="272" ht="37.5" customHeight="1">
      <c r="A272" s="129"/>
      <c r="B272" s="130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272" s="130"/>
      <c r="D272" s="129"/>
      <c r="E272" s="131" t="s">
        <v>7076</v>
      </c>
      <c r="F272" s="131" t="s">
        <v>7027</v>
      </c>
      <c r="G272" s="131" t="s">
        <v>7046</v>
      </c>
      <c r="H272" s="131" t="s">
        <v>7029</v>
      </c>
      <c r="I272" s="131" t="s">
        <v>7027</v>
      </c>
      <c r="J272" s="129"/>
      <c r="K272" s="133"/>
      <c r="L272" s="131"/>
      <c r="M272" s="131"/>
      <c r="N272" s="131"/>
      <c r="O272" s="131"/>
      <c r="P272" s="129"/>
      <c r="Q272" s="131"/>
      <c r="R272" s="131"/>
      <c r="S272" s="131"/>
      <c r="T272" s="129"/>
    </row>
    <row r="273" ht="37.5" customHeight="1">
      <c r="A273" s="129"/>
      <c r="B273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273" s="130"/>
      <c r="D273" s="129"/>
      <c r="E273" s="131" t="s">
        <v>7026</v>
      </c>
      <c r="F273" s="131" t="s">
        <v>7027</v>
      </c>
      <c r="G273" s="131" t="s">
        <v>7046</v>
      </c>
      <c r="H273" s="131" t="s">
        <v>7029</v>
      </c>
      <c r="I273" s="131" t="s">
        <v>7027</v>
      </c>
      <c r="J273" s="129"/>
      <c r="K273" s="133"/>
      <c r="L273" s="131"/>
      <c r="M273" s="131"/>
      <c r="N273" s="131"/>
      <c r="O273" s="131"/>
      <c r="P273" s="129"/>
      <c r="Q273" s="131"/>
      <c r="R273" s="131"/>
      <c r="S273" s="131"/>
      <c r="T273" s="129"/>
    </row>
    <row r="274" ht="37.5" customHeight="1">
      <c r="A274" s="129"/>
      <c r="B274" s="130" t="str">
        <f>IFERROR(__xludf.DUMMYFUNCTION("""COMPUTED_VALUE"""),"When your team has less Treasure secured: Reduce damage recieved by 5%.")</f>
        <v>When your team has less Treasure secured: Reduce damage recieved by 5%.</v>
      </c>
      <c r="C274" s="130"/>
      <c r="D274" s="129"/>
      <c r="E274" s="131" t="s">
        <v>7076</v>
      </c>
      <c r="F274" s="131" t="s">
        <v>7027</v>
      </c>
      <c r="G274" s="131" t="s">
        <v>7037</v>
      </c>
      <c r="H274" s="131" t="s">
        <v>7035</v>
      </c>
      <c r="I274" s="131" t="s">
        <v>7027</v>
      </c>
      <c r="J274" s="129"/>
      <c r="K274" s="133"/>
      <c r="L274" s="131"/>
      <c r="M274" s="131"/>
      <c r="N274" s="131"/>
      <c r="O274" s="131"/>
      <c r="P274" s="129"/>
      <c r="Q274" s="131"/>
      <c r="R274" s="131"/>
      <c r="S274" s="131"/>
      <c r="T274" s="129"/>
    </row>
    <row r="275" ht="37.5" customHeight="1">
      <c r="A275" s="129"/>
      <c r="B275" s="130" t="str">
        <f>IFERROR(__xludf.DUMMYFUNCTION("""COMPUTED_VALUE"""),"When attacked by an enemy: 30% chance to, Nullify Stun.")</f>
        <v>When attacked by an enemy: 30% chance to, Nullify Stun.</v>
      </c>
      <c r="C275" s="130"/>
      <c r="D275" s="129"/>
      <c r="E275" s="131" t="s">
        <v>7069</v>
      </c>
      <c r="F275" s="131" t="s">
        <v>7094</v>
      </c>
      <c r="G275" s="131" t="s">
        <v>7104</v>
      </c>
      <c r="H275" s="131" t="s">
        <v>7027</v>
      </c>
      <c r="I275" s="131" t="s">
        <v>7027</v>
      </c>
      <c r="J275" s="129"/>
      <c r="K275" s="133"/>
      <c r="L275" s="131"/>
      <c r="M275" s="131"/>
      <c r="N275" s="131"/>
      <c r="O275" s="131"/>
      <c r="P275" s="129"/>
      <c r="Q275" s="131"/>
      <c r="R275" s="131"/>
      <c r="S275" s="131"/>
      <c r="T275" s="129"/>
    </row>
    <row r="276" ht="37.5" customHeight="1">
      <c r="A276" s="129"/>
      <c r="B276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276" s="130"/>
      <c r="D276" s="129"/>
      <c r="E276" s="131" t="s">
        <v>7045</v>
      </c>
      <c r="F276" s="131" t="s">
        <v>7027</v>
      </c>
      <c r="G276" s="131" t="s">
        <v>7037</v>
      </c>
      <c r="H276" s="131" t="s">
        <v>7038</v>
      </c>
      <c r="I276" s="131" t="s">
        <v>7027</v>
      </c>
      <c r="J276" s="129"/>
      <c r="K276" s="133"/>
      <c r="L276" s="131"/>
      <c r="M276" s="131"/>
      <c r="N276" s="131"/>
      <c r="O276" s="131"/>
      <c r="P276" s="129"/>
      <c r="Q276" s="131"/>
      <c r="R276" s="131"/>
      <c r="S276" s="131"/>
      <c r="T276" s="129"/>
    </row>
    <row r="277" ht="37.5" customHeight="1">
      <c r="A277" s="129"/>
      <c r="B277" s="130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C277" s="130"/>
      <c r="D277" s="129"/>
      <c r="E277" s="131" t="s">
        <v>7030</v>
      </c>
      <c r="F277" s="131" t="s">
        <v>7027</v>
      </c>
      <c r="G277" s="131" t="s">
        <v>7031</v>
      </c>
      <c r="H277" s="131" t="s">
        <v>7032</v>
      </c>
      <c r="I277" s="131" t="s">
        <v>7027</v>
      </c>
      <c r="J277" s="129"/>
      <c r="K277" s="133"/>
      <c r="L277" s="131"/>
      <c r="M277" s="131"/>
      <c r="N277" s="131"/>
      <c r="O277" s="131"/>
      <c r="P277" s="129"/>
      <c r="Q277" s="131"/>
      <c r="R277" s="131"/>
      <c r="S277" s="131"/>
      <c r="T277" s="129"/>
    </row>
    <row r="278" ht="37.5" customHeight="1">
      <c r="A278" s="129"/>
      <c r="B278" s="130" t="str">
        <f>IFERROR(__xludf.DUMMYFUNCTION("""COMPUTED_VALUE"""),"When your team loses the Treasure: SPD Boosted by 6% for 20 second(s).")</f>
        <v>When your team loses the Treasure: SPD Boosted by 6% for 20 second(s).</v>
      </c>
      <c r="C278" s="130"/>
      <c r="D278" s="129"/>
      <c r="E278" s="131" t="s">
        <v>7105</v>
      </c>
      <c r="F278" s="131" t="s">
        <v>7027</v>
      </c>
      <c r="G278" s="131" t="s">
        <v>7083</v>
      </c>
      <c r="H278" s="131" t="s">
        <v>7066</v>
      </c>
      <c r="I278" s="131" t="s">
        <v>7084</v>
      </c>
      <c r="J278" s="129"/>
      <c r="K278" s="133"/>
      <c r="L278" s="131"/>
      <c r="M278" s="131"/>
      <c r="N278" s="131"/>
      <c r="O278" s="131"/>
      <c r="P278" s="129"/>
      <c r="Q278" s="131"/>
      <c r="R278" s="131"/>
      <c r="S278" s="131"/>
      <c r="T278" s="129"/>
    </row>
    <row r="279" ht="37.5" customHeight="1">
      <c r="A279" s="129"/>
      <c r="B279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279" s="130"/>
      <c r="D279" s="129"/>
      <c r="E279" s="131" t="s">
        <v>7045</v>
      </c>
      <c r="F279" s="131" t="s">
        <v>7027</v>
      </c>
      <c r="G279" s="131" t="s">
        <v>7037</v>
      </c>
      <c r="H279" s="131" t="s">
        <v>7035</v>
      </c>
      <c r="I279" s="131" t="s">
        <v>7027</v>
      </c>
      <c r="J279" s="129"/>
      <c r="K279" s="133"/>
      <c r="L279" s="131"/>
      <c r="M279" s="131"/>
      <c r="N279" s="131"/>
      <c r="O279" s="131"/>
      <c r="P279" s="129"/>
      <c r="Q279" s="131"/>
      <c r="R279" s="131"/>
      <c r="S279" s="131"/>
      <c r="T279" s="129"/>
    </row>
    <row r="280" ht="37.5" customHeight="1">
      <c r="A280" s="129"/>
      <c r="B280" s="130" t="str">
        <f>IFERROR(__xludf.DUMMYFUNCTION("""COMPUTED_VALUE"""),"When you capture the Treasure: SPD Boosted by 6% for 20 second(s).")</f>
        <v>When you capture the Treasure: SPD Boosted by 6% for 20 second(s).</v>
      </c>
      <c r="C280" s="130"/>
      <c r="D280" s="129"/>
      <c r="E280" s="131" t="s">
        <v>7048</v>
      </c>
      <c r="F280" s="131" t="s">
        <v>7027</v>
      </c>
      <c r="G280" s="131" t="s">
        <v>7083</v>
      </c>
      <c r="H280" s="131" t="s">
        <v>7066</v>
      </c>
      <c r="I280" s="131" t="s">
        <v>7084</v>
      </c>
      <c r="J280" s="129"/>
      <c r="K280" s="133"/>
      <c r="L280" s="131"/>
      <c r="M280" s="131"/>
      <c r="N280" s="131"/>
      <c r="O280" s="131"/>
      <c r="P280" s="129"/>
      <c r="Q280" s="131"/>
      <c r="R280" s="131"/>
      <c r="S280" s="131"/>
      <c r="T280" s="129"/>
    </row>
    <row r="281" ht="37.5" customHeight="1">
      <c r="A281" s="129"/>
      <c r="B281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281" s="130"/>
      <c r="D281" s="129"/>
      <c r="E281" s="131" t="s">
        <v>7045</v>
      </c>
      <c r="F281" s="131" t="s">
        <v>7027</v>
      </c>
      <c r="G281" s="131" t="s">
        <v>7042</v>
      </c>
      <c r="H281" s="131" t="s">
        <v>7029</v>
      </c>
      <c r="I281" s="131" t="s">
        <v>7027</v>
      </c>
      <c r="J281" s="129"/>
      <c r="K281" s="133"/>
      <c r="L281" s="131"/>
      <c r="M281" s="131"/>
      <c r="N281" s="131"/>
      <c r="O281" s="131"/>
      <c r="P281" s="129"/>
      <c r="Q281" s="131"/>
      <c r="R281" s="131"/>
      <c r="S281" s="131"/>
      <c r="T281" s="129"/>
    </row>
    <row r="282" ht="37.5" customHeight="1">
      <c r="A282" s="129"/>
      <c r="B282" s="130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C282" s="130"/>
      <c r="D282" s="129"/>
      <c r="E282" s="131" t="s">
        <v>7082</v>
      </c>
      <c r="F282" s="131" t="s">
        <v>7027</v>
      </c>
      <c r="G282" s="131" t="s">
        <v>7042</v>
      </c>
      <c r="H282" s="131" t="s">
        <v>7029</v>
      </c>
      <c r="I282" s="131" t="s">
        <v>7027</v>
      </c>
      <c r="J282" s="129"/>
      <c r="K282" s="133"/>
      <c r="L282" s="131"/>
      <c r="M282" s="131"/>
      <c r="N282" s="131"/>
      <c r="O282" s="131"/>
      <c r="P282" s="129"/>
      <c r="Q282" s="131"/>
      <c r="R282" s="131"/>
      <c r="S282" s="131"/>
      <c r="T282" s="129"/>
    </row>
    <row r="283" ht="37.5" customHeight="1">
      <c r="A283" s="129"/>
      <c r="B283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283" s="130"/>
      <c r="D283" s="129"/>
      <c r="E283" s="131" t="s">
        <v>7041</v>
      </c>
      <c r="F283" s="131" t="s">
        <v>7027</v>
      </c>
      <c r="G283" s="131" t="s">
        <v>7034</v>
      </c>
      <c r="H283" s="131" t="s">
        <v>7035</v>
      </c>
      <c r="I283" s="131" t="s">
        <v>7027</v>
      </c>
      <c r="J283" s="129"/>
      <c r="K283" s="133"/>
      <c r="L283" s="131"/>
      <c r="M283" s="131"/>
      <c r="N283" s="131"/>
      <c r="O283" s="131"/>
      <c r="P283" s="129"/>
      <c r="Q283" s="131"/>
      <c r="R283" s="131"/>
      <c r="S283" s="131"/>
      <c r="T283" s="129"/>
    </row>
    <row r="284" ht="37.5" customHeight="1">
      <c r="A284" s="129"/>
      <c r="B284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284" s="130"/>
      <c r="D284" s="129"/>
      <c r="E284" s="131" t="s">
        <v>7045</v>
      </c>
      <c r="F284" s="131" t="s">
        <v>7027</v>
      </c>
      <c r="G284" s="131" t="s">
        <v>7046</v>
      </c>
      <c r="H284" s="131" t="s">
        <v>7029</v>
      </c>
      <c r="I284" s="131" t="s">
        <v>7027</v>
      </c>
      <c r="J284" s="129"/>
      <c r="K284" s="133"/>
      <c r="L284" s="131"/>
      <c r="M284" s="131"/>
      <c r="N284" s="131"/>
      <c r="O284" s="131"/>
      <c r="P284" s="129"/>
      <c r="Q284" s="131"/>
      <c r="R284" s="131"/>
      <c r="S284" s="131"/>
      <c r="T284" s="129"/>
    </row>
    <row r="285" ht="37.5" customHeight="1">
      <c r="A285" s="129"/>
      <c r="B285" s="130" t="str">
        <f>IFERROR(__xludf.DUMMYFUNCTION("""COMPUTED_VALUE"""),"When your HP is 70% or more: Reduce damage recieved by 5%.")</f>
        <v>When your HP is 70% or more: Reduce damage recieved by 5%.</v>
      </c>
      <c r="C285" s="130"/>
      <c r="D285" s="129"/>
      <c r="E285" s="131" t="s">
        <v>7026</v>
      </c>
      <c r="F285" s="131" t="s">
        <v>7027</v>
      </c>
      <c r="G285" s="131" t="s">
        <v>7037</v>
      </c>
      <c r="H285" s="131" t="s">
        <v>7035</v>
      </c>
      <c r="I285" s="131" t="s">
        <v>7027</v>
      </c>
      <c r="J285" s="129"/>
      <c r="K285" s="133"/>
      <c r="L285" s="131"/>
      <c r="M285" s="131"/>
      <c r="N285" s="131"/>
      <c r="O285" s="131"/>
      <c r="P285" s="129"/>
      <c r="Q285" s="131"/>
      <c r="R285" s="131"/>
      <c r="S285" s="131"/>
      <c r="T285" s="129"/>
    </row>
    <row r="286" ht="37.5" customHeight="1">
      <c r="A286" s="129"/>
      <c r="B286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286" s="130"/>
      <c r="D286" s="129"/>
      <c r="E286" s="131" t="s">
        <v>7045</v>
      </c>
      <c r="F286" s="131" t="s">
        <v>7027</v>
      </c>
      <c r="G286" s="131" t="s">
        <v>7037</v>
      </c>
      <c r="H286" s="131" t="s">
        <v>7038</v>
      </c>
      <c r="I286" s="131" t="s">
        <v>7027</v>
      </c>
      <c r="J286" s="129"/>
      <c r="K286" s="133"/>
      <c r="L286" s="131"/>
      <c r="M286" s="131"/>
      <c r="N286" s="131"/>
      <c r="O286" s="131"/>
      <c r="P286" s="129"/>
      <c r="Q286" s="131"/>
      <c r="R286" s="131"/>
      <c r="S286" s="131"/>
      <c r="T286" s="129"/>
    </row>
    <row r="287" ht="37.5" customHeight="1">
      <c r="A287" s="129"/>
      <c r="B287" s="130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C287" s="130"/>
      <c r="D287" s="129"/>
      <c r="E287" s="131" t="s">
        <v>7082</v>
      </c>
      <c r="F287" s="131" t="s">
        <v>7027</v>
      </c>
      <c r="G287" s="131" t="s">
        <v>7028</v>
      </c>
      <c r="H287" s="131" t="s">
        <v>7029</v>
      </c>
      <c r="I287" s="131" t="s">
        <v>7027</v>
      </c>
      <c r="J287" s="129"/>
      <c r="K287" s="133"/>
      <c r="L287" s="131"/>
      <c r="M287" s="131"/>
      <c r="N287" s="131"/>
      <c r="O287" s="131"/>
      <c r="P287" s="129"/>
      <c r="Q287" s="131"/>
      <c r="R287" s="131"/>
      <c r="S287" s="131"/>
      <c r="T287" s="129"/>
    </row>
    <row r="288" ht="37.5" customHeight="1">
      <c r="A288" s="129"/>
      <c r="B288" s="130" t="str">
        <f>IFERROR(__xludf.DUMMYFUNCTION("""COMPUTED_VALUE"""),"When Respawned: SPD Boosted by 6% for 20 second(s).")</f>
        <v>When Respawned: SPD Boosted by 6% for 20 second(s).</v>
      </c>
      <c r="C288" s="130"/>
      <c r="D288" s="129"/>
      <c r="E288" s="131" t="s">
        <v>7085</v>
      </c>
      <c r="F288" s="131" t="s">
        <v>7027</v>
      </c>
      <c r="G288" s="131" t="s">
        <v>7083</v>
      </c>
      <c r="H288" s="131" t="s">
        <v>7066</v>
      </c>
      <c r="I288" s="131" t="s">
        <v>7084</v>
      </c>
      <c r="J288" s="129"/>
      <c r="K288" s="133"/>
      <c r="L288" s="131"/>
      <c r="M288" s="131"/>
      <c r="N288" s="131"/>
      <c r="O288" s="131"/>
      <c r="P288" s="129"/>
      <c r="Q288" s="131"/>
      <c r="R288" s="131"/>
      <c r="S288" s="131"/>
      <c r="T288" s="129"/>
    </row>
    <row r="289" ht="37.5" customHeight="1">
      <c r="A289" s="129"/>
      <c r="B289" s="130" t="str">
        <f>IFERROR(__xludf.DUMMYFUNCTION("""COMPUTED_VALUE"""),"When an ally is KO`d (not including you): Recover HP by 3%.")</f>
        <v>When an ally is KO`d (not including you): Recover HP by 3%.</v>
      </c>
      <c r="C289" s="130"/>
      <c r="D289" s="129"/>
      <c r="E289" s="131" t="s">
        <v>7060</v>
      </c>
      <c r="F289" s="131" t="s">
        <v>7027</v>
      </c>
      <c r="G289" s="131" t="s">
        <v>7040</v>
      </c>
      <c r="H289" s="131" t="s">
        <v>7038</v>
      </c>
      <c r="I289" s="131" t="s">
        <v>7027</v>
      </c>
      <c r="J289" s="129"/>
      <c r="K289" s="133"/>
      <c r="L289" s="131"/>
      <c r="M289" s="131"/>
      <c r="N289" s="131"/>
      <c r="O289" s="131"/>
      <c r="P289" s="129"/>
      <c r="Q289" s="131"/>
      <c r="R289" s="131"/>
      <c r="S289" s="131"/>
      <c r="T289" s="129"/>
    </row>
    <row r="290" ht="37.5" customHeight="1">
      <c r="A290" s="129"/>
      <c r="B290" s="130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C290" s="130"/>
      <c r="D290" s="129"/>
      <c r="E290" s="131" t="s">
        <v>7070</v>
      </c>
      <c r="F290" s="131" t="s">
        <v>7027</v>
      </c>
      <c r="G290" s="131" t="s">
        <v>7046</v>
      </c>
      <c r="H290" s="131" t="s">
        <v>7029</v>
      </c>
      <c r="I290" s="131" t="s">
        <v>7027</v>
      </c>
      <c r="J290" s="129"/>
      <c r="K290" s="133"/>
      <c r="L290" s="131"/>
      <c r="M290" s="131"/>
      <c r="N290" s="131"/>
      <c r="O290" s="131"/>
      <c r="P290" s="129"/>
      <c r="Q290" s="131"/>
      <c r="R290" s="131"/>
      <c r="S290" s="131"/>
      <c r="T290" s="129"/>
    </row>
    <row r="291" ht="37.5" customHeight="1">
      <c r="A291" s="129"/>
      <c r="B291" s="130" t="str">
        <f>IFERROR(__xludf.DUMMYFUNCTION("""COMPUTED_VALUE"""),"When your team has less Treasure secured: Boost capture speed by 8%.")</f>
        <v>When your team has less Treasure secured: Boost capture speed by 8%.</v>
      </c>
      <c r="C291" s="130"/>
      <c r="D291" s="129"/>
      <c r="E291" s="131" t="s">
        <v>7076</v>
      </c>
      <c r="F291" s="131" t="s">
        <v>7027</v>
      </c>
      <c r="G291" s="131" t="s">
        <v>7031</v>
      </c>
      <c r="H291" s="131" t="s">
        <v>7032</v>
      </c>
      <c r="I291" s="131" t="s">
        <v>7027</v>
      </c>
      <c r="J291" s="129"/>
      <c r="K291" s="133"/>
      <c r="L291" s="131"/>
      <c r="M291" s="131"/>
      <c r="N291" s="131"/>
      <c r="O291" s="131"/>
      <c r="P291" s="129"/>
      <c r="Q291" s="131"/>
      <c r="R291" s="131"/>
      <c r="S291" s="131"/>
      <c r="T291" s="129"/>
    </row>
    <row r="292" ht="37.5" customHeight="1">
      <c r="A292" s="129"/>
      <c r="B292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292" s="130"/>
      <c r="D292" s="129"/>
      <c r="E292" s="131" t="s">
        <v>7041</v>
      </c>
      <c r="F292" s="131" t="s">
        <v>7027</v>
      </c>
      <c r="G292" s="131" t="s">
        <v>7034</v>
      </c>
      <c r="H292" s="131" t="s">
        <v>7035</v>
      </c>
      <c r="I292" s="131" t="s">
        <v>7027</v>
      </c>
      <c r="J292" s="129"/>
      <c r="K292" s="133"/>
      <c r="L292" s="131"/>
      <c r="M292" s="131"/>
      <c r="N292" s="131"/>
      <c r="O292" s="131"/>
      <c r="P292" s="129"/>
      <c r="Q292" s="131"/>
      <c r="R292" s="131"/>
      <c r="S292" s="131"/>
      <c r="T292" s="129"/>
    </row>
    <row r="293" ht="37.5" customHeight="1">
      <c r="A293" s="129"/>
      <c r="B293" s="130" t="str">
        <f>IFERROR(__xludf.DUMMYFUNCTION("""COMPUTED_VALUE"""),"When attacked by an enemy: 30% chance to, Nullify Freeze.")</f>
        <v>When attacked by an enemy: 30% chance to, Nullify Freeze.</v>
      </c>
      <c r="C293" s="130"/>
      <c r="D293" s="129"/>
      <c r="E293" s="131" t="s">
        <v>7069</v>
      </c>
      <c r="F293" s="131" t="s">
        <v>7094</v>
      </c>
      <c r="G293" s="131" t="s">
        <v>7106</v>
      </c>
      <c r="H293" s="131" t="s">
        <v>7027</v>
      </c>
      <c r="I293" s="131" t="s">
        <v>7027</v>
      </c>
      <c r="J293" s="129"/>
      <c r="K293" s="133"/>
      <c r="L293" s="131"/>
      <c r="M293" s="131"/>
      <c r="N293" s="131"/>
      <c r="O293" s="131"/>
      <c r="P293" s="129"/>
      <c r="Q293" s="131"/>
      <c r="R293" s="131"/>
      <c r="S293" s="131"/>
      <c r="T293" s="129"/>
    </row>
    <row r="294" ht="37.5" customHeight="1">
      <c r="A294" s="129"/>
      <c r="B294" s="130" t="str">
        <f>IFERROR(__xludf.DUMMYFUNCTION("""COMPUTED_VALUE"""),"When attacked by an enemy: 30% chance to, Nullify Aflame.")</f>
        <v>When attacked by an enemy: 30% chance to, Nullify Aflame.</v>
      </c>
      <c r="C294" s="130"/>
      <c r="D294" s="129"/>
      <c r="E294" s="131" t="s">
        <v>7069</v>
      </c>
      <c r="F294" s="131" t="s">
        <v>7094</v>
      </c>
      <c r="G294" s="131" t="s">
        <v>7095</v>
      </c>
      <c r="H294" s="131" t="s">
        <v>7027</v>
      </c>
      <c r="I294" s="131" t="s">
        <v>7027</v>
      </c>
      <c r="J294" s="129"/>
      <c r="K294" s="133"/>
      <c r="L294" s="131"/>
      <c r="M294" s="131"/>
      <c r="N294" s="131"/>
      <c r="O294" s="131"/>
      <c r="P294" s="129"/>
      <c r="Q294" s="131"/>
      <c r="R294" s="131"/>
      <c r="S294" s="131"/>
      <c r="T294" s="129"/>
    </row>
    <row r="295" ht="37.5" customHeight="1">
      <c r="A295" s="129"/>
      <c r="B295" s="130" t="str">
        <f>IFERROR(__xludf.DUMMYFUNCTION("""COMPUTED_VALUE"""),"When there are 60 seconds or less remaining: CRIT Boosted by 120% for 20 second(s).")</f>
        <v>When there are 60 seconds or less remaining: CRIT Boosted by 120% for 20 second(s).</v>
      </c>
      <c r="C295" s="130"/>
      <c r="D295" s="129"/>
      <c r="E295" s="131" t="s">
        <v>7091</v>
      </c>
      <c r="F295" s="131" t="s">
        <v>7027</v>
      </c>
      <c r="G295" s="131" t="s">
        <v>7086</v>
      </c>
      <c r="H295" s="131" t="s">
        <v>7107</v>
      </c>
      <c r="I295" s="131" t="s">
        <v>7084</v>
      </c>
      <c r="J295" s="129"/>
      <c r="K295" s="133"/>
      <c r="L295" s="131"/>
      <c r="M295" s="131"/>
      <c r="N295" s="131"/>
      <c r="O295" s="131"/>
      <c r="P295" s="129"/>
      <c r="Q295" s="131"/>
      <c r="R295" s="131"/>
      <c r="S295" s="131"/>
      <c r="T295" s="129"/>
    </row>
    <row r="296" ht="37.5" customHeight="1">
      <c r="A296" s="129"/>
      <c r="B296" s="130" t="str">
        <f>IFERROR(__xludf.DUMMYFUNCTION("""COMPUTED_VALUE"""),"When attacked by an enemy: 30% chance to, Nullify Tremor.")</f>
        <v>When attacked by an enemy: 30% chance to, Nullify Tremor.</v>
      </c>
      <c r="C296" s="130"/>
      <c r="D296" s="129"/>
      <c r="E296" s="131" t="s">
        <v>7069</v>
      </c>
      <c r="F296" s="131" t="s">
        <v>7094</v>
      </c>
      <c r="G296" s="131" t="s">
        <v>7108</v>
      </c>
      <c r="H296" s="131" t="s">
        <v>7027</v>
      </c>
      <c r="I296" s="131" t="s">
        <v>7027</v>
      </c>
      <c r="J296" s="129"/>
      <c r="K296" s="133"/>
      <c r="L296" s="131"/>
      <c r="M296" s="131"/>
      <c r="N296" s="131"/>
      <c r="O296" s="131"/>
      <c r="P296" s="129"/>
      <c r="Q296" s="131"/>
      <c r="R296" s="131"/>
      <c r="S296" s="131"/>
      <c r="T296" s="129"/>
    </row>
    <row r="297" ht="37.5" customHeight="1">
      <c r="A297" s="129"/>
      <c r="B297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297" s="130"/>
      <c r="D297" s="129"/>
      <c r="E297" s="131" t="s">
        <v>7026</v>
      </c>
      <c r="F297" s="131" t="s">
        <v>7027</v>
      </c>
      <c r="G297" s="131" t="s">
        <v>7046</v>
      </c>
      <c r="H297" s="131" t="s">
        <v>7029</v>
      </c>
      <c r="I297" s="131" t="s">
        <v>7027</v>
      </c>
      <c r="J297" s="129"/>
      <c r="K297" s="133"/>
      <c r="L297" s="131"/>
      <c r="M297" s="131"/>
      <c r="N297" s="131"/>
      <c r="O297" s="131"/>
      <c r="P297" s="129"/>
      <c r="Q297" s="131"/>
      <c r="R297" s="131"/>
      <c r="S297" s="131"/>
      <c r="T297" s="129"/>
    </row>
    <row r="298" ht="37.5" customHeight="1">
      <c r="A298" s="129"/>
      <c r="B298" s="130" t="str">
        <f>IFERROR(__xludf.DUMMYFUNCTION("""COMPUTED_VALUE"""),"After KOing an enemy: Recover HP by 5%.")</f>
        <v>After KOing an enemy: Recover HP by 5%.</v>
      </c>
      <c r="C298" s="130"/>
      <c r="D298" s="129"/>
      <c r="E298" s="131" t="s">
        <v>7039</v>
      </c>
      <c r="F298" s="131" t="s">
        <v>7027</v>
      </c>
      <c r="G298" s="131" t="s">
        <v>7040</v>
      </c>
      <c r="H298" s="131" t="s">
        <v>7035</v>
      </c>
      <c r="I298" s="131" t="s">
        <v>7027</v>
      </c>
      <c r="J298" s="129"/>
      <c r="K298" s="133"/>
      <c r="L298" s="131"/>
      <c r="M298" s="131"/>
      <c r="N298" s="131"/>
      <c r="O298" s="131"/>
      <c r="P298" s="129"/>
      <c r="Q298" s="131"/>
      <c r="R298" s="131"/>
      <c r="S298" s="131"/>
      <c r="T298" s="129"/>
    </row>
    <row r="299" ht="37.5" customHeight="1">
      <c r="A299" s="129"/>
      <c r="B299" s="130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C299" s="130"/>
      <c r="D299" s="129"/>
      <c r="E299" s="131" t="s">
        <v>7076</v>
      </c>
      <c r="F299" s="131" t="s">
        <v>7027</v>
      </c>
      <c r="G299" s="131" t="s">
        <v>7028</v>
      </c>
      <c r="H299" s="131" t="s">
        <v>7029</v>
      </c>
      <c r="I299" s="131" t="s">
        <v>7027</v>
      </c>
      <c r="J299" s="129"/>
      <c r="K299" s="133"/>
      <c r="L299" s="131"/>
      <c r="M299" s="131"/>
      <c r="N299" s="131"/>
      <c r="O299" s="131"/>
      <c r="P299" s="129"/>
      <c r="Q299" s="131"/>
      <c r="R299" s="131"/>
      <c r="S299" s="131"/>
      <c r="T299" s="129"/>
    </row>
    <row r="300" ht="37.5" customHeight="1">
      <c r="A300" s="129"/>
      <c r="B300" s="130" t="str">
        <f>IFERROR(__xludf.DUMMYFUNCTION("""COMPUTED_VALUE"""),"When attacked by an enemy: 30% chance to, Nullify Shock.")</f>
        <v>When attacked by an enemy: 30% chance to, Nullify Shock.</v>
      </c>
      <c r="C300" s="130"/>
      <c r="D300" s="129"/>
      <c r="E300" s="131" t="s">
        <v>7069</v>
      </c>
      <c r="F300" s="131" t="s">
        <v>7094</v>
      </c>
      <c r="G300" s="131" t="s">
        <v>7109</v>
      </c>
      <c r="H300" s="131" t="s">
        <v>7027</v>
      </c>
      <c r="I300" s="131" t="s">
        <v>7027</v>
      </c>
      <c r="J300" s="129"/>
      <c r="K300" s="133"/>
      <c r="L300" s="131"/>
      <c r="M300" s="131"/>
      <c r="N300" s="131"/>
      <c r="O300" s="131"/>
      <c r="P300" s="129"/>
      <c r="Q300" s="131"/>
      <c r="R300" s="131"/>
      <c r="S300" s="131"/>
      <c r="T300" s="129"/>
    </row>
    <row r="301" ht="37.5" customHeight="1">
      <c r="A301" s="129"/>
      <c r="B301" s="130" t="str">
        <f>IFERROR(__xludf.DUMMYFUNCTION("""COMPUTED_VALUE"""),"When your team has more Treasure secured: Boost capture speed by 12%.")</f>
        <v>When your team has more Treasure secured: Boost capture speed by 12%.</v>
      </c>
      <c r="C301" s="130"/>
      <c r="D301" s="129"/>
      <c r="E301" s="131" t="s">
        <v>7070</v>
      </c>
      <c r="F301" s="131" t="s">
        <v>7027</v>
      </c>
      <c r="G301" s="131" t="s">
        <v>7031</v>
      </c>
      <c r="H301" s="131" t="s">
        <v>7110</v>
      </c>
      <c r="I301" s="131" t="s">
        <v>7027</v>
      </c>
      <c r="J301" s="129"/>
      <c r="K301" s="133"/>
      <c r="L301" s="131"/>
      <c r="M301" s="131"/>
      <c r="N301" s="131"/>
      <c r="O301" s="131"/>
      <c r="P301" s="129"/>
      <c r="Q301" s="131"/>
      <c r="R301" s="131"/>
      <c r="S301" s="131"/>
      <c r="T301" s="129"/>
    </row>
    <row r="302" ht="37.5" customHeight="1">
      <c r="A302" s="129"/>
      <c r="B302" s="130" t="str">
        <f>IFERROR(__xludf.DUMMYFUNCTION("""COMPUTED_VALUE"""),"When Respawned: SPD Boosted by 6% for 20 second(s).")</f>
        <v>When Respawned: SPD Boosted by 6% for 20 second(s).</v>
      </c>
      <c r="C302" s="130"/>
      <c r="D302" s="129"/>
      <c r="E302" s="131" t="s">
        <v>7085</v>
      </c>
      <c r="F302" s="131" t="s">
        <v>7027</v>
      </c>
      <c r="G302" s="131" t="s">
        <v>7083</v>
      </c>
      <c r="H302" s="131" t="s">
        <v>7066</v>
      </c>
      <c r="I302" s="131" t="s">
        <v>7084</v>
      </c>
      <c r="J302" s="129"/>
      <c r="K302" s="133"/>
      <c r="L302" s="131"/>
      <c r="M302" s="131"/>
      <c r="N302" s="131"/>
      <c r="O302" s="131"/>
      <c r="P302" s="129"/>
      <c r="Q302" s="131"/>
      <c r="R302" s="131"/>
      <c r="S302" s="131"/>
      <c r="T302" s="129"/>
    </row>
    <row r="303" ht="37.5" customHeight="1">
      <c r="A303" s="129"/>
      <c r="B303" s="130" t="str">
        <f>IFERROR(__xludf.DUMMYFUNCTION("""COMPUTED_VALUE"""),"After KOing an enemy: Reduce the cooldown time of Skill 2 by 8%.")</f>
        <v>After KOing an enemy: Reduce the cooldown time of Skill 2 by 8%.</v>
      </c>
      <c r="C303" s="130"/>
      <c r="D303" s="129"/>
      <c r="E303" s="131" t="s">
        <v>7039</v>
      </c>
      <c r="F303" s="131" t="s">
        <v>7027</v>
      </c>
      <c r="G303" s="131" t="s">
        <v>7050</v>
      </c>
      <c r="H303" s="131" t="s">
        <v>7032</v>
      </c>
      <c r="I303" s="131" t="s">
        <v>7027</v>
      </c>
      <c r="J303" s="129"/>
      <c r="K303" s="133"/>
      <c r="L303" s="131"/>
      <c r="M303" s="131"/>
      <c r="N303" s="131"/>
      <c r="O303" s="131"/>
      <c r="P303" s="129"/>
      <c r="Q303" s="131"/>
      <c r="R303" s="131"/>
      <c r="S303" s="131"/>
      <c r="T303" s="129"/>
    </row>
    <row r="304" ht="37.5" customHeight="1">
      <c r="A304" s="129"/>
      <c r="B304" s="130" t="str">
        <f>IFERROR(__xludf.DUMMYFUNCTION("""COMPUTED_VALUE"""),"After KOing an enemy: CRIT Boosted by 120% for 20 second(s).")</f>
        <v>After KOing an enemy: CRIT Boosted by 120% for 20 second(s).</v>
      </c>
      <c r="C304" s="130"/>
      <c r="D304" s="129"/>
      <c r="E304" s="131" t="s">
        <v>7039</v>
      </c>
      <c r="F304" s="131" t="s">
        <v>7027</v>
      </c>
      <c r="G304" s="131" t="s">
        <v>7086</v>
      </c>
      <c r="H304" s="131" t="s">
        <v>7107</v>
      </c>
      <c r="I304" s="131" t="s">
        <v>7084</v>
      </c>
      <c r="J304" s="129"/>
      <c r="K304" s="133"/>
      <c r="L304" s="131"/>
      <c r="M304" s="131"/>
      <c r="N304" s="131"/>
      <c r="O304" s="131"/>
      <c r="P304" s="129"/>
      <c r="Q304" s="131"/>
      <c r="R304" s="131"/>
      <c r="S304" s="131"/>
      <c r="T304" s="129"/>
    </row>
    <row r="305" ht="37.5" customHeight="1">
      <c r="A305" s="129"/>
      <c r="B305" s="130" t="str">
        <f>IFERROR(__xludf.DUMMYFUNCTION("""COMPUTED_VALUE"""),"After KOing an enemy: Reduce the cooldown time of Skill 1 by 8%.")</f>
        <v>After KOing an enemy: Reduce the cooldown time of Skill 1 by 8%.</v>
      </c>
      <c r="C305" s="130"/>
      <c r="D305" s="129"/>
      <c r="E305" s="131" t="s">
        <v>7039</v>
      </c>
      <c r="F305" s="131" t="s">
        <v>7027</v>
      </c>
      <c r="G305" s="131" t="s">
        <v>7058</v>
      </c>
      <c r="H305" s="131" t="s">
        <v>7032</v>
      </c>
      <c r="I305" s="131" t="s">
        <v>7027</v>
      </c>
      <c r="J305" s="129"/>
      <c r="K305" s="133"/>
      <c r="L305" s="131"/>
      <c r="M305" s="131"/>
      <c r="N305" s="131"/>
      <c r="O305" s="131"/>
      <c r="P305" s="129"/>
      <c r="Q305" s="131"/>
      <c r="R305" s="131"/>
      <c r="S305" s="131"/>
      <c r="T305" s="129"/>
    </row>
    <row r="306" ht="37.5" customHeight="1">
      <c r="A306" s="129"/>
      <c r="B306" s="130" t="str">
        <f>IFERROR(__xludf.DUMMYFUNCTION("""COMPUTED_VALUE"""),"When there are 60 seconds or less remaining: Boost the cooldown reduction speed of Skill 2 by 13%.")</f>
        <v>When there are 60 seconds or less remaining: Boost the cooldown reduction speed of Skill 2 by 13%.</v>
      </c>
      <c r="C306" s="130"/>
      <c r="D306" s="129"/>
      <c r="E306" s="131" t="s">
        <v>7091</v>
      </c>
      <c r="F306" s="131" t="s">
        <v>7027</v>
      </c>
      <c r="G306" s="131" t="s">
        <v>7042</v>
      </c>
      <c r="H306" s="131" t="s">
        <v>7029</v>
      </c>
      <c r="I306" s="131" t="s">
        <v>7027</v>
      </c>
      <c r="J306" s="129"/>
      <c r="K306" s="133"/>
      <c r="L306" s="131"/>
      <c r="M306" s="131"/>
      <c r="N306" s="131"/>
      <c r="O306" s="131"/>
      <c r="P306" s="129"/>
      <c r="Q306" s="131"/>
      <c r="R306" s="131"/>
      <c r="S306" s="131"/>
      <c r="T306" s="129"/>
    </row>
    <row r="307" ht="37.5" customHeight="1">
      <c r="A307" s="129"/>
      <c r="B307" s="130" t="str">
        <f>IFERROR(__xludf.DUMMYFUNCTION("""COMPUTED_VALUE"""),"When you capture the Treasure: Reduce the cooldown time of Skill 1 by 8%.")</f>
        <v>When you capture the Treasure: Reduce the cooldown time of Skill 1 by 8%.</v>
      </c>
      <c r="C307" s="130"/>
      <c r="D307" s="129"/>
      <c r="E307" s="131" t="s">
        <v>7048</v>
      </c>
      <c r="F307" s="131" t="s">
        <v>7027</v>
      </c>
      <c r="G307" s="131" t="s">
        <v>7058</v>
      </c>
      <c r="H307" s="131" t="s">
        <v>7032</v>
      </c>
      <c r="I307" s="131" t="s">
        <v>7027</v>
      </c>
      <c r="J307" s="129"/>
      <c r="K307" s="133"/>
      <c r="L307" s="131"/>
      <c r="M307" s="131"/>
      <c r="N307" s="131"/>
      <c r="O307" s="131"/>
      <c r="P307" s="129"/>
      <c r="Q307" s="131"/>
      <c r="R307" s="131"/>
      <c r="S307" s="131"/>
      <c r="T307" s="129"/>
    </row>
    <row r="308" ht="37.5" customHeight="1">
      <c r="A308" s="129"/>
      <c r="B308" s="130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C308" s="130"/>
      <c r="D308" s="129"/>
      <c r="E308" s="131" t="s">
        <v>7026</v>
      </c>
      <c r="F308" s="131" t="s">
        <v>7027</v>
      </c>
      <c r="G308" s="131" t="s">
        <v>7028</v>
      </c>
      <c r="H308" s="131" t="s">
        <v>7029</v>
      </c>
      <c r="I308" s="131" t="s">
        <v>7027</v>
      </c>
      <c r="J308" s="129"/>
      <c r="K308" s="133"/>
      <c r="L308" s="131"/>
      <c r="M308" s="131"/>
      <c r="N308" s="131"/>
      <c r="O308" s="131"/>
      <c r="P308" s="129"/>
      <c r="Q308" s="131"/>
      <c r="R308" s="131"/>
      <c r="S308" s="131"/>
      <c r="T308" s="129"/>
    </row>
    <row r="309" ht="37.5" customHeight="1">
      <c r="A309" s="129"/>
      <c r="B309" s="130" t="str">
        <f>IFERROR(__xludf.DUMMYFUNCTION("""COMPUTED_VALUE"""),"When your HP is 50% or less: CRIT Boosted by 90% for 20 second(s).")</f>
        <v>When your HP is 50% or less: CRIT Boosted by 90% for 20 second(s).</v>
      </c>
      <c r="C309" s="130"/>
      <c r="D309" s="129"/>
      <c r="E309" s="131" t="s">
        <v>7068</v>
      </c>
      <c r="F309" s="131" t="s">
        <v>7027</v>
      </c>
      <c r="G309" s="131" t="s">
        <v>7086</v>
      </c>
      <c r="H309" s="131" t="s">
        <v>7087</v>
      </c>
      <c r="I309" s="131" t="s">
        <v>7084</v>
      </c>
      <c r="J309" s="129"/>
      <c r="K309" s="133"/>
      <c r="L309" s="131"/>
      <c r="M309" s="131"/>
      <c r="N309" s="131"/>
      <c r="O309" s="131"/>
      <c r="P309" s="129"/>
      <c r="Q309" s="131"/>
      <c r="R309" s="131"/>
      <c r="S309" s="131"/>
      <c r="T309" s="129"/>
    </row>
    <row r="310" ht="37.5" customHeight="1">
      <c r="A310" s="129"/>
      <c r="B310" s="130" t="str">
        <f>IFERROR(__xludf.DUMMYFUNCTION("""COMPUTED_VALUE"""),"When your HP is 10% or less: Increase Treasure Gauge recovery amount.")</f>
        <v>When your HP is 10% or less: Increase Treasure Gauge recovery amount.</v>
      </c>
      <c r="C310" s="130"/>
      <c r="D310" s="129"/>
      <c r="E310" s="131" t="s">
        <v>7111</v>
      </c>
      <c r="F310" s="131" t="s">
        <v>7027</v>
      </c>
      <c r="G310" s="131" t="s">
        <v>7112</v>
      </c>
      <c r="H310" s="131" t="s">
        <v>7027</v>
      </c>
      <c r="I310" s="131" t="s">
        <v>7027</v>
      </c>
      <c r="J310" s="129"/>
      <c r="K310" s="133"/>
      <c r="L310" s="131"/>
      <c r="M310" s="131"/>
      <c r="N310" s="131"/>
      <c r="O310" s="131"/>
      <c r="P310" s="129"/>
      <c r="Q310" s="131"/>
      <c r="R310" s="131"/>
      <c r="S310" s="131"/>
      <c r="T310" s="129"/>
    </row>
    <row r="311" ht="37.5" customHeight="1">
      <c r="A311" s="129"/>
      <c r="B311" s="130" t="str">
        <f>IFERROR(__xludf.DUMMYFUNCTION("""COMPUTED_VALUE"""),"When attacking an enemy inflicted With Stun: Increase damage dealt by 3%.")</f>
        <v>When attacking an enemy inflicted With Stun: Increase damage dealt by 3%.</v>
      </c>
      <c r="C311" s="130"/>
      <c r="D311" s="129"/>
      <c r="E311" s="131" t="s">
        <v>7101</v>
      </c>
      <c r="F311" s="131" t="s">
        <v>7027</v>
      </c>
      <c r="G311" s="131" t="s">
        <v>7034</v>
      </c>
      <c r="H311" s="131" t="s">
        <v>7038</v>
      </c>
      <c r="I311" s="131" t="s">
        <v>7027</v>
      </c>
      <c r="J311" s="129"/>
      <c r="K311" s="133"/>
      <c r="L311" s="131"/>
      <c r="M311" s="131"/>
      <c r="N311" s="131"/>
      <c r="O311" s="131"/>
      <c r="P311" s="129"/>
      <c r="Q311" s="131"/>
      <c r="R311" s="131"/>
      <c r="S311" s="131"/>
      <c r="T311" s="129"/>
    </row>
    <row r="312" ht="37.5" customHeight="1">
      <c r="A312" s="129"/>
      <c r="B312" s="130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C312" s="130"/>
      <c r="D312" s="129"/>
      <c r="E312" s="131" t="s">
        <v>7072</v>
      </c>
      <c r="F312" s="131" t="s">
        <v>7027</v>
      </c>
      <c r="G312" s="131" t="s">
        <v>7031</v>
      </c>
      <c r="H312" s="131" t="s">
        <v>7032</v>
      </c>
      <c r="I312" s="131" t="s">
        <v>7027</v>
      </c>
      <c r="J312" s="129"/>
      <c r="K312" s="133"/>
      <c r="L312" s="131"/>
      <c r="M312" s="131"/>
      <c r="N312" s="131"/>
      <c r="O312" s="131"/>
      <c r="P312" s="129"/>
      <c r="Q312" s="131"/>
      <c r="R312" s="131"/>
      <c r="S312" s="131"/>
      <c r="T312" s="129"/>
    </row>
    <row r="313" ht="37.5" customHeight="1">
      <c r="A313" s="129"/>
      <c r="B313" s="130" t="str">
        <f>IFERROR(__xludf.DUMMYFUNCTION("""COMPUTED_VALUE"""),"When you capture the Treasure: Reduce the cooldown time of Skill 1 by 6%.")</f>
        <v>When you capture the Treasure: Reduce the cooldown time of Skill 1 by 6%.</v>
      </c>
      <c r="C313" s="130"/>
      <c r="D313" s="129"/>
      <c r="E313" s="131" t="s">
        <v>7048</v>
      </c>
      <c r="F313" s="131" t="s">
        <v>7027</v>
      </c>
      <c r="G313" s="131" t="s">
        <v>7058</v>
      </c>
      <c r="H313" s="131" t="s">
        <v>7066</v>
      </c>
      <c r="I313" s="131" t="s">
        <v>7027</v>
      </c>
      <c r="J313" s="129"/>
      <c r="K313" s="133"/>
      <c r="L313" s="131"/>
      <c r="M313" s="131"/>
      <c r="N313" s="131"/>
      <c r="O313" s="131"/>
      <c r="P313" s="129"/>
      <c r="Q313" s="131"/>
      <c r="R313" s="131"/>
      <c r="S313" s="131"/>
      <c r="T313" s="129"/>
    </row>
    <row r="314" ht="37.5" customHeight="1">
      <c r="A314" s="129"/>
      <c r="B314" s="130" t="str">
        <f>IFERROR(__xludf.DUMMYFUNCTION("""COMPUTED_VALUE"""),"When there are 60 seconds or less remaining: Boost the cooldown reduction speed of Skill 1 by 10%.")</f>
        <v>When there are 60 seconds or less remaining: Boost the cooldown reduction speed of Skill 1 by 10%.</v>
      </c>
      <c r="C314" s="130"/>
      <c r="D314" s="129"/>
      <c r="E314" s="131" t="s">
        <v>7091</v>
      </c>
      <c r="F314" s="131" t="s">
        <v>7027</v>
      </c>
      <c r="G314" s="131" t="s">
        <v>7046</v>
      </c>
      <c r="H314" s="131" t="s">
        <v>7093</v>
      </c>
      <c r="I314" s="131" t="s">
        <v>7027</v>
      </c>
      <c r="J314" s="129"/>
      <c r="K314" s="133"/>
      <c r="L314" s="131"/>
      <c r="M314" s="131"/>
      <c r="N314" s="131"/>
      <c r="O314" s="131"/>
      <c r="P314" s="129"/>
      <c r="Q314" s="131"/>
      <c r="R314" s="131"/>
      <c r="S314" s="131"/>
      <c r="T314" s="129"/>
    </row>
    <row r="315" ht="37.5" customHeight="1">
      <c r="A315" s="129"/>
      <c r="B315" s="130" t="str">
        <f>IFERROR(__xludf.DUMMYFUNCTION("""COMPUTED_VALUE"""),"When you capture the Treasure: SPD Boosted by 4% for 20 second(s).")</f>
        <v>When you capture the Treasure: SPD Boosted by 4% for 20 second(s).</v>
      </c>
      <c r="C315" s="130"/>
      <c r="D315" s="129"/>
      <c r="E315" s="131" t="s">
        <v>7048</v>
      </c>
      <c r="F315" s="131" t="s">
        <v>7027</v>
      </c>
      <c r="G315" s="131" t="s">
        <v>7083</v>
      </c>
      <c r="H315" s="131" t="s">
        <v>7051</v>
      </c>
      <c r="I315" s="131" t="s">
        <v>7084</v>
      </c>
      <c r="J315" s="129"/>
      <c r="K315" s="133"/>
      <c r="L315" s="131"/>
      <c r="M315" s="131"/>
      <c r="N315" s="131"/>
      <c r="O315" s="131"/>
      <c r="P315" s="129"/>
      <c r="Q315" s="131"/>
      <c r="R315" s="131"/>
      <c r="S315" s="131"/>
      <c r="T315" s="129"/>
    </row>
    <row r="316" ht="37.5" customHeight="1">
      <c r="A316" s="129"/>
      <c r="B316" s="130" t="str">
        <f>IFERROR(__xludf.DUMMYFUNCTION("""COMPUTED_VALUE"""),"After KOing an enemy: CRIT Boosted by 90% for 20 second(s).")</f>
        <v>After KOing an enemy: CRIT Boosted by 90% for 20 second(s).</v>
      </c>
      <c r="C316" s="130"/>
      <c r="D316" s="129"/>
      <c r="E316" s="131" t="s">
        <v>7039</v>
      </c>
      <c r="F316" s="131" t="s">
        <v>7027</v>
      </c>
      <c r="G316" s="131" t="s">
        <v>7086</v>
      </c>
      <c r="H316" s="131" t="s">
        <v>7087</v>
      </c>
      <c r="I316" s="131" t="s">
        <v>7084</v>
      </c>
      <c r="J316" s="129"/>
      <c r="K316" s="133"/>
      <c r="L316" s="131"/>
      <c r="M316" s="131"/>
      <c r="N316" s="131"/>
      <c r="O316" s="131"/>
      <c r="P316" s="129"/>
      <c r="Q316" s="131"/>
      <c r="R316" s="131"/>
      <c r="S316" s="131"/>
      <c r="T316" s="129"/>
    </row>
    <row r="317" ht="37.5" customHeight="1">
      <c r="A317" s="129"/>
      <c r="B317" s="130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C317" s="130"/>
      <c r="D317" s="129"/>
      <c r="E317" s="131" t="s">
        <v>7026</v>
      </c>
      <c r="F317" s="131" t="s">
        <v>7027</v>
      </c>
      <c r="G317" s="131" t="s">
        <v>7046</v>
      </c>
      <c r="H317" s="131" t="s">
        <v>7093</v>
      </c>
      <c r="I317" s="131" t="s">
        <v>7027</v>
      </c>
      <c r="J317" s="129"/>
      <c r="K317" s="133"/>
      <c r="L317" s="131"/>
      <c r="M317" s="131"/>
      <c r="N317" s="131"/>
      <c r="O317" s="131"/>
      <c r="P317" s="129"/>
      <c r="Q317" s="131"/>
      <c r="R317" s="131"/>
      <c r="S317" s="131"/>
      <c r="T317" s="129"/>
    </row>
    <row r="318" ht="37.5" customHeight="1">
      <c r="A318" s="129"/>
      <c r="B318" s="130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C318" s="130"/>
      <c r="D318" s="129"/>
      <c r="E318" s="131" t="s">
        <v>7068</v>
      </c>
      <c r="F318" s="131" t="s">
        <v>7027</v>
      </c>
      <c r="G318" s="131" t="s">
        <v>7046</v>
      </c>
      <c r="H318" s="131" t="s">
        <v>7093</v>
      </c>
      <c r="I318" s="131" t="s">
        <v>7027</v>
      </c>
      <c r="J318" s="129"/>
      <c r="K318" s="133"/>
      <c r="L318" s="131"/>
      <c r="M318" s="131"/>
      <c r="N318" s="131"/>
      <c r="O318" s="131"/>
      <c r="P318" s="129"/>
      <c r="Q318" s="131"/>
      <c r="R318" s="131"/>
      <c r="S318" s="131"/>
      <c r="T318" s="129"/>
    </row>
    <row r="319" ht="37.5" customHeight="1">
      <c r="A319" s="129"/>
      <c r="B319" s="130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C319" s="130"/>
      <c r="D319" s="129"/>
      <c r="E319" s="131" t="s">
        <v>7060</v>
      </c>
      <c r="F319" s="131" t="s">
        <v>7027</v>
      </c>
      <c r="G319" s="131" t="s">
        <v>7058</v>
      </c>
      <c r="H319" s="131" t="s">
        <v>7038</v>
      </c>
      <c r="I319" s="131" t="s">
        <v>7027</v>
      </c>
      <c r="J319" s="129"/>
      <c r="K319" s="133"/>
      <c r="L319" s="131"/>
      <c r="M319" s="131"/>
      <c r="N319" s="131"/>
      <c r="O319" s="131"/>
      <c r="P319" s="129"/>
      <c r="Q319" s="131"/>
      <c r="R319" s="131"/>
      <c r="S319" s="131"/>
      <c r="T319" s="129"/>
    </row>
    <row r="320" ht="37.5" customHeight="1">
      <c r="A320" s="129"/>
      <c r="B320" s="130" t="str">
        <f>IFERROR(__xludf.DUMMYFUNCTION("""COMPUTED_VALUE"""),"After KOing an enemy: Reduce the cooldown time of Skill 1 by 6%.")</f>
        <v>After KOing an enemy: Reduce the cooldown time of Skill 1 by 6%.</v>
      </c>
      <c r="C320" s="130"/>
      <c r="D320" s="129"/>
      <c r="E320" s="131" t="s">
        <v>7039</v>
      </c>
      <c r="F320" s="131" t="s">
        <v>7027</v>
      </c>
      <c r="G320" s="131" t="s">
        <v>7058</v>
      </c>
      <c r="H320" s="131" t="s">
        <v>7066</v>
      </c>
      <c r="I320" s="131" t="s">
        <v>7027</v>
      </c>
      <c r="J320" s="129"/>
      <c r="K320" s="133"/>
      <c r="L320" s="131"/>
      <c r="M320" s="131"/>
      <c r="N320" s="131"/>
      <c r="O320" s="131"/>
      <c r="P320" s="129"/>
      <c r="Q320" s="131"/>
      <c r="R320" s="131"/>
      <c r="S320" s="131"/>
      <c r="T320" s="129"/>
    </row>
    <row r="321" ht="37.5" customHeight="1">
      <c r="A321" s="129"/>
      <c r="B321" s="130" t="str">
        <f>IFERROR(__xludf.DUMMYFUNCTION("""COMPUTED_VALUE"""),"When there are 60 seconds or less remaining: CRIT Boosted by 90% for 20 second(s).")</f>
        <v>When there are 60 seconds or less remaining: CRIT Boosted by 90% for 20 second(s).</v>
      </c>
      <c r="C321" s="130"/>
      <c r="D321" s="129"/>
      <c r="E321" s="131" t="s">
        <v>7091</v>
      </c>
      <c r="F321" s="131" t="s">
        <v>7027</v>
      </c>
      <c r="G321" s="131" t="s">
        <v>7086</v>
      </c>
      <c r="H321" s="131" t="s">
        <v>7087</v>
      </c>
      <c r="I321" s="131" t="s">
        <v>7084</v>
      </c>
      <c r="J321" s="129"/>
      <c r="K321" s="133"/>
      <c r="L321" s="131"/>
      <c r="M321" s="131"/>
      <c r="N321" s="131"/>
      <c r="O321" s="131"/>
      <c r="P321" s="129"/>
      <c r="Q321" s="131"/>
      <c r="R321" s="131"/>
      <c r="S321" s="131"/>
      <c r="T321" s="129"/>
    </row>
    <row r="322" ht="37.5" customHeight="1">
      <c r="A322" s="129"/>
      <c r="B322" s="130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C322" s="130"/>
      <c r="D322" s="129"/>
      <c r="E322" s="131" t="s">
        <v>7070</v>
      </c>
      <c r="F322" s="131" t="s">
        <v>7027</v>
      </c>
      <c r="G322" s="131" t="s">
        <v>7046</v>
      </c>
      <c r="H322" s="131" t="s">
        <v>7093</v>
      </c>
      <c r="I322" s="131" t="s">
        <v>7027</v>
      </c>
      <c r="J322" s="129"/>
      <c r="K322" s="133"/>
      <c r="L322" s="131"/>
      <c r="M322" s="131"/>
      <c r="N322" s="131"/>
      <c r="O322" s="131"/>
      <c r="P322" s="129"/>
      <c r="Q322" s="131"/>
      <c r="R322" s="131"/>
      <c r="S322" s="131"/>
      <c r="T322" s="129"/>
    </row>
    <row r="323" ht="37.5" customHeight="1">
      <c r="A323" s="129"/>
      <c r="B323" s="130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C323" s="130"/>
      <c r="D323" s="129"/>
      <c r="E323" s="131" t="s">
        <v>7072</v>
      </c>
      <c r="F323" s="131" t="s">
        <v>7027</v>
      </c>
      <c r="G323" s="131" t="s">
        <v>7046</v>
      </c>
      <c r="H323" s="131" t="s">
        <v>7093</v>
      </c>
      <c r="I323" s="131" t="s">
        <v>7027</v>
      </c>
      <c r="J323" s="129"/>
      <c r="K323" s="133"/>
      <c r="L323" s="131"/>
      <c r="M323" s="131"/>
      <c r="N323" s="131"/>
      <c r="O323" s="131"/>
      <c r="P323" s="129"/>
      <c r="Q323" s="131"/>
      <c r="R323" s="131"/>
      <c r="S323" s="131"/>
      <c r="T323" s="129"/>
    </row>
    <row r="324" ht="37.5" customHeight="1">
      <c r="A324" s="129"/>
      <c r="B324" s="130" t="str">
        <f>IFERROR(__xludf.DUMMYFUNCTION("""COMPUTED_VALUE"""),"When your HP is 30% or less: Boost capture speed by 6%.")</f>
        <v>When your HP is 30% or less: Boost capture speed by 6%.</v>
      </c>
      <c r="C324" s="130"/>
      <c r="D324" s="129"/>
      <c r="E324" s="131" t="s">
        <v>7113</v>
      </c>
      <c r="F324" s="131" t="s">
        <v>7027</v>
      </c>
      <c r="G324" s="131" t="s">
        <v>7031</v>
      </c>
      <c r="H324" s="131" t="s">
        <v>7066</v>
      </c>
      <c r="I324" s="131" t="s">
        <v>7027</v>
      </c>
      <c r="J324" s="129"/>
      <c r="K324" s="133"/>
      <c r="L324" s="131"/>
      <c r="M324" s="131"/>
      <c r="N324" s="131"/>
      <c r="O324" s="131"/>
      <c r="P324" s="129"/>
      <c r="Q324" s="131"/>
      <c r="R324" s="131"/>
      <c r="S324" s="131"/>
      <c r="T324" s="129"/>
    </row>
    <row r="325" ht="37.5" customHeight="1">
      <c r="A325" s="129"/>
      <c r="B325" s="130" t="str">
        <f>IFERROR(__xludf.DUMMYFUNCTION("""COMPUTED_VALUE"""),"When your HP is 7% or less: Increase Treasure Gauge amount when you capture the Treasure.")</f>
        <v>When your HP is 7% or less: Increase Treasure Gauge amount when you capture the Treasure.</v>
      </c>
      <c r="C325" s="130"/>
      <c r="D325" s="129"/>
      <c r="E325" s="131" t="s">
        <v>7114</v>
      </c>
      <c r="F325" s="131" t="s">
        <v>7027</v>
      </c>
      <c r="G325" s="131" t="s">
        <v>7115</v>
      </c>
      <c r="H325" s="131" t="s">
        <v>7027</v>
      </c>
      <c r="I325" s="131" t="s">
        <v>7027</v>
      </c>
      <c r="J325" s="129"/>
      <c r="K325" s="133"/>
      <c r="L325" s="131"/>
      <c r="M325" s="131"/>
      <c r="N325" s="131"/>
      <c r="O325" s="131"/>
      <c r="P325" s="129"/>
      <c r="Q325" s="131"/>
      <c r="R325" s="131"/>
      <c r="S325" s="131"/>
      <c r="T325" s="129"/>
    </row>
    <row r="326" ht="37.5" customHeight="1">
      <c r="A326" s="129"/>
      <c r="B326" s="130" t="str">
        <f>IFERROR(__xludf.DUMMYFUNCTION("""COMPUTED_VALUE"""),"When your HP is 30% or less: SPD Boosted by 2% for 20 second(s).")</f>
        <v>When your HP is 30% or less: SPD Boosted by 2% for 20 second(s).</v>
      </c>
      <c r="C326" s="130"/>
      <c r="D326" s="129"/>
      <c r="E326" s="131" t="s">
        <v>7113</v>
      </c>
      <c r="F326" s="131" t="s">
        <v>7027</v>
      </c>
      <c r="G326" s="131" t="s">
        <v>7083</v>
      </c>
      <c r="H326" s="131" t="s">
        <v>7053</v>
      </c>
      <c r="I326" s="131" t="s">
        <v>7084</v>
      </c>
      <c r="J326" s="129"/>
      <c r="K326" s="133"/>
      <c r="L326" s="131"/>
      <c r="M326" s="131"/>
      <c r="N326" s="131"/>
      <c r="O326" s="131"/>
      <c r="P326" s="129"/>
      <c r="Q326" s="131"/>
      <c r="R326" s="131"/>
      <c r="S326" s="131"/>
      <c r="T326" s="129"/>
    </row>
    <row r="327" ht="37.5" customHeight="1">
      <c r="A327" s="129"/>
      <c r="B327" s="130" t="str">
        <f>IFERROR(__xludf.DUMMYFUNCTION("""COMPUTED_VALUE"""),"When your HP is 70% or more: Boost the cooldown reduction speed of Skill 1 by 7%.")</f>
        <v>When your HP is 70% or more: Boost the cooldown reduction speed of Skill 1 by 7%.</v>
      </c>
      <c r="C327" s="130"/>
      <c r="D327" s="129"/>
      <c r="E327" s="131" t="s">
        <v>7026</v>
      </c>
      <c r="F327" s="131" t="s">
        <v>7027</v>
      </c>
      <c r="G327" s="131" t="s">
        <v>7046</v>
      </c>
      <c r="H327" s="131" t="s">
        <v>7116</v>
      </c>
      <c r="I327" s="131" t="s">
        <v>7027</v>
      </c>
      <c r="J327" s="129"/>
      <c r="K327" s="133"/>
      <c r="L327" s="131"/>
      <c r="M327" s="131"/>
      <c r="N327" s="131"/>
      <c r="O327" s="131"/>
      <c r="P327" s="129"/>
      <c r="Q327" s="131"/>
      <c r="R327" s="131"/>
      <c r="S327" s="131"/>
      <c r="T327" s="129"/>
    </row>
    <row r="328" ht="37.5" customHeight="1">
      <c r="A328" s="129"/>
      <c r="B328" s="130" t="str">
        <f>IFERROR(__xludf.DUMMYFUNCTION("""COMPUTED_VALUE"""),"When your team has more Treasure secured: Boost capture speed by 6%.")</f>
        <v>When your team has more Treasure secured: Boost capture speed by 6%.</v>
      </c>
      <c r="C328" s="130"/>
      <c r="D328" s="129"/>
      <c r="E328" s="131" t="s">
        <v>7070</v>
      </c>
      <c r="F328" s="131" t="s">
        <v>7027</v>
      </c>
      <c r="G328" s="131" t="s">
        <v>7031</v>
      </c>
      <c r="H328" s="131" t="s">
        <v>7066</v>
      </c>
      <c r="I328" s="131" t="s">
        <v>7027</v>
      </c>
      <c r="J328" s="129"/>
      <c r="K328" s="133"/>
      <c r="L328" s="131"/>
      <c r="M328" s="131"/>
      <c r="N328" s="131"/>
      <c r="O328" s="131"/>
      <c r="P328" s="129"/>
      <c r="Q328" s="131"/>
      <c r="R328" s="131"/>
      <c r="S328" s="131"/>
      <c r="T328" s="129"/>
    </row>
    <row r="329" ht="37.5" customHeight="1">
      <c r="A329" s="129"/>
      <c r="B329" s="130" t="str">
        <f>IFERROR(__xludf.DUMMYFUNCTION("""COMPUTED_VALUE"""),"When there are 60 seconds or less remaining: CRIT Boosted by 40% for 20 second(s).")</f>
        <v>When there are 60 seconds or less remaining: CRIT Boosted by 40% for 20 second(s).</v>
      </c>
      <c r="C329" s="130"/>
      <c r="D329" s="129"/>
      <c r="E329" s="131" t="s">
        <v>7091</v>
      </c>
      <c r="F329" s="131" t="s">
        <v>7027</v>
      </c>
      <c r="G329" s="131" t="s">
        <v>7086</v>
      </c>
      <c r="H329" s="131" t="s">
        <v>7117</v>
      </c>
      <c r="I329" s="131" t="s">
        <v>7084</v>
      </c>
      <c r="J329" s="129"/>
      <c r="K329" s="133"/>
      <c r="L329" s="131"/>
      <c r="M329" s="131"/>
      <c r="N329" s="131"/>
      <c r="O329" s="131"/>
      <c r="P329" s="129"/>
      <c r="Q329" s="131"/>
      <c r="R329" s="131"/>
      <c r="S329" s="131"/>
      <c r="T329" s="129"/>
    </row>
    <row r="330" ht="37.5" customHeight="1">
      <c r="A330" s="129"/>
      <c r="B330" s="130" t="str">
        <f>IFERROR(__xludf.DUMMYFUNCTION("""COMPUTED_VALUE"""),"When you capture the Treasure: SPD Boosted by 2% for 20 second(s).")</f>
        <v>When you capture the Treasure: SPD Boosted by 2% for 20 second(s).</v>
      </c>
      <c r="C330" s="130"/>
      <c r="D330" s="129"/>
      <c r="E330" s="131" t="s">
        <v>7048</v>
      </c>
      <c r="F330" s="131" t="s">
        <v>7027</v>
      </c>
      <c r="G330" s="131" t="s">
        <v>7083</v>
      </c>
      <c r="H330" s="131" t="s">
        <v>7053</v>
      </c>
      <c r="I330" s="131" t="s">
        <v>7084</v>
      </c>
      <c r="J330" s="129"/>
      <c r="K330" s="133"/>
      <c r="L330" s="131"/>
      <c r="M330" s="131"/>
      <c r="N330" s="131"/>
      <c r="O330" s="131"/>
      <c r="P330" s="129"/>
      <c r="Q330" s="131"/>
      <c r="R330" s="131"/>
      <c r="S330" s="131"/>
      <c r="T330" s="129"/>
    </row>
    <row r="331" ht="37.5" customHeight="1">
      <c r="A331" s="129"/>
      <c r="B331" s="130" t="str">
        <f>IFERROR(__xludf.DUMMYFUNCTION("""COMPUTED_VALUE"""),"When your HP is 7% or less: Increase Treasure Gauge recovery amount.")</f>
        <v>When your HP is 7% or less: Increase Treasure Gauge recovery amount.</v>
      </c>
      <c r="C331" s="130"/>
      <c r="D331" s="129"/>
      <c r="E331" s="131" t="s">
        <v>7114</v>
      </c>
      <c r="F331" s="131" t="s">
        <v>7027</v>
      </c>
      <c r="G331" s="131" t="s">
        <v>7112</v>
      </c>
      <c r="H331" s="131" t="s">
        <v>7027</v>
      </c>
      <c r="I331" s="131" t="s">
        <v>7027</v>
      </c>
      <c r="J331" s="129"/>
      <c r="K331" s="133"/>
      <c r="L331" s="131"/>
      <c r="M331" s="131"/>
      <c r="N331" s="131"/>
      <c r="O331" s="131"/>
      <c r="P331" s="129"/>
      <c r="Q331" s="131"/>
      <c r="R331" s="131"/>
      <c r="S331" s="131"/>
      <c r="T331" s="129"/>
    </row>
    <row r="332" ht="37.5" customHeight="1">
      <c r="A332" s="129"/>
      <c r="B332" s="130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C332" s="130"/>
      <c r="D332" s="129"/>
      <c r="E332" s="131" t="s">
        <v>7072</v>
      </c>
      <c r="F332" s="131" t="s">
        <v>7027</v>
      </c>
      <c r="G332" s="131" t="s">
        <v>7031</v>
      </c>
      <c r="H332" s="131" t="s">
        <v>7066</v>
      </c>
      <c r="I332" s="131" t="s">
        <v>7027</v>
      </c>
      <c r="J332" s="129"/>
      <c r="K332" s="133"/>
      <c r="L332" s="131"/>
      <c r="M332" s="131"/>
      <c r="N332" s="131"/>
      <c r="O332" s="131"/>
      <c r="P332" s="129"/>
      <c r="Q332" s="131"/>
      <c r="R332" s="131"/>
      <c r="S332" s="131"/>
      <c r="T332" s="129"/>
    </row>
    <row r="333" ht="37.5" customHeight="1">
      <c r="A333" s="129"/>
      <c r="B333" s="130" t="str">
        <f>IFERROR(__xludf.DUMMYFUNCTION("""COMPUTED_VALUE"""),"When Respawned: SPD Boosted by 2% for 20 second(s).")</f>
        <v>When Respawned: SPD Boosted by 2% for 20 second(s).</v>
      </c>
      <c r="C333" s="130"/>
      <c r="D333" s="129"/>
      <c r="E333" s="131" t="s">
        <v>7085</v>
      </c>
      <c r="F333" s="131" t="s">
        <v>7027</v>
      </c>
      <c r="G333" s="131" t="s">
        <v>7083</v>
      </c>
      <c r="H333" s="131" t="s">
        <v>7053</v>
      </c>
      <c r="I333" s="131" t="s">
        <v>7084</v>
      </c>
      <c r="J333" s="129"/>
      <c r="K333" s="133"/>
      <c r="L333" s="131"/>
      <c r="M333" s="131"/>
      <c r="N333" s="131"/>
      <c r="O333" s="131"/>
      <c r="P333" s="129"/>
      <c r="Q333" s="131"/>
      <c r="R333" s="131"/>
      <c r="S333" s="131"/>
      <c r="T333" s="129"/>
    </row>
    <row r="334" ht="37.5" customHeight="1">
      <c r="A334" s="129"/>
      <c r="B334" s="130" t="str">
        <f>IFERROR(__xludf.DUMMYFUNCTION("""COMPUTED_VALUE"""),"When attacking an enemy inflicted With Stun: Increase damage dealt by 2%.")</f>
        <v>When attacking an enemy inflicted With Stun: Increase damage dealt by 2%.</v>
      </c>
      <c r="C334" s="130"/>
      <c r="D334" s="129"/>
      <c r="E334" s="131" t="s">
        <v>7101</v>
      </c>
      <c r="F334" s="131" t="s">
        <v>7027</v>
      </c>
      <c r="G334" s="131" t="s">
        <v>7034</v>
      </c>
      <c r="H334" s="131" t="s">
        <v>7053</v>
      </c>
      <c r="I334" s="131" t="s">
        <v>7027</v>
      </c>
      <c r="J334" s="129"/>
      <c r="K334" s="133"/>
      <c r="L334" s="131"/>
      <c r="M334" s="131"/>
      <c r="N334" s="131"/>
      <c r="O334" s="131"/>
      <c r="P334" s="129"/>
      <c r="Q334" s="131"/>
      <c r="R334" s="131"/>
      <c r="S334" s="131"/>
      <c r="T334" s="129"/>
    </row>
    <row r="335" ht="37.5" customHeight="1">
      <c r="A335" s="129"/>
      <c r="B335" s="130" t="str">
        <f>IFERROR(__xludf.DUMMYFUNCTION("""COMPUTED_VALUE"""),"When an ally is KO`d (not including you): Reduce the cooldown time of Skill 1 by 2%.")</f>
        <v>When an ally is KO`d (not including you): Reduce the cooldown time of Skill 1 by 2%.</v>
      </c>
      <c r="C335" s="130"/>
      <c r="D335" s="129"/>
      <c r="E335" s="131" t="s">
        <v>7060</v>
      </c>
      <c r="F335" s="131" t="s">
        <v>7027</v>
      </c>
      <c r="G335" s="131" t="s">
        <v>7058</v>
      </c>
      <c r="H335" s="131" t="s">
        <v>7053</v>
      </c>
      <c r="I335" s="131" t="s">
        <v>7027</v>
      </c>
      <c r="J335" s="129"/>
      <c r="K335" s="133"/>
      <c r="L335" s="131"/>
      <c r="M335" s="131"/>
      <c r="N335" s="131"/>
      <c r="O335" s="131"/>
      <c r="P335" s="129"/>
      <c r="Q335" s="131"/>
      <c r="R335" s="131"/>
      <c r="S335" s="131"/>
      <c r="T335" s="129"/>
    </row>
    <row r="336" ht="37.5" customHeight="1">
      <c r="A336" s="129"/>
      <c r="B336" s="130" t="str">
        <f>IFERROR(__xludf.DUMMYFUNCTION("""COMPUTED_VALUE"""),"After KOing an enemy: SPD Boosted by 2% for 20 second(s).")</f>
        <v>After KOing an enemy: SPD Boosted by 2% for 20 second(s).</v>
      </c>
      <c r="C336" s="130"/>
      <c r="D336" s="129"/>
      <c r="E336" s="131" t="s">
        <v>7039</v>
      </c>
      <c r="F336" s="131" t="s">
        <v>7027</v>
      </c>
      <c r="G336" s="131" t="s">
        <v>7083</v>
      </c>
      <c r="H336" s="131" t="s">
        <v>7053</v>
      </c>
      <c r="I336" s="131" t="s">
        <v>7084</v>
      </c>
      <c r="J336" s="129"/>
      <c r="K336" s="133"/>
      <c r="L336" s="131"/>
      <c r="M336" s="131"/>
      <c r="N336" s="131"/>
      <c r="O336" s="131"/>
      <c r="P336" s="129"/>
      <c r="Q336" s="131"/>
      <c r="R336" s="131"/>
      <c r="S336" s="131"/>
      <c r="T336" s="129"/>
    </row>
    <row r="337" ht="37.5" customHeight="1">
      <c r="A337" s="129"/>
      <c r="B337" s="130" t="str">
        <f>IFERROR(__xludf.DUMMYFUNCTION("""COMPUTED_VALUE"""),"When your team has less Treasure secured: Boost the cooldown reduction speed of Skill 1 by 7%.")</f>
        <v>When your team has less Treasure secured: Boost the cooldown reduction speed of Skill 1 by 7%.</v>
      </c>
      <c r="C337" s="130"/>
      <c r="D337" s="129"/>
      <c r="E337" s="131" t="s">
        <v>7076</v>
      </c>
      <c r="F337" s="131" t="s">
        <v>7027</v>
      </c>
      <c r="G337" s="131" t="s">
        <v>7046</v>
      </c>
      <c r="H337" s="131" t="s">
        <v>7116</v>
      </c>
      <c r="I337" s="131" t="s">
        <v>7027</v>
      </c>
      <c r="J337" s="129"/>
      <c r="K337" s="133"/>
      <c r="L337" s="131"/>
      <c r="M337" s="131"/>
      <c r="N337" s="131"/>
      <c r="O337" s="131"/>
      <c r="P337" s="129"/>
      <c r="Q337" s="131"/>
      <c r="R337" s="131"/>
      <c r="S337" s="131"/>
      <c r="T337" s="129"/>
    </row>
    <row r="338" ht="37.5" customHeight="1">
      <c r="A338" s="129"/>
      <c r="B338" s="130" t="str">
        <f>IFERROR(__xludf.DUMMYFUNCTION("""COMPUTED_VALUE"""),"After KOing an enemy: Reduce the cooldown time of Skill 1 by 4%.")</f>
        <v>After KOing an enemy: Reduce the cooldown time of Skill 1 by 4%.</v>
      </c>
      <c r="C338" s="130"/>
      <c r="D338" s="129"/>
      <c r="E338" s="131" t="s">
        <v>7039</v>
      </c>
      <c r="F338" s="131" t="s">
        <v>7027</v>
      </c>
      <c r="G338" s="131" t="s">
        <v>7058</v>
      </c>
      <c r="H338" s="131" t="s">
        <v>7051</v>
      </c>
      <c r="I338" s="131" t="s">
        <v>7027</v>
      </c>
      <c r="J338" s="129"/>
      <c r="K338" s="133"/>
      <c r="L338" s="131"/>
      <c r="M338" s="131"/>
      <c r="N338" s="131"/>
      <c r="O338" s="131"/>
      <c r="P338" s="129"/>
      <c r="Q338" s="131"/>
      <c r="R338" s="131"/>
      <c r="S338" s="131"/>
      <c r="T338" s="129"/>
    </row>
    <row r="339" ht="37.5" customHeight="1">
      <c r="A339" s="129"/>
      <c r="B339" s="130" t="str">
        <f>IFERROR(__xludf.DUMMYFUNCTION("""COMPUTED_VALUE"""),"When there are 60 seconds or less remaining: Boost capture speed by 6%.")</f>
        <v>When there are 60 seconds or less remaining: Boost capture speed by 6%.</v>
      </c>
      <c r="C339" s="130"/>
      <c r="D339" s="129"/>
      <c r="E339" s="131" t="s">
        <v>7091</v>
      </c>
      <c r="F339" s="131" t="s">
        <v>7027</v>
      </c>
      <c r="G339" s="131" t="s">
        <v>7031</v>
      </c>
      <c r="H339" s="131" t="s">
        <v>7066</v>
      </c>
      <c r="I339" s="131" t="s">
        <v>7027</v>
      </c>
      <c r="J339" s="129"/>
      <c r="K339" s="133"/>
      <c r="L339" s="131"/>
      <c r="M339" s="131"/>
      <c r="N339" s="131"/>
      <c r="O339" s="131"/>
      <c r="P339" s="129"/>
      <c r="Q339" s="131"/>
      <c r="R339" s="131"/>
      <c r="S339" s="131"/>
      <c r="T339" s="129"/>
    </row>
    <row r="340" ht="37.5" customHeight="1">
      <c r="A340" s="129"/>
      <c r="B340" s="130" t="str">
        <f>IFERROR(__xludf.DUMMYFUNCTION("""COMPUTED_VALUE"""),"When you capture the Treasure: Reduce the cooldown time of Skill 1 by 4%.")</f>
        <v>When you capture the Treasure: Reduce the cooldown time of Skill 1 by 4%.</v>
      </c>
      <c r="C340" s="130"/>
      <c r="D340" s="129"/>
      <c r="E340" s="131" t="s">
        <v>7048</v>
      </c>
      <c r="F340" s="131" t="s">
        <v>7027</v>
      </c>
      <c r="G340" s="131" t="s">
        <v>7058</v>
      </c>
      <c r="H340" s="131" t="s">
        <v>7051</v>
      </c>
      <c r="I340" s="131" t="s">
        <v>7027</v>
      </c>
      <c r="J340" s="129"/>
      <c r="K340" s="133"/>
      <c r="L340" s="131"/>
      <c r="M340" s="131"/>
      <c r="N340" s="131"/>
      <c r="O340" s="131"/>
      <c r="P340" s="129"/>
      <c r="Q340" s="131"/>
      <c r="R340" s="131"/>
      <c r="S340" s="131"/>
      <c r="T340" s="129"/>
    </row>
    <row r="341" ht="37.5" customHeight="1">
      <c r="A341" s="129"/>
      <c r="B341" s="130" t="str">
        <f>IFERROR(__xludf.DUMMYFUNCTION("""COMPUTED_VALUE"""),"When your HP is 30% or less: CRIT Boosted by 40% for 20 second(s).")</f>
        <v>When your HP is 30% or less: CRIT Boosted by 40% for 20 second(s).</v>
      </c>
      <c r="C341" s="130"/>
      <c r="D341" s="129"/>
      <c r="E341" s="131" t="s">
        <v>7113</v>
      </c>
      <c r="F341" s="131" t="s">
        <v>7027</v>
      </c>
      <c r="G341" s="131" t="s">
        <v>7086</v>
      </c>
      <c r="H341" s="131" t="s">
        <v>7117</v>
      </c>
      <c r="I341" s="131" t="s">
        <v>7084</v>
      </c>
      <c r="J341" s="129"/>
      <c r="K341" s="133"/>
      <c r="L341" s="131"/>
      <c r="M341" s="131"/>
      <c r="N341" s="131"/>
      <c r="O341" s="131"/>
      <c r="P341" s="129"/>
      <c r="Q341" s="131"/>
      <c r="R341" s="131"/>
      <c r="S341" s="131"/>
      <c r="T341" s="129"/>
    </row>
    <row r="342" ht="37.5" customHeight="1">
      <c r="A342" s="129"/>
      <c r="B342" s="130" t="str">
        <f>IFERROR(__xludf.DUMMYFUNCTION("""COMPUTED_VALUE"""),"After KOing an enemy: CRIT Boosted by 40% for 20 second(s).")</f>
        <v>After KOing an enemy: CRIT Boosted by 40% for 20 second(s).</v>
      </c>
      <c r="C342" s="130"/>
      <c r="D342" s="129"/>
      <c r="E342" s="131" t="s">
        <v>7039</v>
      </c>
      <c r="F342" s="131" t="s">
        <v>7027</v>
      </c>
      <c r="G342" s="131" t="s">
        <v>7086</v>
      </c>
      <c r="H342" s="131" t="s">
        <v>7117</v>
      </c>
      <c r="I342" s="131" t="s">
        <v>7084</v>
      </c>
      <c r="J342" s="129"/>
      <c r="K342" s="133"/>
      <c r="L342" s="131"/>
      <c r="M342" s="131"/>
      <c r="N342" s="131"/>
      <c r="O342" s="131"/>
      <c r="P342" s="129"/>
      <c r="Q342" s="131"/>
      <c r="R342" s="131"/>
      <c r="S342" s="131"/>
      <c r="T342" s="129"/>
    </row>
    <row r="343" ht="37.5" customHeight="1">
      <c r="A343" s="129"/>
      <c r="B343" s="130" t="str">
        <f>IFERROR(__xludf.DUMMYFUNCTION("""COMPUTED_VALUE"""),"When using Skill 2: Reduce the cooldown time of Skill 1 by 5%.")</f>
        <v>When using Skill 2: Reduce the cooldown time of Skill 1 by 5%.</v>
      </c>
      <c r="C343" s="130"/>
      <c r="D343" s="129"/>
      <c r="E343" s="131" t="s">
        <v>7062</v>
      </c>
      <c r="F343" s="131" t="s">
        <v>7027</v>
      </c>
      <c r="G343" s="131" t="s">
        <v>7058</v>
      </c>
      <c r="H343" s="131" t="s">
        <v>7035</v>
      </c>
      <c r="I343" s="131" t="s">
        <v>7027</v>
      </c>
      <c r="J343" s="129"/>
      <c r="K343" s="133"/>
      <c r="L343" s="131"/>
      <c r="M343" s="131"/>
      <c r="N343" s="131"/>
      <c r="O343" s="131"/>
      <c r="P343" s="129"/>
      <c r="Q343" s="131"/>
      <c r="R343" s="131"/>
      <c r="S343" s="131"/>
      <c r="T343" s="129"/>
    </row>
    <row r="344" ht="37.5" customHeight="1">
      <c r="A344" s="129"/>
      <c r="B344" s="130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C344" s="130"/>
      <c r="D344" s="129"/>
      <c r="E344" s="131" t="s">
        <v>7047</v>
      </c>
      <c r="F344" s="131" t="s">
        <v>7027</v>
      </c>
      <c r="G344" s="131" t="s">
        <v>7034</v>
      </c>
      <c r="H344" s="131" t="s">
        <v>7035</v>
      </c>
      <c r="I344" s="131" t="s">
        <v>7027</v>
      </c>
      <c r="J344" s="129"/>
      <c r="K344" s="133"/>
      <c r="L344" s="131"/>
      <c r="M344" s="131"/>
      <c r="N344" s="131"/>
      <c r="O344" s="131"/>
      <c r="P344" s="129"/>
      <c r="Q344" s="131"/>
      <c r="R344" s="131"/>
      <c r="S344" s="131"/>
      <c r="T344" s="129"/>
    </row>
    <row r="345" ht="37.5" customHeight="1">
      <c r="A345" s="129"/>
      <c r="B345" s="130" t="str">
        <f>IFERROR(__xludf.DUMMYFUNCTION("""COMPUTED_VALUE"""),"When attacking an enemy whose ATK are boosted: Increase damage dealt by 3%.")</f>
        <v>When attacking an enemy whose ATK are boosted: Increase damage dealt by 3%.</v>
      </c>
      <c r="C345" s="130"/>
      <c r="D345" s="129"/>
      <c r="E345" s="131" t="s">
        <v>7118</v>
      </c>
      <c r="F345" s="131" t="s">
        <v>7027</v>
      </c>
      <c r="G345" s="131" t="s">
        <v>7034</v>
      </c>
      <c r="H345" s="131" t="s">
        <v>7038</v>
      </c>
      <c r="I345" s="131" t="s">
        <v>7027</v>
      </c>
      <c r="J345" s="129"/>
      <c r="K345" s="133"/>
      <c r="L345" s="131"/>
      <c r="M345" s="131"/>
      <c r="N345" s="131"/>
      <c r="O345" s="131"/>
      <c r="P345" s="129"/>
      <c r="Q345" s="131"/>
      <c r="R345" s="131"/>
      <c r="S345" s="131"/>
      <c r="T345" s="129"/>
    </row>
    <row r="346" ht="37.5" customHeight="1">
      <c r="A346" s="129"/>
      <c r="B346" s="130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C346" s="130"/>
      <c r="D346" s="129"/>
      <c r="E346" s="131" t="s">
        <v>7060</v>
      </c>
      <c r="F346" s="131" t="s">
        <v>7027</v>
      </c>
      <c r="G346" s="131" t="s">
        <v>7050</v>
      </c>
      <c r="H346" s="131" t="s">
        <v>7066</v>
      </c>
      <c r="I346" s="131" t="s">
        <v>7027</v>
      </c>
      <c r="J346" s="129"/>
      <c r="K346" s="133"/>
      <c r="L346" s="131"/>
      <c r="M346" s="131"/>
      <c r="N346" s="131"/>
      <c r="O346" s="131"/>
      <c r="P346" s="129"/>
      <c r="Q346" s="131"/>
      <c r="R346" s="131"/>
      <c r="S346" s="131"/>
      <c r="T346" s="129"/>
    </row>
    <row r="347" ht="37.5" customHeight="1">
      <c r="A347" s="129"/>
      <c r="B347" s="130" t="str">
        <f>IFERROR(__xludf.DUMMYFUNCTION("""COMPUTED_VALUE"""),"When Critical occurs: Reduce the cooldown time of Skill 2 by 2%.")</f>
        <v>When Critical occurs: Reduce the cooldown time of Skill 2 by 2%.</v>
      </c>
      <c r="C347" s="130"/>
      <c r="D347" s="129"/>
      <c r="E347" s="131" t="s">
        <v>7052</v>
      </c>
      <c r="F347" s="131" t="s">
        <v>7027</v>
      </c>
      <c r="G347" s="131" t="s">
        <v>7050</v>
      </c>
      <c r="H347" s="131" t="s">
        <v>7053</v>
      </c>
      <c r="I347" s="131" t="s">
        <v>7027</v>
      </c>
      <c r="J347" s="129"/>
      <c r="K347" s="133"/>
      <c r="L347" s="131"/>
      <c r="M347" s="131"/>
      <c r="N347" s="131"/>
      <c r="O347" s="131"/>
      <c r="P347" s="129"/>
      <c r="Q347" s="131"/>
      <c r="R347" s="131"/>
      <c r="S347" s="131"/>
      <c r="T347" s="129"/>
    </row>
    <row r="348" ht="37.5" customHeight="1">
      <c r="A348" s="129"/>
      <c r="B348" s="130" t="str">
        <f>IFERROR(__xludf.DUMMYFUNCTION("""COMPUTED_VALUE"""),"When you capture the Treasure: Reduce the cooldown time of Skill 2 by 8%.")</f>
        <v>When you capture the Treasure: Reduce the cooldown time of Skill 2 by 8%.</v>
      </c>
      <c r="C348" s="130"/>
      <c r="D348" s="129"/>
      <c r="E348" s="131" t="s">
        <v>7048</v>
      </c>
      <c r="F348" s="131" t="s">
        <v>7027</v>
      </c>
      <c r="G348" s="131" t="s">
        <v>7050</v>
      </c>
      <c r="H348" s="131" t="s">
        <v>7032</v>
      </c>
      <c r="I348" s="131" t="s">
        <v>7027</v>
      </c>
      <c r="J348" s="129"/>
      <c r="K348" s="133"/>
      <c r="L348" s="131"/>
      <c r="M348" s="131"/>
      <c r="N348" s="131"/>
      <c r="O348" s="131"/>
      <c r="P348" s="129"/>
      <c r="Q348" s="131"/>
      <c r="R348" s="131"/>
      <c r="S348" s="131"/>
      <c r="T348" s="129"/>
    </row>
    <row r="349" ht="37.5" customHeight="1">
      <c r="A349" s="129"/>
      <c r="B349" s="130" t="str">
        <f>IFERROR(__xludf.DUMMYFUNCTION("""COMPUTED_VALUE"""),"When you or an ally captures Treasure: Recover HP by 3%.")</f>
        <v>When you or an ally captures Treasure: Recover HP by 3%.</v>
      </c>
      <c r="C349" s="130"/>
      <c r="D349" s="129"/>
      <c r="E349" s="131" t="s">
        <v>7119</v>
      </c>
      <c r="F349" s="131" t="s">
        <v>7027</v>
      </c>
      <c r="G349" s="131" t="s">
        <v>7040</v>
      </c>
      <c r="H349" s="131" t="s">
        <v>7038</v>
      </c>
      <c r="I349" s="131" t="s">
        <v>7027</v>
      </c>
      <c r="J349" s="129"/>
      <c r="K349" s="133"/>
      <c r="L349" s="131"/>
      <c r="M349" s="131"/>
      <c r="N349" s="131"/>
      <c r="O349" s="131"/>
      <c r="P349" s="129"/>
      <c r="Q349" s="131"/>
      <c r="R349" s="131"/>
      <c r="S349" s="131"/>
      <c r="T349" s="129"/>
    </row>
    <row r="350" ht="37.5" customHeight="1">
      <c r="A350" s="129"/>
      <c r="B350" s="130" t="str">
        <f>IFERROR(__xludf.DUMMYFUNCTION("""COMPUTED_VALUE"""),"When you Down an enemy: Reduce the cooldown time of Skill 2 by 4%.")</f>
        <v>When you Down an enemy: Reduce the cooldown time of Skill 2 by 4%.</v>
      </c>
      <c r="C350" s="130"/>
      <c r="D350" s="129"/>
      <c r="E350" s="131" t="s">
        <v>7120</v>
      </c>
      <c r="F350" s="131" t="s">
        <v>7027</v>
      </c>
      <c r="G350" s="131" t="s">
        <v>7050</v>
      </c>
      <c r="H350" s="131" t="s">
        <v>7051</v>
      </c>
      <c r="I350" s="131" t="s">
        <v>7027</v>
      </c>
      <c r="J350" s="129"/>
      <c r="K350" s="133"/>
      <c r="L350" s="131"/>
      <c r="M350" s="131"/>
      <c r="N350" s="131"/>
      <c r="O350" s="131"/>
      <c r="P350" s="129"/>
      <c r="Q350" s="131"/>
      <c r="R350" s="131"/>
      <c r="S350" s="131"/>
      <c r="T350" s="129"/>
    </row>
    <row r="351" ht="37.5" customHeight="1">
      <c r="A351" s="129"/>
      <c r="B351" s="130" t="str">
        <f>IFERROR(__xludf.DUMMYFUNCTION("""COMPUTED_VALUE"""),"When Critical occurs: Recover HP by 2%.")</f>
        <v>When Critical occurs: Recover HP by 2%.</v>
      </c>
      <c r="C351" s="130"/>
      <c r="D351" s="129"/>
      <c r="E351" s="131" t="s">
        <v>7052</v>
      </c>
      <c r="F351" s="131" t="s">
        <v>7027</v>
      </c>
      <c r="G351" s="131" t="s">
        <v>7040</v>
      </c>
      <c r="H351" s="131" t="s">
        <v>7053</v>
      </c>
      <c r="I351" s="131" t="s">
        <v>7027</v>
      </c>
      <c r="J351" s="129"/>
      <c r="K351" s="133"/>
      <c r="L351" s="131"/>
      <c r="M351" s="131"/>
      <c r="N351" s="131"/>
      <c r="O351" s="131"/>
      <c r="P351" s="129"/>
      <c r="Q351" s="131"/>
      <c r="R351" s="131"/>
      <c r="S351" s="131"/>
      <c r="T351" s="129"/>
    </row>
    <row r="352" ht="37.5" customHeight="1">
      <c r="A352" s="129"/>
      <c r="B352" s="130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C352" s="130"/>
      <c r="D352" s="129"/>
      <c r="E352" s="131" t="s">
        <v>7121</v>
      </c>
      <c r="F352" s="131" t="s">
        <v>7027</v>
      </c>
      <c r="G352" s="131" t="s">
        <v>7037</v>
      </c>
      <c r="H352" s="131" t="s">
        <v>7038</v>
      </c>
      <c r="I352" s="131" t="s">
        <v>7027</v>
      </c>
      <c r="J352" s="129"/>
      <c r="K352" s="133"/>
      <c r="L352" s="131"/>
      <c r="M352" s="131"/>
      <c r="N352" s="131"/>
      <c r="O352" s="131"/>
      <c r="P352" s="129"/>
      <c r="Q352" s="131"/>
      <c r="R352" s="131"/>
      <c r="S352" s="131"/>
      <c r="T352" s="129"/>
    </row>
    <row r="353" ht="37.5" customHeight="1">
      <c r="A353" s="129"/>
      <c r="B353" s="130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C353" s="130"/>
      <c r="D353" s="129"/>
      <c r="E353" s="131" t="s">
        <v>7059</v>
      </c>
      <c r="F353" s="131" t="s">
        <v>7027</v>
      </c>
      <c r="G353" s="131" t="s">
        <v>7050</v>
      </c>
      <c r="H353" s="131" t="s">
        <v>7053</v>
      </c>
      <c r="I353" s="131" t="s">
        <v>7027</v>
      </c>
      <c r="J353" s="129"/>
      <c r="K353" s="133"/>
      <c r="L353" s="131"/>
      <c r="M353" s="131"/>
      <c r="N353" s="131"/>
      <c r="O353" s="131"/>
      <c r="P353" s="129"/>
      <c r="Q353" s="131"/>
      <c r="R353" s="131"/>
      <c r="S353" s="131"/>
      <c r="T353" s="129"/>
    </row>
    <row r="354" ht="37.5" customHeight="1">
      <c r="A354" s="129"/>
      <c r="B354" s="130" t="str">
        <f>IFERROR(__xludf.DUMMYFUNCTION("""COMPUTED_VALUE"""),"When you Knockback an enemy: Recover HP by 3%.")</f>
        <v>When you Knockback an enemy: Recover HP by 3%.</v>
      </c>
      <c r="C354" s="130"/>
      <c r="D354" s="129"/>
      <c r="E354" s="131" t="s">
        <v>7056</v>
      </c>
      <c r="F354" s="131" t="s">
        <v>7027</v>
      </c>
      <c r="G354" s="131" t="s">
        <v>7040</v>
      </c>
      <c r="H354" s="131" t="s">
        <v>7038</v>
      </c>
      <c r="I354" s="131" t="s">
        <v>7027</v>
      </c>
      <c r="J354" s="129"/>
      <c r="K354" s="133"/>
      <c r="L354" s="131"/>
      <c r="M354" s="131"/>
      <c r="N354" s="131"/>
      <c r="O354" s="131"/>
      <c r="P354" s="129"/>
      <c r="Q354" s="131"/>
      <c r="R354" s="131"/>
      <c r="S354" s="131"/>
      <c r="T354" s="129"/>
    </row>
    <row r="355" ht="37.5" customHeight="1">
      <c r="A355" s="129"/>
      <c r="B355" s="130" t="str">
        <f>IFERROR(__xludf.DUMMYFUNCTION("""COMPUTED_VALUE"""),"When attacking an enemy in the area around your enemy`s Treasure: Increase damage dealt by 3%.")</f>
        <v>When attacking an enemy in the area around your enemy`s Treasure: Increase damage dealt by 3%.</v>
      </c>
      <c r="C355" s="130"/>
      <c r="D355" s="129"/>
      <c r="E355" s="131" t="s">
        <v>7064</v>
      </c>
      <c r="F355" s="131" t="s">
        <v>7027</v>
      </c>
      <c r="G355" s="131" t="s">
        <v>7034</v>
      </c>
      <c r="H355" s="131" t="s">
        <v>7038</v>
      </c>
      <c r="I355" s="131" t="s">
        <v>7027</v>
      </c>
      <c r="J355" s="129"/>
      <c r="K355" s="133"/>
      <c r="L355" s="131"/>
      <c r="M355" s="131"/>
      <c r="N355" s="131"/>
      <c r="O355" s="131"/>
      <c r="P355" s="129"/>
      <c r="Q355" s="131"/>
      <c r="R355" s="131"/>
      <c r="S355" s="131"/>
      <c r="T355" s="129"/>
    </row>
    <row r="356" ht="37.5" customHeight="1">
      <c r="A356" s="129"/>
      <c r="B356" s="130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C356" s="130"/>
      <c r="D356" s="129"/>
      <c r="E356" s="131" t="s">
        <v>7033</v>
      </c>
      <c r="F356" s="131" t="s">
        <v>7027</v>
      </c>
      <c r="G356" s="131" t="s">
        <v>7034</v>
      </c>
      <c r="H356" s="131" t="s">
        <v>7035</v>
      </c>
      <c r="I356" s="131" t="s">
        <v>7027</v>
      </c>
      <c r="J356" s="129"/>
      <c r="K356" s="133"/>
      <c r="L356" s="131"/>
      <c r="M356" s="131"/>
      <c r="N356" s="131"/>
      <c r="O356" s="131"/>
      <c r="P356" s="129"/>
      <c r="Q356" s="131"/>
      <c r="R356" s="131"/>
      <c r="S356" s="131"/>
      <c r="T356" s="129"/>
    </row>
    <row r="357" ht="37.5" customHeight="1">
      <c r="A357" s="129"/>
      <c r="B357" s="130" t="str">
        <f>IFERROR(__xludf.DUMMYFUNCTION("""COMPUTED_VALUE"""),"When attacked by an enemy whose ATK is boosted: Reduce damage recieved by 3%.")</f>
        <v>When attacked by an enemy whose ATK is boosted: Reduce damage recieved by 3%.</v>
      </c>
      <c r="C357" s="130"/>
      <c r="D357" s="129"/>
      <c r="E357" s="131" t="s">
        <v>7122</v>
      </c>
      <c r="F357" s="131" t="s">
        <v>7027</v>
      </c>
      <c r="G357" s="131" t="s">
        <v>7037</v>
      </c>
      <c r="H357" s="131" t="s">
        <v>7038</v>
      </c>
      <c r="I357" s="131" t="s">
        <v>7027</v>
      </c>
      <c r="J357" s="129"/>
      <c r="K357" s="133"/>
      <c r="L357" s="131"/>
      <c r="M357" s="131"/>
      <c r="N357" s="131"/>
      <c r="O357" s="131"/>
      <c r="P357" s="129"/>
      <c r="Q357" s="131"/>
      <c r="R357" s="131"/>
      <c r="S357" s="131"/>
      <c r="T357" s="129"/>
    </row>
    <row r="358" ht="37.5" customHeight="1">
      <c r="A358" s="129"/>
      <c r="B358" s="130" t="str">
        <f>IFERROR(__xludf.DUMMYFUNCTION("""COMPUTED_VALUE"""),"When you or an ally KOs an enemy: Reduce the cooldown time of Skill 1 by 3%.")</f>
        <v>When you or an ally KOs an enemy: Reduce the cooldown time of Skill 1 by 3%.</v>
      </c>
      <c r="C358" s="130"/>
      <c r="D358" s="129"/>
      <c r="E358" s="131" t="s">
        <v>7123</v>
      </c>
      <c r="F358" s="131" t="s">
        <v>7027</v>
      </c>
      <c r="G358" s="131" t="s">
        <v>7058</v>
      </c>
      <c r="H358" s="131" t="s">
        <v>7038</v>
      </c>
      <c r="I358" s="131" t="s">
        <v>7027</v>
      </c>
      <c r="J358" s="129"/>
      <c r="K358" s="133"/>
      <c r="L358" s="131"/>
      <c r="M358" s="131"/>
      <c r="N358" s="131"/>
      <c r="O358" s="131"/>
      <c r="P358" s="129"/>
      <c r="Q358" s="131"/>
      <c r="R358" s="131"/>
      <c r="S358" s="131"/>
      <c r="T358" s="129"/>
    </row>
    <row r="359" ht="37.5" customHeight="1">
      <c r="A359" s="129"/>
      <c r="B359" s="130" t="str">
        <f>IFERROR(__xludf.DUMMYFUNCTION("""COMPUTED_VALUE"""),"When you Knockback an enemy: Reduce the cooldown time of Skill 2 by 3%.")</f>
        <v>When you Knockback an enemy: Reduce the cooldown time of Skill 2 by 3%.</v>
      </c>
      <c r="C359" s="130"/>
      <c r="D359" s="129"/>
      <c r="E359" s="131" t="s">
        <v>7056</v>
      </c>
      <c r="F359" s="131" t="s">
        <v>7027</v>
      </c>
      <c r="G359" s="131" t="s">
        <v>7050</v>
      </c>
      <c r="H359" s="131" t="s">
        <v>7038</v>
      </c>
      <c r="I359" s="131" t="s">
        <v>7027</v>
      </c>
      <c r="J359" s="129"/>
      <c r="K359" s="133"/>
      <c r="L359" s="131"/>
      <c r="M359" s="131"/>
      <c r="N359" s="131"/>
      <c r="O359" s="131"/>
      <c r="P359" s="129"/>
      <c r="Q359" s="131"/>
      <c r="R359" s="131"/>
      <c r="S359" s="131"/>
      <c r="T359" s="129"/>
    </row>
    <row r="360" ht="37.5" customHeight="1">
      <c r="A360" s="129"/>
      <c r="B360" s="130" t="str">
        <f>IFERROR(__xludf.DUMMYFUNCTION("""COMPUTED_VALUE"""),"When you capture the Treasure: Reduce the cooldown time of Skill 1 by 8%.")</f>
        <v>When you capture the Treasure: Reduce the cooldown time of Skill 1 by 8%.</v>
      </c>
      <c r="C360" s="130"/>
      <c r="D360" s="129"/>
      <c r="E360" s="131" t="s">
        <v>7048</v>
      </c>
      <c r="F360" s="131" t="s">
        <v>7027</v>
      </c>
      <c r="G360" s="131" t="s">
        <v>7058</v>
      </c>
      <c r="H360" s="131" t="s">
        <v>7032</v>
      </c>
      <c r="I360" s="131" t="s">
        <v>7027</v>
      </c>
      <c r="J360" s="129"/>
      <c r="K360" s="133"/>
      <c r="L360" s="131"/>
      <c r="M360" s="131"/>
      <c r="N360" s="131"/>
      <c r="O360" s="131"/>
      <c r="P360" s="129"/>
      <c r="Q360" s="131"/>
      <c r="R360" s="131"/>
      <c r="S360" s="131"/>
      <c r="T360" s="129"/>
    </row>
    <row r="361" ht="37.5" customHeight="1">
      <c r="A361" s="129"/>
      <c r="B361" s="130" t="str">
        <f>IFERROR(__xludf.DUMMYFUNCTION("""COMPUTED_VALUE"""),"When your HP is 70% or more: Reduce damage recieved by 3%.")</f>
        <v>When your HP is 70% or more: Reduce damage recieved by 3%.</v>
      </c>
      <c r="C361" s="130"/>
      <c r="D361" s="129"/>
      <c r="E361" s="131" t="s">
        <v>7026</v>
      </c>
      <c r="F361" s="131" t="s">
        <v>7027</v>
      </c>
      <c r="G361" s="131" t="s">
        <v>7037</v>
      </c>
      <c r="H361" s="131" t="s">
        <v>7038</v>
      </c>
      <c r="I361" s="131" t="s">
        <v>7027</v>
      </c>
      <c r="J361" s="129"/>
      <c r="K361" s="133"/>
      <c r="L361" s="131"/>
      <c r="M361" s="131"/>
      <c r="N361" s="131"/>
      <c r="O361" s="131"/>
      <c r="P361" s="129"/>
      <c r="Q361" s="131"/>
      <c r="R361" s="131"/>
      <c r="S361" s="131"/>
      <c r="T361" s="129"/>
    </row>
    <row r="362" ht="37.5" customHeight="1">
      <c r="A362" s="129"/>
      <c r="B362" s="130" t="str">
        <f>IFERROR(__xludf.DUMMYFUNCTION("""COMPUTED_VALUE"""),"When you Knockback an enemy: Reduce the cooldown time of Skill 2 by 5%.")</f>
        <v>When you Knockback an enemy: Reduce the cooldown time of Skill 2 by 5%.</v>
      </c>
      <c r="C362" s="130"/>
      <c r="D362" s="129"/>
      <c r="E362" s="131" t="s">
        <v>7056</v>
      </c>
      <c r="F362" s="131" t="s">
        <v>7027</v>
      </c>
      <c r="G362" s="131" t="s">
        <v>7050</v>
      </c>
      <c r="H362" s="131" t="s">
        <v>7035</v>
      </c>
      <c r="I362" s="131" t="s">
        <v>7027</v>
      </c>
      <c r="J362" s="129"/>
      <c r="K362" s="133"/>
      <c r="L362" s="131"/>
      <c r="M362" s="131"/>
      <c r="N362" s="131"/>
      <c r="O362" s="131"/>
      <c r="P362" s="129"/>
      <c r="Q362" s="131"/>
      <c r="R362" s="131"/>
      <c r="S362" s="131"/>
      <c r="T362" s="129"/>
    </row>
    <row r="363" ht="37.5" customHeight="1">
      <c r="A363" s="129"/>
      <c r="B363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363" s="130"/>
      <c r="D363" s="129"/>
      <c r="E363" s="131" t="s">
        <v>7045</v>
      </c>
      <c r="F363" s="131" t="s">
        <v>7027</v>
      </c>
      <c r="G363" s="131" t="s">
        <v>7037</v>
      </c>
      <c r="H363" s="131" t="s">
        <v>7038</v>
      </c>
      <c r="I363" s="131" t="s">
        <v>7027</v>
      </c>
      <c r="J363" s="129"/>
      <c r="K363" s="133"/>
      <c r="L363" s="131"/>
      <c r="M363" s="131"/>
      <c r="N363" s="131"/>
      <c r="O363" s="131"/>
      <c r="P363" s="129"/>
      <c r="Q363" s="131"/>
      <c r="R363" s="131"/>
      <c r="S363" s="131"/>
      <c r="T363" s="129"/>
    </row>
    <row r="364" ht="37.5" customHeight="1">
      <c r="A364" s="129"/>
      <c r="B364" s="130" t="str">
        <f>IFERROR(__xludf.DUMMYFUNCTION("""COMPUTED_VALUE"""),"When you Knockback an enemy: Recover HP by 3%.")</f>
        <v>When you Knockback an enemy: Recover HP by 3%.</v>
      </c>
      <c r="C364" s="130"/>
      <c r="D364" s="129"/>
      <c r="E364" s="131" t="s">
        <v>7056</v>
      </c>
      <c r="F364" s="131" t="s">
        <v>7027</v>
      </c>
      <c r="G364" s="131" t="s">
        <v>7040</v>
      </c>
      <c r="H364" s="131" t="s">
        <v>7038</v>
      </c>
      <c r="I364" s="131" t="s">
        <v>7027</v>
      </c>
      <c r="J364" s="129"/>
      <c r="K364" s="133"/>
      <c r="L364" s="131"/>
      <c r="M364" s="131"/>
      <c r="N364" s="131"/>
      <c r="O364" s="131"/>
      <c r="P364" s="129"/>
      <c r="Q364" s="131"/>
      <c r="R364" s="131"/>
      <c r="S364" s="131"/>
      <c r="T364" s="129"/>
    </row>
    <row r="365" ht="37.5" customHeight="1">
      <c r="A365" s="129"/>
      <c r="B365" s="130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C365" s="130"/>
      <c r="D365" s="129"/>
      <c r="E365" s="131" t="s">
        <v>7047</v>
      </c>
      <c r="F365" s="131" t="s">
        <v>7027</v>
      </c>
      <c r="G365" s="131" t="s">
        <v>7034</v>
      </c>
      <c r="H365" s="131" t="s">
        <v>7038</v>
      </c>
      <c r="I365" s="131" t="s">
        <v>7027</v>
      </c>
      <c r="J365" s="129"/>
      <c r="K365" s="133"/>
      <c r="L365" s="131"/>
      <c r="M365" s="131"/>
      <c r="N365" s="131"/>
      <c r="O365" s="131"/>
      <c r="P365" s="129"/>
      <c r="Q365" s="131"/>
      <c r="R365" s="131"/>
      <c r="S365" s="131"/>
      <c r="T365" s="129"/>
    </row>
    <row r="366" ht="37.5" customHeight="1">
      <c r="A366" s="129"/>
      <c r="B366" s="130" t="str">
        <f>IFERROR(__xludf.DUMMYFUNCTION("""COMPUTED_VALUE"""),"When you Knockback an enemy: Reduce the cooldown time of Skill 1 by 5%.")</f>
        <v>When you Knockback an enemy: Reduce the cooldown time of Skill 1 by 5%.</v>
      </c>
      <c r="C366" s="130"/>
      <c r="D366" s="129"/>
      <c r="E366" s="131" t="s">
        <v>7056</v>
      </c>
      <c r="F366" s="131" t="s">
        <v>7027</v>
      </c>
      <c r="G366" s="131" t="s">
        <v>7058</v>
      </c>
      <c r="H366" s="131" t="s">
        <v>7035</v>
      </c>
      <c r="I366" s="131" t="s">
        <v>7027</v>
      </c>
      <c r="J366" s="129"/>
      <c r="K366" s="133"/>
      <c r="L366" s="131"/>
      <c r="M366" s="131"/>
      <c r="N366" s="131"/>
      <c r="O366" s="131"/>
      <c r="P366" s="129"/>
      <c r="Q366" s="131"/>
      <c r="R366" s="131"/>
      <c r="S366" s="131"/>
      <c r="T366" s="129"/>
    </row>
    <row r="367" ht="37.5" customHeight="1">
      <c r="A367" s="129"/>
      <c r="B367" s="130" t="str">
        <f>IFERROR(__xludf.DUMMYFUNCTION("""COMPUTED_VALUE"""),"When you capture the Treasure: Reduce the cooldown time of Skill 2 by 8%.")</f>
        <v>When you capture the Treasure: Reduce the cooldown time of Skill 2 by 8%.</v>
      </c>
      <c r="C367" s="130"/>
      <c r="D367" s="129"/>
      <c r="E367" s="131" t="s">
        <v>7048</v>
      </c>
      <c r="F367" s="131" t="s">
        <v>7027</v>
      </c>
      <c r="G367" s="131" t="s">
        <v>7050</v>
      </c>
      <c r="H367" s="131" t="s">
        <v>7032</v>
      </c>
      <c r="I367" s="131" t="s">
        <v>7027</v>
      </c>
      <c r="J367" s="129"/>
      <c r="K367" s="133"/>
      <c r="L367" s="131"/>
      <c r="M367" s="131"/>
      <c r="N367" s="131"/>
      <c r="O367" s="131"/>
      <c r="P367" s="129"/>
      <c r="Q367" s="131"/>
      <c r="R367" s="131"/>
      <c r="S367" s="131"/>
      <c r="T367" s="129"/>
    </row>
    <row r="368" ht="37.5" customHeight="1">
      <c r="A368" s="129"/>
      <c r="B368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368" s="130"/>
      <c r="D368" s="129"/>
      <c r="E368" s="131" t="s">
        <v>7041</v>
      </c>
      <c r="F368" s="131" t="s">
        <v>7027</v>
      </c>
      <c r="G368" s="131" t="s">
        <v>7034</v>
      </c>
      <c r="H368" s="131" t="s">
        <v>7035</v>
      </c>
      <c r="I368" s="131" t="s">
        <v>7027</v>
      </c>
      <c r="J368" s="129"/>
      <c r="K368" s="133"/>
      <c r="L368" s="131"/>
      <c r="M368" s="131"/>
      <c r="N368" s="131"/>
      <c r="O368" s="131"/>
      <c r="P368" s="129"/>
      <c r="Q368" s="131"/>
      <c r="R368" s="131"/>
      <c r="S368" s="131"/>
      <c r="T368" s="129"/>
    </row>
    <row r="369" ht="37.5" customHeight="1">
      <c r="A369" s="129"/>
      <c r="B369" s="130" t="str">
        <f>IFERROR(__xludf.DUMMYFUNCTION("""COMPUTED_VALUE"""),"When in the Treasure Area: Boost the cooldown reduction speed of dodge by 10%.")</f>
        <v>When in the Treasure Area: Boost the cooldown reduction speed of dodge by 10%.</v>
      </c>
      <c r="C369" s="130"/>
      <c r="D369" s="129"/>
      <c r="E369" s="131" t="s">
        <v>7044</v>
      </c>
      <c r="F369" s="131" t="s">
        <v>7027</v>
      </c>
      <c r="G369" s="131" t="s">
        <v>7028</v>
      </c>
      <c r="H369" s="131" t="s">
        <v>7093</v>
      </c>
      <c r="I369" s="131" t="s">
        <v>7027</v>
      </c>
      <c r="J369" s="129"/>
      <c r="K369" s="133"/>
      <c r="L369" s="131"/>
      <c r="M369" s="131"/>
      <c r="N369" s="131"/>
      <c r="O369" s="131"/>
      <c r="P369" s="129"/>
      <c r="Q369" s="131"/>
      <c r="R369" s="131"/>
      <c r="S369" s="131"/>
      <c r="T369" s="129"/>
    </row>
    <row r="370" ht="37.5" customHeight="1">
      <c r="A370" s="129"/>
      <c r="B370" s="130" t="str">
        <f>IFERROR(__xludf.DUMMYFUNCTION("""COMPUTED_VALUE"""),"After KOing an enemy: Reduce the cooldown time of Skill 2 by 8%.")</f>
        <v>After KOing an enemy: Reduce the cooldown time of Skill 2 by 8%.</v>
      </c>
      <c r="C370" s="130"/>
      <c r="D370" s="129"/>
      <c r="E370" s="131" t="s">
        <v>7039</v>
      </c>
      <c r="F370" s="131" t="s">
        <v>7027</v>
      </c>
      <c r="G370" s="131" t="s">
        <v>7050</v>
      </c>
      <c r="H370" s="131" t="s">
        <v>7032</v>
      </c>
      <c r="I370" s="131" t="s">
        <v>7027</v>
      </c>
      <c r="J370" s="129"/>
      <c r="K370" s="133"/>
      <c r="L370" s="131"/>
      <c r="M370" s="131"/>
      <c r="N370" s="131"/>
      <c r="O370" s="131"/>
      <c r="P370" s="129"/>
      <c r="Q370" s="131"/>
      <c r="R370" s="131"/>
      <c r="S370" s="131"/>
      <c r="T370" s="129"/>
    </row>
    <row r="371" ht="37.5" customHeight="1">
      <c r="A371" s="129"/>
      <c r="B371" s="130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C371" s="130"/>
      <c r="D371" s="129"/>
      <c r="E371" s="131" t="s">
        <v>7059</v>
      </c>
      <c r="F371" s="131" t="s">
        <v>7027</v>
      </c>
      <c r="G371" s="131" t="s">
        <v>7050</v>
      </c>
      <c r="H371" s="131" t="s">
        <v>7053</v>
      </c>
      <c r="I371" s="131" t="s">
        <v>7027</v>
      </c>
      <c r="J371" s="129"/>
      <c r="K371" s="133"/>
      <c r="L371" s="131"/>
      <c r="M371" s="131"/>
      <c r="N371" s="131"/>
      <c r="O371" s="131"/>
      <c r="P371" s="129"/>
      <c r="Q371" s="131"/>
      <c r="R371" s="131"/>
      <c r="S371" s="131"/>
      <c r="T371" s="129"/>
    </row>
    <row r="372" ht="37.5" customHeight="1">
      <c r="A372" s="129"/>
      <c r="B372" s="130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C372" s="130"/>
      <c r="D372" s="129"/>
      <c r="E372" s="131" t="s">
        <v>7064</v>
      </c>
      <c r="F372" s="131" t="s">
        <v>7027</v>
      </c>
      <c r="G372" s="131" t="s">
        <v>7034</v>
      </c>
      <c r="H372" s="131" t="s">
        <v>7035</v>
      </c>
      <c r="I372" s="131" t="s">
        <v>7027</v>
      </c>
      <c r="J372" s="129"/>
      <c r="K372" s="133"/>
      <c r="L372" s="131"/>
      <c r="M372" s="131"/>
      <c r="N372" s="131"/>
      <c r="O372" s="131"/>
      <c r="P372" s="129"/>
      <c r="Q372" s="131"/>
      <c r="R372" s="131"/>
      <c r="S372" s="131"/>
      <c r="T372" s="129"/>
    </row>
    <row r="373" ht="37.5" customHeight="1">
      <c r="A373" s="129"/>
      <c r="B373" s="130" t="str">
        <f>IFERROR(__xludf.DUMMYFUNCTION("""COMPUTED_VALUE"""),"When in the area around your captured Treasure: Reduce damage recieved by 3%.")</f>
        <v>When in the area around your captured Treasure: Reduce damage recieved by 3%.</v>
      </c>
      <c r="C373" s="130"/>
      <c r="D373" s="129"/>
      <c r="E373" s="131" t="s">
        <v>7045</v>
      </c>
      <c r="F373" s="131" t="s">
        <v>7027</v>
      </c>
      <c r="G373" s="131" t="s">
        <v>7037</v>
      </c>
      <c r="H373" s="131" t="s">
        <v>7038</v>
      </c>
      <c r="I373" s="131" t="s">
        <v>7027</v>
      </c>
      <c r="J373" s="129"/>
      <c r="K373" s="133"/>
      <c r="L373" s="131"/>
      <c r="M373" s="131"/>
      <c r="N373" s="131"/>
      <c r="O373" s="131"/>
      <c r="P373" s="129"/>
      <c r="Q373" s="131"/>
      <c r="R373" s="131"/>
      <c r="S373" s="131"/>
      <c r="T373" s="129"/>
    </row>
    <row r="374" ht="37.5" customHeight="1">
      <c r="A374" s="129"/>
      <c r="B374" s="130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C374" s="130"/>
      <c r="D374" s="129"/>
      <c r="E374" s="131" t="s">
        <v>7082</v>
      </c>
      <c r="F374" s="131" t="s">
        <v>7027</v>
      </c>
      <c r="G374" s="131" t="s">
        <v>7046</v>
      </c>
      <c r="H374" s="131" t="s">
        <v>7029</v>
      </c>
      <c r="I374" s="131" t="s">
        <v>7027</v>
      </c>
      <c r="J374" s="129"/>
      <c r="K374" s="133"/>
      <c r="L374" s="131"/>
      <c r="M374" s="131"/>
      <c r="N374" s="131"/>
      <c r="O374" s="131"/>
      <c r="P374" s="129"/>
      <c r="Q374" s="131"/>
      <c r="R374" s="131"/>
      <c r="S374" s="131"/>
      <c r="T374" s="129"/>
    </row>
    <row r="375" ht="37.5" customHeight="1">
      <c r="A375" s="129"/>
      <c r="B375" s="130" t="str">
        <f>IFERROR(__xludf.DUMMYFUNCTION("""COMPUTED_VALUE"""),"When you or an ally KOs an enemy: Reduce the cooldown time of Skill 2 by 3%.")</f>
        <v>When you or an ally KOs an enemy: Reduce the cooldown time of Skill 2 by 3%.</v>
      </c>
      <c r="C375" s="130"/>
      <c r="D375" s="129"/>
      <c r="E375" s="131" t="s">
        <v>7123</v>
      </c>
      <c r="F375" s="131" t="s">
        <v>7027</v>
      </c>
      <c r="G375" s="131" t="s">
        <v>7050</v>
      </c>
      <c r="H375" s="131" t="s">
        <v>7038</v>
      </c>
      <c r="I375" s="131" t="s">
        <v>7027</v>
      </c>
      <c r="J375" s="129"/>
      <c r="K375" s="133"/>
      <c r="L375" s="131"/>
      <c r="M375" s="131"/>
      <c r="N375" s="131"/>
      <c r="O375" s="131"/>
      <c r="P375" s="129"/>
      <c r="Q375" s="131"/>
      <c r="R375" s="131"/>
      <c r="S375" s="131"/>
      <c r="T375" s="129"/>
    </row>
    <row r="376" ht="37.5" customHeight="1">
      <c r="A376" s="129"/>
      <c r="B376" s="130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C376" s="130"/>
      <c r="D376" s="129"/>
      <c r="E376" s="131" t="s">
        <v>7076</v>
      </c>
      <c r="F376" s="131" t="s">
        <v>7027</v>
      </c>
      <c r="G376" s="131" t="s">
        <v>7042</v>
      </c>
      <c r="H376" s="131" t="s">
        <v>7029</v>
      </c>
      <c r="I376" s="131" t="s">
        <v>7027</v>
      </c>
      <c r="J376" s="129"/>
      <c r="K376" s="133"/>
      <c r="L376" s="131"/>
      <c r="M376" s="131"/>
      <c r="N376" s="131"/>
      <c r="O376" s="131"/>
      <c r="P376" s="129"/>
      <c r="Q376" s="131"/>
      <c r="R376" s="131"/>
      <c r="S376" s="131"/>
      <c r="T376" s="129"/>
    </row>
    <row r="377" ht="37.5" customHeight="1">
      <c r="A377" s="129"/>
      <c r="B377" s="130" t="str">
        <f>IFERROR(__xludf.DUMMYFUNCTION("""COMPUTED_VALUE"""),"When you capture the Treasure: Reduce the cooldown time of Skill 2 by 8%.")</f>
        <v>When you capture the Treasure: Reduce the cooldown time of Skill 2 by 8%.</v>
      </c>
      <c r="C377" s="130"/>
      <c r="D377" s="129"/>
      <c r="E377" s="131" t="s">
        <v>7048</v>
      </c>
      <c r="F377" s="131" t="s">
        <v>7027</v>
      </c>
      <c r="G377" s="131" t="s">
        <v>7050</v>
      </c>
      <c r="H377" s="131" t="s">
        <v>7032</v>
      </c>
      <c r="I377" s="131" t="s">
        <v>7027</v>
      </c>
      <c r="J377" s="129"/>
      <c r="K377" s="133"/>
      <c r="L377" s="131"/>
      <c r="M377" s="131"/>
      <c r="N377" s="131"/>
      <c r="O377" s="131"/>
      <c r="P377" s="129"/>
      <c r="Q377" s="131"/>
      <c r="R377" s="131"/>
      <c r="S377" s="131"/>
      <c r="T377" s="129"/>
    </row>
    <row r="378" ht="37.5" customHeight="1">
      <c r="A378" s="129"/>
      <c r="B378" s="130" t="str">
        <f>IFERROR(__xludf.DUMMYFUNCTION("""COMPUTED_VALUE"""),"When your HP is 50% or less: Increase damage dealt by 3%.")</f>
        <v>When your HP is 50% or less: Increase damage dealt by 3%.</v>
      </c>
      <c r="C378" s="130"/>
      <c r="D378" s="129"/>
      <c r="E378" s="131" t="s">
        <v>7068</v>
      </c>
      <c r="F378" s="131" t="s">
        <v>7027</v>
      </c>
      <c r="G378" s="131" t="s">
        <v>7034</v>
      </c>
      <c r="H378" s="131" t="s">
        <v>7038</v>
      </c>
      <c r="I378" s="131" t="s">
        <v>7027</v>
      </c>
      <c r="J378" s="129"/>
      <c r="K378" s="133"/>
      <c r="L378" s="131"/>
      <c r="M378" s="131"/>
      <c r="N378" s="131"/>
      <c r="O378" s="131"/>
      <c r="P378" s="129"/>
      <c r="Q378" s="131"/>
      <c r="R378" s="131"/>
      <c r="S378" s="131"/>
      <c r="T378" s="129"/>
    </row>
    <row r="379" ht="37.5" customHeight="1">
      <c r="A379" s="129"/>
      <c r="B379" s="130" t="str">
        <f>IFERROR(__xludf.DUMMYFUNCTION("""COMPUTED_VALUE"""),"When hit with Knockback by enemy: Reduce the cooldown time of Skill 1 by 5%.")</f>
        <v>When hit with Knockback by enemy: Reduce the cooldown time of Skill 1 by 5%.</v>
      </c>
      <c r="C379" s="130"/>
      <c r="D379" s="129"/>
      <c r="E379" s="131" t="s">
        <v>7071</v>
      </c>
      <c r="F379" s="131" t="s">
        <v>7027</v>
      </c>
      <c r="G379" s="131" t="s">
        <v>7058</v>
      </c>
      <c r="H379" s="131" t="s">
        <v>7035</v>
      </c>
      <c r="I379" s="131" t="s">
        <v>7027</v>
      </c>
      <c r="J379" s="129"/>
      <c r="K379" s="133"/>
      <c r="L379" s="131"/>
      <c r="M379" s="131"/>
      <c r="N379" s="131"/>
      <c r="O379" s="131"/>
      <c r="P379" s="129"/>
      <c r="Q379" s="131"/>
      <c r="R379" s="131"/>
      <c r="S379" s="131"/>
      <c r="T379" s="129"/>
    </row>
    <row r="380" ht="37.5" customHeight="1">
      <c r="A380" s="129"/>
      <c r="B380" s="130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C380" s="130"/>
      <c r="D380" s="129"/>
      <c r="E380" s="131" t="s">
        <v>7060</v>
      </c>
      <c r="F380" s="131" t="s">
        <v>7027</v>
      </c>
      <c r="G380" s="131" t="s">
        <v>7050</v>
      </c>
      <c r="H380" s="131" t="s">
        <v>7051</v>
      </c>
      <c r="I380" s="131" t="s">
        <v>7027</v>
      </c>
      <c r="J380" s="129"/>
      <c r="K380" s="133"/>
      <c r="L380" s="131"/>
      <c r="M380" s="131"/>
      <c r="N380" s="131"/>
      <c r="O380" s="131"/>
      <c r="P380" s="129"/>
      <c r="Q380" s="131"/>
      <c r="R380" s="131"/>
      <c r="S380" s="131"/>
      <c r="T380" s="129"/>
    </row>
    <row r="381" ht="37.5" customHeight="1">
      <c r="A381" s="129"/>
      <c r="B381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381" s="130"/>
      <c r="D381" s="129"/>
      <c r="E381" s="131" t="s">
        <v>7041</v>
      </c>
      <c r="F381" s="131" t="s">
        <v>7027</v>
      </c>
      <c r="G381" s="131" t="s">
        <v>7034</v>
      </c>
      <c r="H381" s="131" t="s">
        <v>7035</v>
      </c>
      <c r="I381" s="131" t="s">
        <v>7027</v>
      </c>
      <c r="J381" s="129"/>
      <c r="K381" s="133"/>
      <c r="L381" s="131"/>
      <c r="M381" s="131"/>
      <c r="N381" s="131"/>
      <c r="O381" s="131"/>
      <c r="P381" s="129"/>
      <c r="Q381" s="131"/>
      <c r="R381" s="131"/>
      <c r="S381" s="131"/>
      <c r="T381" s="129"/>
    </row>
    <row r="382" ht="37.5" customHeight="1">
      <c r="A382" s="129"/>
      <c r="B382" s="130" t="str">
        <f>IFERROR(__xludf.DUMMYFUNCTION("""COMPUTED_VALUE"""),"When using Skill 2: Reduce the cooldown time of Skill 1 by 3%.")</f>
        <v>When using Skill 2: Reduce the cooldown time of Skill 1 by 3%.</v>
      </c>
      <c r="C382" s="130"/>
      <c r="D382" s="129"/>
      <c r="E382" s="131" t="s">
        <v>7062</v>
      </c>
      <c r="F382" s="131" t="s">
        <v>7027</v>
      </c>
      <c r="G382" s="131" t="s">
        <v>7058</v>
      </c>
      <c r="H382" s="131" t="s">
        <v>7038</v>
      </c>
      <c r="I382" s="131" t="s">
        <v>7027</v>
      </c>
      <c r="J382" s="129"/>
      <c r="K382" s="133"/>
      <c r="L382" s="131"/>
      <c r="M382" s="131"/>
      <c r="N382" s="131"/>
      <c r="O382" s="131"/>
      <c r="P382" s="129"/>
      <c r="Q382" s="131"/>
      <c r="R382" s="131"/>
      <c r="S382" s="131"/>
      <c r="T382" s="129"/>
    </row>
    <row r="383" ht="37.5" customHeight="1">
      <c r="A383" s="129"/>
      <c r="B383" s="130" t="str">
        <f>IFERROR(__xludf.DUMMYFUNCTION("""COMPUTED_VALUE"""),"After KOing an enemy: Reduce the cooldown time of Skill 1 by 8%.")</f>
        <v>After KOing an enemy: Reduce the cooldown time of Skill 1 by 8%.</v>
      </c>
      <c r="C383" s="130"/>
      <c r="D383" s="129"/>
      <c r="E383" s="131" t="s">
        <v>7039</v>
      </c>
      <c r="F383" s="131" t="s">
        <v>7027</v>
      </c>
      <c r="G383" s="131" t="s">
        <v>7058</v>
      </c>
      <c r="H383" s="131" t="s">
        <v>7032</v>
      </c>
      <c r="I383" s="131" t="s">
        <v>7027</v>
      </c>
      <c r="J383" s="129"/>
      <c r="K383" s="133"/>
      <c r="L383" s="131"/>
      <c r="M383" s="131"/>
      <c r="N383" s="131"/>
      <c r="O383" s="131"/>
      <c r="P383" s="129"/>
      <c r="Q383" s="131"/>
      <c r="R383" s="131"/>
      <c r="S383" s="131"/>
      <c r="T383" s="129"/>
    </row>
    <row r="384" ht="37.5" customHeight="1">
      <c r="A384" s="129"/>
      <c r="B384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384" s="130"/>
      <c r="D384" s="129"/>
      <c r="E384" s="131" t="s">
        <v>7026</v>
      </c>
      <c r="F384" s="131" t="s">
        <v>7027</v>
      </c>
      <c r="G384" s="131" t="s">
        <v>7046</v>
      </c>
      <c r="H384" s="131" t="s">
        <v>7029</v>
      </c>
      <c r="I384" s="131" t="s">
        <v>7027</v>
      </c>
      <c r="J384" s="129"/>
      <c r="K384" s="133"/>
      <c r="L384" s="131"/>
      <c r="M384" s="131"/>
      <c r="N384" s="131"/>
      <c r="O384" s="131"/>
      <c r="P384" s="129"/>
      <c r="Q384" s="131"/>
      <c r="R384" s="131"/>
      <c r="S384" s="131"/>
      <c r="T384" s="129"/>
    </row>
    <row r="385" ht="37.5" customHeight="1">
      <c r="A385" s="129"/>
      <c r="B385" s="130" t="str">
        <f>IFERROR(__xludf.DUMMYFUNCTION("""COMPUTED_VALUE"""),"When you Knockback an enemy: Reduce the cooldown time of Skill 2 by 5%.")</f>
        <v>When you Knockback an enemy: Reduce the cooldown time of Skill 2 by 5%.</v>
      </c>
      <c r="C385" s="130"/>
      <c r="D385" s="129"/>
      <c r="E385" s="131" t="s">
        <v>7056</v>
      </c>
      <c r="F385" s="131" t="s">
        <v>7027</v>
      </c>
      <c r="G385" s="131" t="s">
        <v>7050</v>
      </c>
      <c r="H385" s="131" t="s">
        <v>7035</v>
      </c>
      <c r="I385" s="131" t="s">
        <v>7027</v>
      </c>
      <c r="J385" s="129"/>
      <c r="K385" s="133"/>
      <c r="L385" s="131"/>
      <c r="M385" s="131"/>
      <c r="N385" s="131"/>
      <c r="O385" s="131"/>
      <c r="P385" s="129"/>
      <c r="Q385" s="131"/>
      <c r="R385" s="131"/>
      <c r="S385" s="131"/>
      <c r="T385" s="129"/>
    </row>
    <row r="386" ht="37.5" customHeight="1">
      <c r="A386" s="129"/>
      <c r="B386" s="130" t="str">
        <f>IFERROR(__xludf.DUMMYFUNCTION("""COMPUTED_VALUE"""),"When in the area around your captured Treasure: Increase damage dealt by 3%.")</f>
        <v>When in the area around your captured Treasure: Increase damage dealt by 3%.</v>
      </c>
      <c r="C386" s="130"/>
      <c r="D386" s="129"/>
      <c r="E386" s="131" t="s">
        <v>7045</v>
      </c>
      <c r="F386" s="131" t="s">
        <v>7027</v>
      </c>
      <c r="G386" s="131" t="s">
        <v>7034</v>
      </c>
      <c r="H386" s="131" t="s">
        <v>7038</v>
      </c>
      <c r="I386" s="131" t="s">
        <v>7027</v>
      </c>
      <c r="J386" s="129"/>
      <c r="K386" s="133"/>
      <c r="L386" s="131"/>
      <c r="M386" s="131"/>
      <c r="N386" s="131"/>
      <c r="O386" s="131"/>
      <c r="P386" s="129"/>
      <c r="Q386" s="131"/>
      <c r="R386" s="131"/>
      <c r="S386" s="131"/>
      <c r="T386" s="129"/>
    </row>
    <row r="387" ht="37.5" customHeight="1">
      <c r="A387" s="129"/>
      <c r="B387" s="130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C387" s="130"/>
      <c r="D387" s="129"/>
      <c r="E387" s="131" t="s">
        <v>7060</v>
      </c>
      <c r="F387" s="131" t="s">
        <v>7027</v>
      </c>
      <c r="G387" s="131" t="s">
        <v>7058</v>
      </c>
      <c r="H387" s="131" t="s">
        <v>7066</v>
      </c>
      <c r="I387" s="131" t="s">
        <v>7027</v>
      </c>
      <c r="J387" s="129"/>
      <c r="K387" s="133"/>
      <c r="L387" s="131"/>
      <c r="M387" s="131"/>
      <c r="N387" s="131"/>
      <c r="O387" s="131"/>
      <c r="P387" s="129"/>
      <c r="Q387" s="131"/>
      <c r="R387" s="131"/>
      <c r="S387" s="131"/>
      <c r="T387" s="129"/>
    </row>
    <row r="388" ht="37.5" customHeight="1">
      <c r="A388" s="129"/>
      <c r="B388" s="130" t="str">
        <f>IFERROR(__xludf.DUMMYFUNCTION("""COMPUTED_VALUE"""),"When you Down an enemy: Reduce the cooldown time of Skill 2 by 3%.")</f>
        <v>When you Down an enemy: Reduce the cooldown time of Skill 2 by 3%.</v>
      </c>
      <c r="C388" s="130"/>
      <c r="D388" s="129"/>
      <c r="E388" s="131" t="s">
        <v>7120</v>
      </c>
      <c r="F388" s="131" t="s">
        <v>7027</v>
      </c>
      <c r="G388" s="131" t="s">
        <v>7050</v>
      </c>
      <c r="H388" s="131" t="s">
        <v>7038</v>
      </c>
      <c r="I388" s="131" t="s">
        <v>7027</v>
      </c>
      <c r="J388" s="129"/>
      <c r="K388" s="133"/>
      <c r="L388" s="131"/>
      <c r="M388" s="131"/>
      <c r="N388" s="131"/>
      <c r="O388" s="131"/>
      <c r="P388" s="129"/>
      <c r="Q388" s="131"/>
      <c r="R388" s="131"/>
      <c r="S388" s="131"/>
      <c r="T388" s="129"/>
    </row>
    <row r="389" ht="37.5" customHeight="1">
      <c r="A389" s="129"/>
      <c r="B389" s="130" t="str">
        <f>IFERROR(__xludf.DUMMYFUNCTION("""COMPUTED_VALUE"""),"After KOing an enemy: Reduce the cooldown time of Skill 2 by 8%.")</f>
        <v>After KOing an enemy: Reduce the cooldown time of Skill 2 by 8%.</v>
      </c>
      <c r="C389" s="130"/>
      <c r="D389" s="129"/>
      <c r="E389" s="131" t="s">
        <v>7039</v>
      </c>
      <c r="F389" s="131" t="s">
        <v>7027</v>
      </c>
      <c r="G389" s="131" t="s">
        <v>7050</v>
      </c>
      <c r="H389" s="131" t="s">
        <v>7032</v>
      </c>
      <c r="I389" s="131" t="s">
        <v>7027</v>
      </c>
      <c r="J389" s="129"/>
      <c r="K389" s="133"/>
      <c r="L389" s="131"/>
      <c r="M389" s="131"/>
      <c r="N389" s="131"/>
      <c r="O389" s="131"/>
      <c r="P389" s="129"/>
      <c r="Q389" s="131"/>
      <c r="R389" s="131"/>
      <c r="S389" s="131"/>
      <c r="T389" s="129"/>
    </row>
    <row r="390" ht="37.5" customHeight="1">
      <c r="A390" s="129"/>
      <c r="B390" s="130" t="str">
        <f>IFERROR(__xludf.DUMMYFUNCTION("""COMPUTED_VALUE"""),"When you Knockback an enemy: Reduce the cooldown time of Skill 1 by 3%.")</f>
        <v>When you Knockback an enemy: Reduce the cooldown time of Skill 1 by 3%.</v>
      </c>
      <c r="C390" s="130"/>
      <c r="D390" s="129"/>
      <c r="E390" s="131" t="s">
        <v>7056</v>
      </c>
      <c r="F390" s="131" t="s">
        <v>7027</v>
      </c>
      <c r="G390" s="131" t="s">
        <v>7058</v>
      </c>
      <c r="H390" s="131" t="s">
        <v>7038</v>
      </c>
      <c r="I390" s="131" t="s">
        <v>7027</v>
      </c>
      <c r="J390" s="129"/>
      <c r="K390" s="133"/>
      <c r="L390" s="131"/>
      <c r="M390" s="131"/>
      <c r="N390" s="131"/>
      <c r="O390" s="131"/>
      <c r="P390" s="129"/>
      <c r="Q390" s="131"/>
      <c r="R390" s="131"/>
      <c r="S390" s="131"/>
      <c r="T390" s="129"/>
    </row>
    <row r="391" ht="37.5" customHeight="1">
      <c r="A391" s="129"/>
      <c r="B391" s="130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C391" s="130"/>
      <c r="D391" s="129"/>
      <c r="E391" s="131" t="s">
        <v>7041</v>
      </c>
      <c r="F391" s="131" t="s">
        <v>7027</v>
      </c>
      <c r="G391" s="131" t="s">
        <v>7046</v>
      </c>
      <c r="H391" s="131" t="s">
        <v>7029</v>
      </c>
      <c r="I391" s="131" t="s">
        <v>7027</v>
      </c>
      <c r="J391" s="129"/>
      <c r="K391" s="133"/>
      <c r="L391" s="131"/>
      <c r="M391" s="131"/>
      <c r="N391" s="131"/>
      <c r="O391" s="131"/>
      <c r="P391" s="129"/>
      <c r="Q391" s="131"/>
      <c r="R391" s="131"/>
      <c r="S391" s="131"/>
      <c r="T391" s="129"/>
    </row>
    <row r="392" ht="37.5" customHeight="1">
      <c r="A392" s="129"/>
      <c r="B392" s="130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C392" s="130"/>
      <c r="D392" s="129"/>
      <c r="E392" s="131" t="s">
        <v>7045</v>
      </c>
      <c r="F392" s="131" t="s">
        <v>7027</v>
      </c>
      <c r="G392" s="131" t="s">
        <v>7042</v>
      </c>
      <c r="H392" s="131" t="s">
        <v>7093</v>
      </c>
      <c r="I392" s="131" t="s">
        <v>7027</v>
      </c>
      <c r="J392" s="129"/>
      <c r="K392" s="133"/>
      <c r="L392" s="131"/>
      <c r="M392" s="131"/>
      <c r="N392" s="131"/>
      <c r="O392" s="131"/>
      <c r="P392" s="129"/>
      <c r="Q392" s="131"/>
      <c r="R392" s="131"/>
      <c r="S392" s="131"/>
      <c r="T392" s="129"/>
    </row>
    <row r="393" ht="37.5" customHeight="1">
      <c r="A393" s="129"/>
      <c r="B393" s="130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C393" s="130"/>
      <c r="D393" s="129"/>
      <c r="E393" s="131" t="s">
        <v>7059</v>
      </c>
      <c r="F393" s="131" t="s">
        <v>7027</v>
      </c>
      <c r="G393" s="131" t="s">
        <v>7058</v>
      </c>
      <c r="H393" s="131" t="s">
        <v>7038</v>
      </c>
      <c r="I393" s="131" t="s">
        <v>7027</v>
      </c>
      <c r="J393" s="129"/>
      <c r="K393" s="133"/>
      <c r="L393" s="131"/>
      <c r="M393" s="131"/>
      <c r="N393" s="131"/>
      <c r="O393" s="131"/>
      <c r="P393" s="129"/>
      <c r="Q393" s="131"/>
      <c r="R393" s="131"/>
      <c r="S393" s="131"/>
      <c r="T393" s="129"/>
    </row>
    <row r="394" ht="37.5" customHeight="1">
      <c r="A394" s="129"/>
      <c r="B394" s="130" t="str">
        <f>IFERROR(__xludf.DUMMYFUNCTION("""COMPUTED_VALUE"""),"When you Knockback an enemy: Recover HP by 2%.")</f>
        <v>When you Knockback an enemy: Recover HP by 2%.</v>
      </c>
      <c r="C394" s="130"/>
      <c r="D394" s="129"/>
      <c r="E394" s="131" t="s">
        <v>7056</v>
      </c>
      <c r="F394" s="131" t="s">
        <v>7027</v>
      </c>
      <c r="G394" s="131" t="s">
        <v>7040</v>
      </c>
      <c r="H394" s="131" t="s">
        <v>7053</v>
      </c>
      <c r="I394" s="131" t="s">
        <v>7027</v>
      </c>
      <c r="J394" s="129"/>
      <c r="K394" s="133"/>
      <c r="L394" s="131"/>
      <c r="M394" s="131"/>
      <c r="N394" s="131"/>
      <c r="O394" s="131"/>
      <c r="P394" s="129"/>
      <c r="Q394" s="131"/>
      <c r="R394" s="131"/>
      <c r="S394" s="131"/>
      <c r="T394" s="129"/>
    </row>
    <row r="395" ht="37.5" customHeight="1">
      <c r="A395" s="129"/>
      <c r="B395" s="130" t="str">
        <f>IFERROR(__xludf.DUMMYFUNCTION("""COMPUTED_VALUE"""),"When using Skill 1: Reduce the cooldown time of Skill 2 by 5%.")</f>
        <v>When using Skill 1: Reduce the cooldown time of Skill 2 by 5%.</v>
      </c>
      <c r="C395" s="130"/>
      <c r="D395" s="129"/>
      <c r="E395" s="131" t="s">
        <v>7075</v>
      </c>
      <c r="F395" s="131" t="s">
        <v>7027</v>
      </c>
      <c r="G395" s="131" t="s">
        <v>7050</v>
      </c>
      <c r="H395" s="131" t="s">
        <v>7035</v>
      </c>
      <c r="I395" s="131" t="s">
        <v>7027</v>
      </c>
      <c r="J395" s="129"/>
      <c r="K395" s="133"/>
      <c r="L395" s="131"/>
      <c r="M395" s="131"/>
      <c r="N395" s="131"/>
      <c r="O395" s="131"/>
      <c r="P395" s="129"/>
      <c r="Q395" s="131"/>
      <c r="R395" s="131"/>
      <c r="S395" s="131"/>
      <c r="T395" s="129"/>
    </row>
    <row r="396" ht="37.5" customHeight="1">
      <c r="A396" s="129"/>
      <c r="B396" s="130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396" s="130"/>
      <c r="D396" s="129"/>
      <c r="E396" s="131" t="s">
        <v>7026</v>
      </c>
      <c r="F396" s="131" t="s">
        <v>7027</v>
      </c>
      <c r="G396" s="131" t="s">
        <v>7042</v>
      </c>
      <c r="H396" s="131" t="s">
        <v>7093</v>
      </c>
      <c r="I396" s="131" t="s">
        <v>7027</v>
      </c>
      <c r="J396" s="129"/>
      <c r="K396" s="133"/>
      <c r="L396" s="131"/>
      <c r="M396" s="131"/>
      <c r="N396" s="131"/>
      <c r="O396" s="131"/>
      <c r="P396" s="129"/>
      <c r="Q396" s="131"/>
      <c r="R396" s="131"/>
      <c r="S396" s="131"/>
      <c r="T396" s="129"/>
    </row>
    <row r="397" ht="37.5" customHeight="1">
      <c r="A397" s="129"/>
      <c r="B397" s="130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C397" s="130"/>
      <c r="D397" s="129"/>
      <c r="E397" s="131" t="s">
        <v>7060</v>
      </c>
      <c r="F397" s="131" t="s">
        <v>7027</v>
      </c>
      <c r="G397" s="131" t="s">
        <v>7050</v>
      </c>
      <c r="H397" s="131" t="s">
        <v>7066</v>
      </c>
      <c r="I397" s="131" t="s">
        <v>7027</v>
      </c>
      <c r="J397" s="129"/>
      <c r="K397" s="133"/>
      <c r="L397" s="131"/>
      <c r="M397" s="131"/>
      <c r="N397" s="131"/>
      <c r="O397" s="131"/>
      <c r="P397" s="129"/>
      <c r="Q397" s="131"/>
      <c r="R397" s="131"/>
      <c r="S397" s="131"/>
      <c r="T397" s="129"/>
    </row>
    <row r="398" ht="37.5" customHeight="1">
      <c r="A398" s="129"/>
      <c r="B398" s="130" t="str">
        <f>IFERROR(__xludf.DUMMYFUNCTION("""COMPUTED_VALUE"""),"When in the Treasure Area: Boost the cooldown reduction speed of dodge by 13%.")</f>
        <v>When in the Treasure Area: Boost the cooldown reduction speed of dodge by 13%.</v>
      </c>
      <c r="C398" s="130"/>
      <c r="D398" s="129"/>
      <c r="E398" s="131" t="s">
        <v>7044</v>
      </c>
      <c r="F398" s="131" t="s">
        <v>7027</v>
      </c>
      <c r="G398" s="131" t="s">
        <v>7028</v>
      </c>
      <c r="H398" s="131" t="s">
        <v>7029</v>
      </c>
      <c r="I398" s="131" t="s">
        <v>7027</v>
      </c>
      <c r="J398" s="129"/>
      <c r="K398" s="133"/>
      <c r="L398" s="131"/>
      <c r="M398" s="131"/>
      <c r="N398" s="131"/>
      <c r="O398" s="131"/>
      <c r="P398" s="129"/>
      <c r="Q398" s="131"/>
      <c r="R398" s="131"/>
      <c r="S398" s="131"/>
      <c r="T398" s="129"/>
    </row>
    <row r="399" ht="37.5" customHeight="1">
      <c r="A399" s="129"/>
      <c r="B399" s="130" t="str">
        <f>IFERROR(__xludf.DUMMYFUNCTION("""COMPUTED_VALUE"""),"When your HP is 70% or more: Increase damage dealt by 5%.")</f>
        <v>When your HP is 70% or more: Increase damage dealt by 5%.</v>
      </c>
      <c r="C399" s="130"/>
      <c r="D399" s="129"/>
      <c r="E399" s="131" t="s">
        <v>7026</v>
      </c>
      <c r="F399" s="131" t="s">
        <v>7027</v>
      </c>
      <c r="G399" s="131" t="s">
        <v>7034</v>
      </c>
      <c r="H399" s="131" t="s">
        <v>7035</v>
      </c>
      <c r="I399" s="131" t="s">
        <v>7027</v>
      </c>
      <c r="J399" s="129"/>
      <c r="K399" s="133"/>
      <c r="L399" s="131"/>
      <c r="M399" s="131"/>
      <c r="N399" s="131"/>
      <c r="O399" s="131"/>
      <c r="P399" s="129"/>
      <c r="Q399" s="131"/>
      <c r="R399" s="131"/>
      <c r="S399" s="131"/>
      <c r="T399" s="129"/>
    </row>
    <row r="400" ht="37.5" customHeight="1">
      <c r="A400" s="129"/>
      <c r="B400" s="130" t="str">
        <f>IFERROR(__xludf.DUMMYFUNCTION("""COMPUTED_VALUE"""),"When hit with Knockback by enemy: Reduce the cooldown time of Skill 2 by 3%.")</f>
        <v>When hit with Knockback by enemy: Reduce the cooldown time of Skill 2 by 3%.</v>
      </c>
      <c r="C400" s="130"/>
      <c r="D400" s="129"/>
      <c r="E400" s="131" t="s">
        <v>7071</v>
      </c>
      <c r="F400" s="131" t="s">
        <v>7027</v>
      </c>
      <c r="G400" s="131" t="s">
        <v>7050</v>
      </c>
      <c r="H400" s="131" t="s">
        <v>7038</v>
      </c>
      <c r="I400" s="131" t="s">
        <v>7027</v>
      </c>
      <c r="J400" s="129"/>
      <c r="K400" s="133"/>
      <c r="L400" s="131"/>
      <c r="M400" s="131"/>
      <c r="N400" s="131"/>
      <c r="O400" s="131"/>
      <c r="P400" s="129"/>
      <c r="Q400" s="131"/>
      <c r="R400" s="131"/>
      <c r="S400" s="131"/>
      <c r="T400" s="129"/>
    </row>
    <row r="401" ht="37.5" customHeight="1">
      <c r="A401" s="129"/>
      <c r="B401" s="130" t="str">
        <f>IFERROR(__xludf.DUMMYFUNCTION("""COMPUTED_VALUE"""),"When attacked by an enemy: Reduce the cooldown time of Skill 1 by 2%.")</f>
        <v>When attacked by an enemy: Reduce the cooldown time of Skill 1 by 2%.</v>
      </c>
      <c r="C401" s="130"/>
      <c r="D401" s="129"/>
      <c r="E401" s="131" t="s">
        <v>7069</v>
      </c>
      <c r="F401" s="131" t="s">
        <v>7027</v>
      </c>
      <c r="G401" s="131" t="s">
        <v>7058</v>
      </c>
      <c r="H401" s="131" t="s">
        <v>7053</v>
      </c>
      <c r="I401" s="131" t="s">
        <v>7027</v>
      </c>
      <c r="J401" s="129"/>
      <c r="K401" s="133"/>
      <c r="L401" s="131"/>
      <c r="M401" s="131"/>
      <c r="N401" s="131"/>
      <c r="O401" s="131"/>
      <c r="P401" s="129"/>
      <c r="Q401" s="131"/>
      <c r="R401" s="131"/>
      <c r="S401" s="131"/>
      <c r="T401" s="129"/>
    </row>
    <row r="402" ht="37.5" customHeight="1">
      <c r="A402" s="129"/>
      <c r="B402" s="130" t="str">
        <f>IFERROR(__xludf.DUMMYFUNCTION("""COMPUTED_VALUE"""),"When the equipped character is character type ``Cipher Pol``: Increase Normal Attack damage dealt by 3%.")</f>
        <v>When the equipped character is character type ``Cipher Pol``: Increase Normal Attack damage dealt by 3%.</v>
      </c>
      <c r="C402" s="130"/>
      <c r="D402" s="129"/>
      <c r="E402" s="131" t="s">
        <v>7124</v>
      </c>
      <c r="F402" s="131" t="s">
        <v>7027</v>
      </c>
      <c r="G402" s="131" t="s">
        <v>7081</v>
      </c>
      <c r="H402" s="131" t="s">
        <v>7038</v>
      </c>
      <c r="I402" s="131" t="s">
        <v>7027</v>
      </c>
      <c r="J402" s="129"/>
      <c r="K402" s="133"/>
      <c r="L402" s="131"/>
      <c r="M402" s="131"/>
      <c r="N402" s="131"/>
      <c r="O402" s="131"/>
      <c r="P402" s="129"/>
      <c r="Q402" s="131"/>
      <c r="R402" s="131"/>
      <c r="S402" s="131"/>
      <c r="T402" s="129"/>
    </row>
    <row r="403" ht="37.5" customHeight="1">
      <c r="A403" s="129"/>
      <c r="B403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403" s="130"/>
      <c r="D403" s="129"/>
      <c r="E403" s="131" t="s">
        <v>7026</v>
      </c>
      <c r="F403" s="131" t="s">
        <v>7027</v>
      </c>
      <c r="G403" s="131" t="s">
        <v>7046</v>
      </c>
      <c r="H403" s="131" t="s">
        <v>7029</v>
      </c>
      <c r="I403" s="131" t="s">
        <v>7027</v>
      </c>
      <c r="J403" s="129"/>
      <c r="K403" s="133"/>
      <c r="L403" s="131"/>
      <c r="M403" s="131"/>
      <c r="N403" s="131"/>
      <c r="O403" s="131"/>
      <c r="P403" s="129"/>
      <c r="Q403" s="131"/>
      <c r="R403" s="131"/>
      <c r="S403" s="131"/>
      <c r="T403" s="129"/>
    </row>
    <row r="404" ht="37.5" customHeight="1">
      <c r="A404" s="129"/>
      <c r="B404" s="130" t="str">
        <f>IFERROR(__xludf.DUMMYFUNCTION("""COMPUTED_VALUE"""),"When in the area around your enemy`s Treasure: Increase damage dealt by 3%.")</f>
        <v>When in the area around your enemy`s Treasure: Increase damage dealt by 3%.</v>
      </c>
      <c r="C404" s="130"/>
      <c r="D404" s="129"/>
      <c r="E404" s="131" t="s">
        <v>7041</v>
      </c>
      <c r="F404" s="131" t="s">
        <v>7027</v>
      </c>
      <c r="G404" s="131" t="s">
        <v>7034</v>
      </c>
      <c r="H404" s="131" t="s">
        <v>7038</v>
      </c>
      <c r="I404" s="131" t="s">
        <v>7027</v>
      </c>
      <c r="J404" s="129"/>
      <c r="K404" s="133"/>
      <c r="L404" s="131"/>
      <c r="M404" s="131"/>
      <c r="N404" s="131"/>
      <c r="O404" s="131"/>
      <c r="P404" s="129"/>
      <c r="Q404" s="131"/>
      <c r="R404" s="131"/>
      <c r="S404" s="131"/>
      <c r="T404" s="129"/>
    </row>
    <row r="405" ht="37.5" customHeight="1">
      <c r="A405" s="129"/>
      <c r="B405" s="130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C405" s="130"/>
      <c r="D405" s="129"/>
      <c r="E405" s="131" t="s">
        <v>7076</v>
      </c>
      <c r="F405" s="131" t="s">
        <v>7027</v>
      </c>
      <c r="G405" s="131" t="s">
        <v>7042</v>
      </c>
      <c r="H405" s="131" t="s">
        <v>7029</v>
      </c>
      <c r="I405" s="131" t="s">
        <v>7027</v>
      </c>
      <c r="J405" s="129"/>
      <c r="K405" s="133"/>
      <c r="L405" s="131"/>
      <c r="M405" s="131"/>
      <c r="N405" s="131"/>
      <c r="O405" s="131"/>
      <c r="P405" s="129"/>
      <c r="Q405" s="131"/>
      <c r="R405" s="131"/>
      <c r="S405" s="131"/>
      <c r="T405" s="129"/>
    </row>
    <row r="406" ht="37.5" customHeight="1">
      <c r="A406" s="129"/>
      <c r="B406" s="130" t="str">
        <f>IFERROR(__xludf.DUMMYFUNCTION("""COMPUTED_VALUE"""),"When you Down an enemy: Reduce the cooldown time of Skill 1 by 3%.")</f>
        <v>When you Down an enemy: Reduce the cooldown time of Skill 1 by 3%.</v>
      </c>
      <c r="C406" s="130"/>
      <c r="D406" s="129"/>
      <c r="E406" s="131" t="s">
        <v>7120</v>
      </c>
      <c r="F406" s="131" t="s">
        <v>7027</v>
      </c>
      <c r="G406" s="131" t="s">
        <v>7058</v>
      </c>
      <c r="H406" s="131" t="s">
        <v>7038</v>
      </c>
      <c r="I406" s="131" t="s">
        <v>7027</v>
      </c>
      <c r="J406" s="129"/>
      <c r="K406" s="133"/>
      <c r="L406" s="131"/>
      <c r="M406" s="131"/>
      <c r="N406" s="131"/>
      <c r="O406" s="131"/>
      <c r="P406" s="129"/>
      <c r="Q406" s="131"/>
      <c r="R406" s="131"/>
      <c r="S406" s="131"/>
      <c r="T406" s="129"/>
    </row>
    <row r="407" ht="37.5" customHeight="1">
      <c r="A407" s="129"/>
      <c r="B407" s="130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C407" s="130"/>
      <c r="D407" s="129"/>
      <c r="E407" s="131" t="s">
        <v>7125</v>
      </c>
      <c r="F407" s="131" t="s">
        <v>7027</v>
      </c>
      <c r="G407" s="131" t="s">
        <v>7031</v>
      </c>
      <c r="H407" s="131" t="s">
        <v>7032</v>
      </c>
      <c r="I407" s="131" t="s">
        <v>7027</v>
      </c>
      <c r="J407" s="129"/>
      <c r="K407" s="133"/>
      <c r="L407" s="131"/>
      <c r="M407" s="131"/>
      <c r="N407" s="131"/>
      <c r="O407" s="131"/>
      <c r="P407" s="129"/>
      <c r="Q407" s="131"/>
      <c r="R407" s="131"/>
      <c r="S407" s="131"/>
      <c r="T407" s="129"/>
    </row>
    <row r="408" ht="37.5" customHeight="1">
      <c r="A408" s="129"/>
      <c r="B408" s="130" t="str">
        <f>IFERROR(__xludf.DUMMYFUNCTION("""COMPUTED_VALUE"""),"When attacking an enemy with a Normal Attack: 30% chance to, Reduce the cooldown time of Skill 2 by 2%.")</f>
        <v>When attacking an enemy with a Normal Attack: 30% chance to, Reduce the cooldown time of Skill 2 by 2%.</v>
      </c>
      <c r="C408" s="130"/>
      <c r="D408" s="129"/>
      <c r="E408" s="131" t="s">
        <v>7126</v>
      </c>
      <c r="F408" s="131" t="s">
        <v>7094</v>
      </c>
      <c r="G408" s="131" t="s">
        <v>7050</v>
      </c>
      <c r="H408" s="131" t="s">
        <v>7053</v>
      </c>
      <c r="I408" s="131" t="s">
        <v>7027</v>
      </c>
      <c r="J408" s="129"/>
      <c r="K408" s="133"/>
      <c r="L408" s="131"/>
      <c r="M408" s="131"/>
      <c r="N408" s="131"/>
      <c r="O408" s="131"/>
      <c r="P408" s="129"/>
      <c r="Q408" s="131"/>
      <c r="R408" s="131"/>
      <c r="S408" s="131"/>
      <c r="T408" s="129"/>
    </row>
    <row r="409" ht="37.5" customHeight="1">
      <c r="A409" s="129"/>
      <c r="B409" s="130" t="str">
        <f>IFERROR(__xludf.DUMMYFUNCTION("""COMPUTED_VALUE"""),"When attacking an enemy with a Normal Attack: 30% chance to, Reduce the cooldown time of Skill 1 by 3%.")</f>
        <v>When attacking an enemy with a Normal Attack: 30% chance to, Reduce the cooldown time of Skill 1 by 3%.</v>
      </c>
      <c r="C409" s="130"/>
      <c r="D409" s="129"/>
      <c r="E409" s="131" t="s">
        <v>7126</v>
      </c>
      <c r="F409" s="131" t="s">
        <v>7094</v>
      </c>
      <c r="G409" s="131" t="s">
        <v>7058</v>
      </c>
      <c r="H409" s="131" t="s">
        <v>7038</v>
      </c>
      <c r="I409" s="131" t="s">
        <v>7027</v>
      </c>
      <c r="J409" s="129"/>
      <c r="K409" s="133"/>
      <c r="L409" s="131"/>
      <c r="M409" s="131"/>
      <c r="N409" s="131"/>
      <c r="O409" s="131"/>
      <c r="P409" s="129"/>
      <c r="Q409" s="131"/>
      <c r="R409" s="131"/>
      <c r="S409" s="131"/>
      <c r="T409" s="129"/>
    </row>
    <row r="410" ht="37.5" customHeight="1">
      <c r="A410" s="129"/>
      <c r="B410" s="130" t="str">
        <f>IFERROR(__xludf.DUMMYFUNCTION("""COMPUTED_VALUE"""),"When using Skill 2: Reduce the cooldown time of Skill 1 by 5%.")</f>
        <v>When using Skill 2: Reduce the cooldown time of Skill 1 by 5%.</v>
      </c>
      <c r="C410" s="130"/>
      <c r="D410" s="129"/>
      <c r="E410" s="131" t="s">
        <v>7062</v>
      </c>
      <c r="F410" s="131" t="s">
        <v>7027</v>
      </c>
      <c r="G410" s="131" t="s">
        <v>7058</v>
      </c>
      <c r="H410" s="131" t="s">
        <v>7035</v>
      </c>
      <c r="I410" s="131" t="s">
        <v>7027</v>
      </c>
      <c r="J410" s="129"/>
      <c r="K410" s="133"/>
      <c r="L410" s="131"/>
      <c r="M410" s="131"/>
      <c r="N410" s="131"/>
      <c r="O410" s="131"/>
      <c r="P410" s="129"/>
      <c r="Q410" s="131"/>
      <c r="R410" s="131"/>
      <c r="S410" s="131"/>
      <c r="T410" s="129"/>
    </row>
    <row r="411" ht="37.5" customHeight="1">
      <c r="A411" s="129"/>
      <c r="B411" s="130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C411" s="130"/>
      <c r="D411" s="129"/>
      <c r="E411" s="131" t="s">
        <v>7082</v>
      </c>
      <c r="F411" s="131" t="s">
        <v>7027</v>
      </c>
      <c r="G411" s="131" t="s">
        <v>7031</v>
      </c>
      <c r="H411" s="131" t="s">
        <v>7032</v>
      </c>
      <c r="I411" s="131" t="s">
        <v>7027</v>
      </c>
      <c r="J411" s="129"/>
      <c r="K411" s="133"/>
      <c r="L411" s="131"/>
      <c r="M411" s="131"/>
      <c r="N411" s="131"/>
      <c r="O411" s="131"/>
      <c r="P411" s="129"/>
      <c r="Q411" s="131"/>
      <c r="R411" s="131"/>
      <c r="S411" s="131"/>
      <c r="T411" s="129"/>
    </row>
    <row r="412" ht="37.5" customHeight="1">
      <c r="A412" s="129"/>
      <c r="B412" s="130" t="str">
        <f>IFERROR(__xludf.DUMMYFUNCTION("""COMPUTED_VALUE"""),"When you capture the Treasure: Reduce the cooldown time of Skill 1 by 6%.")</f>
        <v>When you capture the Treasure: Reduce the cooldown time of Skill 1 by 6%.</v>
      </c>
      <c r="C412" s="130"/>
      <c r="D412" s="129"/>
      <c r="E412" s="131" t="s">
        <v>7048</v>
      </c>
      <c r="F412" s="131" t="s">
        <v>7027</v>
      </c>
      <c r="G412" s="131" t="s">
        <v>7058</v>
      </c>
      <c r="H412" s="131" t="s">
        <v>7066</v>
      </c>
      <c r="I412" s="131" t="s">
        <v>7027</v>
      </c>
      <c r="J412" s="129"/>
      <c r="K412" s="133"/>
      <c r="L412" s="131"/>
      <c r="M412" s="131"/>
      <c r="N412" s="131"/>
      <c r="O412" s="131"/>
      <c r="P412" s="129"/>
      <c r="Q412" s="131"/>
      <c r="R412" s="131"/>
      <c r="S412" s="131"/>
      <c r="T412" s="129"/>
    </row>
    <row r="413" ht="37.5" customHeight="1">
      <c r="A413" s="129"/>
      <c r="B413" s="130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C413" s="130"/>
      <c r="D413" s="129"/>
      <c r="E413" s="131" t="s">
        <v>7045</v>
      </c>
      <c r="F413" s="131" t="s">
        <v>7027</v>
      </c>
      <c r="G413" s="131" t="s">
        <v>7042</v>
      </c>
      <c r="H413" s="131" t="s">
        <v>7029</v>
      </c>
      <c r="I413" s="131" t="s">
        <v>7027</v>
      </c>
      <c r="J413" s="129"/>
      <c r="K413" s="133"/>
      <c r="L413" s="131"/>
      <c r="M413" s="131"/>
      <c r="N413" s="131"/>
      <c r="O413" s="131"/>
      <c r="P413" s="129"/>
      <c r="Q413" s="131"/>
      <c r="R413" s="131"/>
      <c r="S413" s="131"/>
      <c r="T413" s="129"/>
    </row>
    <row r="414" ht="37.5" customHeight="1">
      <c r="A414" s="129"/>
      <c r="B414" s="130" t="str">
        <f>IFERROR(__xludf.DUMMYFUNCTION("""COMPUTED_VALUE"""),"When you or an ally KOs an enemy: Recover HP by 2%.")</f>
        <v>When you or an ally KOs an enemy: Recover HP by 2%.</v>
      </c>
      <c r="C414" s="130"/>
      <c r="D414" s="129"/>
      <c r="E414" s="131" t="s">
        <v>7123</v>
      </c>
      <c r="F414" s="131" t="s">
        <v>7027</v>
      </c>
      <c r="G414" s="131" t="s">
        <v>7040</v>
      </c>
      <c r="H414" s="131" t="s">
        <v>7053</v>
      </c>
      <c r="I414" s="131" t="s">
        <v>7027</v>
      </c>
      <c r="J414" s="129"/>
      <c r="K414" s="133"/>
      <c r="L414" s="131"/>
      <c r="M414" s="131"/>
      <c r="N414" s="131"/>
      <c r="O414" s="131"/>
      <c r="P414" s="129"/>
      <c r="Q414" s="131"/>
      <c r="R414" s="131"/>
      <c r="S414" s="131"/>
      <c r="T414" s="129"/>
    </row>
    <row r="415" ht="37.5" customHeight="1">
      <c r="A415" s="129"/>
      <c r="B415" s="130" t="str">
        <f>IFERROR(__xludf.DUMMYFUNCTION("""COMPUTED_VALUE"""),"When you capture the Treasure: Reduce the cooldown time of Skill 2 by 8%.")</f>
        <v>When you capture the Treasure: Reduce the cooldown time of Skill 2 by 8%.</v>
      </c>
      <c r="C415" s="130"/>
      <c r="D415" s="129"/>
      <c r="E415" s="131" t="s">
        <v>7048</v>
      </c>
      <c r="F415" s="131" t="s">
        <v>7027</v>
      </c>
      <c r="G415" s="131" t="s">
        <v>7050</v>
      </c>
      <c r="H415" s="131" t="s">
        <v>7032</v>
      </c>
      <c r="I415" s="131" t="s">
        <v>7027</v>
      </c>
      <c r="J415" s="129"/>
      <c r="K415" s="133"/>
      <c r="L415" s="131"/>
      <c r="M415" s="131"/>
      <c r="N415" s="131"/>
      <c r="O415" s="131"/>
      <c r="P415" s="129"/>
      <c r="Q415" s="131"/>
      <c r="R415" s="131"/>
      <c r="S415" s="131"/>
      <c r="T415" s="129"/>
    </row>
    <row r="416" ht="37.5" customHeight="1">
      <c r="A416" s="129"/>
      <c r="B416" s="130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C416" s="130"/>
      <c r="D416" s="129"/>
      <c r="E416" s="131" t="s">
        <v>7126</v>
      </c>
      <c r="F416" s="131" t="s">
        <v>7094</v>
      </c>
      <c r="G416" s="131" t="s">
        <v>7050</v>
      </c>
      <c r="H416" s="131" t="s">
        <v>7038</v>
      </c>
      <c r="I416" s="131" t="s">
        <v>7027</v>
      </c>
      <c r="J416" s="129"/>
      <c r="K416" s="133"/>
      <c r="L416" s="131"/>
      <c r="M416" s="131"/>
      <c r="N416" s="131"/>
      <c r="O416" s="131"/>
      <c r="P416" s="129"/>
      <c r="Q416" s="131"/>
      <c r="R416" s="131"/>
      <c r="S416" s="131"/>
      <c r="T416" s="129"/>
    </row>
    <row r="417" ht="37.5" customHeight="1">
      <c r="A417" s="129"/>
      <c r="B417" s="130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C417" s="130"/>
      <c r="D417" s="129"/>
      <c r="E417" s="131" t="s">
        <v>7047</v>
      </c>
      <c r="F417" s="131" t="s">
        <v>7027</v>
      </c>
      <c r="G417" s="131" t="s">
        <v>7034</v>
      </c>
      <c r="H417" s="131" t="s">
        <v>7038</v>
      </c>
      <c r="I417" s="131" t="s">
        <v>7027</v>
      </c>
      <c r="J417" s="129"/>
      <c r="K417" s="133"/>
      <c r="L417" s="131"/>
      <c r="M417" s="131"/>
      <c r="N417" s="131"/>
      <c r="O417" s="131"/>
      <c r="P417" s="129"/>
      <c r="Q417" s="131"/>
      <c r="R417" s="131"/>
      <c r="S417" s="131"/>
      <c r="T417" s="129"/>
    </row>
    <row r="418" ht="37.5" customHeight="1">
      <c r="A418" s="129"/>
      <c r="B418" s="130" t="str">
        <f>IFERROR(__xludf.DUMMYFUNCTION("""COMPUTED_VALUE"""),"When an enemy begins capturing one of your team`s Treasure Areas: Reduce the cooldown time of Skill 1 by 3%.")</f>
        <v>When an enemy begins capturing one of your team`s Treasure Areas: Reduce the cooldown time of Skill 1 by 3%.</v>
      </c>
      <c r="C418" s="130"/>
      <c r="D418" s="129"/>
      <c r="E418" s="131" t="s">
        <v>7127</v>
      </c>
      <c r="F418" s="131" t="s">
        <v>7027</v>
      </c>
      <c r="G418" s="131" t="s">
        <v>7058</v>
      </c>
      <c r="H418" s="131" t="s">
        <v>7038</v>
      </c>
      <c r="I418" s="131" t="s">
        <v>7027</v>
      </c>
      <c r="J418" s="129"/>
      <c r="K418" s="133"/>
      <c r="L418" s="131"/>
      <c r="M418" s="131"/>
      <c r="N418" s="131"/>
      <c r="O418" s="131"/>
      <c r="P418" s="129"/>
      <c r="Q418" s="131"/>
      <c r="R418" s="131"/>
      <c r="S418" s="131"/>
      <c r="T418" s="129"/>
    </row>
    <row r="419" ht="37.5" customHeight="1">
      <c r="A419" s="129"/>
      <c r="B419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419" s="130"/>
      <c r="D419" s="129"/>
      <c r="E419" s="131" t="s">
        <v>7045</v>
      </c>
      <c r="F419" s="131" t="s">
        <v>7027</v>
      </c>
      <c r="G419" s="131" t="s">
        <v>7046</v>
      </c>
      <c r="H419" s="131" t="s">
        <v>7093</v>
      </c>
      <c r="I419" s="131" t="s">
        <v>7027</v>
      </c>
      <c r="J419" s="129"/>
      <c r="K419" s="133"/>
      <c r="L419" s="131"/>
      <c r="M419" s="131"/>
      <c r="N419" s="131"/>
      <c r="O419" s="131"/>
      <c r="P419" s="129"/>
      <c r="Q419" s="131"/>
      <c r="R419" s="131"/>
      <c r="S419" s="131"/>
      <c r="T419" s="129"/>
    </row>
    <row r="420" ht="37.5" customHeight="1">
      <c r="A420" s="129"/>
      <c r="B420" s="130" t="str">
        <f>IFERROR(__xludf.DUMMYFUNCTION("""COMPUTED_VALUE"""),"When you Knockback an enemy: Recover HP by 3%.")</f>
        <v>When you Knockback an enemy: Recover HP by 3%.</v>
      </c>
      <c r="C420" s="130"/>
      <c r="D420" s="129"/>
      <c r="E420" s="131" t="s">
        <v>7056</v>
      </c>
      <c r="F420" s="131" t="s">
        <v>7027</v>
      </c>
      <c r="G420" s="131" t="s">
        <v>7040</v>
      </c>
      <c r="H420" s="131" t="s">
        <v>7038</v>
      </c>
      <c r="I420" s="131" t="s">
        <v>7027</v>
      </c>
      <c r="J420" s="129"/>
      <c r="K420" s="133"/>
      <c r="L420" s="131"/>
      <c r="M420" s="131"/>
      <c r="N420" s="131"/>
      <c r="O420" s="131"/>
      <c r="P420" s="129"/>
      <c r="Q420" s="131"/>
      <c r="R420" s="131"/>
      <c r="S420" s="131"/>
      <c r="T420" s="129"/>
    </row>
    <row r="421" ht="37.5" customHeight="1">
      <c r="A421" s="129"/>
      <c r="B421" s="130" t="str">
        <f>IFERROR(__xludf.DUMMYFUNCTION("""COMPUTED_VALUE"""),"When performing a Perfect Dodge: Reduce the cooldown time of Skill 1 by 4%.")</f>
        <v>When performing a Perfect Dodge: Reduce the cooldown time of Skill 1 by 4%.</v>
      </c>
      <c r="C421" s="130"/>
      <c r="D421" s="129"/>
      <c r="E421" s="131" t="s">
        <v>7057</v>
      </c>
      <c r="F421" s="131" t="s">
        <v>7027</v>
      </c>
      <c r="G421" s="131" t="s">
        <v>7058</v>
      </c>
      <c r="H421" s="131" t="s">
        <v>7051</v>
      </c>
      <c r="I421" s="131" t="s">
        <v>7027</v>
      </c>
      <c r="J421" s="129"/>
      <c r="K421" s="133"/>
      <c r="L421" s="131"/>
      <c r="M421" s="131"/>
      <c r="N421" s="131"/>
      <c r="O421" s="131"/>
      <c r="P421" s="129"/>
      <c r="Q421" s="131"/>
      <c r="R421" s="131"/>
      <c r="S421" s="131"/>
      <c r="T421" s="129"/>
    </row>
    <row r="422" ht="37.5" customHeight="1">
      <c r="A422" s="129"/>
      <c r="B422" s="130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C422" s="130"/>
      <c r="D422" s="129"/>
      <c r="E422" s="131" t="s">
        <v>7041</v>
      </c>
      <c r="F422" s="131" t="s">
        <v>7027</v>
      </c>
      <c r="G422" s="131" t="s">
        <v>7042</v>
      </c>
      <c r="H422" s="131" t="s">
        <v>7029</v>
      </c>
      <c r="I422" s="131" t="s">
        <v>7027</v>
      </c>
      <c r="J422" s="129"/>
      <c r="K422" s="133"/>
      <c r="L422" s="131"/>
      <c r="M422" s="131"/>
      <c r="N422" s="131"/>
      <c r="O422" s="131"/>
      <c r="P422" s="129"/>
      <c r="Q422" s="131"/>
      <c r="R422" s="131"/>
      <c r="S422" s="131"/>
      <c r="T422" s="129"/>
    </row>
    <row r="423" ht="37.5" customHeight="1">
      <c r="A423" s="129"/>
      <c r="B423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423" s="130"/>
      <c r="D423" s="129"/>
      <c r="E423" s="131" t="s">
        <v>7045</v>
      </c>
      <c r="F423" s="131" t="s">
        <v>7027</v>
      </c>
      <c r="G423" s="131" t="s">
        <v>7046</v>
      </c>
      <c r="H423" s="131" t="s">
        <v>7093</v>
      </c>
      <c r="I423" s="131" t="s">
        <v>7027</v>
      </c>
      <c r="J423" s="129"/>
      <c r="K423" s="133"/>
      <c r="L423" s="131"/>
      <c r="M423" s="131"/>
      <c r="N423" s="131"/>
      <c r="O423" s="131"/>
      <c r="P423" s="129"/>
      <c r="Q423" s="131"/>
      <c r="R423" s="131"/>
      <c r="S423" s="131"/>
      <c r="T423" s="129"/>
    </row>
    <row r="424" ht="37.5" customHeight="1">
      <c r="A424" s="129"/>
      <c r="B424" s="130" t="str">
        <f>IFERROR(__xludf.DUMMYFUNCTION("""COMPUTED_VALUE"""),"When enemies are inflicted with Shock: Recover HP by 3%.")</f>
        <v>When enemies are inflicted with Shock: Recover HP by 3%.</v>
      </c>
      <c r="C424" s="130"/>
      <c r="D424" s="129"/>
      <c r="E424" s="131" t="s">
        <v>7080</v>
      </c>
      <c r="F424" s="131" t="s">
        <v>7027</v>
      </c>
      <c r="G424" s="131" t="s">
        <v>7040</v>
      </c>
      <c r="H424" s="131" t="s">
        <v>7038</v>
      </c>
      <c r="I424" s="131" t="s">
        <v>7027</v>
      </c>
      <c r="J424" s="129"/>
      <c r="K424" s="133"/>
      <c r="L424" s="131"/>
      <c r="M424" s="131"/>
      <c r="N424" s="131"/>
      <c r="O424" s="131"/>
      <c r="P424" s="129"/>
      <c r="Q424" s="131"/>
      <c r="R424" s="131"/>
      <c r="S424" s="131"/>
      <c r="T424" s="129"/>
    </row>
    <row r="425" ht="37.5" customHeight="1">
      <c r="A425" s="129"/>
      <c r="B425" s="130" t="str">
        <f>IFERROR(__xludf.DUMMYFUNCTION("""COMPUTED_VALUE"""),"After KOing an enemy: Reduce the cooldown time of Skill 1 by 6%.")</f>
        <v>After KOing an enemy: Reduce the cooldown time of Skill 1 by 6%.</v>
      </c>
      <c r="C425" s="130"/>
      <c r="D425" s="129"/>
      <c r="E425" s="131" t="s">
        <v>7039</v>
      </c>
      <c r="F425" s="131" t="s">
        <v>7027</v>
      </c>
      <c r="G425" s="131" t="s">
        <v>7058</v>
      </c>
      <c r="H425" s="131" t="s">
        <v>7066</v>
      </c>
      <c r="I425" s="131" t="s">
        <v>7027</v>
      </c>
      <c r="J425" s="129"/>
      <c r="K425" s="133"/>
      <c r="L425" s="131"/>
      <c r="M425" s="131"/>
      <c r="N425" s="131"/>
      <c r="O425" s="131"/>
      <c r="P425" s="129"/>
      <c r="Q425" s="131"/>
      <c r="R425" s="131"/>
      <c r="S425" s="131"/>
      <c r="T425" s="129"/>
    </row>
    <row r="426" ht="37.5" customHeight="1">
      <c r="A426" s="129"/>
      <c r="B426" s="130" t="str">
        <f>IFERROR(__xludf.DUMMYFUNCTION("""COMPUTED_VALUE"""),"After KOing an enemy: Reduce the cooldown time of Skill 2 by 8%.")</f>
        <v>After KOing an enemy: Reduce the cooldown time of Skill 2 by 8%.</v>
      </c>
      <c r="C426" s="130"/>
      <c r="D426" s="129"/>
      <c r="E426" s="131" t="s">
        <v>7039</v>
      </c>
      <c r="F426" s="131" t="s">
        <v>7027</v>
      </c>
      <c r="G426" s="131" t="s">
        <v>7050</v>
      </c>
      <c r="H426" s="131" t="s">
        <v>7032</v>
      </c>
      <c r="I426" s="131" t="s">
        <v>7027</v>
      </c>
      <c r="J426" s="129"/>
      <c r="K426" s="133"/>
      <c r="L426" s="131"/>
      <c r="M426" s="131"/>
      <c r="N426" s="131"/>
      <c r="O426" s="131"/>
      <c r="P426" s="129"/>
      <c r="Q426" s="131"/>
      <c r="R426" s="131"/>
      <c r="S426" s="131"/>
      <c r="T426" s="129"/>
    </row>
    <row r="427" ht="37.5" customHeight="1">
      <c r="A427" s="129"/>
      <c r="B427" s="130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C427" s="130"/>
      <c r="D427" s="129"/>
      <c r="E427" s="131" t="s">
        <v>7060</v>
      </c>
      <c r="F427" s="131" t="s">
        <v>7027</v>
      </c>
      <c r="G427" s="131" t="s">
        <v>7050</v>
      </c>
      <c r="H427" s="131" t="s">
        <v>7051</v>
      </c>
      <c r="I427" s="131" t="s">
        <v>7027</v>
      </c>
      <c r="J427" s="129"/>
      <c r="K427" s="133"/>
      <c r="L427" s="131"/>
      <c r="M427" s="131"/>
      <c r="N427" s="131"/>
      <c r="O427" s="131"/>
      <c r="P427" s="129"/>
      <c r="Q427" s="131"/>
      <c r="R427" s="131"/>
      <c r="S427" s="131"/>
      <c r="T427" s="129"/>
    </row>
    <row r="428" ht="37.5" customHeight="1">
      <c r="A428" s="129"/>
      <c r="B428" s="130" t="str">
        <f>IFERROR(__xludf.DUMMYFUNCTION("""COMPUTED_VALUE"""),"When in the Treasure Area: Increase damage dealt by 3%.")</f>
        <v>When in the Treasure Area: Increase damage dealt by 3%.</v>
      </c>
      <c r="C428" s="130"/>
      <c r="D428" s="129"/>
      <c r="E428" s="131" t="s">
        <v>7044</v>
      </c>
      <c r="F428" s="131" t="s">
        <v>7027</v>
      </c>
      <c r="G428" s="131" t="s">
        <v>7034</v>
      </c>
      <c r="H428" s="131" t="s">
        <v>7038</v>
      </c>
      <c r="I428" s="131" t="s">
        <v>7027</v>
      </c>
      <c r="J428" s="129"/>
      <c r="K428" s="133"/>
      <c r="L428" s="131"/>
      <c r="M428" s="131"/>
      <c r="N428" s="131"/>
      <c r="O428" s="131"/>
      <c r="P428" s="129"/>
      <c r="Q428" s="131"/>
      <c r="R428" s="131"/>
      <c r="S428" s="131"/>
      <c r="T428" s="129"/>
    </row>
    <row r="429" ht="37.5" customHeight="1">
      <c r="A429" s="129"/>
      <c r="B429" s="130" t="str">
        <f>IFERROR(__xludf.DUMMYFUNCTION("""COMPUTED_VALUE"""),"When your allies are not near the Treasure area where you are at: Boost capture speed by 6%.")</f>
        <v>When your allies are not near the Treasure area where you are at: Boost capture speed by 6%.</v>
      </c>
      <c r="C429" s="130"/>
      <c r="D429" s="129"/>
      <c r="E429" s="131" t="s">
        <v>7082</v>
      </c>
      <c r="F429" s="131" t="s">
        <v>7027</v>
      </c>
      <c r="G429" s="131" t="s">
        <v>7031</v>
      </c>
      <c r="H429" s="131" t="s">
        <v>7066</v>
      </c>
      <c r="I429" s="131" t="s">
        <v>7027</v>
      </c>
      <c r="J429" s="129"/>
      <c r="K429" s="133"/>
      <c r="L429" s="131"/>
      <c r="M429" s="131"/>
      <c r="N429" s="131"/>
      <c r="O429" s="131"/>
      <c r="P429" s="129"/>
      <c r="Q429" s="131"/>
      <c r="R429" s="131"/>
      <c r="S429" s="131"/>
      <c r="T429" s="129"/>
    </row>
    <row r="430" ht="37.5" customHeight="1">
      <c r="A430" s="129"/>
      <c r="B430" s="130" t="str">
        <f>IFERROR(__xludf.DUMMYFUNCTION("""COMPUTED_VALUE"""),"When your team has more Treasure secured: Increase damage dealt by 5%.")</f>
        <v>When your team has more Treasure secured: Increase damage dealt by 5%.</v>
      </c>
      <c r="C430" s="130"/>
      <c r="D430" s="129"/>
      <c r="E430" s="131" t="s">
        <v>7070</v>
      </c>
      <c r="F430" s="131" t="s">
        <v>7027</v>
      </c>
      <c r="G430" s="131" t="s">
        <v>7034</v>
      </c>
      <c r="H430" s="131" t="s">
        <v>7035</v>
      </c>
      <c r="I430" s="131" t="s">
        <v>7027</v>
      </c>
      <c r="J430" s="129"/>
      <c r="K430" s="133"/>
      <c r="L430" s="131"/>
      <c r="M430" s="131"/>
      <c r="N430" s="131"/>
      <c r="O430" s="131"/>
      <c r="P430" s="129"/>
      <c r="Q430" s="131"/>
      <c r="R430" s="131"/>
      <c r="S430" s="131"/>
      <c r="T430" s="129"/>
    </row>
    <row r="431" ht="37.5" customHeight="1">
      <c r="A431" s="129"/>
      <c r="B431" s="130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C431" s="130"/>
      <c r="D431" s="129"/>
      <c r="E431" s="131" t="s">
        <v>7070</v>
      </c>
      <c r="F431" s="131" t="s">
        <v>7027</v>
      </c>
      <c r="G431" s="131" t="s">
        <v>7046</v>
      </c>
      <c r="H431" s="131" t="s">
        <v>7093</v>
      </c>
      <c r="I431" s="131" t="s">
        <v>7027</v>
      </c>
      <c r="J431" s="129"/>
      <c r="K431" s="133"/>
      <c r="L431" s="131"/>
      <c r="M431" s="131"/>
      <c r="N431" s="131"/>
      <c r="O431" s="131"/>
      <c r="P431" s="129"/>
      <c r="Q431" s="131"/>
      <c r="R431" s="131"/>
      <c r="S431" s="131"/>
      <c r="T431" s="129"/>
    </row>
    <row r="432" ht="37.5" customHeight="1">
      <c r="A432" s="129"/>
      <c r="B432" s="130" t="str">
        <f>IFERROR(__xludf.DUMMYFUNCTION("""COMPUTED_VALUE"""),"When your team loses the Treasure: Reduce the cooldown time of Skill 1 by 8%.")</f>
        <v>When your team loses the Treasure: Reduce the cooldown time of Skill 1 by 8%.</v>
      </c>
      <c r="C432" s="130"/>
      <c r="D432" s="129"/>
      <c r="E432" s="131" t="s">
        <v>7105</v>
      </c>
      <c r="F432" s="131" t="s">
        <v>7027</v>
      </c>
      <c r="G432" s="131" t="s">
        <v>7058</v>
      </c>
      <c r="H432" s="131" t="s">
        <v>7032</v>
      </c>
      <c r="I432" s="131" t="s">
        <v>7027</v>
      </c>
      <c r="J432" s="129"/>
      <c r="K432" s="133"/>
      <c r="L432" s="131"/>
      <c r="M432" s="131"/>
      <c r="N432" s="131"/>
      <c r="O432" s="131"/>
      <c r="P432" s="129"/>
      <c r="Q432" s="131"/>
      <c r="R432" s="131"/>
      <c r="S432" s="131"/>
      <c r="T432" s="129"/>
    </row>
    <row r="433" ht="37.5" customHeight="1">
      <c r="A433" s="129"/>
      <c r="B433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433" s="130"/>
      <c r="D433" s="129"/>
      <c r="E433" s="131" t="s">
        <v>7045</v>
      </c>
      <c r="F433" s="131" t="s">
        <v>7027</v>
      </c>
      <c r="G433" s="131" t="s">
        <v>7046</v>
      </c>
      <c r="H433" s="131" t="s">
        <v>7093</v>
      </c>
      <c r="I433" s="131" t="s">
        <v>7027</v>
      </c>
      <c r="J433" s="129"/>
      <c r="K433" s="133"/>
      <c r="L433" s="131"/>
      <c r="M433" s="131"/>
      <c r="N433" s="131"/>
      <c r="O433" s="131"/>
      <c r="P433" s="129"/>
      <c r="Q433" s="131"/>
      <c r="R433" s="131"/>
      <c r="S433" s="131"/>
      <c r="T433" s="129"/>
    </row>
    <row r="434" ht="37.5" customHeight="1">
      <c r="A434" s="129"/>
      <c r="B434" s="130" t="str">
        <f>IFERROR(__xludf.DUMMYFUNCTION("""COMPUTED_VALUE"""),"When your HP is 70% or more: Increase damage dealt by 5%.")</f>
        <v>When your HP is 70% or more: Increase damage dealt by 5%.</v>
      </c>
      <c r="C434" s="130"/>
      <c r="D434" s="129"/>
      <c r="E434" s="131" t="s">
        <v>7026</v>
      </c>
      <c r="F434" s="131" t="s">
        <v>7027</v>
      </c>
      <c r="G434" s="131" t="s">
        <v>7034</v>
      </c>
      <c r="H434" s="131" t="s">
        <v>7035</v>
      </c>
      <c r="I434" s="131" t="s">
        <v>7027</v>
      </c>
      <c r="J434" s="129"/>
      <c r="K434" s="133"/>
      <c r="L434" s="131"/>
      <c r="M434" s="131"/>
      <c r="N434" s="131"/>
      <c r="O434" s="131"/>
      <c r="P434" s="129"/>
      <c r="Q434" s="131"/>
      <c r="R434" s="131"/>
      <c r="S434" s="131"/>
      <c r="T434" s="129"/>
    </row>
    <row r="435" ht="37.5" customHeight="1">
      <c r="A435" s="129"/>
      <c r="B435" s="130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C435" s="130"/>
      <c r="D435" s="129"/>
      <c r="E435" s="131" t="s">
        <v>7033</v>
      </c>
      <c r="F435" s="131" t="s">
        <v>7027</v>
      </c>
      <c r="G435" s="131" t="s">
        <v>7034</v>
      </c>
      <c r="H435" s="131" t="s">
        <v>7035</v>
      </c>
      <c r="I435" s="131" t="s">
        <v>7027</v>
      </c>
      <c r="J435" s="129"/>
      <c r="K435" s="133"/>
      <c r="L435" s="131"/>
      <c r="M435" s="131"/>
      <c r="N435" s="131"/>
      <c r="O435" s="131"/>
      <c r="P435" s="129"/>
      <c r="Q435" s="131"/>
      <c r="R435" s="131"/>
      <c r="S435" s="131"/>
      <c r="T435" s="129"/>
    </row>
    <row r="436" ht="37.5" customHeight="1">
      <c r="A436" s="129"/>
      <c r="B436" s="130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C436" s="130"/>
      <c r="D436" s="129"/>
      <c r="E436" s="131" t="s">
        <v>7082</v>
      </c>
      <c r="F436" s="131" t="s">
        <v>7027</v>
      </c>
      <c r="G436" s="131" t="s">
        <v>7042</v>
      </c>
      <c r="H436" s="131" t="s">
        <v>7029</v>
      </c>
      <c r="I436" s="131" t="s">
        <v>7027</v>
      </c>
      <c r="J436" s="129"/>
      <c r="K436" s="133"/>
      <c r="L436" s="131"/>
      <c r="M436" s="131"/>
      <c r="N436" s="131"/>
      <c r="O436" s="131"/>
      <c r="P436" s="129"/>
      <c r="Q436" s="131"/>
      <c r="R436" s="131"/>
      <c r="S436" s="131"/>
      <c r="T436" s="129"/>
    </row>
    <row r="437" ht="37.5" customHeight="1">
      <c r="A437" s="129"/>
      <c r="B437" s="130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C437" s="130"/>
      <c r="D437" s="129"/>
      <c r="E437" s="131" t="s">
        <v>7026</v>
      </c>
      <c r="F437" s="131" t="s">
        <v>7027</v>
      </c>
      <c r="G437" s="131" t="s">
        <v>7046</v>
      </c>
      <c r="H437" s="131" t="s">
        <v>7093</v>
      </c>
      <c r="I437" s="131" t="s">
        <v>7027</v>
      </c>
      <c r="J437" s="129"/>
      <c r="K437" s="133"/>
      <c r="L437" s="131"/>
      <c r="M437" s="131"/>
      <c r="N437" s="131"/>
      <c r="O437" s="131"/>
      <c r="P437" s="129"/>
      <c r="Q437" s="131"/>
      <c r="R437" s="131"/>
      <c r="S437" s="131"/>
      <c r="T437" s="129"/>
    </row>
    <row r="438" ht="37.5" customHeight="1">
      <c r="A438" s="129"/>
      <c r="B438" s="130" t="str">
        <f>IFERROR(__xludf.DUMMYFUNCTION("""COMPUTED_VALUE"""),"When you or an ally KOs an enemy: Reduce the cooldown time of Skill 1 by 3%.")</f>
        <v>When you or an ally KOs an enemy: Reduce the cooldown time of Skill 1 by 3%.</v>
      </c>
      <c r="C438" s="130"/>
      <c r="D438" s="129"/>
      <c r="E438" s="131" t="s">
        <v>7123</v>
      </c>
      <c r="F438" s="131" t="s">
        <v>7027</v>
      </c>
      <c r="G438" s="131" t="s">
        <v>7058</v>
      </c>
      <c r="H438" s="131" t="s">
        <v>7038</v>
      </c>
      <c r="I438" s="131" t="s">
        <v>7027</v>
      </c>
      <c r="J438" s="129"/>
      <c r="K438" s="133"/>
      <c r="L438" s="131"/>
      <c r="M438" s="131"/>
      <c r="N438" s="131"/>
      <c r="O438" s="131"/>
      <c r="P438" s="129"/>
      <c r="Q438" s="131"/>
      <c r="R438" s="131"/>
      <c r="S438" s="131"/>
      <c r="T438" s="129"/>
    </row>
    <row r="439" ht="37.5" customHeight="1">
      <c r="A439" s="129"/>
      <c r="B439" s="130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439" s="130"/>
      <c r="D439" s="129"/>
      <c r="E439" s="131" t="s">
        <v>7026</v>
      </c>
      <c r="F439" s="131" t="s">
        <v>7027</v>
      </c>
      <c r="G439" s="131" t="s">
        <v>7042</v>
      </c>
      <c r="H439" s="131" t="s">
        <v>7093</v>
      </c>
      <c r="I439" s="131" t="s">
        <v>7027</v>
      </c>
      <c r="J439" s="129"/>
      <c r="K439" s="133"/>
      <c r="L439" s="131"/>
      <c r="M439" s="131"/>
      <c r="N439" s="131"/>
      <c r="O439" s="131"/>
      <c r="P439" s="129"/>
      <c r="Q439" s="131"/>
      <c r="R439" s="131"/>
      <c r="S439" s="131"/>
      <c r="T439" s="129"/>
    </row>
    <row r="440" ht="37.5" customHeight="1">
      <c r="A440" s="129"/>
      <c r="B440" s="130" t="str">
        <f>IFERROR(__xludf.DUMMYFUNCTION("""COMPUTED_VALUE"""),"When you Knockback an enemy: Reduce the cooldown time of Skill 2 by 5%.")</f>
        <v>When you Knockback an enemy: Reduce the cooldown time of Skill 2 by 5%.</v>
      </c>
      <c r="C440" s="130"/>
      <c r="D440" s="129"/>
      <c r="E440" s="131" t="s">
        <v>7056</v>
      </c>
      <c r="F440" s="131" t="s">
        <v>7027</v>
      </c>
      <c r="G440" s="131" t="s">
        <v>7050</v>
      </c>
      <c r="H440" s="131" t="s">
        <v>7035</v>
      </c>
      <c r="I440" s="131" t="s">
        <v>7027</v>
      </c>
      <c r="J440" s="129"/>
      <c r="K440" s="133"/>
      <c r="L440" s="131"/>
      <c r="M440" s="131"/>
      <c r="N440" s="131"/>
      <c r="O440" s="131"/>
      <c r="P440" s="129"/>
      <c r="Q440" s="131"/>
      <c r="R440" s="131"/>
      <c r="S440" s="131"/>
      <c r="T440" s="129"/>
    </row>
    <row r="441" ht="37.5" customHeight="1">
      <c r="A441" s="129"/>
      <c r="B441" s="130" t="str">
        <f>IFERROR(__xludf.DUMMYFUNCTION("""COMPUTED_VALUE"""),"When there are 60 seconds or less remaining: Boost capture speed by 6%.")</f>
        <v>When there are 60 seconds or less remaining: Boost capture speed by 6%.</v>
      </c>
      <c r="C441" s="130"/>
      <c r="D441" s="129"/>
      <c r="E441" s="131" t="s">
        <v>7091</v>
      </c>
      <c r="F441" s="131" t="s">
        <v>7027</v>
      </c>
      <c r="G441" s="131" t="s">
        <v>7031</v>
      </c>
      <c r="H441" s="131" t="s">
        <v>7066</v>
      </c>
      <c r="I441" s="131" t="s">
        <v>7027</v>
      </c>
      <c r="J441" s="129"/>
      <c r="K441" s="133"/>
      <c r="L441" s="131"/>
      <c r="M441" s="131"/>
      <c r="N441" s="131"/>
      <c r="O441" s="131"/>
      <c r="P441" s="129"/>
      <c r="Q441" s="131"/>
      <c r="R441" s="131"/>
      <c r="S441" s="131"/>
      <c r="T441" s="129"/>
    </row>
    <row r="442" ht="37.5" customHeight="1">
      <c r="A442" s="129"/>
      <c r="B442" s="130" t="str">
        <f>IFERROR(__xludf.DUMMYFUNCTION("""COMPUTED_VALUE"""),"After KOing an enemy: Reduce the cooldown time of Skill 1 by 8%.")</f>
        <v>After KOing an enemy: Reduce the cooldown time of Skill 1 by 8%.</v>
      </c>
      <c r="C442" s="130"/>
      <c r="D442" s="129"/>
      <c r="E442" s="131" t="s">
        <v>7039</v>
      </c>
      <c r="F442" s="131" t="s">
        <v>7027</v>
      </c>
      <c r="G442" s="131" t="s">
        <v>7058</v>
      </c>
      <c r="H442" s="131" t="s">
        <v>7032</v>
      </c>
      <c r="I442" s="131" t="s">
        <v>7027</v>
      </c>
      <c r="J442" s="129"/>
      <c r="K442" s="133"/>
      <c r="L442" s="131"/>
      <c r="M442" s="131"/>
      <c r="N442" s="131"/>
      <c r="O442" s="131"/>
      <c r="P442" s="129"/>
      <c r="Q442" s="131"/>
      <c r="R442" s="131"/>
      <c r="S442" s="131"/>
      <c r="T442" s="129"/>
    </row>
    <row r="443" ht="37.5" customHeight="1">
      <c r="A443" s="129"/>
      <c r="B443" s="130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C443" s="130"/>
      <c r="D443" s="129"/>
      <c r="E443" s="131" t="s">
        <v>7061</v>
      </c>
      <c r="F443" s="131" t="s">
        <v>7027</v>
      </c>
      <c r="G443" s="131" t="s">
        <v>7034</v>
      </c>
      <c r="H443" s="131" t="s">
        <v>7038</v>
      </c>
      <c r="I443" s="131" t="s">
        <v>7027</v>
      </c>
      <c r="J443" s="129"/>
      <c r="K443" s="133"/>
      <c r="L443" s="131"/>
      <c r="M443" s="131"/>
      <c r="N443" s="131"/>
      <c r="O443" s="131"/>
      <c r="P443" s="129"/>
      <c r="Q443" s="131"/>
      <c r="R443" s="131"/>
      <c r="S443" s="131"/>
      <c r="T443" s="129"/>
    </row>
    <row r="444" ht="37.5" customHeight="1">
      <c r="A444" s="129"/>
      <c r="B444" s="130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C444" s="130"/>
      <c r="D444" s="129"/>
      <c r="E444" s="131" t="s">
        <v>7126</v>
      </c>
      <c r="F444" s="131" t="s">
        <v>7094</v>
      </c>
      <c r="G444" s="131" t="s">
        <v>7050</v>
      </c>
      <c r="H444" s="131" t="s">
        <v>7038</v>
      </c>
      <c r="I444" s="131" t="s">
        <v>7027</v>
      </c>
      <c r="J444" s="129"/>
      <c r="K444" s="133"/>
      <c r="L444" s="131"/>
      <c r="M444" s="131"/>
      <c r="N444" s="131"/>
      <c r="O444" s="131"/>
      <c r="P444" s="129"/>
      <c r="Q444" s="131"/>
      <c r="R444" s="131"/>
      <c r="S444" s="131"/>
      <c r="T444" s="129"/>
    </row>
    <row r="445" ht="37.5" customHeight="1">
      <c r="A445" s="129"/>
      <c r="B445" s="130" t="str">
        <f>IFERROR(__xludf.DUMMYFUNCTION("""COMPUTED_VALUE"""),"When you capture the Treasure: Reduce the cooldown time of Skill 1 by 8%.")</f>
        <v>When you capture the Treasure: Reduce the cooldown time of Skill 1 by 8%.</v>
      </c>
      <c r="C445" s="130"/>
      <c r="D445" s="129"/>
      <c r="E445" s="131" t="s">
        <v>7048</v>
      </c>
      <c r="F445" s="131" t="s">
        <v>7027</v>
      </c>
      <c r="G445" s="131" t="s">
        <v>7058</v>
      </c>
      <c r="H445" s="131" t="s">
        <v>7032</v>
      </c>
      <c r="I445" s="131" t="s">
        <v>7027</v>
      </c>
      <c r="J445" s="129"/>
      <c r="K445" s="133"/>
      <c r="L445" s="131"/>
      <c r="M445" s="131"/>
      <c r="N445" s="131"/>
      <c r="O445" s="131"/>
      <c r="P445" s="129"/>
      <c r="Q445" s="131"/>
      <c r="R445" s="131"/>
      <c r="S445" s="131"/>
      <c r="T445" s="129"/>
    </row>
    <row r="446" ht="37.5" customHeight="1">
      <c r="A446" s="129"/>
      <c r="B446" s="130" t="str">
        <f>IFERROR(__xludf.DUMMYFUNCTION("""COMPUTED_VALUE"""),"When Critical occurs: Recover HP by 3%.")</f>
        <v>When Critical occurs: Recover HP by 3%.</v>
      </c>
      <c r="C446" s="130"/>
      <c r="D446" s="129"/>
      <c r="E446" s="131" t="s">
        <v>7052</v>
      </c>
      <c r="F446" s="131" t="s">
        <v>7027</v>
      </c>
      <c r="G446" s="131" t="s">
        <v>7040</v>
      </c>
      <c r="H446" s="131" t="s">
        <v>7038</v>
      </c>
      <c r="I446" s="131" t="s">
        <v>7027</v>
      </c>
      <c r="J446" s="129"/>
      <c r="K446" s="133"/>
      <c r="L446" s="131"/>
      <c r="M446" s="131"/>
      <c r="N446" s="131"/>
      <c r="O446" s="131"/>
      <c r="P446" s="129"/>
      <c r="Q446" s="131"/>
      <c r="R446" s="131"/>
      <c r="S446" s="131"/>
      <c r="T446" s="129"/>
    </row>
    <row r="447" ht="37.5" customHeight="1">
      <c r="A447" s="129"/>
      <c r="B447" s="130" t="str">
        <f>IFERROR(__xludf.DUMMYFUNCTION("""COMPUTED_VALUE"""),"When in the Treasure Area: Reduce damage recieved by 3%.")</f>
        <v>When in the Treasure Area: Reduce damage recieved by 3%.</v>
      </c>
      <c r="C447" s="130"/>
      <c r="D447" s="129"/>
      <c r="E447" s="131" t="s">
        <v>7044</v>
      </c>
      <c r="F447" s="131" t="s">
        <v>7027</v>
      </c>
      <c r="G447" s="131" t="s">
        <v>7037</v>
      </c>
      <c r="H447" s="131" t="s">
        <v>7038</v>
      </c>
      <c r="I447" s="131" t="s">
        <v>7027</v>
      </c>
      <c r="J447" s="129"/>
      <c r="K447" s="133"/>
      <c r="L447" s="131"/>
      <c r="M447" s="131"/>
      <c r="N447" s="131"/>
      <c r="O447" s="131"/>
      <c r="P447" s="129"/>
      <c r="Q447" s="131"/>
      <c r="R447" s="131"/>
      <c r="S447" s="131"/>
      <c r="T447" s="129"/>
    </row>
    <row r="448" ht="37.5" customHeight="1">
      <c r="A448" s="129"/>
      <c r="B448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448" s="130"/>
      <c r="D448" s="129"/>
      <c r="E448" s="131" t="s">
        <v>7045</v>
      </c>
      <c r="F448" s="131" t="s">
        <v>7027</v>
      </c>
      <c r="G448" s="131" t="s">
        <v>7046</v>
      </c>
      <c r="H448" s="131" t="s">
        <v>7093</v>
      </c>
      <c r="I448" s="131" t="s">
        <v>7027</v>
      </c>
      <c r="J448" s="129"/>
      <c r="K448" s="133"/>
      <c r="L448" s="131"/>
      <c r="M448" s="131"/>
      <c r="N448" s="131"/>
      <c r="O448" s="131"/>
      <c r="P448" s="129"/>
      <c r="Q448" s="131"/>
      <c r="R448" s="131"/>
      <c r="S448" s="131"/>
      <c r="T448" s="129"/>
    </row>
    <row r="449" ht="37.5" customHeight="1">
      <c r="A449" s="129"/>
      <c r="B449" s="130" t="str">
        <f>IFERROR(__xludf.DUMMYFUNCTION("""COMPUTED_VALUE"""),"When you Knockback an enemy: Reduce the cooldown time of Skill 1 by 5%.")</f>
        <v>When you Knockback an enemy: Reduce the cooldown time of Skill 1 by 5%.</v>
      </c>
      <c r="C449" s="130"/>
      <c r="D449" s="129"/>
      <c r="E449" s="131" t="s">
        <v>7056</v>
      </c>
      <c r="F449" s="131" t="s">
        <v>7027</v>
      </c>
      <c r="G449" s="131" t="s">
        <v>7058</v>
      </c>
      <c r="H449" s="131" t="s">
        <v>7035</v>
      </c>
      <c r="I449" s="131" t="s">
        <v>7027</v>
      </c>
      <c r="J449" s="129"/>
      <c r="K449" s="133"/>
      <c r="L449" s="131"/>
      <c r="M449" s="131"/>
      <c r="N449" s="131"/>
      <c r="O449" s="131"/>
      <c r="P449" s="129"/>
      <c r="Q449" s="131"/>
      <c r="R449" s="131"/>
      <c r="S449" s="131"/>
      <c r="T449" s="129"/>
    </row>
    <row r="450" ht="37.5" customHeight="1">
      <c r="A450" s="129"/>
      <c r="B450" s="130" t="str">
        <f>IFERROR(__xludf.DUMMYFUNCTION("""COMPUTED_VALUE"""),"When Critical occurs: Reduce the cooldown time of Skill 2 by 2%.")</f>
        <v>When Critical occurs: Reduce the cooldown time of Skill 2 by 2%.</v>
      </c>
      <c r="C450" s="130"/>
      <c r="D450" s="129"/>
      <c r="E450" s="131" t="s">
        <v>7052</v>
      </c>
      <c r="F450" s="131" t="s">
        <v>7027</v>
      </c>
      <c r="G450" s="131" t="s">
        <v>7050</v>
      </c>
      <c r="H450" s="131" t="s">
        <v>7053</v>
      </c>
      <c r="I450" s="131" t="s">
        <v>7027</v>
      </c>
      <c r="J450" s="129"/>
      <c r="K450" s="133"/>
      <c r="L450" s="131"/>
      <c r="M450" s="131"/>
      <c r="N450" s="131"/>
      <c r="O450" s="131"/>
      <c r="P450" s="129"/>
      <c r="Q450" s="131"/>
      <c r="R450" s="131"/>
      <c r="S450" s="131"/>
      <c r="T450" s="129"/>
    </row>
    <row r="451" ht="37.5" customHeight="1">
      <c r="A451" s="129"/>
      <c r="B451" s="130" t="str">
        <f>IFERROR(__xludf.DUMMYFUNCTION("""COMPUTED_VALUE"""),"When you capture the Treasure: Recover HP by 5%.")</f>
        <v>When you capture the Treasure: Recover HP by 5%.</v>
      </c>
      <c r="C451" s="130"/>
      <c r="D451" s="129"/>
      <c r="E451" s="131" t="s">
        <v>7048</v>
      </c>
      <c r="F451" s="131" t="s">
        <v>7027</v>
      </c>
      <c r="G451" s="131" t="s">
        <v>7040</v>
      </c>
      <c r="H451" s="131" t="s">
        <v>7035</v>
      </c>
      <c r="I451" s="131" t="s">
        <v>7027</v>
      </c>
      <c r="J451" s="129"/>
      <c r="K451" s="133"/>
      <c r="L451" s="131"/>
      <c r="M451" s="131"/>
      <c r="N451" s="131"/>
      <c r="O451" s="131"/>
      <c r="P451" s="129"/>
      <c r="Q451" s="131"/>
      <c r="R451" s="131"/>
      <c r="S451" s="131"/>
      <c r="T451" s="129"/>
    </row>
    <row r="452" ht="37.5" customHeight="1">
      <c r="A452" s="129"/>
      <c r="B452" s="130" t="str">
        <f>IFERROR(__xludf.DUMMYFUNCTION("""COMPUTED_VALUE"""),"When enemies are inflicted with Aflame: Recover HP by 2%.")</f>
        <v>When enemies are inflicted with Aflame: Recover HP by 2%.</v>
      </c>
      <c r="C452" s="130"/>
      <c r="D452" s="129"/>
      <c r="E452" s="131" t="s">
        <v>7128</v>
      </c>
      <c r="F452" s="131" t="s">
        <v>7027</v>
      </c>
      <c r="G452" s="131" t="s">
        <v>7040</v>
      </c>
      <c r="H452" s="131" t="s">
        <v>7053</v>
      </c>
      <c r="I452" s="131" t="s">
        <v>7027</v>
      </c>
      <c r="J452" s="129"/>
      <c r="K452" s="133"/>
      <c r="L452" s="131"/>
      <c r="M452" s="131"/>
      <c r="N452" s="131"/>
      <c r="O452" s="131"/>
      <c r="P452" s="129"/>
      <c r="Q452" s="131"/>
      <c r="R452" s="131"/>
      <c r="S452" s="131"/>
      <c r="T452" s="129"/>
    </row>
    <row r="453" ht="37.5" customHeight="1">
      <c r="A453" s="129"/>
      <c r="B453" s="130" t="str">
        <f>IFERROR(__xludf.DUMMYFUNCTION("""COMPUTED_VALUE"""),"When you are in your team`s Treasure Area and the Trasure Gauge is 80% or more: Boost the cooldown reduction speed of Skill 1 by 13%. and Reduce damage recieved by 5%.")</f>
        <v>When you are in your team`s Treasure Area and the Trasure Gauge is 80% or more: Boost the cooldown reduction speed of Skill 1 by 13%. and Reduce damage recieved by 5%.</v>
      </c>
      <c r="C453" s="130"/>
      <c r="D453" s="129"/>
      <c r="E453" s="131" t="s">
        <v>7129</v>
      </c>
      <c r="F453" s="131" t="s">
        <v>7027</v>
      </c>
      <c r="G453" s="131" t="s">
        <v>7046</v>
      </c>
      <c r="H453" s="131" t="s">
        <v>7029</v>
      </c>
      <c r="I453" s="131" t="s">
        <v>7027</v>
      </c>
      <c r="J453" s="129"/>
      <c r="K453" s="133"/>
      <c r="L453" s="131"/>
      <c r="M453" s="131"/>
      <c r="N453" s="131"/>
      <c r="O453" s="131"/>
      <c r="P453" s="129"/>
      <c r="Q453" s="131"/>
      <c r="R453" s="131"/>
      <c r="S453" s="131"/>
      <c r="T453" s="129"/>
    </row>
    <row r="454" ht="37.5" customHeight="1">
      <c r="A454" s="129"/>
      <c r="B454" s="130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C454" s="130"/>
      <c r="D454" s="129"/>
      <c r="E454" s="131" t="s">
        <v>7121</v>
      </c>
      <c r="F454" s="131" t="s">
        <v>7027</v>
      </c>
      <c r="G454" s="131" t="s">
        <v>7037</v>
      </c>
      <c r="H454" s="131" t="s">
        <v>7038</v>
      </c>
      <c r="I454" s="131" t="s">
        <v>7027</v>
      </c>
      <c r="J454" s="129"/>
      <c r="K454" s="133"/>
      <c r="L454" s="131"/>
      <c r="M454" s="131"/>
      <c r="N454" s="131"/>
      <c r="O454" s="131"/>
      <c r="P454" s="129"/>
      <c r="Q454" s="131"/>
      <c r="R454" s="131"/>
      <c r="S454" s="131"/>
      <c r="T454" s="129"/>
    </row>
    <row r="455" ht="37.5" customHeight="1">
      <c r="A455" s="129"/>
      <c r="B455" s="130" t="str">
        <f>IFERROR(__xludf.DUMMYFUNCTION("""COMPUTED_VALUE"""),"When attacked by an enemy whose ATK is boosted: Reduce damage recieved by 5%.")</f>
        <v>When attacked by an enemy whose ATK is boosted: Reduce damage recieved by 5%.</v>
      </c>
      <c r="C455" s="130"/>
      <c r="D455" s="129"/>
      <c r="E455" s="131" t="s">
        <v>7122</v>
      </c>
      <c r="F455" s="131" t="s">
        <v>7027</v>
      </c>
      <c r="G455" s="131" t="s">
        <v>7037</v>
      </c>
      <c r="H455" s="131" t="s">
        <v>7035</v>
      </c>
      <c r="I455" s="131" t="s">
        <v>7027</v>
      </c>
      <c r="J455" s="129"/>
      <c r="K455" s="133"/>
      <c r="L455" s="131"/>
      <c r="M455" s="131"/>
      <c r="N455" s="131"/>
      <c r="O455" s="131"/>
      <c r="P455" s="129"/>
      <c r="Q455" s="131"/>
      <c r="R455" s="131"/>
      <c r="S455" s="131"/>
      <c r="T455" s="129"/>
    </row>
    <row r="456" ht="37.5" customHeight="1">
      <c r="A456" s="129"/>
      <c r="B456" s="130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C456" s="130"/>
      <c r="D456" s="129"/>
      <c r="E456" s="131" t="s">
        <v>7045</v>
      </c>
      <c r="F456" s="131" t="s">
        <v>7027</v>
      </c>
      <c r="G456" s="131" t="s">
        <v>7042</v>
      </c>
      <c r="H456" s="131" t="s">
        <v>7093</v>
      </c>
      <c r="I456" s="131" t="s">
        <v>7027</v>
      </c>
      <c r="J456" s="129"/>
      <c r="K456" s="133"/>
      <c r="L456" s="131"/>
      <c r="M456" s="131"/>
      <c r="N456" s="131"/>
      <c r="O456" s="131"/>
      <c r="P456" s="129"/>
      <c r="Q456" s="131"/>
      <c r="R456" s="131"/>
      <c r="S456" s="131"/>
      <c r="T456" s="129"/>
    </row>
    <row r="457" ht="37.5" customHeight="1">
      <c r="A457" s="129"/>
      <c r="B457" s="130" t="str">
        <f>IFERROR(__xludf.DUMMYFUNCTION("""COMPUTED_VALUE"""),"When attacking an enemy inflicted With Stun: Increase damage dealt by 5%.")</f>
        <v>When attacking an enemy inflicted With Stun: Increase damage dealt by 5%.</v>
      </c>
      <c r="C457" s="130"/>
      <c r="D457" s="129"/>
      <c r="E457" s="131" t="s">
        <v>7101</v>
      </c>
      <c r="F457" s="131" t="s">
        <v>7027</v>
      </c>
      <c r="G457" s="131" t="s">
        <v>7034</v>
      </c>
      <c r="H457" s="131" t="s">
        <v>7035</v>
      </c>
      <c r="I457" s="131" t="s">
        <v>7027</v>
      </c>
      <c r="J457" s="129"/>
      <c r="K457" s="133"/>
      <c r="L457" s="131"/>
      <c r="M457" s="131"/>
      <c r="N457" s="131"/>
      <c r="O457" s="131"/>
      <c r="P457" s="129"/>
      <c r="Q457" s="131"/>
      <c r="R457" s="131"/>
      <c r="S457" s="131"/>
      <c r="T457" s="129"/>
    </row>
    <row r="458" ht="37.5" customHeight="1">
      <c r="A458" s="129"/>
      <c r="B458" s="130" t="str">
        <f>IFERROR(__xludf.DUMMYFUNCTION("""COMPUTED_VALUE"""),"When performing a Perfect Dodge: Reduce the cooldown time of Skill 2 by 4%.")</f>
        <v>When performing a Perfect Dodge: Reduce the cooldown time of Skill 2 by 4%.</v>
      </c>
      <c r="C458" s="130"/>
      <c r="D458" s="129"/>
      <c r="E458" s="131" t="s">
        <v>7057</v>
      </c>
      <c r="F458" s="131" t="s">
        <v>7027</v>
      </c>
      <c r="G458" s="131" t="s">
        <v>7050</v>
      </c>
      <c r="H458" s="131" t="s">
        <v>7051</v>
      </c>
      <c r="I458" s="131" t="s">
        <v>7027</v>
      </c>
      <c r="J458" s="129"/>
      <c r="K458" s="133"/>
      <c r="L458" s="131"/>
      <c r="M458" s="131"/>
      <c r="N458" s="131"/>
      <c r="O458" s="131"/>
      <c r="P458" s="129"/>
      <c r="Q458" s="131"/>
      <c r="R458" s="131"/>
      <c r="S458" s="131"/>
      <c r="T458" s="129"/>
    </row>
    <row r="459" ht="37.5" customHeight="1">
      <c r="A459" s="129"/>
      <c r="B459" s="130" t="str">
        <f>IFERROR(__xludf.DUMMYFUNCTION("""COMPUTED_VALUE"""),"When enemies are inflicted with Shock: Recover HP by 3%.")</f>
        <v>When enemies are inflicted with Shock: Recover HP by 3%.</v>
      </c>
      <c r="C459" s="130"/>
      <c r="D459" s="129"/>
      <c r="E459" s="131" t="s">
        <v>7080</v>
      </c>
      <c r="F459" s="131" t="s">
        <v>7027</v>
      </c>
      <c r="G459" s="131" t="s">
        <v>7040</v>
      </c>
      <c r="H459" s="131" t="s">
        <v>7038</v>
      </c>
      <c r="I459" s="131" t="s">
        <v>7027</v>
      </c>
      <c r="J459" s="129"/>
      <c r="K459" s="133"/>
      <c r="L459" s="131"/>
      <c r="M459" s="131"/>
      <c r="N459" s="131"/>
      <c r="O459" s="131"/>
      <c r="P459" s="129"/>
      <c r="Q459" s="131"/>
      <c r="R459" s="131"/>
      <c r="S459" s="131"/>
      <c r="T459" s="129"/>
    </row>
    <row r="460" ht="37.5" customHeight="1">
      <c r="A460" s="129"/>
      <c r="B460" s="130" t="str">
        <f>IFERROR(__xludf.DUMMYFUNCTION("""COMPUTED_VALUE"""),"When your HP is 70% or more: Boost capture speed by 6%.")</f>
        <v>When your HP is 70% or more: Boost capture speed by 6%.</v>
      </c>
      <c r="C460" s="130"/>
      <c r="D460" s="129"/>
      <c r="E460" s="131" t="s">
        <v>7026</v>
      </c>
      <c r="F460" s="131" t="s">
        <v>7027</v>
      </c>
      <c r="G460" s="131" t="s">
        <v>7031</v>
      </c>
      <c r="H460" s="131" t="s">
        <v>7066</v>
      </c>
      <c r="I460" s="131" t="s">
        <v>7027</v>
      </c>
      <c r="J460" s="129"/>
      <c r="K460" s="133"/>
      <c r="L460" s="131"/>
      <c r="M460" s="131"/>
      <c r="N460" s="131"/>
      <c r="O460" s="131"/>
      <c r="P460" s="129"/>
      <c r="Q460" s="131"/>
      <c r="R460" s="131"/>
      <c r="S460" s="131"/>
      <c r="T460" s="129"/>
    </row>
    <row r="461" ht="37.5" customHeight="1">
      <c r="A461" s="129"/>
      <c r="B461" s="130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C461" s="130"/>
      <c r="D461" s="129"/>
      <c r="E461" s="131" t="s">
        <v>7026</v>
      </c>
      <c r="F461" s="131" t="s">
        <v>7027</v>
      </c>
      <c r="G461" s="131" t="s">
        <v>7046</v>
      </c>
      <c r="H461" s="131" t="s">
        <v>7029</v>
      </c>
      <c r="I461" s="131" t="s">
        <v>7027</v>
      </c>
      <c r="J461" s="129"/>
      <c r="K461" s="133"/>
      <c r="L461" s="131"/>
      <c r="M461" s="131"/>
      <c r="N461" s="131"/>
      <c r="O461" s="131"/>
      <c r="P461" s="129"/>
      <c r="Q461" s="131"/>
      <c r="R461" s="131"/>
      <c r="S461" s="131"/>
      <c r="T461" s="129"/>
    </row>
    <row r="462" ht="37.5" customHeight="1">
      <c r="A462" s="129"/>
      <c r="B462" s="130" t="str">
        <f>IFERROR(__xludf.DUMMYFUNCTION("""COMPUTED_VALUE"""),"When you are in your Enemy`s Treasure Area and the Treasure Gauge is 50% or more: Boost capture speed by 6%.")</f>
        <v>When you are in your Enemy`s Treasure Area and the Treasure Gauge is 50% or more: Boost capture speed by 6%.</v>
      </c>
      <c r="C462" s="130"/>
      <c r="D462" s="129"/>
      <c r="E462" s="131" t="s">
        <v>7030</v>
      </c>
      <c r="F462" s="131" t="s">
        <v>7027</v>
      </c>
      <c r="G462" s="131" t="s">
        <v>7031</v>
      </c>
      <c r="H462" s="131" t="s">
        <v>7066</v>
      </c>
      <c r="I462" s="131" t="s">
        <v>7027</v>
      </c>
      <c r="J462" s="129"/>
      <c r="K462" s="133"/>
      <c r="L462" s="131"/>
      <c r="M462" s="131"/>
      <c r="N462" s="131"/>
      <c r="O462" s="131"/>
      <c r="P462" s="129"/>
      <c r="Q462" s="131"/>
      <c r="R462" s="131"/>
      <c r="S462" s="131"/>
      <c r="T462" s="129"/>
    </row>
    <row r="463" ht="37.5" customHeight="1">
      <c r="A463" s="129"/>
      <c r="B463" s="130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C463" s="130"/>
      <c r="D463" s="129"/>
      <c r="E463" s="131" t="s">
        <v>7059</v>
      </c>
      <c r="F463" s="131" t="s">
        <v>7027</v>
      </c>
      <c r="G463" s="131" t="s">
        <v>7050</v>
      </c>
      <c r="H463" s="131" t="s">
        <v>7038</v>
      </c>
      <c r="I463" s="131" t="s">
        <v>7027</v>
      </c>
      <c r="J463" s="129"/>
      <c r="K463" s="133"/>
      <c r="L463" s="131"/>
      <c r="M463" s="131"/>
      <c r="N463" s="131"/>
      <c r="O463" s="131"/>
      <c r="P463" s="129"/>
      <c r="Q463" s="131"/>
      <c r="R463" s="131"/>
      <c r="S463" s="131"/>
      <c r="T463" s="129"/>
    </row>
    <row r="464" ht="37.5" customHeight="1">
      <c r="A464" s="129"/>
      <c r="B464" s="130" t="str">
        <f>IFERROR(__xludf.DUMMYFUNCTION("""COMPUTED_VALUE"""),"After reciving damage from an enemy which is more than 30% of your max HP: Recover HP by 3%.")</f>
        <v>After reciving damage from an enemy which is more than 30% of your max HP: Recover HP by 3%.</v>
      </c>
      <c r="C464" s="130"/>
      <c r="D464" s="129"/>
      <c r="E464" s="131" t="s">
        <v>7130</v>
      </c>
      <c r="F464" s="131" t="s">
        <v>7027</v>
      </c>
      <c r="G464" s="131" t="s">
        <v>7040</v>
      </c>
      <c r="H464" s="131" t="s">
        <v>7038</v>
      </c>
      <c r="I464" s="131" t="s">
        <v>7027</v>
      </c>
      <c r="J464" s="129"/>
      <c r="K464" s="133"/>
      <c r="L464" s="131"/>
      <c r="M464" s="131"/>
      <c r="N464" s="131"/>
      <c r="O464" s="131"/>
      <c r="P464" s="129"/>
      <c r="Q464" s="131"/>
      <c r="R464" s="131"/>
      <c r="S464" s="131"/>
      <c r="T464" s="129"/>
    </row>
    <row r="465" ht="37.5" customHeight="1">
      <c r="A465" s="129"/>
      <c r="B465" s="130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C465" s="130"/>
      <c r="D465" s="129"/>
      <c r="E465" s="131" t="s">
        <v>7082</v>
      </c>
      <c r="F465" s="131" t="s">
        <v>7027</v>
      </c>
      <c r="G465" s="131" t="s">
        <v>7037</v>
      </c>
      <c r="H465" s="131" t="s">
        <v>7038</v>
      </c>
      <c r="I465" s="131" t="s">
        <v>7027</v>
      </c>
      <c r="J465" s="129"/>
      <c r="K465" s="133"/>
      <c r="L465" s="131"/>
      <c r="M465" s="131"/>
      <c r="N465" s="131"/>
      <c r="O465" s="131"/>
      <c r="P465" s="129"/>
      <c r="Q465" s="131"/>
      <c r="R465" s="131"/>
      <c r="S465" s="131"/>
      <c r="T465" s="129"/>
    </row>
    <row r="466" ht="37.5" customHeight="1">
      <c r="A466" s="129"/>
      <c r="B466" s="130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C466" s="130"/>
      <c r="D466" s="129"/>
      <c r="E466" s="131" t="s">
        <v>7060</v>
      </c>
      <c r="F466" s="131" t="s">
        <v>7027</v>
      </c>
      <c r="G466" s="131" t="s">
        <v>7050</v>
      </c>
      <c r="H466" s="131" t="s">
        <v>7066</v>
      </c>
      <c r="I466" s="131" t="s">
        <v>7027</v>
      </c>
      <c r="J466" s="129"/>
      <c r="K466" s="133"/>
      <c r="L466" s="131"/>
      <c r="M466" s="131"/>
      <c r="N466" s="131"/>
      <c r="O466" s="131"/>
      <c r="P466" s="129"/>
      <c r="Q466" s="131"/>
      <c r="R466" s="131"/>
      <c r="S466" s="131"/>
      <c r="T466" s="129"/>
    </row>
    <row r="467" ht="37.5" customHeight="1">
      <c r="A467" s="129"/>
      <c r="B467" s="130" t="str">
        <f>IFERROR(__xludf.DUMMYFUNCTION("""COMPUTED_VALUE"""),"When a damage_dealing Shock infliction has been nullifed: Reduce the cooldown time of Skill 1 by 6%.")</f>
        <v>When a damage_dealing Shock infliction has been nullifed: Reduce the cooldown time of Skill 1 by 6%.</v>
      </c>
      <c r="C467" s="130"/>
      <c r="D467" s="129"/>
      <c r="E467" s="131" t="s">
        <v>7131</v>
      </c>
      <c r="F467" s="131" t="s">
        <v>7027</v>
      </c>
      <c r="G467" s="131" t="s">
        <v>7058</v>
      </c>
      <c r="H467" s="131" t="s">
        <v>7066</v>
      </c>
      <c r="I467" s="131" t="s">
        <v>7027</v>
      </c>
      <c r="J467" s="129"/>
      <c r="K467" s="133"/>
      <c r="L467" s="131"/>
      <c r="M467" s="131"/>
      <c r="N467" s="131"/>
      <c r="O467" s="131"/>
      <c r="P467" s="129"/>
      <c r="Q467" s="131"/>
      <c r="R467" s="131"/>
      <c r="S467" s="131"/>
      <c r="T467" s="129"/>
    </row>
    <row r="468" ht="37.5" customHeight="1">
      <c r="A468" s="129"/>
      <c r="B468" s="130" t="str">
        <f>IFERROR(__xludf.DUMMYFUNCTION("""COMPUTED_VALUE"""),"When enemies are inflicted with Shock: Reduce the cooldown time of Skill 1 by 6%.")</f>
        <v>When enemies are inflicted with Shock: Reduce the cooldown time of Skill 1 by 6%.</v>
      </c>
      <c r="C468" s="130"/>
      <c r="D468" s="129"/>
      <c r="E468" s="131" t="s">
        <v>7080</v>
      </c>
      <c r="F468" s="131" t="s">
        <v>7027</v>
      </c>
      <c r="G468" s="131" t="s">
        <v>7058</v>
      </c>
      <c r="H468" s="131" t="s">
        <v>7066</v>
      </c>
      <c r="I468" s="131" t="s">
        <v>7027</v>
      </c>
      <c r="J468" s="129"/>
      <c r="K468" s="133"/>
      <c r="L468" s="131"/>
      <c r="M468" s="131"/>
      <c r="N468" s="131"/>
      <c r="O468" s="131"/>
      <c r="P468" s="129"/>
      <c r="Q468" s="131"/>
      <c r="R468" s="131"/>
      <c r="S468" s="131"/>
      <c r="T468" s="129"/>
    </row>
    <row r="469" ht="37.5" customHeight="1">
      <c r="A469" s="129"/>
      <c r="B469" s="130" t="str">
        <f>IFERROR(__xludf.DUMMYFUNCTION("""COMPUTED_VALUE"""),"When you are in your team`s Treasure Area and the Trasure Gauge is 80% or more: Boost the cooldown reduction speed of Skill 1 by 10%. and Boost the cooldown reduction speed of Skill 2 by 10%.")</f>
        <v>When you are in your team`s Treasure Area and the Trasure Gauge is 80% or more: Boost the cooldown reduction speed of Skill 1 by 10%. and Boost the cooldown reduction speed of Skill 2 by 10%.</v>
      </c>
      <c r="C469" s="130"/>
      <c r="D469" s="129"/>
      <c r="E469" s="131" t="s">
        <v>7129</v>
      </c>
      <c r="F469" s="131" t="s">
        <v>7027</v>
      </c>
      <c r="G469" s="131" t="s">
        <v>7046</v>
      </c>
      <c r="H469" s="131" t="s">
        <v>7093</v>
      </c>
      <c r="I469" s="131" t="s">
        <v>7027</v>
      </c>
      <c r="J469" s="129"/>
      <c r="K469" s="133"/>
      <c r="L469" s="131"/>
      <c r="M469" s="131"/>
      <c r="N469" s="131"/>
      <c r="O469" s="131"/>
      <c r="P469" s="129"/>
      <c r="Q469" s="131"/>
      <c r="R469" s="131"/>
      <c r="S469" s="131"/>
      <c r="T469" s="129"/>
    </row>
    <row r="470" ht="37.5" customHeight="1">
      <c r="A470" s="129"/>
      <c r="B470" s="130" t="str">
        <f>IFERROR(__xludf.DUMMYFUNCTION("""COMPUTED_VALUE"""),"When using Skill 2: Reduce the cooldown time of Skill 1 by 5%.")</f>
        <v>When using Skill 2: Reduce the cooldown time of Skill 1 by 5%.</v>
      </c>
      <c r="C470" s="130"/>
      <c r="D470" s="129"/>
      <c r="E470" s="131" t="s">
        <v>7062</v>
      </c>
      <c r="F470" s="131" t="s">
        <v>7027</v>
      </c>
      <c r="G470" s="131" t="s">
        <v>7058</v>
      </c>
      <c r="H470" s="131" t="s">
        <v>7035</v>
      </c>
      <c r="I470" s="131" t="s">
        <v>7027</v>
      </c>
      <c r="J470" s="129"/>
      <c r="K470" s="133"/>
      <c r="L470" s="131"/>
      <c r="M470" s="131"/>
      <c r="N470" s="131"/>
      <c r="O470" s="131"/>
      <c r="P470" s="129"/>
      <c r="Q470" s="131"/>
      <c r="R470" s="131"/>
      <c r="S470" s="131"/>
      <c r="T470" s="129"/>
    </row>
    <row r="471" ht="37.5" customHeight="1">
      <c r="A471" s="129"/>
      <c r="B471" s="130" t="str">
        <f>IFERROR(__xludf.DUMMYFUNCTION("""COMPUTED_VALUE"""),"When your allies are not near the Treasure area where you are at: Boost the cooldown reduction speed of Skill 2 by 10%.")</f>
        <v>When your allies are not near the Treasure area where you are at: Boost the cooldown reduction speed of Skill 2 by 10%.</v>
      </c>
      <c r="C471" s="130"/>
      <c r="D471" s="129"/>
      <c r="E471" s="131" t="s">
        <v>7082</v>
      </c>
      <c r="F471" s="131" t="s">
        <v>7027</v>
      </c>
      <c r="G471" s="131" t="s">
        <v>7042</v>
      </c>
      <c r="H471" s="131" t="s">
        <v>7093</v>
      </c>
      <c r="I471" s="131" t="s">
        <v>7027</v>
      </c>
      <c r="J471" s="129"/>
      <c r="K471" s="133"/>
      <c r="L471" s="131"/>
      <c r="M471" s="131"/>
      <c r="N471" s="131"/>
      <c r="O471" s="131"/>
      <c r="P471" s="129"/>
      <c r="Q471" s="131"/>
      <c r="R471" s="131"/>
      <c r="S471" s="131"/>
      <c r="T471" s="129"/>
    </row>
    <row r="472" ht="37.5" customHeight="1">
      <c r="A472" s="129"/>
      <c r="B472" s="130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C472" s="130"/>
      <c r="D472" s="129"/>
      <c r="E472" s="131" t="s">
        <v>7072</v>
      </c>
      <c r="F472" s="131" t="s">
        <v>7027</v>
      </c>
      <c r="G472" s="131" t="s">
        <v>7046</v>
      </c>
      <c r="H472" s="131" t="s">
        <v>7029</v>
      </c>
      <c r="I472" s="131" t="s">
        <v>7027</v>
      </c>
      <c r="J472" s="129"/>
      <c r="K472" s="133"/>
      <c r="L472" s="131"/>
      <c r="M472" s="131"/>
      <c r="N472" s="131"/>
      <c r="O472" s="131"/>
      <c r="P472" s="129"/>
      <c r="Q472" s="131"/>
      <c r="R472" s="131"/>
      <c r="S472" s="131"/>
      <c r="T472" s="129"/>
    </row>
    <row r="473" ht="37.5" customHeight="1">
      <c r="A473" s="129"/>
      <c r="B473" s="130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C473" s="130"/>
      <c r="D473" s="129"/>
      <c r="E473" s="131" t="s">
        <v>7068</v>
      </c>
      <c r="F473" s="131" t="s">
        <v>7027</v>
      </c>
      <c r="G473" s="131" t="s">
        <v>7046</v>
      </c>
      <c r="H473" s="131" t="s">
        <v>7093</v>
      </c>
      <c r="I473" s="131" t="s">
        <v>7027</v>
      </c>
      <c r="J473" s="129"/>
      <c r="K473" s="133"/>
      <c r="L473" s="131"/>
      <c r="M473" s="131"/>
      <c r="N473" s="131"/>
      <c r="O473" s="131"/>
      <c r="P473" s="129"/>
      <c r="Q473" s="131"/>
      <c r="R473" s="131"/>
      <c r="S473" s="131"/>
      <c r="T473" s="129"/>
    </row>
    <row r="474" ht="37.5" customHeight="1">
      <c r="A474" s="129"/>
      <c r="B474" s="130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C474" s="130"/>
      <c r="D474" s="129"/>
      <c r="E474" s="131" t="s">
        <v>7047</v>
      </c>
      <c r="F474" s="131" t="s">
        <v>7027</v>
      </c>
      <c r="G474" s="131" t="s">
        <v>7034</v>
      </c>
      <c r="H474" s="131" t="s">
        <v>7035</v>
      </c>
      <c r="I474" s="131" t="s">
        <v>7027</v>
      </c>
      <c r="J474" s="129"/>
      <c r="K474" s="133"/>
      <c r="L474" s="131"/>
      <c r="M474" s="131"/>
      <c r="N474" s="131"/>
      <c r="O474" s="131"/>
      <c r="P474" s="129"/>
      <c r="Q474" s="131"/>
      <c r="R474" s="131"/>
      <c r="S474" s="131"/>
      <c r="T474" s="129"/>
    </row>
    <row r="475" ht="37.5" customHeight="1">
      <c r="A475" s="129"/>
      <c r="B475" s="130" t="str">
        <f>IFERROR(__xludf.DUMMYFUNCTION("""COMPUTED_VALUE"""),"When you are in your team`s Treasure Area and the Trasure Gauge is 80% or more: Increase damage dealt by 3%. and Reduce damage recieved by 3%.")</f>
        <v>When you are in your team`s Treasure Area and the Trasure Gauge is 80% or more: Increase damage dealt by 3%. and Reduce damage recieved by 3%.</v>
      </c>
      <c r="C475" s="130"/>
      <c r="D475" s="129"/>
      <c r="E475" s="131" t="s">
        <v>7129</v>
      </c>
      <c r="F475" s="131" t="s">
        <v>7027</v>
      </c>
      <c r="G475" s="131" t="s">
        <v>7034</v>
      </c>
      <c r="H475" s="131" t="s">
        <v>7038</v>
      </c>
      <c r="I475" s="131" t="s">
        <v>7027</v>
      </c>
      <c r="J475" s="129"/>
      <c r="K475" s="133"/>
      <c r="L475" s="131"/>
      <c r="M475" s="131"/>
      <c r="N475" s="131"/>
      <c r="O475" s="131"/>
      <c r="P475" s="129"/>
      <c r="Q475" s="131"/>
      <c r="R475" s="131"/>
      <c r="S475" s="131"/>
      <c r="T475" s="129"/>
    </row>
    <row r="476" ht="37.5" customHeight="1">
      <c r="A476" s="129"/>
      <c r="B476" s="130" t="str">
        <f>IFERROR(__xludf.DUMMYFUNCTION("""COMPUTED_VALUE"""),"When enemies are inflicted with Aflame: Recover HP by 3%.")</f>
        <v>When enemies are inflicted with Aflame: Recover HP by 3%.</v>
      </c>
      <c r="C476" s="130"/>
      <c r="D476" s="129"/>
      <c r="E476" s="131" t="s">
        <v>7128</v>
      </c>
      <c r="F476" s="131" t="s">
        <v>7027</v>
      </c>
      <c r="G476" s="131" t="s">
        <v>7040</v>
      </c>
      <c r="H476" s="131" t="s">
        <v>7038</v>
      </c>
      <c r="I476" s="131" t="s">
        <v>7027</v>
      </c>
      <c r="J476" s="129"/>
      <c r="K476" s="133"/>
      <c r="L476" s="131"/>
      <c r="M476" s="131"/>
      <c r="N476" s="131"/>
      <c r="O476" s="131"/>
      <c r="P476" s="129"/>
      <c r="Q476" s="131"/>
      <c r="R476" s="131"/>
      <c r="S476" s="131"/>
      <c r="T476" s="129"/>
    </row>
    <row r="477" ht="37.5" customHeight="1">
      <c r="A477" s="129"/>
      <c r="B477" s="130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C477" s="130"/>
      <c r="D477" s="129"/>
      <c r="E477" s="131" t="s">
        <v>7082</v>
      </c>
      <c r="F477" s="131" t="s">
        <v>7027</v>
      </c>
      <c r="G477" s="131" t="s">
        <v>7046</v>
      </c>
      <c r="H477" s="131" t="s">
        <v>7093</v>
      </c>
      <c r="I477" s="131" t="s">
        <v>7027</v>
      </c>
      <c r="J477" s="129"/>
      <c r="K477" s="133"/>
      <c r="L477" s="131"/>
      <c r="M477" s="131"/>
      <c r="N477" s="131"/>
      <c r="O477" s="131"/>
      <c r="P477" s="129"/>
      <c r="Q477" s="131"/>
      <c r="R477" s="131"/>
      <c r="S477" s="131"/>
      <c r="T477" s="129"/>
    </row>
    <row r="478" ht="37.5" customHeight="1">
      <c r="A478" s="129"/>
      <c r="B478" s="130" t="str">
        <f>IFERROR(__xludf.DUMMYFUNCTION("""COMPUTED_VALUE"""),"When you capture the Treasure: Recover HP by 5%.")</f>
        <v>When you capture the Treasure: Recover HP by 5%.</v>
      </c>
      <c r="C478" s="130"/>
      <c r="D478" s="129"/>
      <c r="E478" s="131" t="s">
        <v>7048</v>
      </c>
      <c r="F478" s="131" t="s">
        <v>7027</v>
      </c>
      <c r="G478" s="131" t="s">
        <v>7040</v>
      </c>
      <c r="H478" s="131" t="s">
        <v>7035</v>
      </c>
      <c r="I478" s="131" t="s">
        <v>7027</v>
      </c>
      <c r="J478" s="129"/>
      <c r="K478" s="133"/>
      <c r="L478" s="131"/>
      <c r="M478" s="131"/>
      <c r="N478" s="131"/>
      <c r="O478" s="131"/>
      <c r="P478" s="129"/>
      <c r="Q478" s="131"/>
      <c r="R478" s="131"/>
      <c r="S478" s="131"/>
      <c r="T478" s="129"/>
    </row>
    <row r="479" ht="37.5" customHeight="1">
      <c r="A479" s="129"/>
      <c r="B479" s="130" t="str">
        <f>IFERROR(__xludf.DUMMYFUNCTION("""COMPUTED_VALUE"""),"When your HP is 50% or more: Increase Normal Attack damage dealt by 3%.")</f>
        <v>When your HP is 50% or more: Increase Normal Attack damage dealt by 3%.</v>
      </c>
      <c r="C479" s="130"/>
      <c r="D479" s="129"/>
      <c r="E479" s="131" t="s">
        <v>7132</v>
      </c>
      <c r="F479" s="131" t="s">
        <v>7027</v>
      </c>
      <c r="G479" s="131" t="s">
        <v>7081</v>
      </c>
      <c r="H479" s="131" t="s">
        <v>7038</v>
      </c>
      <c r="I479" s="131" t="s">
        <v>7027</v>
      </c>
      <c r="J479" s="129"/>
      <c r="K479" s="133"/>
      <c r="L479" s="131"/>
      <c r="M479" s="131"/>
      <c r="N479" s="131"/>
      <c r="O479" s="131"/>
      <c r="P479" s="129"/>
      <c r="Q479" s="131"/>
      <c r="R479" s="131"/>
      <c r="S479" s="131"/>
      <c r="T479" s="129"/>
    </row>
    <row r="480" ht="37.5" customHeight="1">
      <c r="A480" s="129"/>
      <c r="B480" s="130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C480" s="130"/>
      <c r="D480" s="129"/>
      <c r="E480" s="131" t="s">
        <v>7126</v>
      </c>
      <c r="F480" s="131" t="s">
        <v>7094</v>
      </c>
      <c r="G480" s="131" t="s">
        <v>7050</v>
      </c>
      <c r="H480" s="131" t="s">
        <v>7038</v>
      </c>
      <c r="I480" s="131" t="s">
        <v>7027</v>
      </c>
      <c r="J480" s="129"/>
      <c r="K480" s="133"/>
      <c r="L480" s="131"/>
      <c r="M480" s="131"/>
      <c r="N480" s="131"/>
      <c r="O480" s="131"/>
      <c r="P480" s="129"/>
      <c r="Q480" s="131"/>
      <c r="R480" s="131"/>
      <c r="S480" s="131"/>
      <c r="T480" s="129"/>
    </row>
    <row r="481" ht="37.5" customHeight="1">
      <c r="A481" s="129"/>
      <c r="B481" s="130" t="str">
        <f>IFERROR(__xludf.DUMMYFUNCTION("""COMPUTED_VALUE"""),"When in the area around your enemy`s Treasure: Boost the cooldown reduction speed of Skill 2 by 10%.")</f>
        <v>When in the area around your enemy`s Treasure: Boost the cooldown reduction speed of Skill 2 by 10%.</v>
      </c>
      <c r="C481" s="130"/>
      <c r="D481" s="129"/>
      <c r="E481" s="131" t="s">
        <v>7041</v>
      </c>
      <c r="F481" s="131" t="s">
        <v>7027</v>
      </c>
      <c r="G481" s="131" t="s">
        <v>7042</v>
      </c>
      <c r="H481" s="131" t="s">
        <v>7093</v>
      </c>
      <c r="I481" s="131" t="s">
        <v>7027</v>
      </c>
      <c r="J481" s="129"/>
      <c r="K481" s="133"/>
      <c r="L481" s="131"/>
      <c r="M481" s="131"/>
      <c r="N481" s="131"/>
      <c r="O481" s="131"/>
      <c r="P481" s="129"/>
      <c r="Q481" s="131"/>
      <c r="R481" s="131"/>
      <c r="S481" s="131"/>
      <c r="T481" s="129"/>
    </row>
    <row r="482" ht="37.5" customHeight="1">
      <c r="A482" s="129"/>
      <c r="B482" s="130" t="str">
        <f>IFERROR(__xludf.DUMMYFUNCTION("""COMPUTED_VALUE"""),"When you Down an enemy: Reduce the cooldown time of Skill 2 by 4%.")</f>
        <v>When you Down an enemy: Reduce the cooldown time of Skill 2 by 4%.</v>
      </c>
      <c r="C482" s="130"/>
      <c r="D482" s="129"/>
      <c r="E482" s="131" t="s">
        <v>7120</v>
      </c>
      <c r="F482" s="131" t="s">
        <v>7027</v>
      </c>
      <c r="G482" s="131" t="s">
        <v>7050</v>
      </c>
      <c r="H482" s="131" t="s">
        <v>7051</v>
      </c>
      <c r="I482" s="131" t="s">
        <v>7027</v>
      </c>
      <c r="J482" s="129"/>
      <c r="K482" s="133"/>
      <c r="L482" s="131"/>
      <c r="M482" s="131"/>
      <c r="N482" s="131"/>
      <c r="O482" s="131"/>
      <c r="P482" s="129"/>
      <c r="Q482" s="131"/>
      <c r="R482" s="131"/>
      <c r="S482" s="131"/>
      <c r="T482" s="129"/>
    </row>
    <row r="483" ht="37.5" customHeight="1">
      <c r="A483" s="129"/>
      <c r="B483" s="130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C483" s="130"/>
      <c r="D483" s="129"/>
      <c r="E483" s="131" t="s">
        <v>7072</v>
      </c>
      <c r="F483" s="131" t="s">
        <v>7027</v>
      </c>
      <c r="G483" s="131" t="s">
        <v>7046</v>
      </c>
      <c r="H483" s="131" t="s">
        <v>7093</v>
      </c>
      <c r="I483" s="131" t="s">
        <v>7027</v>
      </c>
      <c r="J483" s="129"/>
      <c r="K483" s="133"/>
      <c r="L483" s="131"/>
      <c r="M483" s="131"/>
      <c r="N483" s="131"/>
      <c r="O483" s="131"/>
      <c r="P483" s="129"/>
      <c r="Q483" s="131"/>
      <c r="R483" s="131"/>
      <c r="S483" s="131"/>
      <c r="T483" s="129"/>
    </row>
    <row r="484" ht="37.5" customHeight="1">
      <c r="A484" s="129"/>
      <c r="B484" s="130" t="str">
        <f>IFERROR(__xludf.DUMMYFUNCTION("""COMPUTED_VALUE"""),"When you or an ally captures Treasure: Recover HP by 3%.")</f>
        <v>When you or an ally captures Treasure: Recover HP by 3%.</v>
      </c>
      <c r="C484" s="130"/>
      <c r="D484" s="129"/>
      <c r="E484" s="131" t="s">
        <v>7119</v>
      </c>
      <c r="F484" s="131" t="s">
        <v>7027</v>
      </c>
      <c r="G484" s="131" t="s">
        <v>7040</v>
      </c>
      <c r="H484" s="131" t="s">
        <v>7038</v>
      </c>
      <c r="I484" s="131" t="s">
        <v>7027</v>
      </c>
      <c r="J484" s="129"/>
      <c r="K484" s="133"/>
      <c r="L484" s="131"/>
      <c r="M484" s="131"/>
      <c r="N484" s="131"/>
      <c r="O484" s="131"/>
      <c r="P484" s="129"/>
      <c r="Q484" s="131"/>
      <c r="R484" s="131"/>
      <c r="S484" s="131"/>
      <c r="T484" s="129"/>
    </row>
    <row r="485" ht="37.5" customHeight="1">
      <c r="A485" s="129"/>
      <c r="B485" s="130" t="str">
        <f>IFERROR(__xludf.DUMMYFUNCTION("""COMPUTED_VALUE"""),"When attacking an enemy whose ATK are boosted: Increase damage dealt by 3%.")</f>
        <v>When attacking an enemy whose ATK are boosted: Increase damage dealt by 3%.</v>
      </c>
      <c r="C485" s="130"/>
      <c r="D485" s="129"/>
      <c r="E485" s="131" t="s">
        <v>7118</v>
      </c>
      <c r="F485" s="131" t="s">
        <v>7027</v>
      </c>
      <c r="G485" s="131" t="s">
        <v>7034</v>
      </c>
      <c r="H485" s="131" t="s">
        <v>7038</v>
      </c>
      <c r="I485" s="131" t="s">
        <v>7027</v>
      </c>
      <c r="J485" s="129"/>
      <c r="K485" s="133"/>
      <c r="L485" s="131"/>
      <c r="M485" s="131"/>
      <c r="N485" s="131"/>
      <c r="O485" s="131"/>
      <c r="P485" s="129"/>
      <c r="Q485" s="131"/>
      <c r="R485" s="131"/>
      <c r="S485" s="131"/>
      <c r="T485" s="129"/>
    </row>
    <row r="486" ht="37.5" customHeight="1">
      <c r="A486" s="129"/>
      <c r="B486" s="130" t="str">
        <f>IFERROR(__xludf.DUMMYFUNCTION("""COMPUTED_VALUE"""),"When attacked by an enemy whose ATK is boosted: Reduce damage recieved by 5%.")</f>
        <v>When attacked by an enemy whose ATK is boosted: Reduce damage recieved by 5%.</v>
      </c>
      <c r="C486" s="130"/>
      <c r="D486" s="129"/>
      <c r="E486" s="131" t="s">
        <v>7122</v>
      </c>
      <c r="F486" s="131" t="s">
        <v>7027</v>
      </c>
      <c r="G486" s="131" t="s">
        <v>7037</v>
      </c>
      <c r="H486" s="131" t="s">
        <v>7035</v>
      </c>
      <c r="I486" s="131" t="s">
        <v>7027</v>
      </c>
      <c r="J486" s="129"/>
      <c r="K486" s="133"/>
      <c r="L486" s="131"/>
      <c r="M486" s="131"/>
      <c r="N486" s="131"/>
      <c r="O486" s="131"/>
      <c r="P486" s="129"/>
      <c r="Q486" s="131"/>
      <c r="R486" s="131"/>
      <c r="S486" s="131"/>
      <c r="T486" s="129"/>
    </row>
    <row r="487" ht="37.5" customHeight="1">
      <c r="A487" s="129"/>
      <c r="B487" s="130" t="str">
        <f>IFERROR(__xludf.DUMMYFUNCTION("""COMPUTED_VALUE"""),"When your team has more Treasure secured: Reduce damage recieved by 3%.")</f>
        <v>When your team has more Treasure secured: Reduce damage recieved by 3%.</v>
      </c>
      <c r="C487" s="130"/>
      <c r="D487" s="129"/>
      <c r="E487" s="131" t="s">
        <v>7070</v>
      </c>
      <c r="F487" s="131" t="s">
        <v>7027</v>
      </c>
      <c r="G487" s="131" t="s">
        <v>7037</v>
      </c>
      <c r="H487" s="131" t="s">
        <v>7038</v>
      </c>
      <c r="I487" s="131" t="s">
        <v>7027</v>
      </c>
      <c r="J487" s="129"/>
      <c r="K487" s="133"/>
      <c r="L487" s="131"/>
      <c r="M487" s="131"/>
      <c r="N487" s="131"/>
      <c r="O487" s="131"/>
      <c r="P487" s="129"/>
      <c r="Q487" s="131"/>
      <c r="R487" s="131"/>
      <c r="S487" s="131"/>
      <c r="T487" s="129"/>
    </row>
    <row r="488" ht="37.5" customHeight="1">
      <c r="A488" s="129"/>
      <c r="B488" s="130" t="str">
        <f>IFERROR(__xludf.DUMMYFUNCTION("""COMPUTED_VALUE"""),"When your team loses the Treasure: Reduce the cooldown time of Skill 1 by 8%.")</f>
        <v>When your team loses the Treasure: Reduce the cooldown time of Skill 1 by 8%.</v>
      </c>
      <c r="C488" s="130"/>
      <c r="D488" s="129"/>
      <c r="E488" s="131" t="s">
        <v>7105</v>
      </c>
      <c r="F488" s="131" t="s">
        <v>7027</v>
      </c>
      <c r="G488" s="131" t="s">
        <v>7058</v>
      </c>
      <c r="H488" s="131" t="s">
        <v>7032</v>
      </c>
      <c r="I488" s="131" t="s">
        <v>7027</v>
      </c>
      <c r="J488" s="129"/>
      <c r="K488" s="133"/>
      <c r="L488" s="131"/>
      <c r="M488" s="131"/>
      <c r="N488" s="131"/>
      <c r="O488" s="131"/>
      <c r="P488" s="129"/>
      <c r="Q488" s="131"/>
      <c r="R488" s="131"/>
      <c r="S488" s="131"/>
      <c r="T488" s="129"/>
    </row>
    <row r="489" ht="37.5" customHeight="1">
      <c r="A489" s="129"/>
      <c r="B489" s="130" t="str">
        <f>IFERROR(__xludf.DUMMYFUNCTION("""COMPUTED_VALUE"""),"When performing a Perfect Dodge: Reduce the cooldown time of Skill 2 by 4%.")</f>
        <v>When performing a Perfect Dodge: Reduce the cooldown time of Skill 2 by 4%.</v>
      </c>
      <c r="C489" s="130"/>
      <c r="D489" s="129"/>
      <c r="E489" s="131" t="s">
        <v>7057</v>
      </c>
      <c r="F489" s="131" t="s">
        <v>7027</v>
      </c>
      <c r="G489" s="131" t="s">
        <v>7050</v>
      </c>
      <c r="H489" s="131" t="s">
        <v>7051</v>
      </c>
      <c r="I489" s="131" t="s">
        <v>7027</v>
      </c>
      <c r="J489" s="129"/>
      <c r="K489" s="133"/>
      <c r="L489" s="131"/>
      <c r="M489" s="131"/>
      <c r="N489" s="131"/>
      <c r="O489" s="131"/>
      <c r="P489" s="129"/>
      <c r="Q489" s="131"/>
      <c r="R489" s="131"/>
      <c r="S489" s="131"/>
      <c r="T489" s="129"/>
    </row>
    <row r="490" ht="37.5" customHeight="1">
      <c r="A490" s="129"/>
      <c r="B490" s="130" t="str">
        <f>IFERROR(__xludf.DUMMYFUNCTION("""COMPUTED_VALUE"""),"When the equipped character is character type ``Straw Hat Pirates``: Increase Normal Attack damage dealt by 5%.")</f>
        <v>When the equipped character is character type ``Straw Hat Pirates``: Increase Normal Attack damage dealt by 5%.</v>
      </c>
      <c r="C490" s="130"/>
      <c r="D490" s="129"/>
      <c r="E490" s="131" t="s">
        <v>7133</v>
      </c>
      <c r="F490" s="131" t="s">
        <v>7027</v>
      </c>
      <c r="G490" s="131" t="s">
        <v>7081</v>
      </c>
      <c r="H490" s="131" t="s">
        <v>7035</v>
      </c>
      <c r="I490" s="131" t="s">
        <v>7027</v>
      </c>
      <c r="J490" s="129"/>
      <c r="K490" s="133"/>
      <c r="L490" s="131"/>
      <c r="M490" s="131"/>
      <c r="N490" s="131"/>
      <c r="O490" s="131"/>
      <c r="P490" s="129"/>
      <c r="Q490" s="131"/>
      <c r="R490" s="131"/>
      <c r="S490" s="131"/>
      <c r="T490" s="129"/>
    </row>
    <row r="491" ht="37.5" customHeight="1">
      <c r="A491" s="129"/>
      <c r="B491" s="130" t="str">
        <f>IFERROR(__xludf.DUMMYFUNCTION("""COMPUTED_VALUE"""),"When your allies are near the Treasure area where you are at: Boost the cooldown reduction speed of Skill 2 by 10%.")</f>
        <v>When your allies are near the Treasure area where you are at: Boost the cooldown reduction speed of Skill 2 by 10%.</v>
      </c>
      <c r="C491" s="130"/>
      <c r="D491" s="129"/>
      <c r="E491" s="131" t="s">
        <v>7072</v>
      </c>
      <c r="F491" s="131" t="s">
        <v>7027</v>
      </c>
      <c r="G491" s="131" t="s">
        <v>7042</v>
      </c>
      <c r="H491" s="131" t="s">
        <v>7093</v>
      </c>
      <c r="I491" s="131" t="s">
        <v>7027</v>
      </c>
      <c r="J491" s="129"/>
      <c r="K491" s="133"/>
      <c r="L491" s="131"/>
      <c r="M491" s="131"/>
      <c r="N491" s="131"/>
      <c r="O491" s="131"/>
      <c r="P491" s="129"/>
      <c r="Q491" s="131"/>
      <c r="R491" s="131"/>
      <c r="S491" s="131"/>
      <c r="T491" s="129"/>
    </row>
    <row r="492" ht="37.5" customHeight="1">
      <c r="A492" s="129"/>
      <c r="B492" s="130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C492" s="130"/>
      <c r="D492" s="129"/>
      <c r="E492" s="131" t="s">
        <v>7072</v>
      </c>
      <c r="F492" s="131" t="s">
        <v>7027</v>
      </c>
      <c r="G492" s="131" t="s">
        <v>7037</v>
      </c>
      <c r="H492" s="131" t="s">
        <v>7035</v>
      </c>
      <c r="I492" s="131" t="s">
        <v>7027</v>
      </c>
      <c r="J492" s="129"/>
      <c r="K492" s="133"/>
      <c r="L492" s="131"/>
      <c r="M492" s="131"/>
      <c r="N492" s="131"/>
      <c r="O492" s="131"/>
      <c r="P492" s="129"/>
      <c r="Q492" s="131"/>
      <c r="R492" s="131"/>
      <c r="S492" s="131"/>
      <c r="T492" s="129"/>
    </row>
    <row r="493" ht="37.5" customHeight="1">
      <c r="A493" s="129"/>
      <c r="B493" s="130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C493" s="130"/>
      <c r="D493" s="129"/>
      <c r="E493" s="131" t="s">
        <v>7082</v>
      </c>
      <c r="F493" s="131" t="s">
        <v>7027</v>
      </c>
      <c r="G493" s="131" t="s">
        <v>7037</v>
      </c>
      <c r="H493" s="131" t="s">
        <v>7038</v>
      </c>
      <c r="I493" s="131" t="s">
        <v>7027</v>
      </c>
      <c r="J493" s="129"/>
      <c r="K493" s="133"/>
      <c r="L493" s="131"/>
      <c r="M493" s="131"/>
      <c r="N493" s="131"/>
      <c r="O493" s="131"/>
      <c r="P493" s="129"/>
      <c r="Q493" s="131"/>
      <c r="R493" s="131"/>
      <c r="S493" s="131"/>
      <c r="T493" s="129"/>
    </row>
    <row r="494" ht="37.5" customHeight="1">
      <c r="A494" s="129"/>
      <c r="B494" s="130" t="str">
        <f>IFERROR(__xludf.DUMMYFUNCTION("""COMPUTED_VALUE"""),"After KOing an enemy: Recover HP by 5%.")</f>
        <v>After KOing an enemy: Recover HP by 5%.</v>
      </c>
      <c r="C494" s="130"/>
      <c r="D494" s="129"/>
      <c r="E494" s="131" t="s">
        <v>7039</v>
      </c>
      <c r="F494" s="131" t="s">
        <v>7027</v>
      </c>
      <c r="G494" s="131" t="s">
        <v>7040</v>
      </c>
      <c r="H494" s="131" t="s">
        <v>7035</v>
      </c>
      <c r="I494" s="131" t="s">
        <v>7027</v>
      </c>
      <c r="J494" s="129"/>
      <c r="K494" s="133"/>
      <c r="L494" s="131"/>
      <c r="M494" s="131"/>
      <c r="N494" s="131"/>
      <c r="O494" s="131"/>
      <c r="P494" s="129"/>
      <c r="Q494" s="131"/>
      <c r="R494" s="131"/>
      <c r="S494" s="131"/>
      <c r="T494" s="129"/>
    </row>
    <row r="495" ht="37.5" customHeight="1">
      <c r="A495" s="129"/>
      <c r="B495" s="130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495" s="130"/>
      <c r="D495" s="129"/>
      <c r="E495" s="131" t="s">
        <v>7026</v>
      </c>
      <c r="F495" s="131" t="s">
        <v>7027</v>
      </c>
      <c r="G495" s="131" t="s">
        <v>7042</v>
      </c>
      <c r="H495" s="131" t="s">
        <v>7093</v>
      </c>
      <c r="I495" s="131" t="s">
        <v>7027</v>
      </c>
      <c r="J495" s="129"/>
      <c r="K495" s="133"/>
      <c r="L495" s="131"/>
      <c r="M495" s="131"/>
      <c r="N495" s="131"/>
      <c r="O495" s="131"/>
      <c r="P495" s="129"/>
      <c r="Q495" s="131"/>
      <c r="R495" s="131"/>
      <c r="S495" s="131"/>
      <c r="T495" s="129"/>
    </row>
    <row r="496" ht="37.5" customHeight="1">
      <c r="A496" s="129"/>
      <c r="B496" s="130" t="str">
        <f>IFERROR(__xludf.DUMMYFUNCTION("""COMPUTED_VALUE"""),"When Critical occurs: Reduce the cooldown time of Skill 1 by 3%.")</f>
        <v>When Critical occurs: Reduce the cooldown time of Skill 1 by 3%.</v>
      </c>
      <c r="C496" s="130"/>
      <c r="D496" s="129"/>
      <c r="E496" s="131" t="s">
        <v>7052</v>
      </c>
      <c r="F496" s="131" t="s">
        <v>7027</v>
      </c>
      <c r="G496" s="131" t="s">
        <v>7058</v>
      </c>
      <c r="H496" s="131" t="s">
        <v>7038</v>
      </c>
      <c r="I496" s="131" t="s">
        <v>7027</v>
      </c>
      <c r="J496" s="129"/>
      <c r="K496" s="133"/>
      <c r="L496" s="131"/>
      <c r="M496" s="131"/>
      <c r="N496" s="131"/>
      <c r="O496" s="131"/>
      <c r="P496" s="129"/>
      <c r="Q496" s="131"/>
      <c r="R496" s="131"/>
      <c r="S496" s="131"/>
      <c r="T496" s="129"/>
    </row>
    <row r="497" ht="37.5" customHeight="1">
      <c r="A497" s="129"/>
      <c r="B497" s="130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C497" s="130"/>
      <c r="D497" s="129"/>
      <c r="E497" s="131" t="s">
        <v>7082</v>
      </c>
      <c r="F497" s="131" t="s">
        <v>7027</v>
      </c>
      <c r="G497" s="131" t="s">
        <v>7046</v>
      </c>
      <c r="H497" s="131" t="s">
        <v>7093</v>
      </c>
      <c r="I497" s="131" t="s">
        <v>7027</v>
      </c>
      <c r="J497" s="129"/>
      <c r="K497" s="133"/>
      <c r="L497" s="131"/>
      <c r="M497" s="131"/>
      <c r="N497" s="131"/>
      <c r="O497" s="131"/>
      <c r="P497" s="129"/>
      <c r="Q497" s="131"/>
      <c r="R497" s="131"/>
      <c r="S497" s="131"/>
      <c r="T497" s="129"/>
    </row>
    <row r="498" ht="37.5" customHeight="1">
      <c r="A498" s="129"/>
      <c r="B498" s="130" t="str">
        <f>IFERROR(__xludf.DUMMYFUNCTION("""COMPUTED_VALUE"""),"When you Knockback an enemy: Reduce the cooldown time of Skill 1 by 5%.")</f>
        <v>When you Knockback an enemy: Reduce the cooldown time of Skill 1 by 5%.</v>
      </c>
      <c r="C498" s="130"/>
      <c r="D498" s="129"/>
      <c r="E498" s="131" t="s">
        <v>7056</v>
      </c>
      <c r="F498" s="131" t="s">
        <v>7027</v>
      </c>
      <c r="G498" s="131" t="s">
        <v>7058</v>
      </c>
      <c r="H498" s="131" t="s">
        <v>7035</v>
      </c>
      <c r="I498" s="131" t="s">
        <v>7027</v>
      </c>
      <c r="J498" s="129"/>
      <c r="K498" s="133"/>
      <c r="L498" s="131"/>
      <c r="M498" s="131"/>
      <c r="N498" s="131"/>
      <c r="O498" s="131"/>
      <c r="P498" s="129"/>
      <c r="Q498" s="131"/>
      <c r="R498" s="131"/>
      <c r="S498" s="131"/>
      <c r="T498" s="129"/>
    </row>
    <row r="499" ht="37.5" customHeight="1">
      <c r="A499" s="129"/>
      <c r="B499" s="130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C499" s="130"/>
      <c r="D499" s="129"/>
      <c r="E499" s="131" t="s">
        <v>7059</v>
      </c>
      <c r="F499" s="131" t="s">
        <v>7027</v>
      </c>
      <c r="G499" s="131" t="s">
        <v>7058</v>
      </c>
      <c r="H499" s="131" t="s">
        <v>7038</v>
      </c>
      <c r="I499" s="131" t="s">
        <v>7027</v>
      </c>
      <c r="J499" s="129"/>
      <c r="K499" s="133"/>
      <c r="L499" s="131"/>
      <c r="M499" s="131"/>
      <c r="N499" s="131"/>
      <c r="O499" s="131"/>
      <c r="P499" s="129"/>
      <c r="Q499" s="131"/>
      <c r="R499" s="131"/>
      <c r="S499" s="131"/>
      <c r="T499" s="129"/>
    </row>
    <row r="500" ht="37.5" customHeight="1">
      <c r="A500" s="129"/>
      <c r="B500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500" s="130"/>
      <c r="D500" s="129"/>
      <c r="E500" s="131" t="s">
        <v>7045</v>
      </c>
      <c r="F500" s="131" t="s">
        <v>7027</v>
      </c>
      <c r="G500" s="131" t="s">
        <v>7046</v>
      </c>
      <c r="H500" s="131" t="s">
        <v>7093</v>
      </c>
      <c r="I500" s="131" t="s">
        <v>7027</v>
      </c>
      <c r="J500" s="129"/>
      <c r="K500" s="133"/>
      <c r="L500" s="131"/>
      <c r="M500" s="131"/>
      <c r="N500" s="131"/>
      <c r="O500" s="131"/>
      <c r="P500" s="129"/>
      <c r="Q500" s="131"/>
      <c r="R500" s="131"/>
      <c r="S500" s="131"/>
      <c r="T500" s="129"/>
    </row>
    <row r="501" ht="37.5" customHeight="1">
      <c r="A501" s="129"/>
      <c r="B501" s="130" t="str">
        <f>IFERROR(__xludf.DUMMYFUNCTION("""COMPUTED_VALUE"""),"When you capture the Treasure: Reduce the cooldown time of Skill 1 by 6%.")</f>
        <v>When you capture the Treasure: Reduce the cooldown time of Skill 1 by 6%.</v>
      </c>
      <c r="C501" s="130"/>
      <c r="D501" s="129"/>
      <c r="E501" s="131" t="s">
        <v>7048</v>
      </c>
      <c r="F501" s="131" t="s">
        <v>7027</v>
      </c>
      <c r="G501" s="131" t="s">
        <v>7058</v>
      </c>
      <c r="H501" s="131" t="s">
        <v>7066</v>
      </c>
      <c r="I501" s="131" t="s">
        <v>7027</v>
      </c>
      <c r="J501" s="129"/>
      <c r="K501" s="133"/>
      <c r="L501" s="131"/>
      <c r="M501" s="131"/>
      <c r="N501" s="131"/>
      <c r="O501" s="131"/>
      <c r="P501" s="129"/>
      <c r="Q501" s="131"/>
      <c r="R501" s="131"/>
      <c r="S501" s="131"/>
      <c r="T501" s="129"/>
    </row>
    <row r="502" ht="37.5" customHeight="1">
      <c r="A502" s="129"/>
      <c r="B502" s="130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C502" s="130"/>
      <c r="D502" s="129"/>
      <c r="E502" s="131" t="s">
        <v>7041</v>
      </c>
      <c r="F502" s="131" t="s">
        <v>7027</v>
      </c>
      <c r="G502" s="131" t="s">
        <v>7046</v>
      </c>
      <c r="H502" s="131" t="s">
        <v>7029</v>
      </c>
      <c r="I502" s="131" t="s">
        <v>7027</v>
      </c>
      <c r="J502" s="129"/>
      <c r="K502" s="133"/>
      <c r="L502" s="131"/>
      <c r="M502" s="131"/>
      <c r="N502" s="131"/>
      <c r="O502" s="131"/>
      <c r="P502" s="129"/>
      <c r="Q502" s="131"/>
      <c r="R502" s="131"/>
      <c r="S502" s="131"/>
      <c r="T502" s="129"/>
    </row>
    <row r="503" ht="37.5" customHeight="1">
      <c r="A503" s="129"/>
      <c r="B503" s="130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503" s="130"/>
      <c r="D503" s="129"/>
      <c r="E503" s="131" t="s">
        <v>7026</v>
      </c>
      <c r="F503" s="131" t="s">
        <v>7027</v>
      </c>
      <c r="G503" s="131" t="s">
        <v>7042</v>
      </c>
      <c r="H503" s="131" t="s">
        <v>7093</v>
      </c>
      <c r="I503" s="131" t="s">
        <v>7027</v>
      </c>
      <c r="J503" s="129"/>
      <c r="K503" s="133"/>
      <c r="L503" s="131"/>
      <c r="M503" s="131"/>
      <c r="N503" s="131"/>
      <c r="O503" s="131"/>
      <c r="P503" s="129"/>
      <c r="Q503" s="131"/>
      <c r="R503" s="131"/>
      <c r="S503" s="131"/>
      <c r="T503" s="129"/>
    </row>
    <row r="504" ht="37.5" customHeight="1">
      <c r="A504" s="129"/>
      <c r="B504" s="130" t="str">
        <f>IFERROR(__xludf.DUMMYFUNCTION("""COMPUTED_VALUE"""),"When you Down an enemy: Reduce the cooldown time of Skill 1 by 4%.")</f>
        <v>When you Down an enemy: Reduce the cooldown time of Skill 1 by 4%.</v>
      </c>
      <c r="C504" s="130"/>
      <c r="D504" s="129"/>
      <c r="E504" s="131" t="s">
        <v>7120</v>
      </c>
      <c r="F504" s="131" t="s">
        <v>7027</v>
      </c>
      <c r="G504" s="131" t="s">
        <v>7058</v>
      </c>
      <c r="H504" s="131" t="s">
        <v>7051</v>
      </c>
      <c r="I504" s="131" t="s">
        <v>7027</v>
      </c>
      <c r="J504" s="129"/>
      <c r="K504" s="133"/>
      <c r="L504" s="131"/>
      <c r="M504" s="131"/>
      <c r="N504" s="131"/>
      <c r="O504" s="131"/>
      <c r="P504" s="129"/>
      <c r="Q504" s="131"/>
      <c r="R504" s="131"/>
      <c r="S504" s="131"/>
      <c r="T504" s="129"/>
    </row>
    <row r="505" ht="37.5" customHeight="1">
      <c r="A505" s="129"/>
      <c r="B505" s="130" t="str">
        <f>IFERROR(__xludf.DUMMYFUNCTION("""COMPUTED_VALUE"""),"When performing a Perfect Dodge: Reduce the cooldown time of Skill 1 by 4%.")</f>
        <v>When performing a Perfect Dodge: Reduce the cooldown time of Skill 1 by 4%.</v>
      </c>
      <c r="C505" s="130"/>
      <c r="D505" s="129"/>
      <c r="E505" s="131" t="s">
        <v>7057</v>
      </c>
      <c r="F505" s="131" t="s">
        <v>7027</v>
      </c>
      <c r="G505" s="131" t="s">
        <v>7058</v>
      </c>
      <c r="H505" s="131" t="s">
        <v>7051</v>
      </c>
      <c r="I505" s="131" t="s">
        <v>7027</v>
      </c>
      <c r="J505" s="129"/>
      <c r="K505" s="133"/>
      <c r="L505" s="131"/>
      <c r="M505" s="131"/>
      <c r="N505" s="131"/>
      <c r="O505" s="131"/>
      <c r="P505" s="129"/>
      <c r="Q505" s="131"/>
      <c r="R505" s="131"/>
      <c r="S505" s="131"/>
      <c r="T505" s="129"/>
    </row>
    <row r="506" ht="37.5" customHeight="1">
      <c r="A506" s="129"/>
      <c r="B506" s="130" t="str">
        <f>IFERROR(__xludf.DUMMYFUNCTION("""COMPUTED_VALUE"""),"When using Skill 1: Reduce the cooldown time of Skill 2 by 5%.")</f>
        <v>When using Skill 1: Reduce the cooldown time of Skill 2 by 5%.</v>
      </c>
      <c r="C506" s="130"/>
      <c r="D506" s="129"/>
      <c r="E506" s="131" t="s">
        <v>7075</v>
      </c>
      <c r="F506" s="131" t="s">
        <v>7027</v>
      </c>
      <c r="G506" s="131" t="s">
        <v>7050</v>
      </c>
      <c r="H506" s="131" t="s">
        <v>7035</v>
      </c>
      <c r="I506" s="131" t="s">
        <v>7027</v>
      </c>
      <c r="J506" s="129"/>
      <c r="K506" s="133"/>
      <c r="L506" s="131"/>
      <c r="M506" s="131"/>
      <c r="N506" s="131"/>
      <c r="O506" s="131"/>
      <c r="P506" s="129"/>
      <c r="Q506" s="131"/>
      <c r="R506" s="131"/>
      <c r="S506" s="131"/>
      <c r="T506" s="129"/>
    </row>
    <row r="507" ht="37.5" customHeight="1">
      <c r="A507" s="129"/>
      <c r="B507" s="130" t="str">
        <f>IFERROR(__xludf.DUMMYFUNCTION("""COMPUTED_VALUE"""),"When inflicted with Shock by enemies: Reduce the cooldown time of Skill 1 by 6%.")</f>
        <v>When inflicted with Shock by enemies: Reduce the cooldown time of Skill 1 by 6%.</v>
      </c>
      <c r="C507" s="130"/>
      <c r="D507" s="129"/>
      <c r="E507" s="131" t="s">
        <v>7134</v>
      </c>
      <c r="F507" s="131" t="s">
        <v>7027</v>
      </c>
      <c r="G507" s="131" t="s">
        <v>7058</v>
      </c>
      <c r="H507" s="131" t="s">
        <v>7066</v>
      </c>
      <c r="I507" s="131" t="s">
        <v>7027</v>
      </c>
      <c r="J507" s="129"/>
      <c r="K507" s="133"/>
      <c r="L507" s="131"/>
      <c r="M507" s="131"/>
      <c r="N507" s="131"/>
      <c r="O507" s="131"/>
      <c r="P507" s="129"/>
      <c r="Q507" s="131"/>
      <c r="R507" s="131"/>
      <c r="S507" s="131"/>
      <c r="T507" s="129"/>
    </row>
    <row r="508" ht="37.5" customHeight="1">
      <c r="A508" s="129"/>
      <c r="B508" s="130" t="str">
        <f>IFERROR(__xludf.DUMMYFUNCTION("""COMPUTED_VALUE"""),"When inflicted with Shock by enemies: Recover HP by 3%.")</f>
        <v>When inflicted with Shock by enemies: Recover HP by 3%.</v>
      </c>
      <c r="C508" s="130"/>
      <c r="D508" s="129"/>
      <c r="E508" s="131" t="s">
        <v>7134</v>
      </c>
      <c r="F508" s="131" t="s">
        <v>7027</v>
      </c>
      <c r="G508" s="131" t="s">
        <v>7040</v>
      </c>
      <c r="H508" s="131" t="s">
        <v>7038</v>
      </c>
      <c r="I508" s="131" t="s">
        <v>7027</v>
      </c>
      <c r="J508" s="129"/>
      <c r="K508" s="133"/>
      <c r="L508" s="131"/>
      <c r="M508" s="131"/>
      <c r="N508" s="131"/>
      <c r="O508" s="131"/>
      <c r="P508" s="129"/>
      <c r="Q508" s="131"/>
      <c r="R508" s="131"/>
      <c r="S508" s="131"/>
      <c r="T508" s="129"/>
    </row>
    <row r="509" ht="37.5" customHeight="1">
      <c r="A509" s="129"/>
      <c r="B509" s="130" t="str">
        <f>IFERROR(__xludf.DUMMYFUNCTION("""COMPUTED_VALUE"""),"When your allies are not near the Treasure area where you are at: Reduce damage recieved by 5%.")</f>
        <v>When your allies are not near the Treasure area where you are at: Reduce damage recieved by 5%.</v>
      </c>
      <c r="C509" s="130"/>
      <c r="D509" s="129"/>
      <c r="E509" s="131" t="s">
        <v>7082</v>
      </c>
      <c r="F509" s="131" t="s">
        <v>7027</v>
      </c>
      <c r="G509" s="131" t="s">
        <v>7037</v>
      </c>
      <c r="H509" s="131" t="s">
        <v>7035</v>
      </c>
      <c r="I509" s="131" t="s">
        <v>7027</v>
      </c>
      <c r="J509" s="129"/>
      <c r="K509" s="133"/>
      <c r="L509" s="131"/>
      <c r="M509" s="131"/>
      <c r="N509" s="131"/>
      <c r="O509" s="131"/>
      <c r="P509" s="129"/>
      <c r="Q509" s="131"/>
      <c r="R509" s="131"/>
      <c r="S509" s="131"/>
      <c r="T509" s="129"/>
    </row>
    <row r="510" ht="37.5" customHeight="1">
      <c r="A510" s="129"/>
      <c r="B510" s="130" t="str">
        <f>IFERROR(__xludf.DUMMYFUNCTION("""COMPUTED_VALUE"""),"When the equipped character is character type ``Long_Range Normal Attacks``: Increase Normal Attack damage dealt by 5%.")</f>
        <v>When the equipped character is character type ``Long_Range Normal Attacks``: Increase Normal Attack damage dealt by 5%.</v>
      </c>
      <c r="C510" s="130"/>
      <c r="D510" s="129"/>
      <c r="E510" s="131" t="s">
        <v>7135</v>
      </c>
      <c r="F510" s="131" t="s">
        <v>7027</v>
      </c>
      <c r="G510" s="131" t="s">
        <v>7081</v>
      </c>
      <c r="H510" s="131" t="s">
        <v>7035</v>
      </c>
      <c r="I510" s="131" t="s">
        <v>7027</v>
      </c>
      <c r="J510" s="129"/>
      <c r="K510" s="133"/>
      <c r="L510" s="131"/>
      <c r="M510" s="131"/>
      <c r="N510" s="131"/>
      <c r="O510" s="131"/>
      <c r="P510" s="129"/>
      <c r="Q510" s="131"/>
      <c r="R510" s="131"/>
      <c r="S510" s="131"/>
      <c r="T510" s="129"/>
    </row>
    <row r="511" ht="37.5" customHeight="1">
      <c r="A511" s="129"/>
      <c r="B511" s="130" t="str">
        <f>IFERROR(__xludf.DUMMYFUNCTION("""COMPUTED_VALUE"""),"When Critical occurs: Recover HP by 2%.")</f>
        <v>When Critical occurs: Recover HP by 2%.</v>
      </c>
      <c r="C511" s="130"/>
      <c r="D511" s="129"/>
      <c r="E511" s="131" t="s">
        <v>7052</v>
      </c>
      <c r="F511" s="131" t="s">
        <v>7027</v>
      </c>
      <c r="G511" s="131" t="s">
        <v>7040</v>
      </c>
      <c r="H511" s="131" t="s">
        <v>7053</v>
      </c>
      <c r="I511" s="131" t="s">
        <v>7027</v>
      </c>
      <c r="J511" s="129"/>
      <c r="K511" s="133"/>
      <c r="L511" s="131"/>
      <c r="M511" s="131"/>
      <c r="N511" s="131"/>
      <c r="O511" s="131"/>
      <c r="P511" s="129"/>
      <c r="Q511" s="131"/>
      <c r="R511" s="131"/>
      <c r="S511" s="131"/>
      <c r="T511" s="129"/>
    </row>
    <row r="512" ht="37.5" customHeight="1">
      <c r="A512" s="129"/>
      <c r="B512" s="130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C512" s="130"/>
      <c r="D512" s="129"/>
      <c r="E512" s="131" t="s">
        <v>7026</v>
      </c>
      <c r="F512" s="131" t="s">
        <v>7027</v>
      </c>
      <c r="G512" s="131" t="s">
        <v>7042</v>
      </c>
      <c r="H512" s="131" t="s">
        <v>7029</v>
      </c>
      <c r="I512" s="131" t="s">
        <v>7027</v>
      </c>
      <c r="J512" s="129"/>
      <c r="K512" s="133"/>
      <c r="L512" s="131"/>
      <c r="M512" s="131"/>
      <c r="N512" s="131"/>
      <c r="O512" s="131"/>
      <c r="P512" s="129"/>
      <c r="Q512" s="131"/>
      <c r="R512" s="131"/>
      <c r="S512" s="131"/>
      <c r="T512" s="129"/>
    </row>
    <row r="513" ht="37.5" customHeight="1">
      <c r="A513" s="129"/>
      <c r="B513" s="130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C513" s="130"/>
      <c r="D513" s="129"/>
      <c r="E513" s="131" t="s">
        <v>7041</v>
      </c>
      <c r="F513" s="131" t="s">
        <v>7027</v>
      </c>
      <c r="G513" s="131" t="s">
        <v>7046</v>
      </c>
      <c r="H513" s="131" t="s">
        <v>7093</v>
      </c>
      <c r="I513" s="131" t="s">
        <v>7027</v>
      </c>
      <c r="J513" s="129"/>
      <c r="K513" s="133"/>
      <c r="L513" s="131"/>
      <c r="M513" s="131"/>
      <c r="N513" s="131"/>
      <c r="O513" s="131"/>
      <c r="P513" s="129"/>
      <c r="Q513" s="131"/>
      <c r="R513" s="131"/>
      <c r="S513" s="131"/>
      <c r="T513" s="129"/>
    </row>
    <row r="514" ht="37.5" customHeight="1">
      <c r="A514" s="129"/>
      <c r="B514" s="130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C514" s="130"/>
      <c r="D514" s="129"/>
      <c r="E514" s="131" t="s">
        <v>7091</v>
      </c>
      <c r="F514" s="131" t="s">
        <v>7027</v>
      </c>
      <c r="G514" s="131" t="s">
        <v>7046</v>
      </c>
      <c r="H514" s="131" t="s">
        <v>7029</v>
      </c>
      <c r="I514" s="131" t="s">
        <v>7027</v>
      </c>
      <c r="J514" s="129"/>
      <c r="K514" s="133"/>
      <c r="L514" s="131"/>
      <c r="M514" s="131"/>
      <c r="N514" s="131"/>
      <c r="O514" s="131"/>
      <c r="P514" s="129"/>
      <c r="Q514" s="131"/>
      <c r="R514" s="131"/>
      <c r="S514" s="131"/>
      <c r="T514" s="129"/>
    </row>
    <row r="515" ht="37.5" customHeight="1">
      <c r="A515" s="129"/>
      <c r="B515" s="130" t="str">
        <f>IFERROR(__xludf.DUMMYFUNCTION("""COMPUTED_VALUE"""),"When your HP is 70% or more: Reduce damage recieved by 3%.")</f>
        <v>When your HP is 70% or more: Reduce damage recieved by 3%.</v>
      </c>
      <c r="C515" s="130"/>
      <c r="D515" s="129"/>
      <c r="E515" s="131" t="s">
        <v>7026</v>
      </c>
      <c r="F515" s="131" t="s">
        <v>7027</v>
      </c>
      <c r="G515" s="131" t="s">
        <v>7037</v>
      </c>
      <c r="H515" s="131" t="s">
        <v>7038</v>
      </c>
      <c r="I515" s="131" t="s">
        <v>7027</v>
      </c>
      <c r="J515" s="129"/>
      <c r="K515" s="133"/>
      <c r="L515" s="131"/>
      <c r="M515" s="131"/>
      <c r="N515" s="131"/>
      <c r="O515" s="131"/>
      <c r="P515" s="129"/>
      <c r="Q515" s="131"/>
      <c r="R515" s="131"/>
      <c r="S515" s="131"/>
      <c r="T515" s="129"/>
    </row>
    <row r="516" ht="37.5" customHeight="1">
      <c r="A516" s="129"/>
      <c r="B516" s="130" t="str">
        <f>IFERROR(__xludf.DUMMYFUNCTION("""COMPUTED_VALUE"""),"When your team has less Treasure secured: Boost capture speed by 8%.")</f>
        <v>When your team has less Treasure secured: Boost capture speed by 8%.</v>
      </c>
      <c r="C516" s="130"/>
      <c r="D516" s="129"/>
      <c r="E516" s="131" t="s">
        <v>7076</v>
      </c>
      <c r="F516" s="131" t="s">
        <v>7027</v>
      </c>
      <c r="G516" s="131" t="s">
        <v>7031</v>
      </c>
      <c r="H516" s="131" t="s">
        <v>7032</v>
      </c>
      <c r="I516" s="131" t="s">
        <v>7027</v>
      </c>
      <c r="J516" s="129"/>
      <c r="K516" s="133"/>
      <c r="L516" s="131"/>
      <c r="M516" s="131"/>
      <c r="N516" s="131"/>
      <c r="O516" s="131"/>
      <c r="P516" s="129"/>
      <c r="Q516" s="131"/>
      <c r="R516" s="131"/>
      <c r="S516" s="131"/>
      <c r="T516" s="129"/>
    </row>
    <row r="517" ht="37.5" customHeight="1">
      <c r="A517" s="129"/>
      <c r="B517" s="130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C517" s="130"/>
      <c r="D517" s="129"/>
      <c r="E517" s="131" t="s">
        <v>7125</v>
      </c>
      <c r="F517" s="131" t="s">
        <v>7027</v>
      </c>
      <c r="G517" s="131" t="s">
        <v>7031</v>
      </c>
      <c r="H517" s="131" t="s">
        <v>7066</v>
      </c>
      <c r="I517" s="131" t="s">
        <v>7027</v>
      </c>
      <c r="J517" s="129"/>
      <c r="K517" s="133"/>
      <c r="L517" s="131"/>
      <c r="M517" s="131"/>
      <c r="N517" s="131"/>
      <c r="O517" s="131"/>
      <c r="P517" s="129"/>
      <c r="Q517" s="131"/>
      <c r="R517" s="131"/>
      <c r="S517" s="131"/>
      <c r="T517" s="129"/>
    </row>
    <row r="518" ht="37.5" customHeight="1">
      <c r="A518" s="129"/>
      <c r="B518" s="130" t="str">
        <f>IFERROR(__xludf.DUMMYFUNCTION("""COMPUTED_VALUE"""),"When your team loses the Treasure: Reduce the cooldown time of Skill 1 by 8%.")</f>
        <v>When your team loses the Treasure: Reduce the cooldown time of Skill 1 by 8%.</v>
      </c>
      <c r="C518" s="130"/>
      <c r="D518" s="129"/>
      <c r="E518" s="131" t="s">
        <v>7105</v>
      </c>
      <c r="F518" s="131" t="s">
        <v>7027</v>
      </c>
      <c r="G518" s="131" t="s">
        <v>7058</v>
      </c>
      <c r="H518" s="131" t="s">
        <v>7032</v>
      </c>
      <c r="I518" s="131" t="s">
        <v>7027</v>
      </c>
      <c r="J518" s="129"/>
      <c r="K518" s="133"/>
      <c r="L518" s="131"/>
      <c r="M518" s="131"/>
      <c r="N518" s="131"/>
      <c r="O518" s="131"/>
      <c r="P518" s="129"/>
      <c r="Q518" s="131"/>
      <c r="R518" s="131"/>
      <c r="S518" s="131"/>
      <c r="T518" s="129"/>
    </row>
    <row r="519" ht="37.5" customHeight="1">
      <c r="A519" s="129"/>
      <c r="B519" s="130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C519" s="130"/>
      <c r="D519" s="129"/>
      <c r="E519" s="131" t="s">
        <v>7045</v>
      </c>
      <c r="F519" s="131" t="s">
        <v>7027</v>
      </c>
      <c r="G519" s="131" t="s">
        <v>7046</v>
      </c>
      <c r="H519" s="131" t="s">
        <v>7093</v>
      </c>
      <c r="I519" s="131" t="s">
        <v>7027</v>
      </c>
      <c r="J519" s="129"/>
      <c r="K519" s="133"/>
      <c r="L519" s="131"/>
      <c r="M519" s="131"/>
      <c r="N519" s="131"/>
      <c r="O519" s="131"/>
      <c r="P519" s="129"/>
      <c r="Q519" s="131"/>
      <c r="R519" s="131"/>
      <c r="S519" s="131"/>
      <c r="T519" s="129"/>
    </row>
    <row r="520" ht="37.5" customHeight="1">
      <c r="A520" s="129"/>
      <c r="B520" s="130" t="str">
        <f>IFERROR(__xludf.DUMMYFUNCTION("""COMPUTED_VALUE"""),"When attacked by an enemy: Reduce the cooldown time of Skill 1 by 2%.")</f>
        <v>When attacked by an enemy: Reduce the cooldown time of Skill 1 by 2%.</v>
      </c>
      <c r="C520" s="130"/>
      <c r="D520" s="129"/>
      <c r="E520" s="131" t="s">
        <v>7069</v>
      </c>
      <c r="F520" s="131" t="s">
        <v>7027</v>
      </c>
      <c r="G520" s="131" t="s">
        <v>7058</v>
      </c>
      <c r="H520" s="131" t="s">
        <v>7053</v>
      </c>
      <c r="I520" s="131" t="s">
        <v>7027</v>
      </c>
      <c r="J520" s="129"/>
      <c r="K520" s="133"/>
      <c r="L520" s="131"/>
      <c r="M520" s="131"/>
      <c r="N520" s="131"/>
      <c r="O520" s="131"/>
      <c r="P520" s="129"/>
      <c r="Q520" s="131"/>
      <c r="R520" s="131"/>
      <c r="S520" s="131"/>
      <c r="T520" s="129"/>
    </row>
    <row r="521" ht="37.5" customHeight="1">
      <c r="A521" s="129"/>
      <c r="B521" s="130" t="str">
        <f>IFERROR(__xludf.DUMMYFUNCTION("""COMPUTED_VALUE"""),"When Treasure Gauge is recovered to 100%: Reduce the cooldown time of Skill 1 by 6%.")</f>
        <v>When Treasure Gauge is recovered to 100%: Reduce the cooldown time of Skill 1 by 6%.</v>
      </c>
      <c r="C521" s="130"/>
      <c r="D521" s="129"/>
      <c r="E521" s="131" t="s">
        <v>7136</v>
      </c>
      <c r="F521" s="131" t="s">
        <v>7027</v>
      </c>
      <c r="G521" s="131" t="s">
        <v>7058</v>
      </c>
      <c r="H521" s="131" t="s">
        <v>7066</v>
      </c>
      <c r="I521" s="131" t="s">
        <v>7027</v>
      </c>
      <c r="J521" s="129"/>
      <c r="K521" s="133"/>
      <c r="L521" s="131"/>
      <c r="M521" s="131"/>
      <c r="N521" s="131"/>
      <c r="O521" s="131"/>
      <c r="P521" s="129"/>
      <c r="Q521" s="131"/>
      <c r="R521" s="131"/>
      <c r="S521" s="131"/>
      <c r="T521" s="129"/>
    </row>
    <row r="522" ht="37.5" customHeight="1">
      <c r="A522" s="129"/>
      <c r="B522" s="130" t="str">
        <f>IFERROR(__xludf.DUMMYFUNCTION("""COMPUTED_VALUE"""),"When you Knockback an enemy: Reduce the cooldown time of Skill 1 by 5%.")</f>
        <v>When you Knockback an enemy: Reduce the cooldown time of Skill 1 by 5%.</v>
      </c>
      <c r="C522" s="130"/>
      <c r="D522" s="129"/>
      <c r="E522" s="131" t="s">
        <v>7056</v>
      </c>
      <c r="F522" s="131" t="s">
        <v>7027</v>
      </c>
      <c r="G522" s="131" t="s">
        <v>7058</v>
      </c>
      <c r="H522" s="131" t="s">
        <v>7035</v>
      </c>
      <c r="I522" s="131" t="s">
        <v>7027</v>
      </c>
      <c r="J522" s="129"/>
      <c r="K522" s="133"/>
      <c r="L522" s="131"/>
      <c r="M522" s="131"/>
      <c r="N522" s="131"/>
      <c r="O522" s="131"/>
      <c r="P522" s="129"/>
      <c r="Q522" s="131"/>
      <c r="R522" s="131"/>
      <c r="S522" s="131"/>
      <c r="T522" s="129"/>
    </row>
    <row r="523" ht="37.5" customHeight="1">
      <c r="A523" s="129"/>
      <c r="B523" s="130" t="str">
        <f>IFERROR(__xludf.DUMMYFUNCTION("""COMPUTED_VALUE"""),"When an ally is KO`d (not including you): Recover HP by 2%.")</f>
        <v>When an ally is KO`d (not including you): Recover HP by 2%.</v>
      </c>
      <c r="C523" s="130"/>
      <c r="D523" s="129"/>
      <c r="E523" s="131" t="s">
        <v>7060</v>
      </c>
      <c r="F523" s="131" t="s">
        <v>7027</v>
      </c>
      <c r="G523" s="131" t="s">
        <v>7040</v>
      </c>
      <c r="H523" s="131" t="s">
        <v>7053</v>
      </c>
      <c r="I523" s="131" t="s">
        <v>7027</v>
      </c>
      <c r="J523" s="129"/>
      <c r="K523" s="133"/>
      <c r="L523" s="131"/>
      <c r="M523" s="131"/>
      <c r="N523" s="131"/>
      <c r="O523" s="131"/>
      <c r="P523" s="129"/>
      <c r="Q523" s="131"/>
      <c r="R523" s="131"/>
      <c r="S523" s="131"/>
      <c r="T523" s="129"/>
    </row>
    <row r="524" ht="37.5" customHeight="1">
      <c r="A524" s="129"/>
      <c r="B524" s="130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C524" s="130"/>
      <c r="D524" s="129"/>
      <c r="E524" s="131" t="s">
        <v>7068</v>
      </c>
      <c r="F524" s="131" t="s">
        <v>7027</v>
      </c>
      <c r="G524" s="131" t="s">
        <v>7046</v>
      </c>
      <c r="H524" s="131" t="s">
        <v>7029</v>
      </c>
      <c r="I524" s="131" t="s">
        <v>7027</v>
      </c>
      <c r="J524" s="129"/>
      <c r="K524" s="133"/>
      <c r="L524" s="131"/>
      <c r="M524" s="131"/>
      <c r="N524" s="131"/>
      <c r="O524" s="131"/>
      <c r="P524" s="129"/>
      <c r="Q524" s="131"/>
      <c r="R524" s="131"/>
      <c r="S524" s="131"/>
      <c r="T524" s="129"/>
    </row>
    <row r="525" ht="37.5" customHeight="1">
      <c r="A525" s="129"/>
      <c r="B525" s="130" t="str">
        <f>IFERROR(__xludf.DUMMYFUNCTION("""COMPUTED_VALUE"""),"When Critical occurs: Recover HP by 2%.")</f>
        <v>When Critical occurs: Recover HP by 2%.</v>
      </c>
      <c r="C525" s="130"/>
      <c r="D525" s="129"/>
      <c r="E525" s="131" t="s">
        <v>7052</v>
      </c>
      <c r="F525" s="131" t="s">
        <v>7027</v>
      </c>
      <c r="G525" s="131" t="s">
        <v>7040</v>
      </c>
      <c r="H525" s="131" t="s">
        <v>7053</v>
      </c>
      <c r="I525" s="131" t="s">
        <v>7027</v>
      </c>
      <c r="J525" s="129"/>
      <c r="K525" s="133"/>
      <c r="L525" s="131"/>
      <c r="M525" s="131"/>
      <c r="N525" s="131"/>
      <c r="O525" s="131"/>
      <c r="P525" s="129"/>
      <c r="Q525" s="131"/>
      <c r="R525" s="131"/>
      <c r="S525" s="131"/>
      <c r="T525" s="129"/>
    </row>
    <row r="526" ht="37.5" customHeight="1">
      <c r="A526" s="129"/>
      <c r="B526" s="130" t="str">
        <f>IFERROR(__xludf.DUMMYFUNCTION("""COMPUTED_VALUE"""),"When Critical occurs: Reduce the cooldown time of Skill 1 by 3%.")</f>
        <v>When Critical occurs: Reduce the cooldown time of Skill 1 by 3%.</v>
      </c>
      <c r="C526" s="130"/>
      <c r="D526" s="129"/>
      <c r="E526" s="131" t="s">
        <v>7052</v>
      </c>
      <c r="F526" s="131" t="s">
        <v>7027</v>
      </c>
      <c r="G526" s="131" t="s">
        <v>7058</v>
      </c>
      <c r="H526" s="131" t="s">
        <v>7038</v>
      </c>
      <c r="I526" s="131" t="s">
        <v>7027</v>
      </c>
      <c r="J526" s="129"/>
      <c r="K526" s="133"/>
      <c r="L526" s="131"/>
      <c r="M526" s="131"/>
      <c r="N526" s="131"/>
      <c r="O526" s="131"/>
      <c r="P526" s="129"/>
      <c r="Q526" s="131"/>
      <c r="R526" s="131"/>
      <c r="S526" s="131"/>
      <c r="T526" s="129"/>
    </row>
    <row r="527" ht="37.5" customHeight="1">
      <c r="A527" s="129"/>
      <c r="B527" s="130" t="str">
        <f>IFERROR(__xludf.DUMMYFUNCTION("""COMPUTED_VALUE"""),"When performing a Perfect Dodge: CRIT Boosted by 90% for 20 second(s).")</f>
        <v>When performing a Perfect Dodge: CRIT Boosted by 90% for 20 second(s).</v>
      </c>
      <c r="C527" s="130"/>
      <c r="D527" s="129"/>
      <c r="E527" s="131" t="s">
        <v>7057</v>
      </c>
      <c r="F527" s="131" t="s">
        <v>7027</v>
      </c>
      <c r="G527" s="131" t="s">
        <v>7086</v>
      </c>
      <c r="H527" s="131" t="s">
        <v>7087</v>
      </c>
      <c r="I527" s="131" t="s">
        <v>7084</v>
      </c>
      <c r="J527" s="129"/>
      <c r="K527" s="133"/>
      <c r="L527" s="131"/>
      <c r="M527" s="131"/>
      <c r="N527" s="131"/>
      <c r="O527" s="131"/>
      <c r="P527" s="129"/>
      <c r="Q527" s="131"/>
      <c r="R527" s="131"/>
      <c r="S527" s="131"/>
      <c r="T527" s="129"/>
    </row>
    <row r="528" ht="37.5" customHeight="1">
      <c r="A528" s="129"/>
      <c r="B528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528" s="130"/>
      <c r="D528" s="129"/>
      <c r="E528" s="131" t="s">
        <v>7041</v>
      </c>
      <c r="F528" s="131" t="s">
        <v>7027</v>
      </c>
      <c r="G528" s="131" t="s">
        <v>7037</v>
      </c>
      <c r="H528" s="131" t="s">
        <v>7035</v>
      </c>
      <c r="I528" s="131" t="s">
        <v>7027</v>
      </c>
      <c r="J528" s="129"/>
      <c r="K528" s="133"/>
      <c r="L528" s="131"/>
      <c r="M528" s="131"/>
      <c r="N528" s="131"/>
      <c r="O528" s="131"/>
      <c r="P528" s="129"/>
      <c r="Q528" s="131"/>
      <c r="R528" s="131"/>
      <c r="S528" s="131"/>
      <c r="T528" s="129"/>
    </row>
    <row r="529" ht="37.5" customHeight="1">
      <c r="A529" s="129"/>
      <c r="B529" s="130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C529" s="130"/>
      <c r="D529" s="129"/>
      <c r="E529" s="131" t="s">
        <v>7121</v>
      </c>
      <c r="F529" s="131" t="s">
        <v>7027</v>
      </c>
      <c r="G529" s="131" t="s">
        <v>7037</v>
      </c>
      <c r="H529" s="131" t="s">
        <v>7038</v>
      </c>
      <c r="I529" s="131" t="s">
        <v>7027</v>
      </c>
      <c r="J529" s="129"/>
      <c r="K529" s="133"/>
      <c r="L529" s="131"/>
      <c r="M529" s="131"/>
      <c r="N529" s="131"/>
      <c r="O529" s="131"/>
      <c r="P529" s="129"/>
      <c r="Q529" s="131"/>
      <c r="R529" s="131"/>
      <c r="S529" s="131"/>
      <c r="T529" s="129"/>
    </row>
    <row r="530" ht="37.5" customHeight="1">
      <c r="A530" s="129"/>
      <c r="B530" s="130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C530" s="130"/>
      <c r="D530" s="129"/>
      <c r="E530" s="131" t="s">
        <v>7061</v>
      </c>
      <c r="F530" s="131" t="s">
        <v>7027</v>
      </c>
      <c r="G530" s="131" t="s">
        <v>7034</v>
      </c>
      <c r="H530" s="131" t="s">
        <v>7038</v>
      </c>
      <c r="I530" s="131" t="s">
        <v>7027</v>
      </c>
      <c r="J530" s="129"/>
      <c r="K530" s="133"/>
      <c r="L530" s="131"/>
      <c r="M530" s="131"/>
      <c r="N530" s="131"/>
      <c r="O530" s="131"/>
      <c r="P530" s="129"/>
      <c r="Q530" s="131"/>
      <c r="R530" s="131"/>
      <c r="S530" s="131"/>
      <c r="T530" s="129"/>
    </row>
    <row r="531" ht="37.5" customHeight="1">
      <c r="A531" s="129"/>
      <c r="B531" s="130" t="str">
        <f>IFERROR(__xludf.DUMMYFUNCTION("""COMPUTED_VALUE"""),"When inflicted with Shock by enemies: Reduce the cooldown time of Skill 1 by 4%.")</f>
        <v>When inflicted with Shock by enemies: Reduce the cooldown time of Skill 1 by 4%.</v>
      </c>
      <c r="C531" s="130"/>
      <c r="D531" s="129"/>
      <c r="E531" s="131" t="s">
        <v>7134</v>
      </c>
      <c r="F531" s="131" t="s">
        <v>7027</v>
      </c>
      <c r="G531" s="131" t="s">
        <v>7058</v>
      </c>
      <c r="H531" s="131" t="s">
        <v>7051</v>
      </c>
      <c r="I531" s="131" t="s">
        <v>7027</v>
      </c>
      <c r="J531" s="129"/>
      <c r="K531" s="133"/>
      <c r="L531" s="131"/>
      <c r="M531" s="131"/>
      <c r="N531" s="131"/>
      <c r="O531" s="131"/>
      <c r="P531" s="129"/>
      <c r="Q531" s="131"/>
      <c r="R531" s="131"/>
      <c r="S531" s="131"/>
      <c r="T531" s="129"/>
    </row>
    <row r="532" ht="37.5" customHeight="1">
      <c r="A532" s="129"/>
      <c r="B532" s="130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C532" s="130"/>
      <c r="D532" s="129"/>
      <c r="E532" s="131" t="s">
        <v>7082</v>
      </c>
      <c r="F532" s="131" t="s">
        <v>7027</v>
      </c>
      <c r="G532" s="131" t="s">
        <v>7031</v>
      </c>
      <c r="H532" s="131" t="s">
        <v>7032</v>
      </c>
      <c r="I532" s="131" t="s">
        <v>7027</v>
      </c>
      <c r="J532" s="129"/>
      <c r="K532" s="133"/>
      <c r="L532" s="131"/>
      <c r="M532" s="131"/>
      <c r="N532" s="131"/>
      <c r="O532" s="131"/>
      <c r="P532" s="129"/>
      <c r="Q532" s="131"/>
      <c r="R532" s="131"/>
      <c r="S532" s="131"/>
      <c r="T532" s="129"/>
    </row>
    <row r="533" ht="37.5" customHeight="1">
      <c r="A533" s="129"/>
      <c r="B533" s="130" t="str">
        <f>IFERROR(__xludf.DUMMYFUNCTION("""COMPUTED_VALUE"""),"When your team has more Treasure secured: Reduce damage recieved by 3%.")</f>
        <v>When your team has more Treasure secured: Reduce damage recieved by 3%.</v>
      </c>
      <c r="C533" s="130"/>
      <c r="D533" s="129"/>
      <c r="E533" s="131" t="s">
        <v>7070</v>
      </c>
      <c r="F533" s="131" t="s">
        <v>7027</v>
      </c>
      <c r="G533" s="131" t="s">
        <v>7037</v>
      </c>
      <c r="H533" s="131" t="s">
        <v>7038</v>
      </c>
      <c r="I533" s="131" t="s">
        <v>7027</v>
      </c>
      <c r="J533" s="129"/>
      <c r="K533" s="133"/>
      <c r="L533" s="131"/>
      <c r="M533" s="131"/>
      <c r="N533" s="131"/>
      <c r="O533" s="131"/>
      <c r="P533" s="129"/>
      <c r="Q533" s="131"/>
      <c r="R533" s="131"/>
      <c r="S533" s="131"/>
      <c r="T533" s="129"/>
    </row>
    <row r="534" ht="37.5" customHeight="1">
      <c r="A534" s="129"/>
      <c r="B534" s="130" t="str">
        <f>IFERROR(__xludf.DUMMYFUNCTION("""COMPUTED_VALUE"""),"After KOing an enemy: Reduce the cooldown time of Skill 2 by 8%.")</f>
        <v>After KOing an enemy: Reduce the cooldown time of Skill 2 by 8%.</v>
      </c>
      <c r="C534" s="130"/>
      <c r="D534" s="129"/>
      <c r="E534" s="131" t="s">
        <v>7039</v>
      </c>
      <c r="F534" s="131" t="s">
        <v>7027</v>
      </c>
      <c r="G534" s="131" t="s">
        <v>7050</v>
      </c>
      <c r="H534" s="131" t="s">
        <v>7032</v>
      </c>
      <c r="I534" s="131" t="s">
        <v>7027</v>
      </c>
      <c r="J534" s="129"/>
      <c r="K534" s="133"/>
      <c r="L534" s="131"/>
      <c r="M534" s="131"/>
      <c r="N534" s="131"/>
      <c r="O534" s="131"/>
      <c r="P534" s="129"/>
      <c r="Q534" s="131"/>
      <c r="R534" s="131"/>
      <c r="S534" s="131"/>
      <c r="T534" s="129"/>
    </row>
    <row r="535" ht="37.5" customHeight="1">
      <c r="A535" s="129"/>
      <c r="B535" s="130" t="str">
        <f>IFERROR(__xludf.DUMMYFUNCTION("""COMPUTED_VALUE"""),"When your team loses the Treasure: CRIT Boosted by 90% for 20 second(s).")</f>
        <v>When your team loses the Treasure: CRIT Boosted by 90% for 20 second(s).</v>
      </c>
      <c r="C535" s="130"/>
      <c r="D535" s="129"/>
      <c r="E535" s="131" t="s">
        <v>7105</v>
      </c>
      <c r="F535" s="131" t="s">
        <v>7027</v>
      </c>
      <c r="G535" s="131" t="s">
        <v>7086</v>
      </c>
      <c r="H535" s="131" t="s">
        <v>7087</v>
      </c>
      <c r="I535" s="131" t="s">
        <v>7084</v>
      </c>
      <c r="J535" s="129"/>
      <c r="K535" s="133"/>
      <c r="L535" s="131"/>
      <c r="M535" s="131"/>
      <c r="N535" s="131"/>
      <c r="O535" s="131"/>
      <c r="P535" s="129"/>
      <c r="Q535" s="131"/>
      <c r="R535" s="131"/>
      <c r="S535" s="131"/>
      <c r="T535" s="129"/>
    </row>
    <row r="536" ht="37.5" customHeight="1">
      <c r="A536" s="129"/>
      <c r="B536" s="130" t="str">
        <f>IFERROR(__xludf.DUMMYFUNCTION("""COMPUTED_VALUE"""),"When Critical occurs: Reduce the cooldown time of Skill 2 by 3%.")</f>
        <v>When Critical occurs: Reduce the cooldown time of Skill 2 by 3%.</v>
      </c>
      <c r="C536" s="130"/>
      <c r="D536" s="129"/>
      <c r="E536" s="131" t="s">
        <v>7052</v>
      </c>
      <c r="F536" s="131" t="s">
        <v>7027</v>
      </c>
      <c r="G536" s="131" t="s">
        <v>7050</v>
      </c>
      <c r="H536" s="131" t="s">
        <v>7038</v>
      </c>
      <c r="I536" s="131" t="s">
        <v>7027</v>
      </c>
      <c r="J536" s="129"/>
      <c r="K536" s="133"/>
      <c r="L536" s="131"/>
      <c r="M536" s="131"/>
      <c r="N536" s="131"/>
      <c r="O536" s="131"/>
      <c r="P536" s="129"/>
      <c r="Q536" s="131"/>
      <c r="R536" s="131"/>
      <c r="S536" s="131"/>
      <c r="T536" s="129"/>
    </row>
    <row r="537" ht="37.5" customHeight="1">
      <c r="A537" s="129"/>
      <c r="B537" s="130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C537" s="130"/>
      <c r="D537" s="129"/>
      <c r="E537" s="131" t="s">
        <v>7082</v>
      </c>
      <c r="F537" s="131" t="s">
        <v>7027</v>
      </c>
      <c r="G537" s="131" t="s">
        <v>7037</v>
      </c>
      <c r="H537" s="131" t="s">
        <v>7038</v>
      </c>
      <c r="I537" s="131" t="s">
        <v>7027</v>
      </c>
      <c r="J537" s="129"/>
      <c r="K537" s="133"/>
      <c r="L537" s="131"/>
      <c r="M537" s="131"/>
      <c r="N537" s="131"/>
      <c r="O537" s="131"/>
      <c r="P537" s="129"/>
      <c r="Q537" s="131"/>
      <c r="R537" s="131"/>
      <c r="S537" s="131"/>
      <c r="T537" s="129"/>
    </row>
    <row r="538" ht="37.5" customHeight="1">
      <c r="A538" s="129"/>
      <c r="B538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538" s="130"/>
      <c r="D538" s="129"/>
      <c r="E538" s="131" t="s">
        <v>7045</v>
      </c>
      <c r="F538" s="131" t="s">
        <v>7027</v>
      </c>
      <c r="G538" s="131" t="s">
        <v>7034</v>
      </c>
      <c r="H538" s="131" t="s">
        <v>7035</v>
      </c>
      <c r="I538" s="131" t="s">
        <v>7027</v>
      </c>
      <c r="J538" s="129"/>
      <c r="K538" s="133"/>
      <c r="L538" s="131"/>
      <c r="M538" s="131"/>
      <c r="N538" s="131"/>
      <c r="O538" s="131"/>
      <c r="P538" s="129"/>
      <c r="Q538" s="131"/>
      <c r="R538" s="131"/>
      <c r="S538" s="131"/>
      <c r="T538" s="129"/>
    </row>
    <row r="539" ht="37.5" customHeight="1">
      <c r="A539" s="129"/>
      <c r="B539" s="130" t="str">
        <f>IFERROR(__xludf.DUMMYFUNCTION("""COMPUTED_VALUE"""),"When Respawned: SPD Boosted by 4% for 20 second(s).")</f>
        <v>When Respawned: SPD Boosted by 4% for 20 second(s).</v>
      </c>
      <c r="C539" s="130"/>
      <c r="D539" s="129"/>
      <c r="E539" s="131" t="s">
        <v>7085</v>
      </c>
      <c r="F539" s="131" t="s">
        <v>7027</v>
      </c>
      <c r="G539" s="131" t="s">
        <v>7083</v>
      </c>
      <c r="H539" s="131" t="s">
        <v>7051</v>
      </c>
      <c r="I539" s="131" t="s">
        <v>7084</v>
      </c>
      <c r="J539" s="129"/>
      <c r="K539" s="133"/>
      <c r="L539" s="131"/>
      <c r="M539" s="131"/>
      <c r="N539" s="131"/>
      <c r="O539" s="131"/>
      <c r="P539" s="129"/>
      <c r="Q539" s="131"/>
      <c r="R539" s="131"/>
      <c r="S539" s="131"/>
      <c r="T539" s="129"/>
    </row>
    <row r="540" ht="37.5" customHeight="1">
      <c r="A540" s="129"/>
      <c r="B540" s="130" t="str">
        <f>IFERROR(__xludf.DUMMYFUNCTION("""COMPUTED_VALUE"""),"After KOing an enemy: CRIT Boosted by 120% for 20 second(s).")</f>
        <v>After KOing an enemy: CRIT Boosted by 120% for 20 second(s).</v>
      </c>
      <c r="C540" s="130"/>
      <c r="D540" s="129"/>
      <c r="E540" s="131" t="s">
        <v>7039</v>
      </c>
      <c r="F540" s="131" t="s">
        <v>7027</v>
      </c>
      <c r="G540" s="131" t="s">
        <v>7086</v>
      </c>
      <c r="H540" s="131" t="s">
        <v>7107</v>
      </c>
      <c r="I540" s="131" t="s">
        <v>7084</v>
      </c>
      <c r="J540" s="129"/>
      <c r="K540" s="133"/>
      <c r="L540" s="131"/>
      <c r="M540" s="131"/>
      <c r="N540" s="131"/>
      <c r="O540" s="131"/>
      <c r="P540" s="129"/>
      <c r="Q540" s="131"/>
      <c r="R540" s="131"/>
      <c r="S540" s="131"/>
      <c r="T540" s="129"/>
    </row>
    <row r="541" ht="37.5" customHeight="1">
      <c r="A541" s="129"/>
      <c r="B541" s="130" t="str">
        <f>IFERROR(__xludf.DUMMYFUNCTION("""COMPUTED_VALUE"""),"When an ally is KO`d (not including you): Reduce the cooldown time of Skill 1 by 4%.")</f>
        <v>When an ally is KO`d (not including you): Reduce the cooldown time of Skill 1 by 4%.</v>
      </c>
      <c r="C541" s="130"/>
      <c r="D541" s="129"/>
      <c r="E541" s="131" t="s">
        <v>7060</v>
      </c>
      <c r="F541" s="131" t="s">
        <v>7027</v>
      </c>
      <c r="G541" s="131" t="s">
        <v>7058</v>
      </c>
      <c r="H541" s="131" t="s">
        <v>7051</v>
      </c>
      <c r="I541" s="131" t="s">
        <v>7027</v>
      </c>
      <c r="J541" s="129"/>
      <c r="K541" s="133"/>
      <c r="L541" s="131"/>
      <c r="M541" s="131"/>
      <c r="N541" s="131"/>
      <c r="O541" s="131"/>
      <c r="P541" s="129"/>
      <c r="Q541" s="131"/>
      <c r="R541" s="131"/>
      <c r="S541" s="131"/>
      <c r="T541" s="129"/>
    </row>
    <row r="542" ht="37.5" customHeight="1">
      <c r="A542" s="129"/>
      <c r="B542" s="130" t="str">
        <f>IFERROR(__xludf.DUMMYFUNCTION("""COMPUTED_VALUE"""),"When Critical occurs: Recover HP by 3%.")</f>
        <v>When Critical occurs: Recover HP by 3%.</v>
      </c>
      <c r="C542" s="130"/>
      <c r="D542" s="129"/>
      <c r="E542" s="131" t="s">
        <v>7052</v>
      </c>
      <c r="F542" s="131" t="s">
        <v>7027</v>
      </c>
      <c r="G542" s="131" t="s">
        <v>7040</v>
      </c>
      <c r="H542" s="131" t="s">
        <v>7038</v>
      </c>
      <c r="I542" s="131" t="s">
        <v>7027</v>
      </c>
      <c r="J542" s="129"/>
      <c r="K542" s="133"/>
      <c r="L542" s="131"/>
      <c r="M542" s="131"/>
      <c r="N542" s="131"/>
      <c r="O542" s="131"/>
      <c r="P542" s="129"/>
      <c r="Q542" s="131"/>
      <c r="R542" s="131"/>
      <c r="S542" s="131"/>
      <c r="T542" s="129"/>
    </row>
    <row r="543" ht="37.5" customHeight="1">
      <c r="A543" s="129"/>
      <c r="B543" s="130" t="str">
        <f>IFERROR(__xludf.DUMMYFUNCTION("""COMPUTED_VALUE"""),"When Critical occurs: Reduce the cooldown time of Skill 1 by 2%.")</f>
        <v>When Critical occurs: Reduce the cooldown time of Skill 1 by 2%.</v>
      </c>
      <c r="C543" s="130"/>
      <c r="D543" s="129"/>
      <c r="E543" s="131" t="s">
        <v>7052</v>
      </c>
      <c r="F543" s="131" t="s">
        <v>7027</v>
      </c>
      <c r="G543" s="131" t="s">
        <v>7058</v>
      </c>
      <c r="H543" s="131" t="s">
        <v>7053</v>
      </c>
      <c r="I543" s="131" t="s">
        <v>7027</v>
      </c>
      <c r="J543" s="129"/>
      <c r="K543" s="133"/>
      <c r="L543" s="131"/>
      <c r="M543" s="131"/>
      <c r="N543" s="131"/>
      <c r="O543" s="131"/>
      <c r="P543" s="129"/>
      <c r="Q543" s="131"/>
      <c r="R543" s="131"/>
      <c r="S543" s="131"/>
      <c r="T543" s="129"/>
    </row>
    <row r="544" ht="37.5" customHeight="1">
      <c r="A544" s="129"/>
      <c r="B544" s="130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C544" s="130"/>
      <c r="D544" s="129"/>
      <c r="E544" s="131" t="s">
        <v>7045</v>
      </c>
      <c r="F544" s="131" t="s">
        <v>7027</v>
      </c>
      <c r="G544" s="131" t="s">
        <v>7046</v>
      </c>
      <c r="H544" s="131" t="s">
        <v>7029</v>
      </c>
      <c r="I544" s="131" t="s">
        <v>7027</v>
      </c>
      <c r="J544" s="129"/>
      <c r="K544" s="133"/>
      <c r="L544" s="131"/>
      <c r="M544" s="131"/>
      <c r="N544" s="131"/>
      <c r="O544" s="131"/>
      <c r="P544" s="129"/>
      <c r="Q544" s="131"/>
      <c r="R544" s="131"/>
      <c r="S544" s="131"/>
      <c r="T544" s="129"/>
    </row>
    <row r="545" ht="37.5" customHeight="1">
      <c r="A545" s="129"/>
      <c r="B545" s="130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C545" s="130"/>
      <c r="D545" s="129"/>
      <c r="E545" s="131" t="s">
        <v>7125</v>
      </c>
      <c r="F545" s="131" t="s">
        <v>7027</v>
      </c>
      <c r="G545" s="131" t="s">
        <v>7031</v>
      </c>
      <c r="H545" s="131" t="s">
        <v>7066</v>
      </c>
      <c r="I545" s="131" t="s">
        <v>7027</v>
      </c>
      <c r="J545" s="129"/>
      <c r="K545" s="133"/>
      <c r="L545" s="131"/>
      <c r="M545" s="131"/>
      <c r="N545" s="131"/>
      <c r="O545" s="131"/>
      <c r="P545" s="129"/>
      <c r="Q545" s="131"/>
      <c r="R545" s="131"/>
      <c r="S545" s="131"/>
      <c r="T545" s="129"/>
    </row>
    <row r="546" ht="37.5" customHeight="1">
      <c r="A546" s="129"/>
      <c r="B546" s="130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C546" s="130"/>
      <c r="D546" s="129"/>
      <c r="E546" s="131" t="s">
        <v>7082</v>
      </c>
      <c r="F546" s="131" t="s">
        <v>7027</v>
      </c>
      <c r="G546" s="131" t="s">
        <v>7034</v>
      </c>
      <c r="H546" s="131" t="s">
        <v>7035</v>
      </c>
      <c r="I546" s="131" t="s">
        <v>7027</v>
      </c>
      <c r="J546" s="129"/>
      <c r="K546" s="133"/>
      <c r="L546" s="131"/>
      <c r="M546" s="131"/>
      <c r="N546" s="131"/>
      <c r="O546" s="131"/>
      <c r="P546" s="129"/>
      <c r="Q546" s="131"/>
      <c r="R546" s="131"/>
      <c r="S546" s="131"/>
      <c r="T546" s="129"/>
    </row>
    <row r="547" ht="37.5" customHeight="1">
      <c r="A547" s="129"/>
      <c r="B547" s="130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C547" s="130"/>
      <c r="D547" s="129"/>
      <c r="E547" s="131" t="s">
        <v>7076</v>
      </c>
      <c r="F547" s="131" t="s">
        <v>7027</v>
      </c>
      <c r="G547" s="131" t="s">
        <v>7042</v>
      </c>
      <c r="H547" s="131" t="s">
        <v>7093</v>
      </c>
      <c r="I547" s="131" t="s">
        <v>7027</v>
      </c>
      <c r="J547" s="129"/>
      <c r="K547" s="133"/>
      <c r="L547" s="131"/>
      <c r="M547" s="131"/>
      <c r="N547" s="131"/>
      <c r="O547" s="131"/>
      <c r="P547" s="129"/>
      <c r="Q547" s="131"/>
      <c r="R547" s="131"/>
      <c r="S547" s="131"/>
      <c r="T547" s="129"/>
    </row>
    <row r="548" ht="37.5" customHeight="1">
      <c r="A548" s="129"/>
      <c r="B548" s="130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C548" s="130"/>
      <c r="D548" s="129"/>
      <c r="E548" s="131" t="s">
        <v>7070</v>
      </c>
      <c r="F548" s="131" t="s">
        <v>7027</v>
      </c>
      <c r="G548" s="131" t="s">
        <v>7042</v>
      </c>
      <c r="H548" s="131" t="s">
        <v>7029</v>
      </c>
      <c r="I548" s="131" t="s">
        <v>7027</v>
      </c>
      <c r="J548" s="129"/>
      <c r="K548" s="133"/>
      <c r="L548" s="131"/>
      <c r="M548" s="131"/>
      <c r="N548" s="131"/>
      <c r="O548" s="131"/>
      <c r="P548" s="129"/>
      <c r="Q548" s="131"/>
      <c r="R548" s="131"/>
      <c r="S548" s="131"/>
      <c r="T548" s="129"/>
    </row>
    <row r="549" ht="37.5" customHeight="1">
      <c r="A549" s="129"/>
      <c r="B549" s="130" t="str">
        <f>IFERROR(__xludf.DUMMYFUNCTION("""COMPUTED_VALUE"""),"After KOing an enemy: Reduce the cooldown time of Skill 2 by 6%.")</f>
        <v>After KOing an enemy: Reduce the cooldown time of Skill 2 by 6%.</v>
      </c>
      <c r="C549" s="130"/>
      <c r="D549" s="129"/>
      <c r="E549" s="131" t="s">
        <v>7039</v>
      </c>
      <c r="F549" s="131" t="s">
        <v>7027</v>
      </c>
      <c r="G549" s="131" t="s">
        <v>7050</v>
      </c>
      <c r="H549" s="131" t="s">
        <v>7066</v>
      </c>
      <c r="I549" s="131" t="s">
        <v>7027</v>
      </c>
      <c r="J549" s="129"/>
      <c r="K549" s="133"/>
      <c r="L549" s="131"/>
      <c r="M549" s="131"/>
      <c r="N549" s="131"/>
      <c r="O549" s="131"/>
      <c r="P549" s="129"/>
      <c r="Q549" s="131"/>
      <c r="R549" s="131"/>
      <c r="S549" s="131"/>
      <c r="T549" s="129"/>
    </row>
    <row r="550" ht="37.5" customHeight="1">
      <c r="A550" s="129"/>
      <c r="B550" s="130" t="str">
        <f>IFERROR(__xludf.DUMMYFUNCTION("""COMPUTED_VALUE"""),"When your HP is 70% or more: Reduce damage recieved by 5%.")</f>
        <v>When your HP is 70% or more: Reduce damage recieved by 5%.</v>
      </c>
      <c r="C550" s="130"/>
      <c r="D550" s="129"/>
      <c r="E550" s="131" t="s">
        <v>7026</v>
      </c>
      <c r="F550" s="131" t="s">
        <v>7027</v>
      </c>
      <c r="G550" s="131" t="s">
        <v>7037</v>
      </c>
      <c r="H550" s="131" t="s">
        <v>7035</v>
      </c>
      <c r="I550" s="131" t="s">
        <v>7027</v>
      </c>
      <c r="J550" s="129"/>
      <c r="K550" s="133"/>
      <c r="L550" s="131"/>
      <c r="M550" s="131"/>
      <c r="N550" s="131"/>
      <c r="O550" s="131"/>
      <c r="P550" s="129"/>
      <c r="Q550" s="131"/>
      <c r="R550" s="131"/>
      <c r="S550" s="131"/>
      <c r="T550" s="129"/>
    </row>
    <row r="551" ht="37.5" customHeight="1">
      <c r="A551" s="129"/>
      <c r="B551" s="130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C551" s="130"/>
      <c r="D551" s="129"/>
      <c r="E551" s="131" t="s">
        <v>7026</v>
      </c>
      <c r="F551" s="131" t="s">
        <v>7027</v>
      </c>
      <c r="G551" s="131" t="s">
        <v>7046</v>
      </c>
      <c r="H551" s="131" t="s">
        <v>7093</v>
      </c>
      <c r="I551" s="131" t="s">
        <v>7027</v>
      </c>
      <c r="J551" s="129"/>
      <c r="K551" s="133"/>
      <c r="L551" s="131"/>
      <c r="M551" s="131"/>
      <c r="N551" s="131"/>
      <c r="O551" s="131"/>
      <c r="P551" s="129"/>
      <c r="Q551" s="131"/>
      <c r="R551" s="131"/>
      <c r="S551" s="131"/>
      <c r="T551" s="129"/>
    </row>
    <row r="552" ht="37.5" customHeight="1">
      <c r="A552" s="129"/>
      <c r="B552" s="130" t="str">
        <f>IFERROR(__xludf.DUMMYFUNCTION("""COMPUTED_VALUE"""),"When your HP is 70% or more: Increase damage dealt by 5%.")</f>
        <v>When your HP is 70% or more: Increase damage dealt by 5%.</v>
      </c>
      <c r="C552" s="130"/>
      <c r="D552" s="129"/>
      <c r="E552" s="131" t="s">
        <v>7026</v>
      </c>
      <c r="F552" s="131" t="s">
        <v>7027</v>
      </c>
      <c r="G552" s="131" t="s">
        <v>7034</v>
      </c>
      <c r="H552" s="131" t="s">
        <v>7035</v>
      </c>
      <c r="I552" s="131" t="s">
        <v>7027</v>
      </c>
      <c r="J552" s="129"/>
      <c r="K552" s="133"/>
      <c r="L552" s="131"/>
      <c r="M552" s="131"/>
      <c r="N552" s="131"/>
      <c r="O552" s="131"/>
      <c r="P552" s="129"/>
      <c r="Q552" s="131"/>
      <c r="R552" s="131"/>
      <c r="S552" s="131"/>
      <c r="T552" s="129"/>
    </row>
    <row r="553" ht="37.5" customHeight="1">
      <c r="A553" s="129"/>
      <c r="B553" s="130" t="str">
        <f>IFERROR(__xludf.DUMMYFUNCTION("""COMPUTED_VALUE"""),"When enemies are inflicted with Shock: SPD Boosted by 6% for 20 second(s).")</f>
        <v>When enemies are inflicted with Shock: SPD Boosted by 6% for 20 second(s).</v>
      </c>
      <c r="C553" s="130"/>
      <c r="D553" s="129"/>
      <c r="E553" s="131" t="s">
        <v>7080</v>
      </c>
      <c r="F553" s="131" t="s">
        <v>7027</v>
      </c>
      <c r="G553" s="131" t="s">
        <v>7083</v>
      </c>
      <c r="H553" s="131" t="s">
        <v>7066</v>
      </c>
      <c r="I553" s="131" t="s">
        <v>7084</v>
      </c>
      <c r="J553" s="129"/>
      <c r="K553" s="133"/>
      <c r="L553" s="131"/>
      <c r="M553" s="131"/>
      <c r="N553" s="131"/>
      <c r="O553" s="131"/>
      <c r="P553" s="129"/>
      <c r="Q553" s="131"/>
      <c r="R553" s="131"/>
      <c r="S553" s="131"/>
      <c r="T553" s="129"/>
    </row>
    <row r="554" ht="37.5" customHeight="1">
      <c r="A554" s="129"/>
      <c r="B554" s="130" t="str">
        <f>IFERROR(__xludf.DUMMYFUNCTION("""COMPUTED_VALUE"""),"When attacking an enemy inflicted With Shock: Increase damage dealt by 5%.")</f>
        <v>When attacking an enemy inflicted With Shock: Increase damage dealt by 5%.</v>
      </c>
      <c r="C554" s="130"/>
      <c r="D554" s="129"/>
      <c r="E554" s="131" t="s">
        <v>7137</v>
      </c>
      <c r="F554" s="131" t="s">
        <v>7027</v>
      </c>
      <c r="G554" s="131" t="s">
        <v>7034</v>
      </c>
      <c r="H554" s="131" t="s">
        <v>7035</v>
      </c>
      <c r="I554" s="131" t="s">
        <v>7027</v>
      </c>
      <c r="J554" s="129"/>
      <c r="K554" s="133"/>
      <c r="L554" s="131"/>
      <c r="M554" s="131"/>
      <c r="N554" s="131"/>
      <c r="O554" s="131"/>
      <c r="P554" s="129"/>
      <c r="Q554" s="131"/>
      <c r="R554" s="131"/>
      <c r="S554" s="131"/>
      <c r="T554" s="129"/>
    </row>
    <row r="555" ht="37.5" customHeight="1">
      <c r="A555" s="129"/>
      <c r="B555" s="130" t="str">
        <f>IFERROR(__xludf.DUMMYFUNCTION("""COMPUTED_VALUE"""),"When there are 60 seconds or less remaining: Boost the cooldown reduction speed of Skill 2 by 10%.")</f>
        <v>When there are 60 seconds or less remaining: Boost the cooldown reduction speed of Skill 2 by 10%.</v>
      </c>
      <c r="C555" s="130"/>
      <c r="D555" s="129"/>
      <c r="E555" s="131" t="s">
        <v>7091</v>
      </c>
      <c r="F555" s="131" t="s">
        <v>7027</v>
      </c>
      <c r="G555" s="131" t="s">
        <v>7042</v>
      </c>
      <c r="H555" s="131" t="s">
        <v>7093</v>
      </c>
      <c r="I555" s="131" t="s">
        <v>7027</v>
      </c>
      <c r="J555" s="129"/>
      <c r="K555" s="133"/>
      <c r="L555" s="131"/>
      <c r="M555" s="131"/>
      <c r="N555" s="131"/>
      <c r="O555" s="131"/>
      <c r="P555" s="129"/>
      <c r="Q555" s="131"/>
      <c r="R555" s="131"/>
      <c r="S555" s="131"/>
      <c r="T555" s="129"/>
    </row>
    <row r="556" ht="37.5" customHeight="1">
      <c r="A556" s="129"/>
      <c r="B556" s="130" t="str">
        <f>IFERROR(__xludf.DUMMYFUNCTION("""COMPUTED_VALUE"""),"When you capture the Treasure: Recover HP by 5%.")</f>
        <v>When you capture the Treasure: Recover HP by 5%.</v>
      </c>
      <c r="C556" s="130"/>
      <c r="D556" s="129"/>
      <c r="E556" s="131" t="s">
        <v>7048</v>
      </c>
      <c r="F556" s="131" t="s">
        <v>7027</v>
      </c>
      <c r="G556" s="131" t="s">
        <v>7040</v>
      </c>
      <c r="H556" s="131" t="s">
        <v>7035</v>
      </c>
      <c r="I556" s="131" t="s">
        <v>7027</v>
      </c>
      <c r="J556" s="129"/>
      <c r="K556" s="133"/>
      <c r="L556" s="131"/>
      <c r="M556" s="131"/>
      <c r="N556" s="131"/>
      <c r="O556" s="131"/>
      <c r="P556" s="129"/>
      <c r="Q556" s="131"/>
      <c r="R556" s="131"/>
      <c r="S556" s="131"/>
      <c r="T556" s="129"/>
    </row>
    <row r="557" ht="37.5" customHeight="1">
      <c r="A557" s="129"/>
      <c r="B557" s="130" t="str">
        <f>IFERROR(__xludf.DUMMYFUNCTION("""COMPUTED_VALUE"""),"When you capture the Treasure: Reduce the cooldown time of Skill 1 by 5%.")</f>
        <v>When you capture the Treasure: Reduce the cooldown time of Skill 1 by 5%.</v>
      </c>
      <c r="C557" s="130"/>
      <c r="D557" s="129"/>
      <c r="E557" s="131" t="s">
        <v>7048</v>
      </c>
      <c r="F557" s="131" t="s">
        <v>7027</v>
      </c>
      <c r="G557" s="131" t="s">
        <v>7058</v>
      </c>
      <c r="H557" s="131" t="s">
        <v>7035</v>
      </c>
      <c r="I557" s="131" t="s">
        <v>7027</v>
      </c>
      <c r="J557" s="129"/>
      <c r="K557" s="133"/>
      <c r="L557" s="131"/>
      <c r="M557" s="131"/>
      <c r="N557" s="131"/>
      <c r="O557" s="131"/>
      <c r="P557" s="129"/>
      <c r="Q557" s="131"/>
      <c r="R557" s="131"/>
      <c r="S557" s="131"/>
      <c r="T557" s="129"/>
    </row>
    <row r="558" ht="37.5" customHeight="1">
      <c r="A558" s="129"/>
      <c r="B558" s="130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C558" s="130"/>
      <c r="D558" s="129"/>
      <c r="E558" s="131" t="s">
        <v>7082</v>
      </c>
      <c r="F558" s="131" t="s">
        <v>7027</v>
      </c>
      <c r="G558" s="131" t="s">
        <v>7028</v>
      </c>
      <c r="H558" s="131" t="s">
        <v>7029</v>
      </c>
      <c r="I558" s="131" t="s">
        <v>7027</v>
      </c>
      <c r="J558" s="129"/>
      <c r="K558" s="133"/>
      <c r="L558" s="131"/>
      <c r="M558" s="131"/>
      <c r="N558" s="131"/>
      <c r="O558" s="131"/>
      <c r="P558" s="129"/>
      <c r="Q558" s="131"/>
      <c r="R558" s="131"/>
      <c r="S558" s="131"/>
      <c r="T558" s="129"/>
    </row>
    <row r="559" ht="37.5" customHeight="1">
      <c r="A559" s="129"/>
      <c r="B559" s="130" t="str">
        <f>IFERROR(__xludf.DUMMYFUNCTION("""COMPUTED_VALUE"""),"When in the area around your enemy`s Treasure: Increase damage dealt by 3%.")</f>
        <v>When in the area around your enemy`s Treasure: Increase damage dealt by 3%.</v>
      </c>
      <c r="C559" s="130"/>
      <c r="D559" s="129"/>
      <c r="E559" s="131" t="s">
        <v>7041</v>
      </c>
      <c r="F559" s="131" t="s">
        <v>7027</v>
      </c>
      <c r="G559" s="131" t="s">
        <v>7034</v>
      </c>
      <c r="H559" s="131" t="s">
        <v>7038</v>
      </c>
      <c r="I559" s="131" t="s">
        <v>7027</v>
      </c>
      <c r="J559" s="129"/>
      <c r="K559" s="133"/>
      <c r="L559" s="131"/>
      <c r="M559" s="131"/>
      <c r="N559" s="131"/>
      <c r="O559" s="131"/>
      <c r="P559" s="129"/>
      <c r="Q559" s="131"/>
      <c r="R559" s="131"/>
      <c r="S559" s="131"/>
      <c r="T559" s="129"/>
    </row>
    <row r="560" ht="37.5" customHeight="1">
      <c r="A560" s="129"/>
      <c r="B560" s="130" t="str">
        <f>IFERROR(__xludf.DUMMYFUNCTION("""COMPUTED_VALUE"""),"When performing a Perfect Dodge: Reduce the cooldown time of Skill 1 by 6%.")</f>
        <v>When performing a Perfect Dodge: Reduce the cooldown time of Skill 1 by 6%.</v>
      </c>
      <c r="C560" s="130"/>
      <c r="D560" s="129"/>
      <c r="E560" s="131" t="s">
        <v>7057</v>
      </c>
      <c r="F560" s="131" t="s">
        <v>7027</v>
      </c>
      <c r="G560" s="131" t="s">
        <v>7058</v>
      </c>
      <c r="H560" s="131" t="s">
        <v>7066</v>
      </c>
      <c r="I560" s="131" t="s">
        <v>7027</v>
      </c>
      <c r="J560" s="129"/>
      <c r="K560" s="133"/>
      <c r="L560" s="131"/>
      <c r="M560" s="131"/>
      <c r="N560" s="131"/>
      <c r="O560" s="131"/>
      <c r="P560" s="129"/>
      <c r="Q560" s="131"/>
      <c r="R560" s="131"/>
      <c r="S560" s="131"/>
      <c r="T560" s="129"/>
    </row>
    <row r="561" ht="37.5" customHeight="1">
      <c r="A561" s="129"/>
      <c r="B561" s="130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C561" s="130"/>
      <c r="D561" s="129"/>
      <c r="E561" s="131" t="s">
        <v>7076</v>
      </c>
      <c r="F561" s="131" t="s">
        <v>7027</v>
      </c>
      <c r="G561" s="131" t="s">
        <v>7042</v>
      </c>
      <c r="H561" s="131" t="s">
        <v>7093</v>
      </c>
      <c r="I561" s="131" t="s">
        <v>7027</v>
      </c>
      <c r="J561" s="129"/>
      <c r="K561" s="133"/>
      <c r="L561" s="131"/>
      <c r="M561" s="131"/>
      <c r="N561" s="131"/>
      <c r="O561" s="131"/>
      <c r="P561" s="129"/>
      <c r="Q561" s="131"/>
      <c r="R561" s="131"/>
      <c r="S561" s="131"/>
      <c r="T561" s="129"/>
    </row>
    <row r="562" ht="37.5" customHeight="1">
      <c r="A562" s="129"/>
      <c r="B562" s="130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C562" s="130"/>
      <c r="D562" s="129"/>
      <c r="E562" s="131" t="s">
        <v>7041</v>
      </c>
      <c r="F562" s="131" t="s">
        <v>7027</v>
      </c>
      <c r="G562" s="131" t="s">
        <v>7046</v>
      </c>
      <c r="H562" s="131" t="s">
        <v>7029</v>
      </c>
      <c r="I562" s="131" t="s">
        <v>7027</v>
      </c>
      <c r="J562" s="129"/>
      <c r="K562" s="133"/>
      <c r="L562" s="131"/>
      <c r="M562" s="131"/>
      <c r="N562" s="131"/>
      <c r="O562" s="131"/>
      <c r="P562" s="129"/>
      <c r="Q562" s="131"/>
      <c r="R562" s="131"/>
      <c r="S562" s="131"/>
      <c r="T562" s="129"/>
    </row>
    <row r="563" ht="37.5" customHeight="1">
      <c r="A563" s="129"/>
      <c r="B563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563" s="130"/>
      <c r="D563" s="129"/>
      <c r="E563" s="131" t="s">
        <v>7041</v>
      </c>
      <c r="F563" s="131" t="s">
        <v>7027</v>
      </c>
      <c r="G563" s="131" t="s">
        <v>7034</v>
      </c>
      <c r="H563" s="131" t="s">
        <v>7035</v>
      </c>
      <c r="I563" s="131" t="s">
        <v>7027</v>
      </c>
      <c r="J563" s="129"/>
      <c r="K563" s="133"/>
      <c r="L563" s="131"/>
      <c r="M563" s="131"/>
      <c r="N563" s="131"/>
      <c r="O563" s="131"/>
      <c r="P563" s="129"/>
      <c r="Q563" s="131"/>
      <c r="R563" s="131"/>
      <c r="S563" s="131"/>
      <c r="T563" s="129"/>
    </row>
    <row r="564" ht="37.5" customHeight="1">
      <c r="A564" s="129"/>
      <c r="B564" s="130" t="str">
        <f>IFERROR(__xludf.DUMMYFUNCTION("""COMPUTED_VALUE"""),"When you capture the Treasure: Reduce the cooldown time of Skill 2 by 5%.")</f>
        <v>When you capture the Treasure: Reduce the cooldown time of Skill 2 by 5%.</v>
      </c>
      <c r="C564" s="130"/>
      <c r="D564" s="129"/>
      <c r="E564" s="131" t="s">
        <v>7048</v>
      </c>
      <c r="F564" s="131" t="s">
        <v>7027</v>
      </c>
      <c r="G564" s="131" t="s">
        <v>7050</v>
      </c>
      <c r="H564" s="131" t="s">
        <v>7035</v>
      </c>
      <c r="I564" s="131" t="s">
        <v>7027</v>
      </c>
      <c r="J564" s="129"/>
      <c r="K564" s="133"/>
      <c r="L564" s="131"/>
      <c r="M564" s="131"/>
      <c r="N564" s="131"/>
      <c r="O564" s="131"/>
      <c r="P564" s="129"/>
      <c r="Q564" s="131"/>
      <c r="R564" s="131"/>
      <c r="S564" s="131"/>
      <c r="T564" s="129"/>
    </row>
    <row r="565" ht="37.5" customHeight="1">
      <c r="A565" s="129"/>
      <c r="B565" s="130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C565" s="130"/>
      <c r="D565" s="129"/>
      <c r="E565" s="131" t="s">
        <v>7125</v>
      </c>
      <c r="F565" s="131" t="s">
        <v>7027</v>
      </c>
      <c r="G565" s="131" t="s">
        <v>7031</v>
      </c>
      <c r="H565" s="131" t="s">
        <v>7032</v>
      </c>
      <c r="I565" s="131" t="s">
        <v>7027</v>
      </c>
      <c r="J565" s="129"/>
      <c r="K565" s="133"/>
      <c r="L565" s="131"/>
      <c r="M565" s="131"/>
      <c r="N565" s="131"/>
      <c r="O565" s="131"/>
      <c r="P565" s="129"/>
      <c r="Q565" s="131"/>
      <c r="R565" s="131"/>
      <c r="S565" s="131"/>
      <c r="T565" s="129"/>
    </row>
    <row r="566" ht="37.5" customHeight="1">
      <c r="A566" s="129"/>
      <c r="B566" s="130" t="str">
        <f>IFERROR(__xludf.DUMMYFUNCTION("""COMPUTED_VALUE"""),"When Critical occurs: Reduce the cooldown time of Skill 2 by 3%.")</f>
        <v>When Critical occurs: Reduce the cooldown time of Skill 2 by 3%.</v>
      </c>
      <c r="C566" s="130"/>
      <c r="D566" s="129"/>
      <c r="E566" s="131" t="s">
        <v>7052</v>
      </c>
      <c r="F566" s="131" t="s">
        <v>7027</v>
      </c>
      <c r="G566" s="131" t="s">
        <v>7050</v>
      </c>
      <c r="H566" s="131" t="s">
        <v>7038</v>
      </c>
      <c r="I566" s="131" t="s">
        <v>7027</v>
      </c>
      <c r="J566" s="129"/>
      <c r="K566" s="133"/>
      <c r="L566" s="131"/>
      <c r="M566" s="131"/>
      <c r="N566" s="131"/>
      <c r="O566" s="131"/>
      <c r="P566" s="129"/>
      <c r="Q566" s="131"/>
      <c r="R566" s="131"/>
      <c r="S566" s="131"/>
      <c r="T566" s="129"/>
    </row>
    <row r="567" ht="37.5" customHeight="1">
      <c r="A567" s="129"/>
      <c r="B567" s="130" t="str">
        <f>IFERROR(__xludf.DUMMYFUNCTION("""COMPUTED_VALUE"""),"When performing a Perfect Dodge: CRIT Boosted by 80% for 20 second(s).")</f>
        <v>When performing a Perfect Dodge: CRIT Boosted by 80% for 20 second(s).</v>
      </c>
      <c r="C567" s="130"/>
      <c r="D567" s="129"/>
      <c r="E567" s="131" t="s">
        <v>7057</v>
      </c>
      <c r="F567" s="131" t="s">
        <v>7027</v>
      </c>
      <c r="G567" s="131" t="s">
        <v>7086</v>
      </c>
      <c r="H567" s="131" t="s">
        <v>7138</v>
      </c>
      <c r="I567" s="131" t="s">
        <v>7084</v>
      </c>
      <c r="J567" s="129"/>
      <c r="K567" s="133"/>
      <c r="L567" s="131"/>
      <c r="M567" s="131"/>
      <c r="N567" s="131"/>
      <c r="O567" s="131"/>
      <c r="P567" s="129"/>
      <c r="Q567" s="131"/>
      <c r="R567" s="131"/>
      <c r="S567" s="131"/>
      <c r="T567" s="129"/>
    </row>
    <row r="568" ht="37.5" customHeight="1">
      <c r="A568" s="129"/>
      <c r="B568" s="130" t="str">
        <f>IFERROR(__xludf.DUMMYFUNCTION("""COMPUTED_VALUE"""),"When Critical occurs: Recover HP by 1%.")</f>
        <v>When Critical occurs: Recover HP by 1%.</v>
      </c>
      <c r="C568" s="130"/>
      <c r="D568" s="129"/>
      <c r="E568" s="131" t="s">
        <v>7052</v>
      </c>
      <c r="F568" s="131" t="s">
        <v>7027</v>
      </c>
      <c r="G568" s="131" t="s">
        <v>7040</v>
      </c>
      <c r="H568" s="131" t="s">
        <v>7055</v>
      </c>
      <c r="I568" s="131" t="s">
        <v>7027</v>
      </c>
      <c r="J568" s="129"/>
      <c r="K568" s="133"/>
      <c r="L568" s="131"/>
      <c r="M568" s="131"/>
      <c r="N568" s="131"/>
      <c r="O568" s="131"/>
      <c r="P568" s="129"/>
      <c r="Q568" s="131"/>
      <c r="R568" s="131"/>
      <c r="S568" s="131"/>
      <c r="T568" s="129"/>
    </row>
    <row r="569" ht="37.5" customHeight="1">
      <c r="A569" s="129"/>
      <c r="B569" s="130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C569" s="130"/>
      <c r="D569" s="129"/>
      <c r="E569" s="131" t="s">
        <v>7082</v>
      </c>
      <c r="F569" s="131" t="s">
        <v>7027</v>
      </c>
      <c r="G569" s="131" t="s">
        <v>7042</v>
      </c>
      <c r="H569" s="131" t="s">
        <v>7029</v>
      </c>
      <c r="I569" s="131" t="s">
        <v>7027</v>
      </c>
      <c r="J569" s="129"/>
      <c r="K569" s="133"/>
      <c r="L569" s="131"/>
      <c r="M569" s="131"/>
      <c r="N569" s="131"/>
      <c r="O569" s="131"/>
      <c r="P569" s="129"/>
      <c r="Q569" s="131"/>
      <c r="R569" s="131"/>
      <c r="S569" s="131"/>
      <c r="T569" s="129"/>
    </row>
    <row r="570" ht="37.5" customHeight="1">
      <c r="A570" s="129"/>
      <c r="B570" s="130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C570" s="130"/>
      <c r="D570" s="129"/>
      <c r="E570" s="131" t="s">
        <v>7041</v>
      </c>
      <c r="F570" s="131" t="s">
        <v>7027</v>
      </c>
      <c r="G570" s="131" t="s">
        <v>7046</v>
      </c>
      <c r="H570" s="131" t="s">
        <v>7093</v>
      </c>
      <c r="I570" s="131" t="s">
        <v>7027</v>
      </c>
      <c r="J570" s="129"/>
      <c r="K570" s="133"/>
      <c r="L570" s="131"/>
      <c r="M570" s="131"/>
      <c r="N570" s="131"/>
      <c r="O570" s="131"/>
      <c r="P570" s="129"/>
      <c r="Q570" s="131"/>
      <c r="R570" s="131"/>
      <c r="S570" s="131"/>
      <c r="T570" s="129"/>
    </row>
    <row r="571" ht="37.5" customHeight="1">
      <c r="A571" s="129"/>
      <c r="B571" s="130" t="str">
        <f>IFERROR(__xludf.DUMMYFUNCTION("""COMPUTED_VALUE"""),"After KOing an enemy: Reduce the cooldown time of Skill 2 by 8%.")</f>
        <v>After KOing an enemy: Reduce the cooldown time of Skill 2 by 8%.</v>
      </c>
      <c r="C571" s="130"/>
      <c r="D571" s="129"/>
      <c r="E571" s="131" t="s">
        <v>7039</v>
      </c>
      <c r="F571" s="131" t="s">
        <v>7027</v>
      </c>
      <c r="G571" s="131" t="s">
        <v>7050</v>
      </c>
      <c r="H571" s="131" t="s">
        <v>7032</v>
      </c>
      <c r="I571" s="131" t="s">
        <v>7027</v>
      </c>
      <c r="J571" s="129"/>
      <c r="K571" s="133"/>
      <c r="L571" s="131"/>
      <c r="M571" s="131"/>
      <c r="N571" s="131"/>
      <c r="O571" s="131"/>
      <c r="P571" s="129"/>
      <c r="Q571" s="131"/>
      <c r="R571" s="131"/>
      <c r="S571" s="131"/>
      <c r="T571" s="129"/>
    </row>
    <row r="572" ht="37.5" customHeight="1">
      <c r="A572" s="129"/>
      <c r="B572" s="130" t="str">
        <f>IFERROR(__xludf.DUMMYFUNCTION("""COMPUTED_VALUE"""),"After KOing an enemy: Reduce the cooldown time of Skill 1 by 6%.")</f>
        <v>After KOing an enemy: Reduce the cooldown time of Skill 1 by 6%.</v>
      </c>
      <c r="C572" s="130"/>
      <c r="D572" s="129"/>
      <c r="E572" s="131" t="s">
        <v>7039</v>
      </c>
      <c r="F572" s="131" t="s">
        <v>7027</v>
      </c>
      <c r="G572" s="131" t="s">
        <v>7058</v>
      </c>
      <c r="H572" s="131" t="s">
        <v>7066</v>
      </c>
      <c r="I572" s="131" t="s">
        <v>7027</v>
      </c>
      <c r="J572" s="129"/>
      <c r="K572" s="133"/>
      <c r="L572" s="131"/>
      <c r="M572" s="131"/>
      <c r="N572" s="131"/>
      <c r="O572" s="131"/>
      <c r="P572" s="129"/>
      <c r="Q572" s="131"/>
      <c r="R572" s="131"/>
      <c r="S572" s="131"/>
      <c r="T572" s="129"/>
    </row>
    <row r="573" ht="37.5" customHeight="1">
      <c r="A573" s="129"/>
      <c r="B573" s="130" t="str">
        <f>IFERROR(__xludf.DUMMYFUNCTION("""COMPUTED_VALUE"""),"When in the area around your enemy`s Treasure: Increase damage dealt by 5%.")</f>
        <v>When in the area around your enemy`s Treasure: Increase damage dealt by 5%.</v>
      </c>
      <c r="C573" s="130"/>
      <c r="D573" s="129"/>
      <c r="E573" s="131" t="s">
        <v>7041</v>
      </c>
      <c r="F573" s="131" t="s">
        <v>7027</v>
      </c>
      <c r="G573" s="131" t="s">
        <v>7034</v>
      </c>
      <c r="H573" s="131" t="s">
        <v>7035</v>
      </c>
      <c r="I573" s="131" t="s">
        <v>7027</v>
      </c>
      <c r="J573" s="129"/>
      <c r="K573" s="133"/>
      <c r="L573" s="131"/>
      <c r="M573" s="131"/>
      <c r="N573" s="131"/>
      <c r="O573" s="131"/>
      <c r="P573" s="129"/>
      <c r="Q573" s="131"/>
      <c r="R573" s="131"/>
      <c r="S573" s="131"/>
      <c r="T573" s="129"/>
    </row>
    <row r="574" ht="37.5" customHeight="1">
      <c r="A574" s="129"/>
      <c r="B574" s="130" t="str">
        <f>IFERROR(__xludf.DUMMYFUNCTION("""COMPUTED_VALUE"""),"When you capture the Treasure: Reduce the cooldown time of Skill 2 by 5%.")</f>
        <v>When you capture the Treasure: Reduce the cooldown time of Skill 2 by 5%.</v>
      </c>
      <c r="C574" s="130"/>
      <c r="D574" s="129"/>
      <c r="E574" s="131" t="s">
        <v>7048</v>
      </c>
      <c r="F574" s="131" t="s">
        <v>7027</v>
      </c>
      <c r="G574" s="131" t="s">
        <v>7050</v>
      </c>
      <c r="H574" s="131" t="s">
        <v>7035</v>
      </c>
      <c r="I574" s="131" t="s">
        <v>7027</v>
      </c>
      <c r="J574" s="129"/>
      <c r="K574" s="133"/>
      <c r="L574" s="131"/>
      <c r="M574" s="131"/>
      <c r="N574" s="131"/>
      <c r="O574" s="131"/>
      <c r="P574" s="129"/>
      <c r="Q574" s="131"/>
      <c r="R574" s="131"/>
      <c r="S574" s="131"/>
      <c r="T574" s="129"/>
    </row>
    <row r="575" ht="37.5" customHeight="1">
      <c r="A575" s="129"/>
      <c r="B575" s="130" t="str">
        <f>IFERROR(__xludf.DUMMYFUNCTION("""COMPUTED_VALUE"""),"When performing a Perfect Dodge: Reduce the cooldown time of Skill 1 by 6%.")</f>
        <v>When performing a Perfect Dodge: Reduce the cooldown time of Skill 1 by 6%.</v>
      </c>
      <c r="C575" s="130"/>
      <c r="D575" s="129"/>
      <c r="E575" s="131" t="s">
        <v>7057</v>
      </c>
      <c r="F575" s="131" t="s">
        <v>7027</v>
      </c>
      <c r="G575" s="131" t="s">
        <v>7058</v>
      </c>
      <c r="H575" s="131" t="s">
        <v>7066</v>
      </c>
      <c r="I575" s="131" t="s">
        <v>7027</v>
      </c>
      <c r="J575" s="129"/>
      <c r="K575" s="133"/>
      <c r="L575" s="131"/>
      <c r="M575" s="131"/>
      <c r="N575" s="131"/>
      <c r="O575" s="131"/>
      <c r="P575" s="129"/>
      <c r="Q575" s="131"/>
      <c r="R575" s="131"/>
      <c r="S575" s="131"/>
      <c r="T575" s="129"/>
    </row>
    <row r="576" ht="37.5" customHeight="1">
      <c r="A576" s="129"/>
      <c r="B576" s="130" t="str">
        <f>IFERROR(__xludf.DUMMYFUNCTION("""COMPUTED_VALUE"""),"When your HP is 70% or more: Reduce damage recieved by 3%.")</f>
        <v>When your HP is 70% or more: Reduce damage recieved by 3%.</v>
      </c>
      <c r="C576" s="130"/>
      <c r="D576" s="129"/>
      <c r="E576" s="131" t="s">
        <v>7026</v>
      </c>
      <c r="F576" s="131" t="s">
        <v>7027</v>
      </c>
      <c r="G576" s="131" t="s">
        <v>7037</v>
      </c>
      <c r="H576" s="131" t="s">
        <v>7038</v>
      </c>
      <c r="I576" s="131" t="s">
        <v>7027</v>
      </c>
      <c r="J576" s="129"/>
      <c r="K576" s="133"/>
      <c r="L576" s="131"/>
      <c r="M576" s="131"/>
      <c r="N576" s="131"/>
      <c r="O576" s="131"/>
      <c r="P576" s="129"/>
      <c r="Q576" s="131"/>
      <c r="R576" s="131"/>
      <c r="S576" s="131"/>
      <c r="T576" s="129"/>
    </row>
    <row r="577" ht="37.5" customHeight="1">
      <c r="A577" s="129"/>
      <c r="B577" s="130" t="str">
        <f>IFERROR(__xludf.DUMMYFUNCTION("""COMPUTED_VALUE"""),"When an ally is KO`d (not including you): Reduce the cooldown time of Skill 2 by 8%.")</f>
        <v>When an ally is KO`d (not including you): Reduce the cooldown time of Skill 2 by 8%.</v>
      </c>
      <c r="C577" s="130"/>
      <c r="D577" s="129"/>
      <c r="E577" s="131" t="s">
        <v>7060</v>
      </c>
      <c r="F577" s="131" t="s">
        <v>7027</v>
      </c>
      <c r="G577" s="131" t="s">
        <v>7050</v>
      </c>
      <c r="H577" s="131" t="s">
        <v>7032</v>
      </c>
      <c r="I577" s="131" t="s">
        <v>7027</v>
      </c>
      <c r="J577" s="129"/>
      <c r="K577" s="133"/>
      <c r="L577" s="131"/>
      <c r="M577" s="131"/>
      <c r="N577" s="131"/>
      <c r="O577" s="131"/>
      <c r="P577" s="129"/>
      <c r="Q577" s="131"/>
      <c r="R577" s="131"/>
      <c r="S577" s="131"/>
      <c r="T577" s="129"/>
    </row>
    <row r="578" ht="37.5" customHeight="1">
      <c r="A578" s="129"/>
      <c r="B578" s="130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C578" s="130"/>
      <c r="D578" s="129"/>
      <c r="E578" s="131" t="s">
        <v>7026</v>
      </c>
      <c r="F578" s="131" t="s">
        <v>7027</v>
      </c>
      <c r="G578" s="131" t="s">
        <v>7042</v>
      </c>
      <c r="H578" s="131" t="s">
        <v>7093</v>
      </c>
      <c r="I578" s="131" t="s">
        <v>7027</v>
      </c>
      <c r="J578" s="129"/>
      <c r="K578" s="133"/>
      <c r="L578" s="131"/>
      <c r="M578" s="131"/>
      <c r="N578" s="131"/>
      <c r="O578" s="131"/>
      <c r="P578" s="129"/>
      <c r="Q578" s="131"/>
      <c r="R578" s="131"/>
      <c r="S578" s="131"/>
      <c r="T578" s="129"/>
    </row>
    <row r="579" ht="37.5" customHeight="1">
      <c r="A579" s="129"/>
      <c r="B579" s="130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C579" s="130"/>
      <c r="D579" s="129"/>
      <c r="E579" s="131" t="s">
        <v>7076</v>
      </c>
      <c r="F579" s="131" t="s">
        <v>7027</v>
      </c>
      <c r="G579" s="131" t="s">
        <v>7046</v>
      </c>
      <c r="H579" s="131" t="s">
        <v>7029</v>
      </c>
      <c r="I579" s="131" t="s">
        <v>7027</v>
      </c>
      <c r="J579" s="129"/>
      <c r="K579" s="133"/>
      <c r="L579" s="131"/>
      <c r="M579" s="131"/>
      <c r="N579" s="131"/>
      <c r="O579" s="131"/>
      <c r="P579" s="129"/>
      <c r="Q579" s="131"/>
      <c r="R579" s="131"/>
      <c r="S579" s="131"/>
      <c r="T579" s="129"/>
    </row>
    <row r="580" ht="37.5" customHeight="1">
      <c r="A580" s="129"/>
      <c r="B580" s="130" t="str">
        <f>IFERROR(__xludf.DUMMYFUNCTION("""COMPUTED_VALUE"""),"When in the area around your enemy`s Treasure: Reduce damage recieved by 3%.")</f>
        <v>When in the area around your enemy`s Treasure: Reduce damage recieved by 3%.</v>
      </c>
      <c r="C580" s="130"/>
      <c r="D580" s="129"/>
      <c r="E580" s="131" t="s">
        <v>7041</v>
      </c>
      <c r="F580" s="131" t="s">
        <v>7027</v>
      </c>
      <c r="G580" s="131" t="s">
        <v>7037</v>
      </c>
      <c r="H580" s="131" t="s">
        <v>7038</v>
      </c>
      <c r="I580" s="131" t="s">
        <v>7027</v>
      </c>
      <c r="J580" s="129"/>
      <c r="K580" s="133"/>
      <c r="L580" s="131"/>
      <c r="M580" s="131"/>
      <c r="N580" s="131"/>
      <c r="O580" s="131"/>
      <c r="P580" s="129"/>
      <c r="Q580" s="131"/>
      <c r="R580" s="131"/>
      <c r="S580" s="131"/>
      <c r="T580" s="129"/>
    </row>
    <row r="581" ht="37.5" customHeight="1">
      <c r="A581" s="129"/>
      <c r="B581" s="130" t="str">
        <f>IFERROR(__xludf.DUMMYFUNCTION("""COMPUTED_VALUE"""),"When your HP is 70% or more: Boost capture speed by 8%.")</f>
        <v>When your HP is 70% or more: Boost capture speed by 8%.</v>
      </c>
      <c r="C581" s="130"/>
      <c r="D581" s="129"/>
      <c r="E581" s="131" t="s">
        <v>7026</v>
      </c>
      <c r="F581" s="131" t="s">
        <v>7027</v>
      </c>
      <c r="G581" s="131" t="s">
        <v>7031</v>
      </c>
      <c r="H581" s="131" t="s">
        <v>7032</v>
      </c>
      <c r="I581" s="131" t="s">
        <v>7027</v>
      </c>
      <c r="J581" s="129"/>
      <c r="K581" s="133"/>
      <c r="L581" s="131"/>
      <c r="M581" s="131"/>
      <c r="N581" s="131"/>
      <c r="O581" s="131"/>
      <c r="P581" s="129"/>
      <c r="Q581" s="131"/>
      <c r="R581" s="131"/>
      <c r="S581" s="131"/>
      <c r="T581" s="129"/>
    </row>
    <row r="582" ht="37.5" customHeight="1">
      <c r="A582" s="129"/>
      <c r="B582" s="130" t="str">
        <f>IFERROR(__xludf.DUMMYFUNCTION("""COMPUTED_VALUE"""),"When your HP is 30% or less: CRIT Boosted by 60% for 20 second(s).")</f>
        <v>When your HP is 30% or less: CRIT Boosted by 60% for 20 second(s).</v>
      </c>
      <c r="C582" s="130"/>
      <c r="D582" s="129"/>
      <c r="E582" s="131" t="s">
        <v>7113</v>
      </c>
      <c r="F582" s="131" t="s">
        <v>7027</v>
      </c>
      <c r="G582" s="131" t="s">
        <v>7086</v>
      </c>
      <c r="H582" s="131" t="s">
        <v>7139</v>
      </c>
      <c r="I582" s="131" t="s">
        <v>7084</v>
      </c>
      <c r="J582" s="129"/>
      <c r="K582" s="133"/>
      <c r="L582" s="131"/>
      <c r="M582" s="131"/>
      <c r="N582" s="131"/>
      <c r="O582" s="131"/>
      <c r="P582" s="129"/>
      <c r="Q582" s="131"/>
      <c r="R582" s="131"/>
      <c r="S582" s="131"/>
      <c r="T582" s="129"/>
    </row>
    <row r="583" ht="37.5" customHeight="1">
      <c r="A583" s="129"/>
      <c r="B583" s="130" t="str">
        <f>IFERROR(__xludf.DUMMYFUNCTION("""COMPUTED_VALUE"""),"When in the area around your captured Treasure: Increase damage dealt by 5%.")</f>
        <v>When in the area around your captured Treasure: Increase damage dealt by 5%.</v>
      </c>
      <c r="C583" s="130"/>
      <c r="D583" s="129"/>
      <c r="E583" s="131" t="s">
        <v>7045</v>
      </c>
      <c r="F583" s="131" t="s">
        <v>7027</v>
      </c>
      <c r="G583" s="131" t="s">
        <v>7034</v>
      </c>
      <c r="H583" s="131" t="s">
        <v>7035</v>
      </c>
      <c r="I583" s="131" t="s">
        <v>7027</v>
      </c>
      <c r="J583" s="129"/>
      <c r="K583" s="133"/>
      <c r="L583" s="131"/>
      <c r="M583" s="131"/>
      <c r="N583" s="131"/>
      <c r="O583" s="131"/>
      <c r="P583" s="129"/>
      <c r="Q583" s="131"/>
      <c r="R583" s="131"/>
      <c r="S583" s="131"/>
      <c r="T583" s="129"/>
    </row>
    <row r="584" ht="37.5" customHeight="1">
      <c r="A584" s="129"/>
      <c r="B584" s="130" t="str">
        <f>IFERROR(__xludf.DUMMYFUNCTION("""COMPUTED_VALUE"""),"When your team has more Treasure secured: Increase damage dealt by 5%.")</f>
        <v>When your team has more Treasure secured: Increase damage dealt by 5%.</v>
      </c>
      <c r="C584" s="130"/>
      <c r="D584" s="129"/>
      <c r="E584" s="131" t="s">
        <v>7070</v>
      </c>
      <c r="F584" s="131" t="s">
        <v>7027</v>
      </c>
      <c r="G584" s="131" t="s">
        <v>7034</v>
      </c>
      <c r="H584" s="131" t="s">
        <v>7035</v>
      </c>
      <c r="I584" s="131" t="s">
        <v>7027</v>
      </c>
      <c r="J584" s="129"/>
      <c r="K584" s="133"/>
      <c r="L584" s="131"/>
      <c r="M584" s="131"/>
      <c r="N584" s="131"/>
      <c r="O584" s="131"/>
      <c r="P584" s="129"/>
      <c r="Q584" s="131"/>
      <c r="R584" s="131"/>
      <c r="S584" s="131"/>
      <c r="T584" s="129"/>
    </row>
    <row r="585" ht="37.5" customHeight="1">
      <c r="A585" s="129"/>
      <c r="B585" s="130" t="str">
        <f>IFERROR(__xludf.DUMMYFUNCTION("""COMPUTED_VALUE"""),"When attacked by an enemy: 30% chance to, Nullify Aflame.")</f>
        <v>When attacked by an enemy: 30% chance to, Nullify Aflame.</v>
      </c>
      <c r="C585" s="130"/>
      <c r="D585" s="129"/>
      <c r="E585" s="131" t="s">
        <v>7069</v>
      </c>
      <c r="F585" s="131" t="s">
        <v>7094</v>
      </c>
      <c r="G585" s="131" t="s">
        <v>7095</v>
      </c>
      <c r="H585" s="131" t="s">
        <v>7027</v>
      </c>
      <c r="I585" s="131" t="s">
        <v>7027</v>
      </c>
      <c r="J585" s="129"/>
      <c r="K585" s="133"/>
      <c r="L585" s="131"/>
      <c r="M585" s="131"/>
      <c r="N585" s="131"/>
      <c r="O585" s="131"/>
      <c r="P585" s="129"/>
      <c r="Q585" s="131"/>
      <c r="R585" s="131"/>
      <c r="S585" s="131"/>
      <c r="T585" s="129"/>
    </row>
    <row r="586" ht="37.5" customHeight="1">
      <c r="A586" s="129"/>
      <c r="B586" s="130" t="str">
        <f>IFERROR(__xludf.DUMMYFUNCTION("""COMPUTED_VALUE"""),"When attacked by an enemy: 30% chance to, Nullify Shock.")</f>
        <v>When attacked by an enemy: 30% chance to, Nullify Shock.</v>
      </c>
      <c r="C586" s="130"/>
      <c r="D586" s="129"/>
      <c r="E586" s="131" t="s">
        <v>7069</v>
      </c>
      <c r="F586" s="131" t="s">
        <v>7094</v>
      </c>
      <c r="G586" s="131" t="s">
        <v>7109</v>
      </c>
      <c r="H586" s="131" t="s">
        <v>7027</v>
      </c>
      <c r="I586" s="131" t="s">
        <v>7027</v>
      </c>
      <c r="J586" s="129"/>
      <c r="K586" s="133"/>
      <c r="L586" s="131"/>
      <c r="M586" s="131"/>
      <c r="N586" s="131"/>
      <c r="O586" s="131"/>
      <c r="P586" s="129"/>
      <c r="Q586" s="131"/>
      <c r="R586" s="131"/>
      <c r="S586" s="131"/>
      <c r="T586" s="129"/>
    </row>
    <row r="587" ht="37.5" customHeight="1">
      <c r="A587" s="129"/>
      <c r="B587" s="130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C587" s="130"/>
      <c r="D587" s="129"/>
      <c r="E587" s="131" t="s">
        <v>7070</v>
      </c>
      <c r="F587" s="131" t="s">
        <v>7027</v>
      </c>
      <c r="G587" s="131" t="s">
        <v>7046</v>
      </c>
      <c r="H587" s="131" t="s">
        <v>7029</v>
      </c>
      <c r="I587" s="131" t="s">
        <v>7027</v>
      </c>
      <c r="J587" s="129"/>
      <c r="K587" s="133"/>
      <c r="L587" s="131"/>
      <c r="M587" s="131"/>
      <c r="N587" s="131"/>
      <c r="O587" s="131"/>
      <c r="P587" s="129"/>
      <c r="Q587" s="131"/>
      <c r="R587" s="131"/>
      <c r="S587" s="131"/>
      <c r="T587" s="129"/>
    </row>
    <row r="588" ht="37.5" customHeight="1">
      <c r="A588" s="129"/>
      <c r="B588" s="130" t="str">
        <f>IFERROR(__xludf.DUMMYFUNCTION("""COMPUTED_VALUE"""),"When inflicted with Tremor by enemies: Reduce the cooldown time of Skill 2 by 6%.")</f>
        <v>When inflicted with Tremor by enemies: Reduce the cooldown time of Skill 2 by 6%.</v>
      </c>
      <c r="C588" s="130"/>
      <c r="D588" s="129"/>
      <c r="E588" s="131" t="s">
        <v>7140</v>
      </c>
      <c r="F588" s="131" t="s">
        <v>7027</v>
      </c>
      <c r="G588" s="131" t="s">
        <v>7050</v>
      </c>
      <c r="H588" s="131" t="s">
        <v>7066</v>
      </c>
      <c r="I588" s="131" t="s">
        <v>7027</v>
      </c>
      <c r="J588" s="129"/>
      <c r="K588" s="133"/>
      <c r="L588" s="131"/>
      <c r="M588" s="131"/>
      <c r="N588" s="131"/>
      <c r="O588" s="131"/>
      <c r="P588" s="129"/>
      <c r="Q588" s="131"/>
      <c r="R588" s="131"/>
      <c r="S588" s="131"/>
      <c r="T588" s="129"/>
    </row>
    <row r="589" ht="37.5" customHeight="1">
      <c r="A589" s="129"/>
      <c r="B589" s="130" t="str">
        <f>IFERROR(__xludf.DUMMYFUNCTION("""COMPUTED_VALUE"""),"When there are 60 seconds or less remaining: Boost capture speed by 8%.")</f>
        <v>When there are 60 seconds or less remaining: Boost capture speed by 8%.</v>
      </c>
      <c r="C589" s="130"/>
      <c r="D589" s="129"/>
      <c r="E589" s="131" t="s">
        <v>7091</v>
      </c>
      <c r="F589" s="131" t="s">
        <v>7027</v>
      </c>
      <c r="G589" s="131" t="s">
        <v>7031</v>
      </c>
      <c r="H589" s="131" t="s">
        <v>7032</v>
      </c>
      <c r="I589" s="131" t="s">
        <v>7027</v>
      </c>
      <c r="J589" s="129"/>
      <c r="K589" s="133"/>
      <c r="L589" s="131"/>
      <c r="M589" s="131"/>
      <c r="N589" s="131"/>
      <c r="O589" s="131"/>
      <c r="P589" s="129"/>
      <c r="Q589" s="131"/>
      <c r="R589" s="131"/>
      <c r="S589" s="131"/>
      <c r="T589" s="129"/>
    </row>
    <row r="590" ht="37.5" customHeight="1">
      <c r="A590" s="129"/>
      <c r="B590" s="130" t="str">
        <f>IFERROR(__xludf.DUMMYFUNCTION("""COMPUTED_VALUE"""),"When in the area around your enemy`s Treasure: Increase damage dealt by 3%.")</f>
        <v>When in the area around your enemy`s Treasure: Increase damage dealt by 3%.</v>
      </c>
      <c r="C590" s="130"/>
      <c r="D590" s="129"/>
      <c r="E590" s="131" t="s">
        <v>7041</v>
      </c>
      <c r="F590" s="131" t="s">
        <v>7027</v>
      </c>
      <c r="G590" s="131" t="s">
        <v>7034</v>
      </c>
      <c r="H590" s="131" t="s">
        <v>7038</v>
      </c>
      <c r="I590" s="131" t="s">
        <v>7027</v>
      </c>
      <c r="J590" s="129"/>
      <c r="K590" s="133"/>
      <c r="L590" s="131"/>
      <c r="M590" s="131"/>
      <c r="N590" s="131"/>
      <c r="O590" s="131"/>
      <c r="P590" s="129"/>
      <c r="Q590" s="131"/>
      <c r="R590" s="131"/>
      <c r="S590" s="131"/>
      <c r="T590" s="129"/>
    </row>
    <row r="591" ht="37.5" customHeight="1">
      <c r="A591" s="129"/>
      <c r="B591" s="130" t="str">
        <f>IFERROR(__xludf.DUMMYFUNCTION("""COMPUTED_VALUE"""),"When Critical occurs: Recover HP by 3%.")</f>
        <v>When Critical occurs: Recover HP by 3%.</v>
      </c>
      <c r="C591" s="130"/>
      <c r="D591" s="129"/>
      <c r="E591" s="131" t="s">
        <v>7052</v>
      </c>
      <c r="F591" s="131" t="s">
        <v>7027</v>
      </c>
      <c r="G591" s="131" t="s">
        <v>7040</v>
      </c>
      <c r="H591" s="131" t="s">
        <v>7038</v>
      </c>
      <c r="I591" s="131" t="s">
        <v>7027</v>
      </c>
      <c r="J591" s="129"/>
      <c r="K591" s="133"/>
      <c r="L591" s="131"/>
      <c r="M591" s="131"/>
      <c r="N591" s="131"/>
      <c r="O591" s="131"/>
      <c r="P591" s="129"/>
      <c r="Q591" s="131"/>
      <c r="R591" s="131"/>
      <c r="S591" s="131"/>
      <c r="T591" s="129"/>
    </row>
    <row r="592" ht="37.5" customHeight="1">
      <c r="A592" s="129"/>
      <c r="B592" s="130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C592" s="130"/>
      <c r="D592" s="129"/>
      <c r="E592" s="131" t="s">
        <v>7076</v>
      </c>
      <c r="F592" s="131" t="s">
        <v>7027</v>
      </c>
      <c r="G592" s="131" t="s">
        <v>7042</v>
      </c>
      <c r="H592" s="131" t="s">
        <v>7093</v>
      </c>
      <c r="I592" s="131" t="s">
        <v>7027</v>
      </c>
      <c r="J592" s="129"/>
      <c r="K592" s="133"/>
      <c r="L592" s="131"/>
      <c r="M592" s="131"/>
      <c r="N592" s="131"/>
      <c r="O592" s="131"/>
      <c r="P592" s="129"/>
      <c r="Q592" s="131"/>
      <c r="R592" s="131"/>
      <c r="S592" s="131"/>
      <c r="T592" s="129"/>
    </row>
    <row r="593" ht="37.5" customHeight="1">
      <c r="A593" s="129"/>
      <c r="B593" s="130" t="str">
        <f>IFERROR(__xludf.DUMMYFUNCTION("""COMPUTED_VALUE"""),"When your HP is 30% or less: Boost the cooldown reduction speed of Skill 1 by 13%.")</f>
        <v>When your HP is 30% or less: Boost the cooldown reduction speed of Skill 1 by 13%.</v>
      </c>
      <c r="C593" s="130"/>
      <c r="D593" s="129"/>
      <c r="E593" s="131" t="s">
        <v>7113</v>
      </c>
      <c r="F593" s="131" t="s">
        <v>7027</v>
      </c>
      <c r="G593" s="131" t="s">
        <v>7046</v>
      </c>
      <c r="H593" s="131" t="s">
        <v>7029</v>
      </c>
      <c r="I593" s="131" t="s">
        <v>7027</v>
      </c>
      <c r="J593" s="129"/>
      <c r="K593" s="133"/>
      <c r="L593" s="131"/>
      <c r="M593" s="131"/>
      <c r="N593" s="131"/>
      <c r="O593" s="131"/>
      <c r="P593" s="129"/>
      <c r="Q593" s="131"/>
      <c r="R593" s="131"/>
      <c r="S593" s="131"/>
      <c r="T593" s="129"/>
    </row>
    <row r="594" ht="37.5" customHeight="1">
      <c r="A594" s="129"/>
      <c r="B594" s="130" t="str">
        <f>IFERROR(__xludf.DUMMYFUNCTION("""COMPUTED_VALUE"""),"When there are 60 seconds or less remaining: Reduce damage recieved by 5%.")</f>
        <v>When there are 60 seconds or less remaining: Reduce damage recieved by 5%.</v>
      </c>
      <c r="C594" s="130"/>
      <c r="D594" s="129"/>
      <c r="E594" s="131" t="s">
        <v>7091</v>
      </c>
      <c r="F594" s="131" t="s">
        <v>7027</v>
      </c>
      <c r="G594" s="131" t="s">
        <v>7037</v>
      </c>
      <c r="H594" s="131" t="s">
        <v>7035</v>
      </c>
      <c r="I594" s="131" t="s">
        <v>7027</v>
      </c>
      <c r="J594" s="129"/>
      <c r="K594" s="133"/>
      <c r="L594" s="131"/>
      <c r="M594" s="131"/>
      <c r="N594" s="131"/>
      <c r="O594" s="131"/>
      <c r="P594" s="129"/>
      <c r="Q594" s="131"/>
      <c r="R594" s="131"/>
      <c r="S594" s="131"/>
      <c r="T594" s="129"/>
    </row>
    <row r="595" ht="37.5" customHeight="1">
      <c r="A595" s="129"/>
      <c r="B595" s="130" t="str">
        <f>IFERROR(__xludf.DUMMYFUNCTION("""COMPUTED_VALUE"""),"When Critical occurs: Reduce the cooldown time of Skill 1 by 5%.")</f>
        <v>When Critical occurs: Reduce the cooldown time of Skill 1 by 5%.</v>
      </c>
      <c r="C595" s="130"/>
      <c r="D595" s="129"/>
      <c r="E595" s="131" t="s">
        <v>7052</v>
      </c>
      <c r="F595" s="131" t="s">
        <v>7027</v>
      </c>
      <c r="G595" s="131" t="s">
        <v>7058</v>
      </c>
      <c r="H595" s="131" t="s">
        <v>7035</v>
      </c>
      <c r="I595" s="131" t="s">
        <v>7027</v>
      </c>
      <c r="J595" s="129"/>
      <c r="K595" s="133"/>
      <c r="L595" s="131"/>
      <c r="M595" s="131"/>
      <c r="N595" s="131"/>
      <c r="O595" s="131"/>
      <c r="P595" s="129"/>
      <c r="Q595" s="131"/>
      <c r="R595" s="131"/>
      <c r="S595" s="131"/>
      <c r="T595" s="129"/>
    </row>
    <row r="596" ht="37.5" customHeight="1">
      <c r="A596" s="129"/>
      <c r="B596" s="130" t="str">
        <f>IFERROR(__xludf.DUMMYFUNCTION("""COMPUTED_VALUE"""),"When inflicted with Aflame by enemies: Reduce the cooldown time of Skill 1 by 6%.")</f>
        <v>When inflicted with Aflame by enemies: Reduce the cooldown time of Skill 1 by 6%.</v>
      </c>
      <c r="C596" s="130"/>
      <c r="D596" s="129"/>
      <c r="E596" s="131" t="s">
        <v>7141</v>
      </c>
      <c r="F596" s="131" t="s">
        <v>7027</v>
      </c>
      <c r="G596" s="131" t="s">
        <v>7058</v>
      </c>
      <c r="H596" s="131" t="s">
        <v>7066</v>
      </c>
      <c r="I596" s="131" t="s">
        <v>7027</v>
      </c>
      <c r="J596" s="129"/>
      <c r="K596" s="133"/>
      <c r="L596" s="131"/>
      <c r="M596" s="131"/>
      <c r="N596" s="131"/>
      <c r="O596" s="131"/>
      <c r="P596" s="129"/>
      <c r="Q596" s="131"/>
      <c r="R596" s="131"/>
      <c r="S596" s="131"/>
      <c r="T596" s="129"/>
    </row>
    <row r="597" ht="37.5" customHeight="1">
      <c r="A597" s="129"/>
      <c r="B597" s="130" t="str">
        <f>IFERROR(__xludf.DUMMYFUNCTION("""COMPUTED_VALUE"""),"When inflicted with Freeze by enemies: Recover HP by 5%.")</f>
        <v>When inflicted with Freeze by enemies: Recover HP by 5%.</v>
      </c>
      <c r="C597" s="130"/>
      <c r="D597" s="129"/>
      <c r="E597" s="131" t="s">
        <v>7142</v>
      </c>
      <c r="F597" s="131" t="s">
        <v>7027</v>
      </c>
      <c r="G597" s="131" t="s">
        <v>7040</v>
      </c>
      <c r="H597" s="131" t="s">
        <v>7035</v>
      </c>
      <c r="I597" s="131" t="s">
        <v>7027</v>
      </c>
      <c r="J597" s="129"/>
      <c r="K597" s="133"/>
      <c r="L597" s="131"/>
      <c r="M597" s="131"/>
      <c r="N597" s="131"/>
      <c r="O597" s="131"/>
      <c r="P597" s="129"/>
      <c r="Q597" s="131"/>
      <c r="R597" s="131"/>
      <c r="S597" s="131"/>
      <c r="T597" s="129"/>
    </row>
    <row r="598" ht="37.5" customHeight="1">
      <c r="A598" s="129"/>
      <c r="B598" s="130" t="str">
        <f>IFERROR(__xludf.DUMMYFUNCTION("""COMPUTED_VALUE"""),"When in the area around your captured Treasure: Increase damage dealt by 3%.")</f>
        <v>When in the area around your captured Treasure: Increase damage dealt by 3%.</v>
      </c>
      <c r="C598" s="130"/>
      <c r="D598" s="129"/>
      <c r="E598" s="131" t="s">
        <v>7045</v>
      </c>
      <c r="F598" s="131" t="s">
        <v>7027</v>
      </c>
      <c r="G598" s="131" t="s">
        <v>7034</v>
      </c>
      <c r="H598" s="131" t="s">
        <v>7038</v>
      </c>
      <c r="I598" s="131" t="s">
        <v>7027</v>
      </c>
      <c r="J598" s="129"/>
      <c r="K598" s="133"/>
      <c r="L598" s="131"/>
      <c r="M598" s="131"/>
      <c r="N598" s="131"/>
      <c r="O598" s="131"/>
      <c r="P598" s="129"/>
      <c r="Q598" s="131"/>
      <c r="R598" s="131"/>
      <c r="S598" s="131"/>
      <c r="T598" s="129"/>
    </row>
    <row r="599" ht="37.5" customHeight="1">
      <c r="A599" s="129"/>
      <c r="B599" s="130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C599" s="130"/>
      <c r="D599" s="129"/>
      <c r="E599" s="131" t="s">
        <v>7026</v>
      </c>
      <c r="F599" s="131" t="s">
        <v>7027</v>
      </c>
      <c r="G599" s="131" t="s">
        <v>7042</v>
      </c>
      <c r="H599" s="131" t="s">
        <v>7029</v>
      </c>
      <c r="I599" s="131" t="s">
        <v>7027</v>
      </c>
      <c r="J599" s="129"/>
      <c r="K599" s="133"/>
      <c r="L599" s="131"/>
      <c r="M599" s="131"/>
      <c r="N599" s="131"/>
      <c r="O599" s="131"/>
      <c r="P599" s="129"/>
      <c r="Q599" s="131"/>
      <c r="R599" s="131"/>
      <c r="S599" s="131"/>
      <c r="T599" s="129"/>
    </row>
    <row r="600" ht="37.5" customHeight="1">
      <c r="A600" s="129"/>
      <c r="B600" s="130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C600" s="130"/>
      <c r="D600" s="129"/>
      <c r="E600" s="131" t="s">
        <v>7082</v>
      </c>
      <c r="F600" s="131" t="s">
        <v>7027</v>
      </c>
      <c r="G600" s="131" t="s">
        <v>7034</v>
      </c>
      <c r="H600" s="131" t="s">
        <v>7038</v>
      </c>
      <c r="I600" s="131" t="s">
        <v>7027</v>
      </c>
      <c r="J600" s="129"/>
      <c r="K600" s="133"/>
      <c r="L600" s="131"/>
      <c r="M600" s="131"/>
      <c r="N600" s="131"/>
      <c r="O600" s="131"/>
      <c r="P600" s="129"/>
      <c r="Q600" s="131"/>
      <c r="R600" s="131"/>
      <c r="S600" s="131"/>
      <c r="T600" s="129"/>
    </row>
    <row r="601" ht="37.5" customHeight="1">
      <c r="A601" s="129"/>
      <c r="B601" s="130" t="str">
        <f>IFERROR(__xludf.DUMMYFUNCTION("""COMPUTED_VALUE"""),"When in the area around your captured Treasure: Reduce damage recieved by 5%.")</f>
        <v>When in the area around your captured Treasure: Reduce damage recieved by 5%.</v>
      </c>
      <c r="C601" s="130"/>
      <c r="D601" s="129"/>
      <c r="E601" s="131" t="s">
        <v>7045</v>
      </c>
      <c r="F601" s="131" t="s">
        <v>7027</v>
      </c>
      <c r="G601" s="131" t="s">
        <v>7037</v>
      </c>
      <c r="H601" s="131" t="s">
        <v>7035</v>
      </c>
      <c r="I601" s="131" t="s">
        <v>7027</v>
      </c>
      <c r="J601" s="129"/>
      <c r="K601" s="133"/>
      <c r="L601" s="131"/>
      <c r="M601" s="131"/>
      <c r="N601" s="131"/>
      <c r="O601" s="131"/>
      <c r="P601" s="129"/>
      <c r="Q601" s="131"/>
      <c r="R601" s="131"/>
      <c r="S601" s="131"/>
      <c r="T601" s="129"/>
    </row>
    <row r="602" ht="37.5" customHeight="1">
      <c r="A602" s="129"/>
      <c r="B602" s="130" t="str">
        <f>IFERROR(__xludf.DUMMYFUNCTION("""COMPUTED_VALUE"""),"When your team has more Treasure secured: Boost the cooldown reduction speed of Skill 2 by 10%.")</f>
        <v>When your team has more Treasure secured: Boost the cooldown reduction speed of Skill 2 by 10%.</v>
      </c>
      <c r="C602" s="130"/>
      <c r="D602" s="129"/>
      <c r="E602" s="131" t="s">
        <v>7070</v>
      </c>
      <c r="F602" s="131" t="s">
        <v>7027</v>
      </c>
      <c r="G602" s="131" t="s">
        <v>7042</v>
      </c>
      <c r="H602" s="131" t="s">
        <v>7093</v>
      </c>
      <c r="I602" s="131" t="s">
        <v>7027</v>
      </c>
      <c r="J602" s="129"/>
      <c r="K602" s="133"/>
      <c r="L602" s="131"/>
      <c r="M602" s="131"/>
      <c r="N602" s="131"/>
      <c r="O602" s="131"/>
      <c r="P602" s="129"/>
      <c r="Q602" s="131"/>
      <c r="R602" s="131"/>
      <c r="S602" s="131"/>
      <c r="T602" s="129"/>
    </row>
    <row r="603" ht="37.5" customHeight="1">
      <c r="A603" s="129"/>
      <c r="B603" s="130" t="str">
        <f>IFERROR(__xludf.DUMMYFUNCTION("""COMPUTED_VALUE"""),"When Critical occurs: Reduce the cooldown time of Skill 1 by 3%.")</f>
        <v>When Critical occurs: Reduce the cooldown time of Skill 1 by 3%.</v>
      </c>
      <c r="C603" s="130"/>
      <c r="D603" s="129"/>
      <c r="E603" s="131" t="s">
        <v>7052</v>
      </c>
      <c r="F603" s="131" t="s">
        <v>7027</v>
      </c>
      <c r="G603" s="131" t="s">
        <v>7058</v>
      </c>
      <c r="H603" s="131" t="s">
        <v>7038</v>
      </c>
      <c r="I603" s="131" t="s">
        <v>7027</v>
      </c>
      <c r="J603" s="129"/>
      <c r="K603" s="133"/>
      <c r="L603" s="131"/>
      <c r="M603" s="131"/>
      <c r="N603" s="131"/>
      <c r="O603" s="131"/>
      <c r="P603" s="129"/>
      <c r="Q603" s="131"/>
      <c r="R603" s="131"/>
      <c r="S603" s="131"/>
      <c r="T603" s="129"/>
    </row>
    <row r="604" ht="37.5" customHeight="1">
      <c r="A604" s="129"/>
      <c r="B604" s="130" t="str">
        <f>IFERROR(__xludf.DUMMYFUNCTION("""COMPUTED_VALUE"""),"When performing a Perfect Dodge: Reduce the cooldown time of Skill 2 by 3%.")</f>
        <v>When performing a Perfect Dodge: Reduce the cooldown time of Skill 2 by 3%.</v>
      </c>
      <c r="C604" s="130"/>
      <c r="D604" s="129"/>
      <c r="E604" s="131" t="s">
        <v>7057</v>
      </c>
      <c r="F604" s="131" t="s">
        <v>7027</v>
      </c>
      <c r="G604" s="131" t="s">
        <v>7050</v>
      </c>
      <c r="H604" s="131" t="s">
        <v>7038</v>
      </c>
      <c r="I604" s="131" t="s">
        <v>7027</v>
      </c>
      <c r="J604" s="129"/>
      <c r="K604" s="133"/>
      <c r="L604" s="131"/>
      <c r="M604" s="131"/>
      <c r="N604" s="131"/>
      <c r="O604" s="131"/>
      <c r="P604" s="129"/>
      <c r="Q604" s="131"/>
      <c r="R604" s="131"/>
      <c r="S604" s="131"/>
      <c r="T604" s="129"/>
    </row>
    <row r="605" ht="37.5" customHeight="1">
      <c r="A605" s="129"/>
      <c r="B605" s="130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C605" s="130"/>
      <c r="D605" s="129"/>
      <c r="E605" s="131" t="s">
        <v>7082</v>
      </c>
      <c r="F605" s="131" t="s">
        <v>7027</v>
      </c>
      <c r="G605" s="131" t="s">
        <v>7046</v>
      </c>
      <c r="H605" s="131" t="s">
        <v>7029</v>
      </c>
      <c r="I605" s="131" t="s">
        <v>7027</v>
      </c>
      <c r="J605" s="129"/>
      <c r="K605" s="133"/>
      <c r="L605" s="131"/>
      <c r="M605" s="131"/>
      <c r="N605" s="131"/>
      <c r="O605" s="131"/>
      <c r="P605" s="129"/>
      <c r="Q605" s="131"/>
      <c r="R605" s="131"/>
      <c r="S605" s="131"/>
      <c r="T605" s="129"/>
    </row>
    <row r="606" ht="37.5" customHeight="1">
      <c r="A606" s="129"/>
      <c r="B606" s="130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C606" s="130"/>
      <c r="D606" s="129"/>
      <c r="E606" s="131" t="s">
        <v>7060</v>
      </c>
      <c r="F606" s="131" t="s">
        <v>7027</v>
      </c>
      <c r="G606" s="131" t="s">
        <v>7058</v>
      </c>
      <c r="H606" s="131" t="s">
        <v>7038</v>
      </c>
      <c r="I606" s="131" t="s">
        <v>7027</v>
      </c>
      <c r="J606" s="129"/>
      <c r="K606" s="133"/>
      <c r="L606" s="131"/>
      <c r="M606" s="131"/>
      <c r="N606" s="131"/>
      <c r="O606" s="131"/>
      <c r="P606" s="129"/>
      <c r="Q606" s="131"/>
      <c r="R606" s="131"/>
      <c r="S606" s="131"/>
      <c r="T606" s="129"/>
    </row>
    <row r="607" ht="37.5" customHeight="1">
      <c r="A607" s="129"/>
      <c r="B607" s="130" t="str">
        <f>IFERROR(__xludf.DUMMYFUNCTION("""COMPUTED_VALUE"""),"When you capture the Treasure: Recover HP by 5%.")</f>
        <v>When you capture the Treasure: Recover HP by 5%.</v>
      </c>
      <c r="C607" s="130"/>
      <c r="D607" s="129"/>
      <c r="E607" s="131" t="s">
        <v>7048</v>
      </c>
      <c r="F607" s="131" t="s">
        <v>7027</v>
      </c>
      <c r="G607" s="131" t="s">
        <v>7040</v>
      </c>
      <c r="H607" s="131" t="s">
        <v>7035</v>
      </c>
      <c r="I607" s="131" t="s">
        <v>7027</v>
      </c>
      <c r="J607" s="129"/>
      <c r="K607" s="133"/>
      <c r="L607" s="131"/>
      <c r="M607" s="131"/>
      <c r="N607" s="131"/>
      <c r="O607" s="131"/>
      <c r="P607" s="129"/>
      <c r="Q607" s="131"/>
      <c r="R607" s="131"/>
      <c r="S607" s="131"/>
      <c r="T607" s="129"/>
    </row>
    <row r="608" ht="37.5" customHeight="1">
      <c r="A608" s="129"/>
      <c r="B608" s="130" t="str">
        <f>IFERROR(__xludf.DUMMYFUNCTION("""COMPUTED_VALUE"""),"When your HP is 30% or less: CRIT Boosted by 60% for 20 second(s).")</f>
        <v>When your HP is 30% or less: CRIT Boosted by 60% for 20 second(s).</v>
      </c>
      <c r="C608" s="130"/>
      <c r="D608" s="129"/>
      <c r="E608" s="131" t="s">
        <v>7113</v>
      </c>
      <c r="F608" s="131" t="s">
        <v>7027</v>
      </c>
      <c r="G608" s="131" t="s">
        <v>7086</v>
      </c>
      <c r="H608" s="131" t="s">
        <v>7139</v>
      </c>
      <c r="I608" s="131" t="s">
        <v>7084</v>
      </c>
      <c r="J608" s="129"/>
      <c r="K608" s="133"/>
      <c r="L608" s="131"/>
      <c r="M608" s="131"/>
      <c r="N608" s="131"/>
      <c r="O608" s="131"/>
      <c r="P608" s="129"/>
      <c r="Q608" s="131"/>
      <c r="R608" s="131"/>
      <c r="S608" s="131"/>
      <c r="T608" s="129"/>
    </row>
    <row r="609" ht="37.5" customHeight="1">
      <c r="A609" s="129"/>
      <c r="B609" s="130" t="str">
        <f>IFERROR(__xludf.DUMMYFUNCTION("""COMPUTED_VALUE"""),"After KOing an enemy: Reduce the cooldown time of Skill 2 by 8%.")</f>
        <v>After KOing an enemy: Reduce the cooldown time of Skill 2 by 8%.</v>
      </c>
      <c r="C609" s="130"/>
      <c r="D609" s="129"/>
      <c r="E609" s="131" t="s">
        <v>7039</v>
      </c>
      <c r="F609" s="131" t="s">
        <v>7027</v>
      </c>
      <c r="G609" s="131" t="s">
        <v>7050</v>
      </c>
      <c r="H609" s="131" t="s">
        <v>7032</v>
      </c>
      <c r="I609" s="131" t="s">
        <v>7027</v>
      </c>
      <c r="J609" s="129"/>
      <c r="K609" s="133"/>
      <c r="L609" s="131"/>
      <c r="M609" s="131"/>
      <c r="N609" s="131"/>
      <c r="O609" s="131"/>
      <c r="P609" s="129"/>
      <c r="Q609" s="131"/>
      <c r="R609" s="131"/>
      <c r="S609" s="131"/>
      <c r="T609" s="129"/>
    </row>
    <row r="610" ht="37.5" customHeight="1">
      <c r="A610" s="129"/>
      <c r="B610" s="130" t="str">
        <f>IFERROR(__xludf.DUMMYFUNCTION("""COMPUTED_VALUE"""),"When in the area around your enemy`s Treasure: Boost the cooldown reduction speed of dodge by 13%.")</f>
        <v>When in the area around your enemy`s Treasure: Boost the cooldown reduction speed of dodge by 13%.</v>
      </c>
      <c r="C610" s="130"/>
      <c r="D610" s="129"/>
      <c r="E610" s="131" t="s">
        <v>7041</v>
      </c>
      <c r="F610" s="131" t="s">
        <v>7027</v>
      </c>
      <c r="G610" s="131" t="s">
        <v>7028</v>
      </c>
      <c r="H610" s="131" t="s">
        <v>7029</v>
      </c>
      <c r="I610" s="131" t="s">
        <v>7027</v>
      </c>
      <c r="J610" s="129"/>
      <c r="K610" s="133"/>
      <c r="L610" s="131"/>
      <c r="M610" s="131"/>
      <c r="N610" s="131"/>
      <c r="O610" s="131"/>
      <c r="P610" s="129"/>
      <c r="Q610" s="131"/>
      <c r="R610" s="131"/>
      <c r="S610" s="131"/>
      <c r="T610" s="129"/>
    </row>
    <row r="611" ht="37.5" customHeight="1">
      <c r="A611" s="129"/>
      <c r="B611" s="130" t="str">
        <f>IFERROR(__xludf.DUMMYFUNCTION("""COMPUTED_VALUE"""),"When performing a Perfect Dodge: Reduce the cooldown time of Skill 2 by 6%.")</f>
        <v>When performing a Perfect Dodge: Reduce the cooldown time of Skill 2 by 6%.</v>
      </c>
      <c r="C611" s="130"/>
      <c r="D611" s="129"/>
      <c r="E611" s="131" t="s">
        <v>7057</v>
      </c>
      <c r="F611" s="131" t="s">
        <v>7027</v>
      </c>
      <c r="G611" s="131" t="s">
        <v>7050</v>
      </c>
      <c r="H611" s="131" t="s">
        <v>7066</v>
      </c>
      <c r="I611" s="131" t="s">
        <v>7027</v>
      </c>
      <c r="J611" s="129"/>
      <c r="K611" s="133"/>
      <c r="L611" s="131"/>
      <c r="M611" s="131"/>
      <c r="N611" s="131"/>
      <c r="O611" s="131"/>
      <c r="P611" s="129"/>
      <c r="Q611" s="131"/>
      <c r="R611" s="131"/>
      <c r="S611" s="131"/>
      <c r="T611" s="129"/>
    </row>
    <row r="612" ht="37.5" customHeight="1">
      <c r="A612" s="129"/>
      <c r="B612" s="130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C612" s="130"/>
      <c r="D612" s="129"/>
      <c r="E612" s="131" t="s">
        <v>7026</v>
      </c>
      <c r="F612" s="131" t="s">
        <v>7027</v>
      </c>
      <c r="G612" s="131" t="s">
        <v>7046</v>
      </c>
      <c r="H612" s="131" t="s">
        <v>7093</v>
      </c>
      <c r="I612" s="131" t="s">
        <v>7027</v>
      </c>
      <c r="J612" s="129"/>
      <c r="K612" s="133"/>
      <c r="L612" s="131"/>
      <c r="M612" s="131"/>
      <c r="N612" s="131"/>
      <c r="O612" s="131"/>
      <c r="P612" s="129"/>
      <c r="Q612" s="131"/>
      <c r="R612" s="131"/>
      <c r="S612" s="131"/>
      <c r="T612" s="129"/>
    </row>
    <row r="613" ht="37.5" customHeight="1">
      <c r="A613" s="129"/>
      <c r="B613" s="130" t="str">
        <f>IFERROR(__xludf.DUMMYFUNCTION("""COMPUTED_VALUE"""),"When you capture the Treasure: Reduce the cooldown time of Skill 2 by 8%.")</f>
        <v>When you capture the Treasure: Reduce the cooldown time of Skill 2 by 8%.</v>
      </c>
      <c r="C613" s="130"/>
      <c r="D613" s="129"/>
      <c r="E613" s="131" t="s">
        <v>7048</v>
      </c>
      <c r="F613" s="131" t="s">
        <v>7027</v>
      </c>
      <c r="G613" s="131" t="s">
        <v>7050</v>
      </c>
      <c r="H613" s="131" t="s">
        <v>7032</v>
      </c>
      <c r="I613" s="131" t="s">
        <v>7027</v>
      </c>
      <c r="J613" s="129"/>
      <c r="K613" s="133"/>
      <c r="L613" s="131"/>
      <c r="M613" s="131"/>
      <c r="N613" s="131"/>
      <c r="O613" s="131"/>
      <c r="P613" s="129"/>
      <c r="Q613" s="131"/>
      <c r="R613" s="131"/>
      <c r="S613" s="131"/>
      <c r="T613" s="129"/>
    </row>
    <row r="614" ht="37.5" customHeight="1">
      <c r="A614" s="129"/>
      <c r="B614" s="130" t="str">
        <f>IFERROR(__xludf.DUMMYFUNCTION("""COMPUTED_VALUE"""),"When there are 90 seconds or more remaining: Increase damage dealt by 3%.")</f>
        <v>When there are 90 seconds or more remaining: Increase damage dealt by 3%.</v>
      </c>
      <c r="C614" s="130"/>
      <c r="D614" s="129"/>
      <c r="E614" s="131" t="s">
        <v>7143</v>
      </c>
      <c r="F614" s="131" t="s">
        <v>7027</v>
      </c>
      <c r="G614" s="131" t="s">
        <v>7034</v>
      </c>
      <c r="H614" s="131" t="s">
        <v>7038</v>
      </c>
      <c r="I614" s="131" t="s">
        <v>7027</v>
      </c>
      <c r="J614" s="129"/>
      <c r="K614" s="133"/>
      <c r="L614" s="131"/>
      <c r="M614" s="131"/>
      <c r="N614" s="131"/>
      <c r="O614" s="131"/>
      <c r="P614" s="129"/>
      <c r="Q614" s="131"/>
      <c r="R614" s="131"/>
      <c r="S614" s="131"/>
      <c r="T614" s="129"/>
    </row>
    <row r="615" ht="37.5" customHeight="1">
      <c r="A615" s="129"/>
      <c r="B615" s="130" t="str">
        <f>IFERROR(__xludf.DUMMYFUNCTION("""COMPUTED_VALUE"""),"When an ally is KO`d (not including you): Recover HP by 3%.")</f>
        <v>When an ally is KO`d (not including you): Recover HP by 3%.</v>
      </c>
      <c r="C615" s="130"/>
      <c r="D615" s="129"/>
      <c r="E615" s="131" t="s">
        <v>7060</v>
      </c>
      <c r="F615" s="131" t="s">
        <v>7027</v>
      </c>
      <c r="G615" s="131" t="s">
        <v>7040</v>
      </c>
      <c r="H615" s="131" t="s">
        <v>7038</v>
      </c>
      <c r="I615" s="131" t="s">
        <v>7027</v>
      </c>
      <c r="J615" s="129"/>
      <c r="K615" s="133"/>
      <c r="L615" s="131"/>
      <c r="M615" s="131"/>
      <c r="N615" s="131"/>
      <c r="O615" s="131"/>
      <c r="P615" s="129"/>
      <c r="Q615" s="131"/>
      <c r="R615" s="131"/>
      <c r="S615" s="131"/>
      <c r="T615" s="129"/>
    </row>
    <row r="616" ht="37.5" customHeight="1">
      <c r="A616" s="129"/>
      <c r="B616" s="130" t="str">
        <f>IFERROR(__xludf.DUMMYFUNCTION("""COMPUTED_VALUE"""),"When your HP is 30% or less: Reduce damage recieved by 3%.")</f>
        <v>When your HP is 30% or less: Reduce damage recieved by 3%.</v>
      </c>
      <c r="C616" s="130"/>
      <c r="D616" s="129"/>
      <c r="E616" s="131" t="s">
        <v>7113</v>
      </c>
      <c r="F616" s="131" t="s">
        <v>7027</v>
      </c>
      <c r="G616" s="131" t="s">
        <v>7037</v>
      </c>
      <c r="H616" s="131" t="s">
        <v>7038</v>
      </c>
      <c r="I616" s="131" t="s">
        <v>7027</v>
      </c>
      <c r="J616" s="129"/>
      <c r="K616" s="133"/>
      <c r="L616" s="131"/>
      <c r="M616" s="131"/>
      <c r="N616" s="131"/>
      <c r="O616" s="131"/>
      <c r="P616" s="129"/>
      <c r="Q616" s="131"/>
      <c r="R616" s="131"/>
      <c r="S616" s="131"/>
      <c r="T616" s="129"/>
    </row>
    <row r="617" ht="37.5" customHeight="1">
      <c r="A617" s="129"/>
      <c r="B617" s="130" t="str">
        <f>IFERROR(__xludf.DUMMYFUNCTION("""COMPUTED_VALUE"""),"When Respawned: CRIT Boosted by 80% for 20 second(s).")</f>
        <v>When Respawned: CRIT Boosted by 80% for 20 second(s).</v>
      </c>
      <c r="C617" s="130"/>
      <c r="D617" s="129"/>
      <c r="E617" s="131" t="s">
        <v>7085</v>
      </c>
      <c r="F617" s="131" t="s">
        <v>7027</v>
      </c>
      <c r="G617" s="131" t="s">
        <v>7086</v>
      </c>
      <c r="H617" s="131" t="s">
        <v>7138</v>
      </c>
      <c r="I617" s="131" t="s">
        <v>7084</v>
      </c>
      <c r="J617" s="129"/>
      <c r="K617" s="133"/>
      <c r="L617" s="131"/>
      <c r="M617" s="131"/>
      <c r="N617" s="131"/>
      <c r="O617" s="131"/>
      <c r="P617" s="129"/>
      <c r="Q617" s="131"/>
      <c r="R617" s="131"/>
      <c r="S617" s="131"/>
      <c r="T617" s="129"/>
    </row>
    <row r="618" ht="37.5" customHeight="1">
      <c r="A618" s="129"/>
      <c r="B618" s="130" t="str">
        <f>IFERROR(__xludf.DUMMYFUNCTION("""COMPUTED_VALUE"""),"When attacked by an enemy: 30% chance to, Nullify Tremor.")</f>
        <v>When attacked by an enemy: 30% chance to, Nullify Tremor.</v>
      </c>
      <c r="C618" s="130"/>
      <c r="D618" s="129"/>
      <c r="E618" s="131" t="s">
        <v>7069</v>
      </c>
      <c r="F618" s="131" t="s">
        <v>7094</v>
      </c>
      <c r="G618" s="131" t="s">
        <v>7108</v>
      </c>
      <c r="H618" s="131" t="s">
        <v>7027</v>
      </c>
      <c r="I618" s="131" t="s">
        <v>7027</v>
      </c>
      <c r="J618" s="129"/>
      <c r="K618" s="133"/>
      <c r="L618" s="131"/>
      <c r="M618" s="131"/>
      <c r="N618" s="131"/>
      <c r="O618" s="131"/>
      <c r="P618" s="129"/>
      <c r="Q618" s="131"/>
      <c r="R618" s="131"/>
      <c r="S618" s="131"/>
      <c r="T618" s="129"/>
    </row>
    <row r="619" ht="37.5" customHeight="1">
      <c r="A619" s="129"/>
      <c r="B619" s="130" t="str">
        <f>IFERROR(__xludf.DUMMYFUNCTION("""COMPUTED_VALUE"""),"When an ally is KO`d (not including you): Reduce the cooldown time of Skill 2 by 3%.")</f>
        <v>When an ally is KO`d (not including you): Reduce the cooldown time of Skill 2 by 3%.</v>
      </c>
      <c r="C619" s="130"/>
      <c r="D619" s="129"/>
      <c r="E619" s="131" t="s">
        <v>7060</v>
      </c>
      <c r="F619" s="131" t="s">
        <v>7027</v>
      </c>
      <c r="G619" s="131" t="s">
        <v>7050</v>
      </c>
      <c r="H619" s="131" t="s">
        <v>7038</v>
      </c>
      <c r="I619" s="131" t="s">
        <v>7027</v>
      </c>
      <c r="J619" s="129"/>
      <c r="K619" s="133"/>
      <c r="L619" s="131"/>
      <c r="M619" s="131"/>
      <c r="N619" s="131"/>
      <c r="O619" s="131"/>
      <c r="P619" s="129"/>
      <c r="Q619" s="131"/>
      <c r="R619" s="131"/>
      <c r="S619" s="131"/>
      <c r="T619" s="129"/>
    </row>
    <row r="620" ht="37.5" customHeight="1">
      <c r="A620" s="129"/>
      <c r="B620" s="130" t="str">
        <f>IFERROR(__xludf.DUMMYFUNCTION("""COMPUTED_VALUE"""),"When performing a Perfect Dodge: Reduce the cooldown time of Skill 1 by 6%.")</f>
        <v>When performing a Perfect Dodge: Reduce the cooldown time of Skill 1 by 6%.</v>
      </c>
      <c r="C620" s="130"/>
      <c r="D620" s="129"/>
      <c r="E620" s="131" t="s">
        <v>7057</v>
      </c>
      <c r="F620" s="131" t="s">
        <v>7027</v>
      </c>
      <c r="G620" s="131" t="s">
        <v>7058</v>
      </c>
      <c r="H620" s="131" t="s">
        <v>7066</v>
      </c>
      <c r="I620" s="131" t="s">
        <v>7027</v>
      </c>
      <c r="J620" s="129"/>
      <c r="K620" s="133"/>
      <c r="L620" s="131"/>
      <c r="M620" s="131"/>
      <c r="N620" s="131"/>
      <c r="O620" s="131"/>
      <c r="P620" s="129"/>
      <c r="Q620" s="131"/>
      <c r="R620" s="131"/>
      <c r="S620" s="131"/>
      <c r="T620" s="129"/>
    </row>
    <row r="621" ht="37.5" customHeight="1">
      <c r="A621" s="129"/>
      <c r="B621" s="130" t="str">
        <f>IFERROR(__xludf.DUMMYFUNCTION("""COMPUTED_VALUE"""),"After KOing an enemy: Reduce the cooldown time of Skill 1 by 6%.")</f>
        <v>After KOing an enemy: Reduce the cooldown time of Skill 1 by 6%.</v>
      </c>
      <c r="C621" s="130"/>
      <c r="D621" s="129"/>
      <c r="E621" s="131" t="s">
        <v>7039</v>
      </c>
      <c r="F621" s="131" t="s">
        <v>7027</v>
      </c>
      <c r="G621" s="131" t="s">
        <v>7058</v>
      </c>
      <c r="H621" s="131" t="s">
        <v>7066</v>
      </c>
      <c r="I621" s="131" t="s">
        <v>7027</v>
      </c>
      <c r="J621" s="129"/>
      <c r="K621" s="133"/>
      <c r="L621" s="131"/>
      <c r="M621" s="131"/>
      <c r="N621" s="131"/>
      <c r="O621" s="131"/>
      <c r="P621" s="129"/>
      <c r="Q621" s="131"/>
      <c r="R621" s="131"/>
      <c r="S621" s="131"/>
      <c r="T621" s="129"/>
    </row>
    <row r="622" ht="37.5" customHeight="1">
      <c r="A622" s="129"/>
      <c r="B622" s="130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C622" s="130"/>
      <c r="D622" s="129"/>
      <c r="E622" s="131" t="s">
        <v>7072</v>
      </c>
      <c r="F622" s="131" t="s">
        <v>7027</v>
      </c>
      <c r="G622" s="131" t="s">
        <v>7037</v>
      </c>
      <c r="H622" s="131" t="s">
        <v>7035</v>
      </c>
      <c r="I622" s="131" t="s">
        <v>7027</v>
      </c>
      <c r="J622" s="129"/>
      <c r="K622" s="133"/>
      <c r="L622" s="131"/>
      <c r="M622" s="131"/>
      <c r="N622" s="131"/>
      <c r="O622" s="131"/>
      <c r="P622" s="129"/>
      <c r="Q622" s="131"/>
      <c r="R622" s="131"/>
      <c r="S622" s="131"/>
      <c r="T622" s="129"/>
    </row>
    <row r="623" ht="37.5" customHeight="1">
      <c r="A623" s="129"/>
      <c r="B623" s="130" t="str">
        <f>IFERROR(__xludf.DUMMYFUNCTION("""COMPUTED_VALUE"""),"When using Skill 1: Reduce the cooldown time of Skill 2 by 3%.")</f>
        <v>When using Skill 1: Reduce the cooldown time of Skill 2 by 3%.</v>
      </c>
      <c r="C623" s="130"/>
      <c r="D623" s="129"/>
      <c r="E623" s="131" t="s">
        <v>7075</v>
      </c>
      <c r="F623" s="131" t="s">
        <v>7027</v>
      </c>
      <c r="G623" s="131" t="s">
        <v>7050</v>
      </c>
      <c r="H623" s="131" t="s">
        <v>7038</v>
      </c>
      <c r="I623" s="131" t="s">
        <v>7027</v>
      </c>
      <c r="J623" s="129"/>
      <c r="K623" s="133"/>
      <c r="L623" s="131"/>
      <c r="M623" s="131"/>
      <c r="N623" s="131"/>
      <c r="O623" s="131"/>
      <c r="P623" s="129"/>
      <c r="Q623" s="131"/>
      <c r="R623" s="131"/>
      <c r="S623" s="131"/>
      <c r="T623" s="129"/>
    </row>
    <row r="624" ht="37.5" customHeight="1">
      <c r="A624" s="129"/>
      <c r="B624" s="130" t="str">
        <f>IFERROR(__xludf.DUMMYFUNCTION("""COMPUTED_VALUE"""),"When your HP is 30% or less: Boost the cooldown reduction speed of dodge by 13%.")</f>
        <v>When your HP is 30% or less: Boost the cooldown reduction speed of dodge by 13%.</v>
      </c>
      <c r="C624" s="130"/>
      <c r="D624" s="129"/>
      <c r="E624" s="131" t="s">
        <v>7113</v>
      </c>
      <c r="F624" s="131" t="s">
        <v>7027</v>
      </c>
      <c r="G624" s="131" t="s">
        <v>7028</v>
      </c>
      <c r="H624" s="131" t="s">
        <v>7029</v>
      </c>
      <c r="I624" s="131" t="s">
        <v>7027</v>
      </c>
      <c r="J624" s="129"/>
      <c r="K624" s="133"/>
      <c r="L624" s="131"/>
      <c r="M624" s="131"/>
      <c r="N624" s="131"/>
      <c r="O624" s="131"/>
      <c r="P624" s="129"/>
      <c r="Q624" s="131"/>
      <c r="R624" s="131"/>
      <c r="S624" s="131"/>
      <c r="T624" s="129"/>
    </row>
    <row r="625" ht="37.5" customHeight="1">
      <c r="A625" s="129"/>
      <c r="B625" s="130" t="str">
        <f>IFERROR(__xludf.DUMMYFUNCTION("""COMPUTED_VALUE"""),"When your HP is 70% or more: Boost capture speed by 6%.")</f>
        <v>When your HP is 70% or more: Boost capture speed by 6%.</v>
      </c>
      <c r="C625" s="130"/>
      <c r="D625" s="129"/>
      <c r="E625" s="131" t="s">
        <v>7026</v>
      </c>
      <c r="F625" s="131" t="s">
        <v>7027</v>
      </c>
      <c r="G625" s="131" t="s">
        <v>7031</v>
      </c>
      <c r="H625" s="131" t="s">
        <v>7066</v>
      </c>
      <c r="I625" s="131" t="s">
        <v>7027</v>
      </c>
      <c r="J625" s="129"/>
      <c r="K625" s="133"/>
      <c r="L625" s="131"/>
      <c r="M625" s="131"/>
      <c r="N625" s="131"/>
      <c r="O625" s="131"/>
      <c r="P625" s="129"/>
      <c r="Q625" s="131"/>
      <c r="R625" s="131"/>
      <c r="S625" s="131"/>
      <c r="T625" s="129"/>
    </row>
    <row r="626" ht="37.5" customHeight="1">
      <c r="A626" s="129"/>
      <c r="B626" s="130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C626" s="130"/>
      <c r="D626" s="129"/>
      <c r="E626" s="131" t="s">
        <v>7076</v>
      </c>
      <c r="F626" s="131" t="s">
        <v>7027</v>
      </c>
      <c r="G626" s="131" t="s">
        <v>7042</v>
      </c>
      <c r="H626" s="131" t="s">
        <v>7029</v>
      </c>
      <c r="I626" s="131" t="s">
        <v>7027</v>
      </c>
      <c r="J626" s="129"/>
      <c r="K626" s="133"/>
      <c r="L626" s="131"/>
      <c r="M626" s="131"/>
      <c r="N626" s="131"/>
      <c r="O626" s="131"/>
      <c r="P626" s="129"/>
      <c r="Q626" s="131"/>
      <c r="R626" s="131"/>
      <c r="S626" s="131"/>
      <c r="T626" s="129"/>
    </row>
    <row r="627" ht="37.5" customHeight="1">
      <c r="A627" s="129"/>
      <c r="B627" s="130" t="str">
        <f>IFERROR(__xludf.DUMMYFUNCTION("""COMPUTED_VALUE"""),"When Critical occurs: Recover HP by 1%.")</f>
        <v>When Critical occurs: Recover HP by 1%.</v>
      </c>
      <c r="C627" s="130"/>
      <c r="D627" s="129"/>
      <c r="E627" s="131" t="s">
        <v>7052</v>
      </c>
      <c r="F627" s="131" t="s">
        <v>7027</v>
      </c>
      <c r="G627" s="131" t="s">
        <v>7040</v>
      </c>
      <c r="H627" s="131" t="s">
        <v>7055</v>
      </c>
      <c r="I627" s="131" t="s">
        <v>7027</v>
      </c>
      <c r="J627" s="129"/>
      <c r="K627" s="133"/>
      <c r="L627" s="131"/>
      <c r="M627" s="131"/>
      <c r="N627" s="131"/>
      <c r="O627" s="131"/>
      <c r="P627" s="129"/>
      <c r="Q627" s="131"/>
      <c r="R627" s="131"/>
      <c r="S627" s="131"/>
      <c r="T627" s="129"/>
    </row>
    <row r="628" ht="37.5" customHeight="1">
      <c r="A628" s="129"/>
      <c r="B628" s="130" t="str">
        <f>IFERROR(__xludf.DUMMYFUNCTION("""COMPUTED_VALUE"""),"When performing a Perfect Dodge: CRIT Boosted by 80% for 6 second(s).")</f>
        <v>When performing a Perfect Dodge: CRIT Boosted by 80% for 6 second(s).</v>
      </c>
      <c r="C628" s="130"/>
      <c r="D628" s="129"/>
      <c r="E628" s="131" t="s">
        <v>7057</v>
      </c>
      <c r="F628" s="131" t="s">
        <v>7027</v>
      </c>
      <c r="G628" s="131" t="s">
        <v>7086</v>
      </c>
      <c r="H628" s="131" t="s">
        <v>7138</v>
      </c>
      <c r="I628" s="131" t="s">
        <v>7144</v>
      </c>
      <c r="J628" s="129"/>
      <c r="K628" s="133"/>
      <c r="L628" s="131"/>
      <c r="M628" s="131"/>
      <c r="N628" s="131"/>
      <c r="O628" s="131"/>
      <c r="P628" s="129"/>
      <c r="Q628" s="131"/>
      <c r="R628" s="131"/>
      <c r="S628" s="131"/>
      <c r="T628" s="129"/>
    </row>
    <row r="629" ht="37.5" customHeight="1">
      <c r="A629" s="129"/>
      <c r="B629" s="130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C629" s="130"/>
      <c r="D629" s="129"/>
      <c r="E629" s="131" t="s">
        <v>7072</v>
      </c>
      <c r="F629" s="131" t="s">
        <v>7027</v>
      </c>
      <c r="G629" s="131" t="s">
        <v>7046</v>
      </c>
      <c r="H629" s="131" t="s">
        <v>7093</v>
      </c>
      <c r="I629" s="131" t="s">
        <v>7027</v>
      </c>
      <c r="J629" s="129"/>
      <c r="K629" s="133"/>
      <c r="L629" s="131"/>
      <c r="M629" s="131"/>
      <c r="N629" s="131"/>
      <c r="O629" s="131"/>
      <c r="P629" s="129"/>
      <c r="Q629" s="131"/>
      <c r="R629" s="131"/>
      <c r="S629" s="131"/>
      <c r="T629" s="129"/>
    </row>
    <row r="630" ht="37.5" customHeight="1">
      <c r="A630" s="129"/>
      <c r="B630" s="130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C630" s="130"/>
      <c r="D630" s="129"/>
      <c r="E630" s="131" t="s">
        <v>7026</v>
      </c>
      <c r="F630" s="131" t="s">
        <v>7027</v>
      </c>
      <c r="G630" s="131" t="s">
        <v>7042</v>
      </c>
      <c r="H630" s="131" t="s">
        <v>7029</v>
      </c>
      <c r="I630" s="131" t="s">
        <v>7027</v>
      </c>
      <c r="J630" s="129"/>
      <c r="K630" s="133"/>
      <c r="L630" s="131"/>
      <c r="M630" s="131"/>
      <c r="N630" s="131"/>
      <c r="O630" s="131"/>
      <c r="P630" s="129"/>
      <c r="Q630" s="131"/>
      <c r="R630" s="131"/>
      <c r="S630" s="131"/>
      <c r="T630" s="129"/>
    </row>
    <row r="631" ht="37.5" customHeight="1">
      <c r="A631" s="129"/>
      <c r="B631" s="130" t="str">
        <f>IFERROR(__xludf.DUMMYFUNCTION("""COMPUTED_VALUE"""),"When you capture the Treasure: Reduce the cooldown time of Skill 2 by 5%.")</f>
        <v>When you capture the Treasure: Reduce the cooldown time of Skill 2 by 5%.</v>
      </c>
      <c r="C631" s="130"/>
      <c r="D631" s="129"/>
      <c r="E631" s="131" t="s">
        <v>7048</v>
      </c>
      <c r="F631" s="131" t="s">
        <v>7027</v>
      </c>
      <c r="G631" s="131" t="s">
        <v>7050</v>
      </c>
      <c r="H631" s="131" t="s">
        <v>7035</v>
      </c>
      <c r="I631" s="131" t="s">
        <v>7027</v>
      </c>
      <c r="J631" s="129"/>
      <c r="K631" s="133"/>
      <c r="L631" s="131"/>
      <c r="M631" s="131"/>
      <c r="N631" s="131"/>
      <c r="O631" s="131"/>
      <c r="P631" s="129"/>
      <c r="Q631" s="131"/>
      <c r="R631" s="131"/>
      <c r="S631" s="131"/>
      <c r="T631" s="129"/>
    </row>
    <row r="632" ht="37.5" customHeight="1">
      <c r="A632" s="129"/>
      <c r="B632" s="130" t="str">
        <f>IFERROR(__xludf.DUMMYFUNCTION("""COMPUTED_VALUE"""),"When in the area around your enemy`s Treasure: Reduce damage recieved by 5%.")</f>
        <v>When in the area around your enemy`s Treasure: Reduce damage recieved by 5%.</v>
      </c>
      <c r="C632" s="130"/>
      <c r="D632" s="129"/>
      <c r="E632" s="131" t="s">
        <v>7041</v>
      </c>
      <c r="F632" s="131" t="s">
        <v>7027</v>
      </c>
      <c r="G632" s="131" t="s">
        <v>7037</v>
      </c>
      <c r="H632" s="131" t="s">
        <v>7035</v>
      </c>
      <c r="I632" s="131" t="s">
        <v>7027</v>
      </c>
      <c r="J632" s="129"/>
      <c r="K632" s="133"/>
      <c r="L632" s="131"/>
      <c r="M632" s="131"/>
      <c r="N632" s="131"/>
      <c r="O632" s="131"/>
      <c r="P632" s="129"/>
      <c r="Q632" s="131"/>
      <c r="R632" s="131"/>
      <c r="S632" s="131"/>
      <c r="T632" s="129"/>
    </row>
    <row r="633" ht="37.5" customHeight="1">
      <c r="A633" s="129"/>
      <c r="B633" s="130" t="str">
        <f>IFERROR(__xludf.DUMMYFUNCTION("""COMPUTED_VALUE"""),"When your HP is 90% or more: Increase damage dealt by 5%.")</f>
        <v>When your HP is 90% or more: Increase damage dealt by 5%.</v>
      </c>
      <c r="C633" s="130"/>
      <c r="D633" s="129"/>
      <c r="E633" s="131" t="s">
        <v>7145</v>
      </c>
      <c r="F633" s="131" t="s">
        <v>7027</v>
      </c>
      <c r="G633" s="131" t="s">
        <v>7034</v>
      </c>
      <c r="H633" s="131" t="s">
        <v>7035</v>
      </c>
      <c r="I633" s="131" t="s">
        <v>7027</v>
      </c>
      <c r="J633" s="129"/>
      <c r="K633" s="133"/>
      <c r="L633" s="131"/>
      <c r="M633" s="131"/>
      <c r="N633" s="131"/>
      <c r="O633" s="131"/>
      <c r="P633" s="129"/>
      <c r="Q633" s="131"/>
      <c r="R633" s="131"/>
      <c r="S633" s="131"/>
      <c r="T633" s="129"/>
    </row>
    <row r="634" ht="37.5" customHeight="1">
      <c r="A634" s="129"/>
      <c r="B634" s="130" t="str">
        <f>IFERROR(__xludf.DUMMYFUNCTION("""COMPUTED_VALUE"""),"When Critical occurs: Reduce the cooldown time of Skill 2 by 3%.")</f>
        <v>When Critical occurs: Reduce the cooldown time of Skill 2 by 3%.</v>
      </c>
      <c r="C634" s="130"/>
      <c r="D634" s="129"/>
      <c r="E634" s="131" t="s">
        <v>7052</v>
      </c>
      <c r="F634" s="131" t="s">
        <v>7027</v>
      </c>
      <c r="G634" s="131" t="s">
        <v>7050</v>
      </c>
      <c r="H634" s="131" t="s">
        <v>7038</v>
      </c>
      <c r="I634" s="131" t="s">
        <v>7027</v>
      </c>
      <c r="J634" s="129"/>
      <c r="K634" s="133"/>
      <c r="L634" s="131"/>
      <c r="M634" s="131"/>
      <c r="N634" s="131"/>
      <c r="O634" s="131"/>
      <c r="P634" s="129"/>
      <c r="Q634" s="131"/>
      <c r="R634" s="131"/>
      <c r="S634" s="131"/>
      <c r="T634" s="129"/>
    </row>
    <row r="635" ht="37.5" customHeight="1">
      <c r="A635" s="129"/>
      <c r="B635" s="130" t="str">
        <f>IFERROR(__xludf.DUMMYFUNCTION("""COMPUTED_VALUE"""),"When using Skill 2: Reduce the cooldown time of Skill 1 by 3%.")</f>
        <v>When using Skill 2: Reduce the cooldown time of Skill 1 by 3%.</v>
      </c>
      <c r="C635" s="130"/>
      <c r="D635" s="129"/>
      <c r="E635" s="131" t="s">
        <v>7062</v>
      </c>
      <c r="F635" s="131" t="s">
        <v>7027</v>
      </c>
      <c r="G635" s="131" t="s">
        <v>7058</v>
      </c>
      <c r="H635" s="131" t="s">
        <v>7038</v>
      </c>
      <c r="I635" s="131" t="s">
        <v>7027</v>
      </c>
      <c r="J635" s="129"/>
      <c r="K635" s="133"/>
      <c r="L635" s="131"/>
      <c r="M635" s="131"/>
      <c r="N635" s="131"/>
      <c r="O635" s="131"/>
      <c r="P635" s="129"/>
      <c r="Q635" s="131"/>
      <c r="R635" s="131"/>
      <c r="S635" s="131"/>
      <c r="T635" s="129"/>
    </row>
    <row r="636" ht="37.5" customHeight="1">
      <c r="A636" s="129"/>
      <c r="B636" s="130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C636" s="130"/>
      <c r="D636" s="129"/>
      <c r="E636" s="131" t="s">
        <v>7060</v>
      </c>
      <c r="F636" s="131" t="s">
        <v>7027</v>
      </c>
      <c r="G636" s="131" t="s">
        <v>7058</v>
      </c>
      <c r="H636" s="131" t="s">
        <v>7066</v>
      </c>
      <c r="I636" s="131" t="s">
        <v>7027</v>
      </c>
      <c r="J636" s="129"/>
      <c r="K636" s="133"/>
      <c r="L636" s="131"/>
      <c r="M636" s="131"/>
      <c r="N636" s="131"/>
      <c r="O636" s="131"/>
      <c r="P636" s="129"/>
      <c r="Q636" s="131"/>
      <c r="R636" s="131"/>
      <c r="S636" s="131"/>
      <c r="T636" s="129"/>
    </row>
    <row r="637" ht="37.5" customHeight="1">
      <c r="A637" s="129"/>
      <c r="B637" s="130" t="str">
        <f>IFERROR(__xludf.DUMMYFUNCTION("""COMPUTED_VALUE"""),"When your allies are not near the Treasure area where you are at: Reduce damage recieved by 6%.")</f>
        <v>When your allies are not near the Treasure area where you are at: Reduce damage recieved by 6%.</v>
      </c>
      <c r="C637" s="130"/>
      <c r="D637" s="129"/>
      <c r="E637" s="131" t="s">
        <v>7082</v>
      </c>
      <c r="F637" s="131" t="s">
        <v>7027</v>
      </c>
      <c r="G637" s="131" t="s">
        <v>7037</v>
      </c>
      <c r="H637" s="131" t="s">
        <v>7066</v>
      </c>
      <c r="I637" s="131" t="s">
        <v>7027</v>
      </c>
      <c r="J637" s="129"/>
      <c r="K637" s="133"/>
      <c r="L637" s="131"/>
      <c r="M637" s="131"/>
      <c r="N637" s="131"/>
      <c r="O637" s="131"/>
      <c r="P637" s="129"/>
      <c r="Q637" s="131"/>
      <c r="R637" s="131"/>
      <c r="S637" s="131"/>
      <c r="T637" s="129"/>
    </row>
    <row r="638" ht="37.5" customHeight="1">
      <c r="A638" s="129"/>
      <c r="B638" s="130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C638" s="130"/>
      <c r="D638" s="129"/>
      <c r="E638" s="131" t="s">
        <v>7041</v>
      </c>
      <c r="F638" s="131" t="s">
        <v>7027</v>
      </c>
      <c r="G638" s="131" t="s">
        <v>7046</v>
      </c>
      <c r="H638" s="131" t="s">
        <v>7029</v>
      </c>
      <c r="I638" s="131" t="s">
        <v>7027</v>
      </c>
      <c r="J638" s="129"/>
      <c r="K638" s="133"/>
      <c r="L638" s="131"/>
      <c r="M638" s="131"/>
      <c r="N638" s="131"/>
      <c r="O638" s="131"/>
      <c r="P638" s="129"/>
      <c r="Q638" s="131"/>
      <c r="R638" s="131"/>
      <c r="S638" s="131"/>
      <c r="T638" s="129"/>
    </row>
    <row r="639" ht="37.5" customHeight="1">
      <c r="A639" s="129"/>
      <c r="B639" s="130" t="str">
        <f>IFERROR(__xludf.DUMMYFUNCTION("""COMPUTED_VALUE"""),"When your team loses the Treasure: Reduce the cooldown time of Skill 2 by 9%.")</f>
        <v>When your team loses the Treasure: Reduce the cooldown time of Skill 2 by 9%.</v>
      </c>
      <c r="C639" s="130"/>
      <c r="D639" s="129"/>
      <c r="E639" s="131" t="s">
        <v>7105</v>
      </c>
      <c r="F639" s="131" t="s">
        <v>7027</v>
      </c>
      <c r="G639" s="131" t="s">
        <v>7050</v>
      </c>
      <c r="H639" s="131" t="s">
        <v>7146</v>
      </c>
      <c r="I639" s="131" t="s">
        <v>7027</v>
      </c>
      <c r="J639" s="129"/>
      <c r="K639" s="133"/>
      <c r="L639" s="131"/>
      <c r="M639" s="131"/>
      <c r="N639" s="131"/>
      <c r="O639" s="131"/>
      <c r="P639" s="129"/>
      <c r="Q639" s="131"/>
      <c r="R639" s="131"/>
      <c r="S639" s="131"/>
      <c r="T639" s="129"/>
    </row>
    <row r="640" ht="37.5" customHeight="1">
      <c r="A640" s="129"/>
      <c r="B640" s="130" t="str">
        <f>IFERROR(__xludf.DUMMYFUNCTION("""COMPUTED_VALUE"""),"When an ally is KO`d (not including you): SPD Boosted by 4% for 20 second(s).")</f>
        <v>When an ally is KO`d (not including you): SPD Boosted by 4% for 20 second(s).</v>
      </c>
      <c r="C640" s="130"/>
      <c r="D640" s="129"/>
      <c r="E640" s="131" t="s">
        <v>7060</v>
      </c>
      <c r="F640" s="131" t="s">
        <v>7027</v>
      </c>
      <c r="G640" s="131" t="s">
        <v>7083</v>
      </c>
      <c r="H640" s="131" t="s">
        <v>7051</v>
      </c>
      <c r="I640" s="131" t="s">
        <v>7084</v>
      </c>
      <c r="J640" s="129"/>
      <c r="K640" s="133"/>
      <c r="L640" s="131"/>
      <c r="M640" s="131"/>
      <c r="N640" s="131"/>
      <c r="O640" s="131"/>
      <c r="P640" s="129"/>
      <c r="Q640" s="131"/>
      <c r="R640" s="131"/>
      <c r="S640" s="131"/>
      <c r="T640" s="129"/>
    </row>
    <row r="641" ht="37.5" customHeight="1">
      <c r="A641" s="129"/>
      <c r="B641" s="130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C641" s="130"/>
      <c r="D641" s="129"/>
      <c r="E641" s="131" t="s">
        <v>7082</v>
      </c>
      <c r="F641" s="131" t="s">
        <v>7027</v>
      </c>
      <c r="G641" s="131" t="s">
        <v>7034</v>
      </c>
      <c r="H641" s="131" t="s">
        <v>7038</v>
      </c>
      <c r="I641" s="131" t="s">
        <v>7027</v>
      </c>
      <c r="J641" s="129"/>
      <c r="K641" s="133"/>
      <c r="L641" s="131"/>
      <c r="M641" s="131"/>
      <c r="N641" s="131"/>
      <c r="O641" s="131"/>
      <c r="P641" s="129"/>
      <c r="Q641" s="131"/>
      <c r="R641" s="131"/>
      <c r="S641" s="131"/>
      <c r="T641" s="129"/>
    </row>
    <row r="642" ht="37.5" customHeight="1">
      <c r="A642" s="129"/>
      <c r="B642" s="130" t="str">
        <f>IFERROR(__xludf.DUMMYFUNCTION("""COMPUTED_VALUE"""),"When there are 45 seconds or less remaining: Boost capture speed by 18%.")</f>
        <v>When there are 45 seconds or less remaining: Boost capture speed by 18%.</v>
      </c>
      <c r="C642" s="130"/>
      <c r="D642" s="129"/>
      <c r="E642" s="131" t="s">
        <v>7147</v>
      </c>
      <c r="F642" s="131" t="s">
        <v>7027</v>
      </c>
      <c r="G642" s="131" t="s">
        <v>7031</v>
      </c>
      <c r="H642" s="131" t="s">
        <v>7148</v>
      </c>
      <c r="I642" s="131" t="s">
        <v>7027</v>
      </c>
      <c r="J642" s="129"/>
      <c r="K642" s="133"/>
      <c r="L642" s="131"/>
      <c r="M642" s="131"/>
      <c r="N642" s="131"/>
      <c r="O642" s="131"/>
      <c r="P642" s="129"/>
      <c r="Q642" s="131"/>
      <c r="R642" s="131"/>
      <c r="S642" s="131"/>
      <c r="T642" s="129"/>
    </row>
    <row r="643" ht="37.5" customHeight="1">
      <c r="A643" s="129"/>
      <c r="B643" s="130" t="str">
        <f>IFERROR(__xludf.DUMMYFUNCTION("""COMPUTED_VALUE"""),"When your HP is 15% or less: Reduce damage recieved by 6%.")</f>
        <v>When your HP is 15% or less: Reduce damage recieved by 6%.</v>
      </c>
      <c r="C643" s="130"/>
      <c r="D643" s="129"/>
      <c r="E643" s="131" t="s">
        <v>7149</v>
      </c>
      <c r="F643" s="131" t="s">
        <v>7027</v>
      </c>
      <c r="G643" s="131" t="s">
        <v>7037</v>
      </c>
      <c r="H643" s="131" t="s">
        <v>7066</v>
      </c>
      <c r="I643" s="131" t="s">
        <v>7027</v>
      </c>
      <c r="J643" s="129"/>
      <c r="K643" s="133"/>
      <c r="L643" s="131"/>
      <c r="M643" s="131"/>
      <c r="N643" s="131"/>
      <c r="O643" s="131"/>
      <c r="P643" s="129"/>
      <c r="Q643" s="131"/>
      <c r="R643" s="131"/>
      <c r="S643" s="131"/>
      <c r="T643" s="129"/>
    </row>
    <row r="644" ht="37.5" customHeight="1">
      <c r="A644" s="129"/>
      <c r="B644" s="130" t="str">
        <f>IFERROR(__xludf.DUMMYFUNCTION("""COMPUTED_VALUE"""),"When you capture the Treasure: Recover HP by 5%.")</f>
        <v>When you capture the Treasure: Recover HP by 5%.</v>
      </c>
      <c r="C644" s="130"/>
      <c r="D644" s="129"/>
      <c r="E644" s="131" t="s">
        <v>7048</v>
      </c>
      <c r="F644" s="131" t="s">
        <v>7027</v>
      </c>
      <c r="G644" s="131" t="s">
        <v>7040</v>
      </c>
      <c r="H644" s="131" t="s">
        <v>7035</v>
      </c>
      <c r="I644" s="131" t="s">
        <v>7027</v>
      </c>
      <c r="J644" s="129"/>
      <c r="K644" s="133"/>
      <c r="L644" s="131"/>
      <c r="M644" s="131"/>
      <c r="N644" s="131"/>
      <c r="O644" s="131"/>
      <c r="P644" s="129"/>
      <c r="Q644" s="131"/>
      <c r="R644" s="131"/>
      <c r="S644" s="131"/>
      <c r="T644" s="129"/>
    </row>
    <row r="645" ht="37.5" customHeight="1">
      <c r="A645" s="129"/>
      <c r="B645" s="130" t="str">
        <f>IFERROR(__xludf.DUMMYFUNCTION("""COMPUTED_VALUE"""),"When attacked by an enemy: 3% chance to, Inflict Shock for 5 second(s).(Excludes some attacks)")</f>
        <v>When attacked by an enemy: 3% chance to, Inflict Shock for 5 second(s).(Excludes some attacks)</v>
      </c>
      <c r="C645" s="130"/>
      <c r="D645" s="129"/>
      <c r="E645" s="131" t="s">
        <v>7069</v>
      </c>
      <c r="F645" s="131" t="s">
        <v>7150</v>
      </c>
      <c r="G645" s="131" t="s">
        <v>7098</v>
      </c>
      <c r="H645" s="131" t="s">
        <v>7027</v>
      </c>
      <c r="I645" s="131" t="s">
        <v>7099</v>
      </c>
      <c r="J645" s="129"/>
      <c r="K645" s="133"/>
      <c r="L645" s="131"/>
      <c r="M645" s="131"/>
      <c r="N645" s="131"/>
      <c r="O645" s="131"/>
      <c r="P645" s="129"/>
      <c r="Q645" s="131"/>
      <c r="R645" s="131"/>
      <c r="S645" s="131"/>
      <c r="T645" s="129"/>
    </row>
    <row r="646" ht="37.5" customHeight="1">
      <c r="A646" s="129"/>
      <c r="B646" s="130" t="str">
        <f>IFERROR(__xludf.DUMMYFUNCTION("""COMPUTED_VALUE"""),"Increase CRIT by 8%.")</f>
        <v>Increase CRIT by 8%.</v>
      </c>
      <c r="C646" s="130"/>
      <c r="D646" s="129"/>
      <c r="E646" s="131" t="s">
        <v>7027</v>
      </c>
      <c r="F646" s="131" t="s">
        <v>7027</v>
      </c>
      <c r="G646" s="131" t="s">
        <v>7027</v>
      </c>
      <c r="H646" s="131" t="s">
        <v>7027</v>
      </c>
      <c r="I646" s="131" t="s">
        <v>7027</v>
      </c>
      <c r="J646" s="129"/>
      <c r="K646" s="133"/>
      <c r="L646" s="131"/>
      <c r="M646" s="131"/>
      <c r="N646" s="131"/>
      <c r="O646" s="131"/>
      <c r="P646" s="129"/>
      <c r="Q646" s="131"/>
      <c r="R646" s="131"/>
      <c r="S646" s="131"/>
      <c r="T646" s="129"/>
    </row>
    <row r="647" ht="37.5" customHeight="1">
      <c r="A647" s="129"/>
      <c r="B647" s="130" t="str">
        <f>IFERROR(__xludf.DUMMYFUNCTION("""COMPUTED_VALUE"""),"Increase HP by 8%.")</f>
        <v>Increase HP by 8%.</v>
      </c>
      <c r="C647" s="130"/>
      <c r="D647" s="129"/>
      <c r="E647" s="131" t="s">
        <v>7027</v>
      </c>
      <c r="F647" s="131" t="s">
        <v>7027</v>
      </c>
      <c r="G647" s="131" t="s">
        <v>7027</v>
      </c>
      <c r="H647" s="131" t="s">
        <v>7027</v>
      </c>
      <c r="I647" s="131" t="s">
        <v>7027</v>
      </c>
      <c r="J647" s="129"/>
      <c r="K647" s="133"/>
      <c r="L647" s="131"/>
      <c r="M647" s="131"/>
      <c r="N647" s="131"/>
      <c r="O647" s="131"/>
      <c r="P647" s="129"/>
      <c r="Q647" s="131"/>
      <c r="R647" s="131"/>
      <c r="S647" s="131"/>
      <c r="T647" s="129"/>
    </row>
    <row r="648" ht="37.5" customHeight="1">
      <c r="A648" s="129"/>
      <c r="B648" s="130" t="str">
        <f>IFERROR(__xludf.DUMMYFUNCTION("""COMPUTED_VALUE"""),"Increase ATK by 4%.")</f>
        <v>Increase ATK by 4%.</v>
      </c>
      <c r="C648" s="130"/>
      <c r="D648" s="129"/>
      <c r="E648" s="131" t="s">
        <v>7027</v>
      </c>
      <c r="F648" s="131" t="s">
        <v>7027</v>
      </c>
      <c r="G648" s="131" t="s">
        <v>7027</v>
      </c>
      <c r="H648" s="131" t="s">
        <v>7027</v>
      </c>
      <c r="I648" s="131" t="s">
        <v>7027</v>
      </c>
      <c r="J648" s="129"/>
      <c r="K648" s="133"/>
      <c r="L648" s="131"/>
      <c r="M648" s="131"/>
      <c r="N648" s="131"/>
      <c r="O648" s="131"/>
      <c r="P648" s="129"/>
      <c r="Q648" s="131"/>
      <c r="R648" s="131"/>
      <c r="S648" s="131"/>
      <c r="T648" s="129"/>
    </row>
    <row r="649" ht="37.5" customHeight="1">
      <c r="A649" s="129"/>
      <c r="B649" s="130" t="str">
        <f>IFERROR(__xludf.DUMMYFUNCTION("""COMPUTED_VALUE"""),"Increase HP by 4%.")</f>
        <v>Increase HP by 4%.</v>
      </c>
      <c r="C649" s="130"/>
      <c r="D649" s="129"/>
      <c r="E649" s="131" t="s">
        <v>7027</v>
      </c>
      <c r="F649" s="131" t="s">
        <v>7027</v>
      </c>
      <c r="G649" s="131" t="s">
        <v>7027</v>
      </c>
      <c r="H649" s="131" t="s">
        <v>7027</v>
      </c>
      <c r="I649" s="131" t="s">
        <v>7027</v>
      </c>
      <c r="J649" s="129"/>
      <c r="K649" s="133"/>
      <c r="L649" s="131"/>
      <c r="M649" s="131"/>
      <c r="N649" s="131"/>
      <c r="O649" s="131"/>
      <c r="P649" s="129"/>
      <c r="Q649" s="131"/>
      <c r="R649" s="131"/>
      <c r="S649" s="131"/>
      <c r="T649" s="129"/>
    </row>
    <row r="650" ht="37.5" customHeight="1">
      <c r="A650" s="129"/>
      <c r="B650" s="130" t="str">
        <f>IFERROR(__xludf.DUMMYFUNCTION("""COMPUTED_VALUE"""),"When you are in your team`s Treasure Area and the Trasure Gauge is 80% or more: Reduce damage recieved by 5%.")</f>
        <v>When you are in your team`s Treasure Area and the Trasure Gauge is 80% or more: Reduce damage recieved by 5%.</v>
      </c>
      <c r="C650" s="130"/>
      <c r="D650" s="129"/>
      <c r="E650" s="131" t="s">
        <v>7129</v>
      </c>
      <c r="F650" s="131" t="s">
        <v>7027</v>
      </c>
      <c r="G650" s="131" t="s">
        <v>7037</v>
      </c>
      <c r="H650" s="131" t="s">
        <v>7035</v>
      </c>
      <c r="I650" s="131" t="s">
        <v>7027</v>
      </c>
      <c r="J650" s="129"/>
      <c r="K650" s="133"/>
      <c r="L650" s="131"/>
      <c r="M650" s="131"/>
      <c r="N650" s="131"/>
      <c r="O650" s="131"/>
      <c r="P650" s="129"/>
      <c r="Q650" s="131"/>
      <c r="R650" s="131"/>
      <c r="S650" s="131"/>
      <c r="T650" s="129"/>
    </row>
    <row r="651" ht="37.5" customHeight="1">
      <c r="A651" s="129"/>
      <c r="B651" s="130" t="str">
        <f>IFERROR(__xludf.DUMMYFUNCTION("""COMPUTED_VALUE"""),"When you are in your team`s Treasure Area and the Trasure Gauge is 80% or more: Boost the cooldown reduction speed of Skill 2 by 10%.")</f>
        <v>When you are in your team`s Treasure Area and the Trasure Gauge is 80% or more: Boost the cooldown reduction speed of Skill 2 by 10%.</v>
      </c>
      <c r="C651" s="130"/>
      <c r="D651" s="129"/>
      <c r="E651" s="131" t="s">
        <v>7129</v>
      </c>
      <c r="F651" s="131" t="s">
        <v>7027</v>
      </c>
      <c r="G651" s="131" t="s">
        <v>7042</v>
      </c>
      <c r="H651" s="131" t="s">
        <v>7093</v>
      </c>
      <c r="I651" s="131" t="s">
        <v>7027</v>
      </c>
      <c r="J651" s="129"/>
      <c r="K651" s="133"/>
      <c r="L651" s="131"/>
      <c r="M651" s="131"/>
      <c r="N651" s="131"/>
      <c r="O651" s="131"/>
      <c r="P651" s="129"/>
      <c r="Q651" s="131"/>
      <c r="R651" s="131"/>
      <c r="S651" s="131"/>
      <c r="T651" s="129"/>
    </row>
    <row r="652" ht="37.5" customHeight="1">
      <c r="A652" s="129"/>
      <c r="B652" s="130" t="str">
        <f>IFERROR(__xludf.DUMMYFUNCTION("""COMPUTED_VALUE"""),"When you are in your team`s Treasure Area and the Trasure Gauge is 80% or more: Reduce damage recieved by 3%.")</f>
        <v>When you are in your team`s Treasure Area and the Trasure Gauge is 80% or more: Reduce damage recieved by 3%.</v>
      </c>
      <c r="C652" s="130"/>
      <c r="D652" s="129"/>
      <c r="E652" s="131" t="s">
        <v>7129</v>
      </c>
      <c r="F652" s="131" t="s">
        <v>7027</v>
      </c>
      <c r="G652" s="131" t="s">
        <v>7037</v>
      </c>
      <c r="H652" s="131" t="s">
        <v>7038</v>
      </c>
      <c r="I652" s="131" t="s">
        <v>7027</v>
      </c>
      <c r="J652" s="129"/>
      <c r="K652" s="133"/>
      <c r="L652" s="131"/>
      <c r="M652" s="131"/>
      <c r="N652" s="131"/>
      <c r="O652" s="131"/>
      <c r="P652" s="129"/>
      <c r="Q652" s="131"/>
      <c r="R652" s="131"/>
      <c r="S652" s="131"/>
      <c r="T652" s="129"/>
    </row>
    <row r="653" ht="37.5" customHeight="1">
      <c r="A653" s="129"/>
      <c r="B653" s="130"/>
      <c r="C653" s="130"/>
      <c r="D653" s="129"/>
      <c r="E653" s="131" t="s">
        <v>7027</v>
      </c>
      <c r="F653" s="131" t="s">
        <v>7027</v>
      </c>
      <c r="G653" s="131" t="s">
        <v>7027</v>
      </c>
      <c r="H653" s="131" t="s">
        <v>7027</v>
      </c>
      <c r="I653" s="131" t="s">
        <v>7027</v>
      </c>
      <c r="J653" s="129"/>
      <c r="K653" s="133"/>
      <c r="L653" s="131"/>
      <c r="M653" s="131"/>
      <c r="N653" s="131"/>
      <c r="O653" s="131"/>
      <c r="P653" s="129"/>
      <c r="Q653" s="131"/>
      <c r="R653" s="131"/>
      <c r="S653" s="131"/>
      <c r="T653" s="129"/>
    </row>
    <row r="654" ht="37.5" customHeight="1">
      <c r="A654" s="129"/>
      <c r="B654" s="130"/>
      <c r="C654" s="130"/>
      <c r="D654" s="129"/>
      <c r="E654" s="131" t="s">
        <v>7027</v>
      </c>
      <c r="F654" s="131" t="s">
        <v>7027</v>
      </c>
      <c r="G654" s="131" t="s">
        <v>7027</v>
      </c>
      <c r="H654" s="131" t="s">
        <v>7027</v>
      </c>
      <c r="I654" s="131" t="s">
        <v>7027</v>
      </c>
      <c r="J654" s="129"/>
      <c r="K654" s="133"/>
      <c r="L654" s="131"/>
      <c r="M654" s="131"/>
      <c r="N654" s="131"/>
      <c r="O654" s="131"/>
      <c r="P654" s="129"/>
      <c r="Q654" s="131"/>
      <c r="R654" s="131"/>
      <c r="S654" s="131"/>
      <c r="T654" s="129"/>
    </row>
    <row r="655" ht="37.5" customHeight="1">
      <c r="A655" s="129"/>
      <c r="B655" s="130"/>
      <c r="C655" s="130"/>
      <c r="D655" s="129"/>
      <c r="E655" s="131" t="s">
        <v>7027</v>
      </c>
      <c r="F655" s="131" t="s">
        <v>7027</v>
      </c>
      <c r="G655" s="131" t="s">
        <v>7027</v>
      </c>
      <c r="H655" s="131" t="s">
        <v>7027</v>
      </c>
      <c r="I655" s="131" t="s">
        <v>7027</v>
      </c>
      <c r="J655" s="129"/>
      <c r="K655" s="133"/>
      <c r="L655" s="131"/>
      <c r="M655" s="131"/>
      <c r="N655" s="131"/>
      <c r="O655" s="131"/>
      <c r="P655" s="129"/>
      <c r="Q655" s="131"/>
      <c r="R655" s="131"/>
      <c r="S655" s="131"/>
      <c r="T655" s="129"/>
    </row>
    <row r="656" ht="37.5" customHeight="1">
      <c r="A656" s="129"/>
      <c r="B656" s="130"/>
      <c r="C656" s="130"/>
      <c r="D656" s="129"/>
      <c r="E656" s="131" t="s">
        <v>7027</v>
      </c>
      <c r="F656" s="131" t="s">
        <v>7027</v>
      </c>
      <c r="G656" s="131" t="s">
        <v>7027</v>
      </c>
      <c r="H656" s="131" t="s">
        <v>7027</v>
      </c>
      <c r="I656" s="131" t="s">
        <v>7027</v>
      </c>
      <c r="J656" s="129"/>
      <c r="K656" s="133"/>
      <c r="L656" s="131"/>
      <c r="M656" s="131"/>
      <c r="N656" s="131"/>
      <c r="O656" s="131"/>
      <c r="P656" s="129"/>
      <c r="Q656" s="131"/>
      <c r="R656" s="131"/>
      <c r="S656" s="131"/>
      <c r="T656" s="129"/>
    </row>
    <row r="657" ht="37.5" customHeight="1">
      <c r="A657" s="129"/>
      <c r="B657" s="130"/>
      <c r="C657" s="130"/>
      <c r="D657" s="129"/>
      <c r="E657" s="131" t="s">
        <v>7027</v>
      </c>
      <c r="F657" s="131" t="s">
        <v>7027</v>
      </c>
      <c r="G657" s="131" t="s">
        <v>7027</v>
      </c>
      <c r="H657" s="131" t="s">
        <v>7027</v>
      </c>
      <c r="I657" s="131" t="s">
        <v>7027</v>
      </c>
      <c r="J657" s="129"/>
      <c r="K657" s="133"/>
      <c r="L657" s="131"/>
      <c r="M657" s="131"/>
      <c r="N657" s="131"/>
      <c r="O657" s="131"/>
      <c r="P657" s="129"/>
      <c r="Q657" s="131"/>
      <c r="R657" s="131"/>
      <c r="S657" s="131"/>
      <c r="T657" s="129"/>
    </row>
    <row r="658" ht="37.5" customHeight="1">
      <c r="A658" s="129"/>
      <c r="B658" s="130"/>
      <c r="C658" s="130"/>
      <c r="D658" s="129"/>
      <c r="E658" s="131" t="s">
        <v>7027</v>
      </c>
      <c r="F658" s="131" t="s">
        <v>7027</v>
      </c>
      <c r="G658" s="131" t="s">
        <v>7027</v>
      </c>
      <c r="H658" s="131" t="s">
        <v>7027</v>
      </c>
      <c r="I658" s="131" t="s">
        <v>7027</v>
      </c>
      <c r="J658" s="129"/>
      <c r="K658" s="133"/>
      <c r="L658" s="131"/>
      <c r="M658" s="131"/>
      <c r="N658" s="131"/>
      <c r="O658" s="131"/>
      <c r="P658" s="129"/>
      <c r="Q658" s="131"/>
      <c r="R658" s="131"/>
      <c r="S658" s="131"/>
      <c r="T658" s="129"/>
    </row>
    <row r="659" ht="37.5" customHeight="1">
      <c r="A659" s="129"/>
      <c r="B659" s="130"/>
      <c r="C659" s="130"/>
      <c r="D659" s="129"/>
      <c r="E659" s="131" t="s">
        <v>7027</v>
      </c>
      <c r="F659" s="131" t="s">
        <v>7027</v>
      </c>
      <c r="G659" s="131" t="s">
        <v>7027</v>
      </c>
      <c r="H659" s="131" t="s">
        <v>7027</v>
      </c>
      <c r="I659" s="131" t="s">
        <v>7027</v>
      </c>
      <c r="J659" s="129"/>
      <c r="K659" s="133"/>
      <c r="L659" s="131"/>
      <c r="M659" s="131"/>
      <c r="N659" s="131"/>
      <c r="O659" s="131"/>
      <c r="P659" s="129"/>
      <c r="Q659" s="131"/>
      <c r="R659" s="131"/>
      <c r="S659" s="131"/>
      <c r="T659" s="129"/>
    </row>
    <row r="660" ht="37.5" customHeight="1">
      <c r="A660" s="129"/>
      <c r="B660" s="130"/>
      <c r="C660" s="130"/>
      <c r="D660" s="129"/>
      <c r="E660" s="131" t="s">
        <v>7027</v>
      </c>
      <c r="F660" s="131" t="s">
        <v>7027</v>
      </c>
      <c r="G660" s="131" t="s">
        <v>7027</v>
      </c>
      <c r="H660" s="131" t="s">
        <v>7027</v>
      </c>
      <c r="I660" s="131" t="s">
        <v>7027</v>
      </c>
      <c r="J660" s="129"/>
      <c r="K660" s="133"/>
      <c r="L660" s="131"/>
      <c r="M660" s="131"/>
      <c r="N660" s="131"/>
      <c r="O660" s="131"/>
      <c r="P660" s="129"/>
      <c r="Q660" s="131"/>
      <c r="R660" s="131"/>
      <c r="S660" s="131"/>
      <c r="T660" s="129"/>
    </row>
    <row r="661" ht="37.5" customHeight="1">
      <c r="A661" s="129"/>
      <c r="B661" s="130"/>
      <c r="C661" s="130"/>
      <c r="D661" s="129"/>
      <c r="E661" s="131" t="s">
        <v>7027</v>
      </c>
      <c r="F661" s="131" t="s">
        <v>7027</v>
      </c>
      <c r="G661" s="131" t="s">
        <v>7027</v>
      </c>
      <c r="H661" s="131" t="s">
        <v>7027</v>
      </c>
      <c r="I661" s="131" t="s">
        <v>7027</v>
      </c>
      <c r="J661" s="129"/>
      <c r="K661" s="133"/>
      <c r="L661" s="131"/>
      <c r="M661" s="131"/>
      <c r="N661" s="131"/>
      <c r="O661" s="131"/>
      <c r="P661" s="129"/>
      <c r="Q661" s="131"/>
      <c r="R661" s="131"/>
      <c r="S661" s="131"/>
      <c r="T661" s="129"/>
    </row>
    <row r="662" ht="37.5" customHeight="1">
      <c r="A662" s="129"/>
      <c r="B662" s="130"/>
      <c r="C662" s="130"/>
      <c r="D662" s="129"/>
      <c r="E662" s="131" t="s">
        <v>7027</v>
      </c>
      <c r="F662" s="131" t="s">
        <v>7027</v>
      </c>
      <c r="G662" s="131" t="s">
        <v>7027</v>
      </c>
      <c r="H662" s="131" t="s">
        <v>7027</v>
      </c>
      <c r="I662" s="131" t="s">
        <v>7027</v>
      </c>
      <c r="J662" s="129"/>
      <c r="K662" s="133"/>
      <c r="L662" s="131"/>
      <c r="M662" s="131"/>
      <c r="N662" s="131"/>
      <c r="O662" s="131"/>
      <c r="P662" s="129"/>
      <c r="Q662" s="131"/>
      <c r="R662" s="131"/>
      <c r="S662" s="131"/>
      <c r="T662" s="129"/>
    </row>
    <row r="663" ht="37.5" customHeight="1">
      <c r="A663" s="129"/>
      <c r="B663" s="130"/>
      <c r="C663" s="130"/>
      <c r="D663" s="129"/>
      <c r="E663" s="131" t="s">
        <v>7027</v>
      </c>
      <c r="F663" s="131" t="s">
        <v>7027</v>
      </c>
      <c r="G663" s="131" t="s">
        <v>7027</v>
      </c>
      <c r="H663" s="131" t="s">
        <v>7027</v>
      </c>
      <c r="I663" s="131" t="s">
        <v>7027</v>
      </c>
      <c r="J663" s="129"/>
      <c r="K663" s="133"/>
      <c r="L663" s="131"/>
      <c r="M663" s="131"/>
      <c r="N663" s="131"/>
      <c r="O663" s="131"/>
      <c r="P663" s="129"/>
      <c r="Q663" s="131"/>
      <c r="R663" s="131"/>
      <c r="S663" s="131"/>
      <c r="T663" s="129"/>
    </row>
    <row r="664" ht="37.5" customHeight="1">
      <c r="A664" s="129"/>
      <c r="B664" s="130"/>
      <c r="C664" s="130"/>
      <c r="D664" s="129"/>
      <c r="E664" s="131" t="s">
        <v>7027</v>
      </c>
      <c r="F664" s="131" t="s">
        <v>7027</v>
      </c>
      <c r="G664" s="131" t="s">
        <v>7027</v>
      </c>
      <c r="H664" s="131" t="s">
        <v>7027</v>
      </c>
      <c r="I664" s="131" t="s">
        <v>7027</v>
      </c>
      <c r="J664" s="129"/>
      <c r="K664" s="133"/>
      <c r="L664" s="131"/>
      <c r="M664" s="131"/>
      <c r="N664" s="131"/>
      <c r="O664" s="131"/>
      <c r="P664" s="129"/>
      <c r="Q664" s="131"/>
      <c r="R664" s="131"/>
      <c r="S664" s="131"/>
      <c r="T664" s="129"/>
    </row>
    <row r="665" ht="37.5" customHeight="1">
      <c r="A665" s="129"/>
      <c r="B665" s="130"/>
      <c r="C665" s="130"/>
      <c r="D665" s="129"/>
      <c r="E665" s="131" t="s">
        <v>7027</v>
      </c>
      <c r="F665" s="131" t="s">
        <v>7027</v>
      </c>
      <c r="G665" s="131" t="s">
        <v>7027</v>
      </c>
      <c r="H665" s="131" t="s">
        <v>7027</v>
      </c>
      <c r="I665" s="131" t="s">
        <v>7027</v>
      </c>
      <c r="J665" s="129"/>
      <c r="K665" s="133"/>
      <c r="L665" s="131"/>
      <c r="M665" s="131"/>
      <c r="N665" s="131"/>
      <c r="O665" s="131"/>
      <c r="P665" s="129"/>
      <c r="Q665" s="131"/>
      <c r="R665" s="131"/>
      <c r="S665" s="131"/>
      <c r="T665" s="129"/>
    </row>
    <row r="666" ht="37.5" customHeight="1">
      <c r="A666" s="129"/>
      <c r="B666" s="130"/>
      <c r="C666" s="130"/>
      <c r="D666" s="129"/>
      <c r="E666" s="131" t="s">
        <v>7027</v>
      </c>
      <c r="F666" s="131" t="s">
        <v>7027</v>
      </c>
      <c r="G666" s="131" t="s">
        <v>7027</v>
      </c>
      <c r="H666" s="131" t="s">
        <v>7027</v>
      </c>
      <c r="I666" s="131" t="s">
        <v>7027</v>
      </c>
      <c r="J666" s="129"/>
      <c r="K666" s="133"/>
      <c r="L666" s="131"/>
      <c r="M666" s="131"/>
      <c r="N666" s="131"/>
      <c r="O666" s="131"/>
      <c r="P666" s="129"/>
      <c r="Q666" s="131"/>
      <c r="R666" s="131"/>
      <c r="S666" s="131"/>
      <c r="T666" s="129"/>
    </row>
    <row r="667" ht="37.5" customHeight="1">
      <c r="A667" s="129"/>
      <c r="B667" s="130"/>
      <c r="C667" s="130"/>
      <c r="D667" s="129"/>
      <c r="E667" s="131" t="s">
        <v>7027</v>
      </c>
      <c r="F667" s="131" t="s">
        <v>7027</v>
      </c>
      <c r="G667" s="131" t="s">
        <v>7027</v>
      </c>
      <c r="H667" s="131" t="s">
        <v>7027</v>
      </c>
      <c r="I667" s="131" t="s">
        <v>7027</v>
      </c>
      <c r="J667" s="129"/>
      <c r="K667" s="133"/>
      <c r="L667" s="131"/>
      <c r="M667" s="131"/>
      <c r="N667" s="131"/>
      <c r="O667" s="131"/>
      <c r="P667" s="129"/>
      <c r="Q667" s="131"/>
      <c r="R667" s="131"/>
      <c r="S667" s="131"/>
      <c r="T667" s="129"/>
    </row>
    <row r="668" ht="37.5" customHeight="1">
      <c r="A668" s="129"/>
      <c r="B668" s="130"/>
      <c r="C668" s="130"/>
      <c r="D668" s="129"/>
      <c r="E668" s="131" t="s">
        <v>7027</v>
      </c>
      <c r="F668" s="131" t="s">
        <v>7027</v>
      </c>
      <c r="G668" s="131" t="s">
        <v>7027</v>
      </c>
      <c r="H668" s="131" t="s">
        <v>7027</v>
      </c>
      <c r="I668" s="131" t="s">
        <v>7027</v>
      </c>
      <c r="J668" s="129"/>
      <c r="K668" s="133"/>
      <c r="L668" s="131"/>
      <c r="M668" s="131"/>
      <c r="N668" s="131"/>
      <c r="O668" s="131"/>
      <c r="P668" s="129"/>
      <c r="Q668" s="131"/>
      <c r="R668" s="131"/>
      <c r="S668" s="131"/>
      <c r="T668" s="129"/>
    </row>
    <row r="669" ht="37.5" customHeight="1">
      <c r="A669" s="129"/>
      <c r="B669" s="130"/>
      <c r="C669" s="130"/>
      <c r="D669" s="129"/>
      <c r="E669" s="131" t="s">
        <v>7027</v>
      </c>
      <c r="F669" s="131" t="s">
        <v>7027</v>
      </c>
      <c r="G669" s="131" t="s">
        <v>7027</v>
      </c>
      <c r="H669" s="131" t="s">
        <v>7027</v>
      </c>
      <c r="I669" s="131" t="s">
        <v>7027</v>
      </c>
      <c r="J669" s="129"/>
      <c r="K669" s="133"/>
      <c r="L669" s="131"/>
      <c r="M669" s="131"/>
      <c r="N669" s="131"/>
      <c r="O669" s="131"/>
      <c r="P669" s="129"/>
      <c r="Q669" s="131"/>
      <c r="R669" s="131"/>
      <c r="S669" s="131"/>
      <c r="T669" s="129"/>
    </row>
    <row r="670" ht="37.5" customHeight="1">
      <c r="A670" s="129"/>
      <c r="B670" s="130"/>
      <c r="C670" s="130"/>
      <c r="D670" s="129"/>
      <c r="E670" s="131" t="s">
        <v>7027</v>
      </c>
      <c r="F670" s="131" t="s">
        <v>7027</v>
      </c>
      <c r="G670" s="131" t="s">
        <v>7027</v>
      </c>
      <c r="H670" s="131" t="s">
        <v>7027</v>
      </c>
      <c r="I670" s="131" t="s">
        <v>7027</v>
      </c>
      <c r="J670" s="129"/>
      <c r="K670" s="133"/>
      <c r="L670" s="131"/>
      <c r="M670" s="131"/>
      <c r="N670" s="131"/>
      <c r="O670" s="131"/>
      <c r="P670" s="129"/>
      <c r="Q670" s="131"/>
      <c r="R670" s="131"/>
      <c r="S670" s="131"/>
      <c r="T670" s="129"/>
    </row>
    <row r="671" ht="37.5" customHeight="1">
      <c r="A671" s="129"/>
      <c r="B671" s="130"/>
      <c r="C671" s="130"/>
      <c r="D671" s="129"/>
      <c r="E671" s="131" t="s">
        <v>7027</v>
      </c>
      <c r="F671" s="131" t="s">
        <v>7027</v>
      </c>
      <c r="G671" s="131" t="s">
        <v>7027</v>
      </c>
      <c r="H671" s="131" t="s">
        <v>7027</v>
      </c>
      <c r="I671" s="131" t="s">
        <v>7027</v>
      </c>
      <c r="J671" s="129"/>
      <c r="K671" s="133"/>
      <c r="L671" s="131"/>
      <c r="M671" s="131"/>
      <c r="N671" s="131"/>
      <c r="O671" s="131"/>
      <c r="P671" s="129"/>
      <c r="Q671" s="131"/>
      <c r="R671" s="131"/>
      <c r="S671" s="131"/>
      <c r="T671" s="129"/>
    </row>
    <row r="672" ht="37.5" customHeight="1">
      <c r="A672" s="129"/>
      <c r="B672" s="130"/>
      <c r="C672" s="130"/>
      <c r="D672" s="129"/>
      <c r="E672" s="131" t="s">
        <v>7027</v>
      </c>
      <c r="F672" s="131" t="s">
        <v>7027</v>
      </c>
      <c r="G672" s="131" t="s">
        <v>7027</v>
      </c>
      <c r="H672" s="131" t="s">
        <v>7027</v>
      </c>
      <c r="I672" s="131" t="s">
        <v>7027</v>
      </c>
      <c r="J672" s="129"/>
      <c r="K672" s="133"/>
      <c r="L672" s="131"/>
      <c r="M672" s="131"/>
      <c r="N672" s="131"/>
      <c r="O672" s="131"/>
      <c r="P672" s="129"/>
      <c r="Q672" s="131"/>
      <c r="R672" s="131"/>
      <c r="S672" s="131"/>
      <c r="T672" s="129"/>
    </row>
    <row r="673" ht="37.5" customHeight="1">
      <c r="A673" s="129"/>
      <c r="B673" s="130"/>
      <c r="C673" s="130"/>
      <c r="D673" s="129"/>
      <c r="E673" s="131" t="s">
        <v>7027</v>
      </c>
      <c r="F673" s="131" t="s">
        <v>7027</v>
      </c>
      <c r="G673" s="131" t="s">
        <v>7027</v>
      </c>
      <c r="H673" s="131" t="s">
        <v>7027</v>
      </c>
      <c r="I673" s="131" t="s">
        <v>7027</v>
      </c>
      <c r="J673" s="129"/>
      <c r="K673" s="133"/>
      <c r="L673" s="131"/>
      <c r="M673" s="131"/>
      <c r="N673" s="131"/>
      <c r="O673" s="131"/>
      <c r="P673" s="129"/>
      <c r="Q673" s="131"/>
      <c r="R673" s="131"/>
      <c r="S673" s="131"/>
      <c r="T673" s="129"/>
    </row>
    <row r="674" ht="37.5" customHeight="1">
      <c r="A674" s="129"/>
      <c r="B674" s="130"/>
      <c r="C674" s="130"/>
      <c r="D674" s="129"/>
      <c r="E674" s="131" t="s">
        <v>7027</v>
      </c>
      <c r="F674" s="131" t="s">
        <v>7027</v>
      </c>
      <c r="G674" s="131" t="s">
        <v>7027</v>
      </c>
      <c r="H674" s="131" t="s">
        <v>7027</v>
      </c>
      <c r="I674" s="131" t="s">
        <v>7027</v>
      </c>
      <c r="J674" s="129"/>
      <c r="K674" s="133"/>
      <c r="L674" s="131"/>
      <c r="M674" s="131"/>
      <c r="N674" s="131"/>
      <c r="O674" s="131"/>
      <c r="P674" s="129"/>
      <c r="Q674" s="131"/>
      <c r="R674" s="131"/>
      <c r="S674" s="131"/>
      <c r="T674" s="129"/>
    </row>
    <row r="675" ht="37.5" customHeight="1">
      <c r="A675" s="129"/>
      <c r="B675" s="130"/>
      <c r="C675" s="130"/>
      <c r="D675" s="129"/>
      <c r="E675" s="131" t="s">
        <v>7027</v>
      </c>
      <c r="F675" s="131" t="s">
        <v>7027</v>
      </c>
      <c r="G675" s="131" t="s">
        <v>7027</v>
      </c>
      <c r="H675" s="131" t="s">
        <v>7027</v>
      </c>
      <c r="I675" s="131" t="s">
        <v>7027</v>
      </c>
      <c r="J675" s="129"/>
      <c r="K675" s="133"/>
      <c r="L675" s="131"/>
      <c r="M675" s="131"/>
      <c r="N675" s="131"/>
      <c r="O675" s="131"/>
      <c r="P675" s="129"/>
      <c r="Q675" s="131"/>
      <c r="R675" s="131"/>
      <c r="S675" s="131"/>
      <c r="T675" s="129"/>
    </row>
    <row r="676" ht="37.5" customHeight="1">
      <c r="A676" s="129"/>
      <c r="B676" s="130"/>
      <c r="C676" s="130"/>
      <c r="D676" s="129"/>
      <c r="E676" s="131" t="s">
        <v>7027</v>
      </c>
      <c r="F676" s="131" t="s">
        <v>7027</v>
      </c>
      <c r="G676" s="131" t="s">
        <v>7027</v>
      </c>
      <c r="H676" s="131" t="s">
        <v>7027</v>
      </c>
      <c r="I676" s="131" t="s">
        <v>7027</v>
      </c>
      <c r="J676" s="129"/>
      <c r="K676" s="133"/>
      <c r="L676" s="131"/>
      <c r="M676" s="131"/>
      <c r="N676" s="131"/>
      <c r="O676" s="131"/>
      <c r="P676" s="129"/>
      <c r="Q676" s="131"/>
      <c r="R676" s="131"/>
      <c r="S676" s="131"/>
      <c r="T676" s="129"/>
    </row>
    <row r="677" ht="37.5" customHeight="1">
      <c r="A677" s="129"/>
      <c r="B677" s="130"/>
      <c r="C677" s="130"/>
      <c r="D677" s="129"/>
      <c r="E677" s="131" t="s">
        <v>7027</v>
      </c>
      <c r="F677" s="131" t="s">
        <v>7027</v>
      </c>
      <c r="G677" s="131" t="s">
        <v>7027</v>
      </c>
      <c r="H677" s="131" t="s">
        <v>7027</v>
      </c>
      <c r="I677" s="131" t="s">
        <v>7027</v>
      </c>
      <c r="J677" s="129"/>
      <c r="K677" s="133"/>
      <c r="L677" s="131"/>
      <c r="M677" s="131"/>
      <c r="N677" s="131"/>
      <c r="O677" s="131"/>
      <c r="P677" s="129"/>
      <c r="Q677" s="131"/>
      <c r="R677" s="131"/>
      <c r="S677" s="131"/>
      <c r="T677" s="129"/>
    </row>
    <row r="678" ht="37.5" customHeight="1">
      <c r="A678" s="129"/>
      <c r="B678" s="130"/>
      <c r="C678" s="130"/>
      <c r="D678" s="129"/>
      <c r="E678" s="131" t="s">
        <v>7027</v>
      </c>
      <c r="F678" s="131" t="s">
        <v>7027</v>
      </c>
      <c r="G678" s="131" t="s">
        <v>7027</v>
      </c>
      <c r="H678" s="131" t="s">
        <v>7027</v>
      </c>
      <c r="I678" s="131" t="s">
        <v>7027</v>
      </c>
      <c r="J678" s="129"/>
      <c r="K678" s="133"/>
      <c r="L678" s="131"/>
      <c r="M678" s="131"/>
      <c r="N678" s="131"/>
      <c r="O678" s="131"/>
      <c r="P678" s="129"/>
      <c r="Q678" s="131"/>
      <c r="R678" s="131"/>
      <c r="S678" s="131"/>
      <c r="T678" s="129"/>
    </row>
    <row r="679" ht="37.5" customHeight="1">
      <c r="A679" s="129"/>
      <c r="B679" s="130"/>
      <c r="C679" s="130"/>
      <c r="D679" s="129"/>
      <c r="E679" s="131" t="s">
        <v>7027</v>
      </c>
      <c r="F679" s="131" t="s">
        <v>7027</v>
      </c>
      <c r="G679" s="131" t="s">
        <v>7027</v>
      </c>
      <c r="H679" s="131" t="s">
        <v>7027</v>
      </c>
      <c r="I679" s="131" t="s">
        <v>7027</v>
      </c>
      <c r="J679" s="129"/>
      <c r="K679" s="133"/>
      <c r="L679" s="131"/>
      <c r="M679" s="131"/>
      <c r="N679" s="131"/>
      <c r="O679" s="131"/>
      <c r="P679" s="129"/>
      <c r="Q679" s="131"/>
      <c r="R679" s="131"/>
      <c r="S679" s="131"/>
      <c r="T679" s="129"/>
    </row>
    <row r="680" ht="37.5" customHeight="1">
      <c r="A680" s="129"/>
      <c r="B680" s="130"/>
      <c r="C680" s="130"/>
      <c r="D680" s="129"/>
      <c r="E680" s="131" t="s">
        <v>7027</v>
      </c>
      <c r="F680" s="131" t="s">
        <v>7027</v>
      </c>
      <c r="G680" s="131" t="s">
        <v>7027</v>
      </c>
      <c r="H680" s="131" t="s">
        <v>7027</v>
      </c>
      <c r="I680" s="131" t="s">
        <v>7027</v>
      </c>
      <c r="J680" s="129"/>
      <c r="K680" s="133"/>
      <c r="L680" s="131"/>
      <c r="M680" s="131"/>
      <c r="N680" s="131"/>
      <c r="O680" s="131"/>
      <c r="P680" s="129"/>
      <c r="Q680" s="131"/>
      <c r="R680" s="131"/>
      <c r="S680" s="131"/>
      <c r="T680" s="129"/>
    </row>
    <row r="681" ht="37.5" customHeight="1">
      <c r="A681" s="129"/>
      <c r="B681" s="130"/>
      <c r="C681" s="130"/>
      <c r="D681" s="129"/>
      <c r="E681" s="131" t="s">
        <v>7027</v>
      </c>
      <c r="F681" s="131" t="s">
        <v>7027</v>
      </c>
      <c r="G681" s="131" t="s">
        <v>7027</v>
      </c>
      <c r="H681" s="131" t="s">
        <v>7027</v>
      </c>
      <c r="I681" s="131" t="s">
        <v>7027</v>
      </c>
      <c r="J681" s="129"/>
      <c r="K681" s="133"/>
      <c r="L681" s="131"/>
      <c r="M681" s="131"/>
      <c r="N681" s="131"/>
      <c r="O681" s="131"/>
      <c r="P681" s="129"/>
      <c r="Q681" s="131"/>
      <c r="R681" s="131"/>
      <c r="S681" s="131"/>
      <c r="T681" s="129"/>
    </row>
    <row r="682" ht="37.5" customHeight="1">
      <c r="A682" s="129"/>
      <c r="B682" s="130"/>
      <c r="C682" s="130"/>
      <c r="D682" s="129"/>
      <c r="E682" s="131" t="s">
        <v>7027</v>
      </c>
      <c r="F682" s="131" t="s">
        <v>7027</v>
      </c>
      <c r="G682" s="131" t="s">
        <v>7027</v>
      </c>
      <c r="H682" s="131" t="s">
        <v>7027</v>
      </c>
      <c r="I682" s="131" t="s">
        <v>7027</v>
      </c>
      <c r="J682" s="129"/>
      <c r="K682" s="133"/>
      <c r="L682" s="131"/>
      <c r="M682" s="131"/>
      <c r="N682" s="131"/>
      <c r="O682" s="131"/>
      <c r="P682" s="129"/>
      <c r="Q682" s="131"/>
      <c r="R682" s="131"/>
      <c r="S682" s="131"/>
      <c r="T682" s="129"/>
    </row>
    <row r="683" ht="37.5" customHeight="1">
      <c r="A683" s="129"/>
      <c r="B683" s="130"/>
      <c r="C683" s="130"/>
      <c r="D683" s="129"/>
      <c r="E683" s="131" t="s">
        <v>7027</v>
      </c>
      <c r="F683" s="131" t="s">
        <v>7027</v>
      </c>
      <c r="G683" s="131" t="s">
        <v>7027</v>
      </c>
      <c r="H683" s="131" t="s">
        <v>7027</v>
      </c>
      <c r="I683" s="131" t="s">
        <v>7027</v>
      </c>
      <c r="J683" s="129"/>
      <c r="K683" s="133"/>
      <c r="L683" s="131"/>
      <c r="M683" s="131"/>
      <c r="N683" s="131"/>
      <c r="O683" s="131"/>
      <c r="P683" s="129"/>
      <c r="Q683" s="131"/>
      <c r="R683" s="131"/>
      <c r="S683" s="131"/>
      <c r="T683" s="129"/>
    </row>
    <row r="684" ht="37.5" customHeight="1">
      <c r="A684" s="129"/>
      <c r="B684" s="130"/>
      <c r="C684" s="130"/>
      <c r="D684" s="129"/>
      <c r="E684" s="131" t="s">
        <v>7027</v>
      </c>
      <c r="F684" s="131" t="s">
        <v>7027</v>
      </c>
      <c r="G684" s="131" t="s">
        <v>7027</v>
      </c>
      <c r="H684" s="131" t="s">
        <v>7027</v>
      </c>
      <c r="I684" s="131" t="s">
        <v>7027</v>
      </c>
      <c r="J684" s="129"/>
      <c r="K684" s="133"/>
      <c r="L684" s="131"/>
      <c r="M684" s="131"/>
      <c r="N684" s="131"/>
      <c r="O684" s="131"/>
      <c r="P684" s="129"/>
      <c r="Q684" s="131"/>
      <c r="R684" s="131"/>
      <c r="S684" s="131"/>
      <c r="T684" s="129"/>
    </row>
    <row r="685" ht="37.5" customHeight="1">
      <c r="A685" s="129"/>
      <c r="B685" s="130"/>
      <c r="C685" s="130"/>
      <c r="D685" s="129"/>
      <c r="E685" s="131" t="s">
        <v>7027</v>
      </c>
      <c r="F685" s="131" t="s">
        <v>7027</v>
      </c>
      <c r="G685" s="131" t="s">
        <v>7027</v>
      </c>
      <c r="H685" s="131" t="s">
        <v>7027</v>
      </c>
      <c r="I685" s="131" t="s">
        <v>7027</v>
      </c>
      <c r="J685" s="129"/>
      <c r="K685" s="133"/>
      <c r="L685" s="131"/>
      <c r="M685" s="131"/>
      <c r="N685" s="131"/>
      <c r="O685" s="131"/>
      <c r="P685" s="129"/>
      <c r="Q685" s="131"/>
      <c r="R685" s="131"/>
      <c r="S685" s="131"/>
      <c r="T685" s="129"/>
    </row>
    <row r="686" ht="37.5" customHeight="1">
      <c r="A686" s="129"/>
      <c r="B686" s="130"/>
      <c r="C686" s="130"/>
      <c r="D686" s="129"/>
      <c r="E686" s="131" t="s">
        <v>7027</v>
      </c>
      <c r="F686" s="131" t="s">
        <v>7027</v>
      </c>
      <c r="G686" s="131" t="s">
        <v>7027</v>
      </c>
      <c r="H686" s="131" t="s">
        <v>7027</v>
      </c>
      <c r="I686" s="131" t="s">
        <v>7027</v>
      </c>
      <c r="J686" s="129"/>
      <c r="K686" s="133"/>
      <c r="L686" s="131"/>
      <c r="M686" s="131"/>
      <c r="N686" s="131"/>
      <c r="O686" s="131"/>
      <c r="P686" s="129"/>
      <c r="Q686" s="131"/>
      <c r="R686" s="131"/>
      <c r="S686" s="131"/>
      <c r="T686" s="129"/>
    </row>
    <row r="687" ht="37.5" customHeight="1">
      <c r="A687" s="129"/>
      <c r="B687" s="130"/>
      <c r="C687" s="130"/>
      <c r="D687" s="129"/>
      <c r="E687" s="131" t="s">
        <v>7027</v>
      </c>
      <c r="F687" s="131" t="s">
        <v>7027</v>
      </c>
      <c r="G687" s="131" t="s">
        <v>7027</v>
      </c>
      <c r="H687" s="131" t="s">
        <v>7027</v>
      </c>
      <c r="I687" s="131" t="s">
        <v>7027</v>
      </c>
      <c r="J687" s="129"/>
      <c r="K687" s="133"/>
      <c r="L687" s="131"/>
      <c r="M687" s="131"/>
      <c r="N687" s="131"/>
      <c r="O687" s="131"/>
      <c r="P687" s="129"/>
      <c r="Q687" s="131"/>
      <c r="R687" s="131"/>
      <c r="S687" s="131"/>
      <c r="T687" s="129"/>
    </row>
    <row r="688" ht="37.5" customHeight="1">
      <c r="A688" s="129"/>
      <c r="B688" s="130"/>
      <c r="C688" s="130"/>
      <c r="D688" s="129"/>
      <c r="E688" s="131" t="s">
        <v>7027</v>
      </c>
      <c r="F688" s="131" t="s">
        <v>7027</v>
      </c>
      <c r="G688" s="131" t="s">
        <v>7027</v>
      </c>
      <c r="H688" s="131" t="s">
        <v>7027</v>
      </c>
      <c r="I688" s="131" t="s">
        <v>7027</v>
      </c>
      <c r="J688" s="129"/>
      <c r="K688" s="133"/>
      <c r="L688" s="131"/>
      <c r="M688" s="131"/>
      <c r="N688" s="131"/>
      <c r="O688" s="131"/>
      <c r="P688" s="129"/>
      <c r="Q688" s="131"/>
      <c r="R688" s="131"/>
      <c r="S688" s="131"/>
      <c r="T688" s="129"/>
    </row>
    <row r="689" ht="37.5" customHeight="1">
      <c r="A689" s="129"/>
      <c r="B689" s="130"/>
      <c r="C689" s="130"/>
      <c r="D689" s="129"/>
      <c r="E689" s="131" t="s">
        <v>7027</v>
      </c>
      <c r="F689" s="131" t="s">
        <v>7027</v>
      </c>
      <c r="G689" s="131" t="s">
        <v>7027</v>
      </c>
      <c r="H689" s="131" t="s">
        <v>7027</v>
      </c>
      <c r="I689" s="131" t="s">
        <v>7027</v>
      </c>
      <c r="J689" s="129"/>
      <c r="K689" s="133"/>
      <c r="L689" s="131"/>
      <c r="M689" s="131"/>
      <c r="N689" s="131"/>
      <c r="O689" s="131"/>
      <c r="P689" s="129"/>
      <c r="Q689" s="131"/>
      <c r="R689" s="131"/>
      <c r="S689" s="131"/>
      <c r="T689" s="129"/>
    </row>
    <row r="690" ht="37.5" customHeight="1">
      <c r="A690" s="129"/>
      <c r="B690" s="130"/>
      <c r="C690" s="130"/>
      <c r="D690" s="129"/>
      <c r="E690" s="131" t="s">
        <v>7027</v>
      </c>
      <c r="F690" s="131" t="s">
        <v>7027</v>
      </c>
      <c r="G690" s="131" t="s">
        <v>7027</v>
      </c>
      <c r="H690" s="131" t="s">
        <v>7027</v>
      </c>
      <c r="I690" s="131" t="s">
        <v>7027</v>
      </c>
      <c r="J690" s="129"/>
      <c r="K690" s="133"/>
      <c r="L690" s="131"/>
      <c r="M690" s="131"/>
      <c r="N690" s="131"/>
      <c r="O690" s="131"/>
      <c r="P690" s="129"/>
      <c r="Q690" s="131"/>
      <c r="R690" s="131"/>
      <c r="S690" s="131"/>
      <c r="T690" s="129"/>
    </row>
    <row r="691" ht="37.5" customHeight="1">
      <c r="A691" s="129"/>
      <c r="B691" s="130"/>
      <c r="C691" s="130"/>
      <c r="D691" s="129"/>
      <c r="E691" s="131" t="s">
        <v>7027</v>
      </c>
      <c r="F691" s="131" t="s">
        <v>7027</v>
      </c>
      <c r="G691" s="131" t="s">
        <v>7027</v>
      </c>
      <c r="H691" s="131" t="s">
        <v>7027</v>
      </c>
      <c r="I691" s="131" t="s">
        <v>7027</v>
      </c>
      <c r="J691" s="129"/>
      <c r="K691" s="133"/>
      <c r="L691" s="131"/>
      <c r="M691" s="131"/>
      <c r="N691" s="131"/>
      <c r="O691" s="131"/>
      <c r="P691" s="129"/>
      <c r="Q691" s="131"/>
      <c r="R691" s="131"/>
      <c r="S691" s="131"/>
      <c r="T691" s="129"/>
    </row>
    <row r="692" ht="37.5" customHeight="1">
      <c r="A692" s="129"/>
      <c r="B692" s="130"/>
      <c r="C692" s="130"/>
      <c r="D692" s="129"/>
      <c r="E692" s="131" t="s">
        <v>7027</v>
      </c>
      <c r="F692" s="131" t="s">
        <v>7027</v>
      </c>
      <c r="G692" s="131" t="s">
        <v>7027</v>
      </c>
      <c r="H692" s="131" t="s">
        <v>7027</v>
      </c>
      <c r="I692" s="131" t="s">
        <v>7027</v>
      </c>
      <c r="J692" s="129"/>
      <c r="K692" s="133"/>
      <c r="L692" s="131"/>
      <c r="M692" s="131"/>
      <c r="N692" s="131"/>
      <c r="O692" s="131"/>
      <c r="P692" s="129"/>
      <c r="Q692" s="131"/>
      <c r="R692" s="131"/>
      <c r="S692" s="131"/>
      <c r="T692" s="129"/>
    </row>
    <row r="693" ht="37.5" customHeight="1">
      <c r="A693" s="129"/>
      <c r="B693" s="130"/>
      <c r="C693" s="130"/>
      <c r="D693" s="129"/>
      <c r="E693" s="131" t="s">
        <v>7027</v>
      </c>
      <c r="F693" s="131" t="s">
        <v>7027</v>
      </c>
      <c r="G693" s="131" t="s">
        <v>7027</v>
      </c>
      <c r="H693" s="131" t="s">
        <v>7027</v>
      </c>
      <c r="I693" s="131" t="s">
        <v>7027</v>
      </c>
      <c r="J693" s="129"/>
      <c r="K693" s="133"/>
      <c r="L693" s="131"/>
      <c r="M693" s="131"/>
      <c r="N693" s="131"/>
      <c r="O693" s="131"/>
      <c r="P693" s="129"/>
      <c r="Q693" s="131"/>
      <c r="R693" s="131"/>
      <c r="S693" s="131"/>
      <c r="T693" s="129"/>
    </row>
    <row r="694" ht="37.5" customHeight="1">
      <c r="A694" s="129"/>
      <c r="B694" s="130"/>
      <c r="C694" s="130"/>
      <c r="D694" s="129"/>
      <c r="E694" s="131" t="s">
        <v>7027</v>
      </c>
      <c r="F694" s="131" t="s">
        <v>7027</v>
      </c>
      <c r="G694" s="131" t="s">
        <v>7027</v>
      </c>
      <c r="H694" s="131" t="s">
        <v>7027</v>
      </c>
      <c r="I694" s="131" t="s">
        <v>7027</v>
      </c>
      <c r="J694" s="129"/>
      <c r="K694" s="133"/>
      <c r="L694" s="131"/>
      <c r="M694" s="131"/>
      <c r="N694" s="131"/>
      <c r="O694" s="131"/>
      <c r="P694" s="129"/>
      <c r="Q694" s="131"/>
      <c r="R694" s="131"/>
      <c r="S694" s="131"/>
      <c r="T694" s="129"/>
    </row>
    <row r="695" ht="37.5" customHeight="1">
      <c r="A695" s="129"/>
      <c r="B695" s="130"/>
      <c r="C695" s="130"/>
      <c r="D695" s="129"/>
      <c r="E695" s="131" t="s">
        <v>7027</v>
      </c>
      <c r="F695" s="131" t="s">
        <v>7027</v>
      </c>
      <c r="G695" s="131" t="s">
        <v>7027</v>
      </c>
      <c r="H695" s="131" t="s">
        <v>7027</v>
      </c>
      <c r="I695" s="131" t="s">
        <v>7027</v>
      </c>
      <c r="J695" s="129"/>
      <c r="K695" s="133"/>
      <c r="L695" s="131"/>
      <c r="M695" s="131"/>
      <c r="N695" s="131"/>
      <c r="O695" s="131"/>
      <c r="P695" s="129"/>
      <c r="Q695" s="131"/>
      <c r="R695" s="131"/>
      <c r="S695" s="131"/>
      <c r="T695" s="129"/>
    </row>
    <row r="696" ht="37.5" customHeight="1">
      <c r="A696" s="129"/>
      <c r="B696" s="130"/>
      <c r="C696" s="130"/>
      <c r="D696" s="129"/>
      <c r="E696" s="131" t="s">
        <v>7027</v>
      </c>
      <c r="F696" s="131" t="s">
        <v>7027</v>
      </c>
      <c r="G696" s="131" t="s">
        <v>7027</v>
      </c>
      <c r="H696" s="131" t="s">
        <v>7027</v>
      </c>
      <c r="I696" s="131" t="s">
        <v>7027</v>
      </c>
      <c r="J696" s="129"/>
      <c r="K696" s="133"/>
      <c r="L696" s="131"/>
      <c r="M696" s="131"/>
      <c r="N696" s="131"/>
      <c r="O696" s="131"/>
      <c r="P696" s="129"/>
      <c r="Q696" s="131"/>
      <c r="R696" s="131"/>
      <c r="S696" s="131"/>
      <c r="T696" s="129"/>
    </row>
    <row r="697" ht="37.5" customHeight="1">
      <c r="A697" s="129"/>
      <c r="B697" s="130"/>
      <c r="C697" s="130"/>
      <c r="D697" s="129"/>
      <c r="E697" s="131" t="s">
        <v>7027</v>
      </c>
      <c r="F697" s="131" t="s">
        <v>7027</v>
      </c>
      <c r="G697" s="131" t="s">
        <v>7027</v>
      </c>
      <c r="H697" s="131" t="s">
        <v>7027</v>
      </c>
      <c r="I697" s="131" t="s">
        <v>7027</v>
      </c>
      <c r="J697" s="129"/>
      <c r="K697" s="133"/>
      <c r="L697" s="131"/>
      <c r="M697" s="131"/>
      <c r="N697" s="131"/>
      <c r="O697" s="131"/>
      <c r="P697" s="129"/>
      <c r="Q697" s="131"/>
      <c r="R697" s="131"/>
      <c r="S697" s="131"/>
      <c r="T697" s="129"/>
    </row>
    <row r="698" ht="37.5" customHeight="1">
      <c r="A698" s="129"/>
      <c r="B698" s="130"/>
      <c r="C698" s="130"/>
      <c r="D698" s="129"/>
      <c r="E698" s="131" t="s">
        <v>7027</v>
      </c>
      <c r="F698" s="131" t="s">
        <v>7027</v>
      </c>
      <c r="G698" s="131" t="s">
        <v>7027</v>
      </c>
      <c r="H698" s="131" t="s">
        <v>7027</v>
      </c>
      <c r="I698" s="131" t="s">
        <v>7027</v>
      </c>
      <c r="J698" s="129"/>
      <c r="K698" s="133"/>
      <c r="L698" s="131"/>
      <c r="M698" s="131"/>
      <c r="N698" s="131"/>
      <c r="O698" s="131"/>
      <c r="P698" s="129"/>
      <c r="Q698" s="131"/>
      <c r="R698" s="131"/>
      <c r="S698" s="131"/>
      <c r="T698" s="129"/>
    </row>
    <row r="699" ht="37.5" customHeight="1">
      <c r="A699" s="129"/>
      <c r="B699" s="130"/>
      <c r="C699" s="130"/>
      <c r="D699" s="129"/>
      <c r="E699" s="131" t="s">
        <v>7027</v>
      </c>
      <c r="F699" s="131" t="s">
        <v>7027</v>
      </c>
      <c r="G699" s="131" t="s">
        <v>7027</v>
      </c>
      <c r="H699" s="131" t="s">
        <v>7027</v>
      </c>
      <c r="I699" s="131" t="s">
        <v>7027</v>
      </c>
      <c r="J699" s="129"/>
      <c r="K699" s="133"/>
      <c r="L699" s="131"/>
      <c r="M699" s="131"/>
      <c r="N699" s="131"/>
      <c r="O699" s="131"/>
      <c r="P699" s="129"/>
      <c r="Q699" s="131"/>
      <c r="R699" s="131"/>
      <c r="S699" s="131"/>
      <c r="T699" s="129"/>
    </row>
    <row r="700" ht="37.5" customHeight="1">
      <c r="A700" s="129"/>
      <c r="B700" s="130"/>
      <c r="C700" s="130"/>
      <c r="D700" s="129"/>
      <c r="E700" s="131" t="s">
        <v>7027</v>
      </c>
      <c r="F700" s="131" t="s">
        <v>7027</v>
      </c>
      <c r="G700" s="131" t="s">
        <v>7027</v>
      </c>
      <c r="H700" s="131" t="s">
        <v>7027</v>
      </c>
      <c r="I700" s="131" t="s">
        <v>7027</v>
      </c>
      <c r="J700" s="129"/>
      <c r="K700" s="133"/>
      <c r="L700" s="131"/>
      <c r="M700" s="131"/>
      <c r="N700" s="131"/>
      <c r="O700" s="131"/>
      <c r="P700" s="129"/>
      <c r="Q700" s="131"/>
      <c r="R700" s="131"/>
      <c r="S700" s="131"/>
      <c r="T700" s="129"/>
    </row>
    <row r="701" ht="37.5" customHeight="1">
      <c r="A701" s="129"/>
      <c r="B701" s="130"/>
      <c r="C701" s="130"/>
      <c r="D701" s="129"/>
      <c r="E701" s="131" t="s">
        <v>7027</v>
      </c>
      <c r="F701" s="131" t="s">
        <v>7027</v>
      </c>
      <c r="G701" s="131" t="s">
        <v>7027</v>
      </c>
      <c r="H701" s="131" t="s">
        <v>7027</v>
      </c>
      <c r="I701" s="131" t="s">
        <v>7027</v>
      </c>
      <c r="J701" s="129"/>
      <c r="K701" s="133"/>
      <c r="L701" s="131"/>
      <c r="M701" s="131"/>
      <c r="N701" s="131"/>
      <c r="O701" s="131"/>
      <c r="P701" s="129"/>
      <c r="Q701" s="131"/>
      <c r="R701" s="131"/>
      <c r="S701" s="131"/>
      <c r="T701" s="129"/>
    </row>
    <row r="702" ht="37.5" customHeight="1">
      <c r="A702" s="129"/>
      <c r="B702" s="130"/>
      <c r="C702" s="130"/>
      <c r="D702" s="129"/>
      <c r="E702" s="131" t="s">
        <v>7027</v>
      </c>
      <c r="F702" s="131" t="s">
        <v>7027</v>
      </c>
      <c r="G702" s="131" t="s">
        <v>7027</v>
      </c>
      <c r="H702" s="131" t="s">
        <v>7027</v>
      </c>
      <c r="I702" s="131" t="s">
        <v>7027</v>
      </c>
      <c r="J702" s="129"/>
      <c r="K702" s="133"/>
      <c r="L702" s="131"/>
      <c r="M702" s="131"/>
      <c r="N702" s="131"/>
      <c r="O702" s="131"/>
      <c r="P702" s="129"/>
      <c r="Q702" s="131"/>
      <c r="R702" s="131"/>
      <c r="S702" s="131"/>
      <c r="T702" s="129"/>
    </row>
    <row r="703" ht="37.5" customHeight="1">
      <c r="A703" s="129"/>
      <c r="B703" s="130"/>
      <c r="C703" s="130"/>
      <c r="D703" s="129"/>
      <c r="E703" s="131" t="s">
        <v>7027</v>
      </c>
      <c r="F703" s="131" t="s">
        <v>7027</v>
      </c>
      <c r="G703" s="131" t="s">
        <v>7027</v>
      </c>
      <c r="H703" s="131" t="s">
        <v>7027</v>
      </c>
      <c r="I703" s="131" t="s">
        <v>7027</v>
      </c>
      <c r="J703" s="129"/>
      <c r="K703" s="133"/>
      <c r="L703" s="131"/>
      <c r="M703" s="131"/>
      <c r="N703" s="131"/>
      <c r="O703" s="131"/>
      <c r="P703" s="129"/>
      <c r="Q703" s="131"/>
      <c r="R703" s="131"/>
      <c r="S703" s="131"/>
      <c r="T703" s="129"/>
    </row>
    <row r="704" ht="37.5" customHeight="1">
      <c r="A704" s="129"/>
      <c r="B704" s="130"/>
      <c r="C704" s="130"/>
      <c r="D704" s="129"/>
      <c r="E704" s="131" t="s">
        <v>7027</v>
      </c>
      <c r="F704" s="131" t="s">
        <v>7027</v>
      </c>
      <c r="G704" s="131" t="s">
        <v>7027</v>
      </c>
      <c r="H704" s="131" t="s">
        <v>7027</v>
      </c>
      <c r="I704" s="131" t="s">
        <v>7027</v>
      </c>
      <c r="J704" s="129"/>
      <c r="K704" s="133"/>
      <c r="L704" s="131"/>
      <c r="M704" s="131"/>
      <c r="N704" s="131"/>
      <c r="O704" s="131"/>
      <c r="P704" s="129"/>
      <c r="Q704" s="131"/>
      <c r="R704" s="131"/>
      <c r="S704" s="131"/>
      <c r="T704" s="129"/>
    </row>
    <row r="705" ht="37.5" customHeight="1">
      <c r="A705" s="129"/>
      <c r="B705" s="130"/>
      <c r="C705" s="130"/>
      <c r="D705" s="129"/>
      <c r="E705" s="131" t="s">
        <v>7027</v>
      </c>
      <c r="F705" s="131" t="s">
        <v>7027</v>
      </c>
      <c r="G705" s="131" t="s">
        <v>7027</v>
      </c>
      <c r="H705" s="131" t="s">
        <v>7027</v>
      </c>
      <c r="I705" s="131" t="s">
        <v>7027</v>
      </c>
      <c r="J705" s="129"/>
      <c r="K705" s="133"/>
      <c r="L705" s="131"/>
      <c r="M705" s="131"/>
      <c r="N705" s="131"/>
      <c r="O705" s="131"/>
      <c r="P705" s="129"/>
      <c r="Q705" s="131"/>
      <c r="R705" s="131"/>
      <c r="S705" s="131"/>
      <c r="T705" s="129"/>
    </row>
    <row r="706" ht="37.5" customHeight="1">
      <c r="A706" s="129"/>
      <c r="B706" s="130"/>
      <c r="C706" s="130"/>
      <c r="D706" s="129"/>
      <c r="E706" s="131" t="s">
        <v>7027</v>
      </c>
      <c r="F706" s="131" t="s">
        <v>7027</v>
      </c>
      <c r="G706" s="131" t="s">
        <v>7027</v>
      </c>
      <c r="H706" s="131" t="s">
        <v>7027</v>
      </c>
      <c r="I706" s="131" t="s">
        <v>7027</v>
      </c>
      <c r="J706" s="129"/>
      <c r="K706" s="133"/>
      <c r="L706" s="131"/>
      <c r="M706" s="131"/>
      <c r="N706" s="131"/>
      <c r="O706" s="131"/>
      <c r="P706" s="129"/>
      <c r="Q706" s="131"/>
      <c r="R706" s="131"/>
      <c r="S706" s="131"/>
      <c r="T706" s="129"/>
    </row>
    <row r="707" ht="37.5" customHeight="1">
      <c r="A707" s="129"/>
      <c r="B707" s="130"/>
      <c r="C707" s="130"/>
      <c r="D707" s="129"/>
      <c r="E707" s="131" t="s">
        <v>7027</v>
      </c>
      <c r="F707" s="131" t="s">
        <v>7027</v>
      </c>
      <c r="G707" s="131" t="s">
        <v>7027</v>
      </c>
      <c r="H707" s="131" t="s">
        <v>7027</v>
      </c>
      <c r="I707" s="131" t="s">
        <v>7027</v>
      </c>
      <c r="J707" s="129"/>
      <c r="K707" s="133"/>
      <c r="L707" s="131"/>
      <c r="M707" s="131"/>
      <c r="N707" s="131"/>
      <c r="O707" s="131"/>
      <c r="P707" s="129"/>
      <c r="Q707" s="131"/>
      <c r="R707" s="131"/>
      <c r="S707" s="131"/>
      <c r="T707" s="129"/>
    </row>
    <row r="708" ht="37.5" customHeight="1">
      <c r="A708" s="129"/>
      <c r="B708" s="130"/>
      <c r="C708" s="130"/>
      <c r="D708" s="129"/>
      <c r="E708" s="131" t="s">
        <v>7027</v>
      </c>
      <c r="F708" s="131" t="s">
        <v>7027</v>
      </c>
      <c r="G708" s="131" t="s">
        <v>7027</v>
      </c>
      <c r="H708" s="131" t="s">
        <v>7027</v>
      </c>
      <c r="I708" s="131" t="s">
        <v>7027</v>
      </c>
      <c r="J708" s="129"/>
      <c r="K708" s="133"/>
      <c r="L708" s="131"/>
      <c r="M708" s="131"/>
      <c r="N708" s="131"/>
      <c r="O708" s="131"/>
      <c r="P708" s="129"/>
      <c r="Q708" s="131"/>
      <c r="R708" s="131"/>
      <c r="S708" s="131"/>
      <c r="T708" s="129"/>
    </row>
    <row r="709" ht="37.5" customHeight="1">
      <c r="A709" s="129"/>
      <c r="B709" s="130"/>
      <c r="C709" s="130"/>
      <c r="D709" s="129"/>
      <c r="E709" s="131" t="s">
        <v>7027</v>
      </c>
      <c r="F709" s="131" t="s">
        <v>7027</v>
      </c>
      <c r="G709" s="131" t="s">
        <v>7027</v>
      </c>
      <c r="H709" s="131" t="s">
        <v>7027</v>
      </c>
      <c r="I709" s="131" t="s">
        <v>7027</v>
      </c>
      <c r="J709" s="129"/>
      <c r="K709" s="133"/>
      <c r="L709" s="131"/>
      <c r="M709" s="131"/>
      <c r="N709" s="131"/>
      <c r="O709" s="131"/>
      <c r="P709" s="129"/>
      <c r="Q709" s="131"/>
      <c r="R709" s="131"/>
      <c r="S709" s="131"/>
      <c r="T709" s="129"/>
    </row>
    <row r="710" ht="37.5" customHeight="1">
      <c r="A710" s="129"/>
      <c r="B710" s="130"/>
      <c r="C710" s="130"/>
      <c r="D710" s="129"/>
      <c r="E710" s="131" t="s">
        <v>7027</v>
      </c>
      <c r="F710" s="131" t="s">
        <v>7027</v>
      </c>
      <c r="G710" s="131" t="s">
        <v>7027</v>
      </c>
      <c r="H710" s="131" t="s">
        <v>7027</v>
      </c>
      <c r="I710" s="131" t="s">
        <v>7027</v>
      </c>
      <c r="J710" s="129"/>
      <c r="K710" s="133"/>
      <c r="L710" s="131"/>
      <c r="M710" s="131"/>
      <c r="N710" s="131"/>
      <c r="O710" s="131"/>
      <c r="P710" s="129"/>
      <c r="Q710" s="131"/>
      <c r="R710" s="131"/>
      <c r="S710" s="131"/>
      <c r="T710" s="129"/>
    </row>
    <row r="711" ht="37.5" customHeight="1">
      <c r="A711" s="129"/>
      <c r="B711" s="130"/>
      <c r="C711" s="130"/>
      <c r="D711" s="129"/>
      <c r="E711" s="131" t="s">
        <v>7027</v>
      </c>
      <c r="F711" s="131" t="s">
        <v>7027</v>
      </c>
      <c r="G711" s="131" t="s">
        <v>7027</v>
      </c>
      <c r="H711" s="131" t="s">
        <v>7027</v>
      </c>
      <c r="I711" s="131" t="s">
        <v>7027</v>
      </c>
      <c r="J711" s="129"/>
      <c r="K711" s="133"/>
      <c r="L711" s="131"/>
      <c r="M711" s="131"/>
      <c r="N711" s="131"/>
      <c r="O711" s="131"/>
      <c r="P711" s="129"/>
      <c r="Q711" s="131"/>
      <c r="R711" s="131"/>
      <c r="S711" s="131"/>
      <c r="T711" s="129"/>
    </row>
    <row r="712" ht="37.5" customHeight="1">
      <c r="A712" s="129"/>
      <c r="B712" s="130"/>
      <c r="C712" s="130"/>
      <c r="D712" s="129"/>
      <c r="E712" s="131" t="s">
        <v>7027</v>
      </c>
      <c r="F712" s="131" t="s">
        <v>7027</v>
      </c>
      <c r="G712" s="131" t="s">
        <v>7027</v>
      </c>
      <c r="H712" s="131" t="s">
        <v>7027</v>
      </c>
      <c r="I712" s="131" t="s">
        <v>7027</v>
      </c>
      <c r="J712" s="129"/>
      <c r="K712" s="133"/>
      <c r="L712" s="131"/>
      <c r="M712" s="131"/>
      <c r="N712" s="131"/>
      <c r="O712" s="131"/>
      <c r="P712" s="129"/>
      <c r="Q712" s="131"/>
      <c r="R712" s="131"/>
      <c r="S712" s="131"/>
      <c r="T712" s="129"/>
    </row>
    <row r="713" ht="37.5" customHeight="1">
      <c r="A713" s="129"/>
      <c r="B713" s="130"/>
      <c r="C713" s="130"/>
      <c r="D713" s="129"/>
      <c r="E713" s="131" t="s">
        <v>7027</v>
      </c>
      <c r="F713" s="131" t="s">
        <v>7027</v>
      </c>
      <c r="G713" s="131" t="s">
        <v>7027</v>
      </c>
      <c r="H713" s="131" t="s">
        <v>7027</v>
      </c>
      <c r="I713" s="131" t="s">
        <v>7027</v>
      </c>
      <c r="J713" s="129"/>
      <c r="K713" s="133"/>
      <c r="L713" s="131"/>
      <c r="M713" s="131"/>
      <c r="N713" s="131"/>
      <c r="O713" s="131"/>
      <c r="P713" s="129"/>
      <c r="Q713" s="131"/>
      <c r="R713" s="131"/>
      <c r="S713" s="131"/>
      <c r="T713" s="129"/>
    </row>
    <row r="714" ht="37.5" customHeight="1">
      <c r="A714" s="129"/>
      <c r="B714" s="130"/>
      <c r="C714" s="130"/>
      <c r="D714" s="129"/>
      <c r="E714" s="131" t="s">
        <v>7027</v>
      </c>
      <c r="F714" s="131" t="s">
        <v>7027</v>
      </c>
      <c r="G714" s="131" t="s">
        <v>7027</v>
      </c>
      <c r="H714" s="131" t="s">
        <v>7027</v>
      </c>
      <c r="I714" s="131" t="s">
        <v>7027</v>
      </c>
      <c r="J714" s="129"/>
      <c r="K714" s="133"/>
      <c r="L714" s="131"/>
      <c r="M714" s="131"/>
      <c r="N714" s="131"/>
      <c r="O714" s="131"/>
      <c r="P714" s="129"/>
      <c r="Q714" s="131"/>
      <c r="R714" s="131"/>
      <c r="S714" s="131"/>
      <c r="T714" s="129"/>
    </row>
    <row r="715" ht="37.5" customHeight="1">
      <c r="A715" s="129"/>
      <c r="B715" s="130"/>
      <c r="C715" s="130"/>
      <c r="D715" s="129"/>
      <c r="E715" s="131" t="s">
        <v>7027</v>
      </c>
      <c r="F715" s="131" t="s">
        <v>7027</v>
      </c>
      <c r="G715" s="131" t="s">
        <v>7027</v>
      </c>
      <c r="H715" s="131" t="s">
        <v>7027</v>
      </c>
      <c r="I715" s="131" t="s">
        <v>7027</v>
      </c>
      <c r="J715" s="129"/>
      <c r="K715" s="133"/>
      <c r="L715" s="131"/>
      <c r="M715" s="131"/>
      <c r="N715" s="131"/>
      <c r="O715" s="131"/>
      <c r="P715" s="129"/>
      <c r="Q715" s="131"/>
      <c r="R715" s="131"/>
      <c r="S715" s="131"/>
      <c r="T715" s="129"/>
    </row>
    <row r="716" ht="37.5" customHeight="1">
      <c r="A716" s="129"/>
      <c r="B716" s="130"/>
      <c r="C716" s="130"/>
      <c r="D716" s="129"/>
      <c r="E716" s="131" t="s">
        <v>7027</v>
      </c>
      <c r="F716" s="131" t="s">
        <v>7027</v>
      </c>
      <c r="G716" s="131" t="s">
        <v>7027</v>
      </c>
      <c r="H716" s="131" t="s">
        <v>7027</v>
      </c>
      <c r="I716" s="131" t="s">
        <v>7027</v>
      </c>
      <c r="J716" s="129"/>
      <c r="K716" s="133"/>
      <c r="L716" s="131"/>
      <c r="M716" s="131"/>
      <c r="N716" s="131"/>
      <c r="O716" s="131"/>
      <c r="P716" s="129"/>
      <c r="Q716" s="131"/>
      <c r="R716" s="131"/>
      <c r="S716" s="131"/>
      <c r="T716" s="129"/>
    </row>
    <row r="717" ht="37.5" customHeight="1">
      <c r="A717" s="129"/>
      <c r="B717" s="130"/>
      <c r="C717" s="130"/>
      <c r="D717" s="129"/>
      <c r="E717" s="131" t="s">
        <v>7027</v>
      </c>
      <c r="F717" s="131" t="s">
        <v>7027</v>
      </c>
      <c r="G717" s="131" t="s">
        <v>7027</v>
      </c>
      <c r="H717" s="131" t="s">
        <v>7027</v>
      </c>
      <c r="I717" s="131" t="s">
        <v>7027</v>
      </c>
      <c r="J717" s="129"/>
      <c r="K717" s="133"/>
      <c r="L717" s="131"/>
      <c r="M717" s="131"/>
      <c r="N717" s="131"/>
      <c r="O717" s="131"/>
      <c r="P717" s="129"/>
      <c r="Q717" s="131"/>
      <c r="R717" s="131"/>
      <c r="S717" s="131"/>
      <c r="T717" s="129"/>
    </row>
    <row r="718" ht="37.5" customHeight="1">
      <c r="A718" s="129"/>
      <c r="B718" s="130"/>
      <c r="C718" s="130"/>
      <c r="D718" s="129"/>
      <c r="E718" s="131" t="s">
        <v>7027</v>
      </c>
      <c r="F718" s="131" t="s">
        <v>7027</v>
      </c>
      <c r="G718" s="131" t="s">
        <v>7027</v>
      </c>
      <c r="H718" s="131" t="s">
        <v>7027</v>
      </c>
      <c r="I718" s="131" t="s">
        <v>7027</v>
      </c>
      <c r="J718" s="129"/>
      <c r="K718" s="133"/>
      <c r="L718" s="131"/>
      <c r="M718" s="131"/>
      <c r="N718" s="131"/>
      <c r="O718" s="131"/>
      <c r="P718" s="129"/>
      <c r="Q718" s="131"/>
      <c r="R718" s="131"/>
      <c r="S718" s="131"/>
      <c r="T718" s="129"/>
    </row>
    <row r="719" ht="37.5" customHeight="1">
      <c r="A719" s="129"/>
      <c r="B719" s="130"/>
      <c r="C719" s="130"/>
      <c r="D719" s="129"/>
      <c r="E719" s="131" t="s">
        <v>7027</v>
      </c>
      <c r="F719" s="131" t="s">
        <v>7027</v>
      </c>
      <c r="G719" s="131" t="s">
        <v>7027</v>
      </c>
      <c r="H719" s="131" t="s">
        <v>7027</v>
      </c>
      <c r="I719" s="131" t="s">
        <v>7027</v>
      </c>
      <c r="J719" s="129"/>
      <c r="K719" s="133"/>
      <c r="L719" s="131"/>
      <c r="M719" s="131"/>
      <c r="N719" s="131"/>
      <c r="O719" s="131"/>
      <c r="P719" s="129"/>
      <c r="Q719" s="131"/>
      <c r="R719" s="131"/>
      <c r="S719" s="131"/>
      <c r="T719" s="129"/>
    </row>
    <row r="720" ht="37.5" customHeight="1">
      <c r="A720" s="129"/>
      <c r="B720" s="130"/>
      <c r="C720" s="130"/>
      <c r="D720" s="129"/>
      <c r="E720" s="131" t="s">
        <v>7027</v>
      </c>
      <c r="F720" s="131" t="s">
        <v>7027</v>
      </c>
      <c r="G720" s="131" t="s">
        <v>7027</v>
      </c>
      <c r="H720" s="131" t="s">
        <v>7027</v>
      </c>
      <c r="I720" s="131" t="s">
        <v>7027</v>
      </c>
      <c r="J720" s="129"/>
      <c r="K720" s="133"/>
      <c r="L720" s="131"/>
      <c r="M720" s="131"/>
      <c r="N720" s="131"/>
      <c r="O720" s="131"/>
      <c r="P720" s="129"/>
      <c r="Q720" s="131"/>
      <c r="R720" s="131"/>
      <c r="S720" s="131"/>
      <c r="T720" s="129"/>
    </row>
    <row r="721" ht="37.5" customHeight="1">
      <c r="A721" s="129"/>
      <c r="B721" s="130"/>
      <c r="C721" s="130"/>
      <c r="D721" s="129"/>
      <c r="E721" s="131" t="s">
        <v>7027</v>
      </c>
      <c r="F721" s="131" t="s">
        <v>7027</v>
      </c>
      <c r="G721" s="131" t="s">
        <v>7027</v>
      </c>
      <c r="H721" s="131" t="s">
        <v>7027</v>
      </c>
      <c r="I721" s="131" t="s">
        <v>7027</v>
      </c>
      <c r="J721" s="129"/>
      <c r="K721" s="133"/>
      <c r="L721" s="131"/>
      <c r="M721" s="131"/>
      <c r="N721" s="131"/>
      <c r="O721" s="131"/>
      <c r="P721" s="129"/>
      <c r="Q721" s="131"/>
      <c r="R721" s="131"/>
      <c r="S721" s="131"/>
      <c r="T721" s="129"/>
    </row>
    <row r="722" ht="37.5" customHeight="1">
      <c r="A722" s="129"/>
      <c r="B722" s="130"/>
      <c r="C722" s="130"/>
      <c r="D722" s="129"/>
      <c r="E722" s="131" t="s">
        <v>7027</v>
      </c>
      <c r="F722" s="131" t="s">
        <v>7027</v>
      </c>
      <c r="G722" s="131" t="s">
        <v>7027</v>
      </c>
      <c r="H722" s="131" t="s">
        <v>7027</v>
      </c>
      <c r="I722" s="131" t="s">
        <v>7027</v>
      </c>
      <c r="J722" s="129"/>
      <c r="K722" s="133"/>
      <c r="L722" s="131"/>
      <c r="M722" s="131"/>
      <c r="N722" s="131"/>
      <c r="O722" s="131"/>
      <c r="P722" s="129"/>
      <c r="Q722" s="131"/>
      <c r="R722" s="131"/>
      <c r="S722" s="131"/>
      <c r="T722" s="129"/>
    </row>
    <row r="723" ht="37.5" customHeight="1">
      <c r="A723" s="129"/>
      <c r="B723" s="130"/>
      <c r="C723" s="130"/>
      <c r="D723" s="129"/>
      <c r="E723" s="131" t="s">
        <v>7027</v>
      </c>
      <c r="F723" s="131" t="s">
        <v>7027</v>
      </c>
      <c r="G723" s="131" t="s">
        <v>7027</v>
      </c>
      <c r="H723" s="131" t="s">
        <v>7027</v>
      </c>
      <c r="I723" s="131" t="s">
        <v>7027</v>
      </c>
      <c r="J723" s="129"/>
      <c r="K723" s="133"/>
      <c r="L723" s="131"/>
      <c r="M723" s="131"/>
      <c r="N723" s="131"/>
      <c r="O723" s="131"/>
      <c r="P723" s="129"/>
      <c r="Q723" s="131"/>
      <c r="R723" s="131"/>
      <c r="S723" s="131"/>
      <c r="T723" s="129"/>
    </row>
    <row r="724" ht="37.5" customHeight="1">
      <c r="A724" s="129"/>
      <c r="B724" s="130"/>
      <c r="C724" s="130"/>
      <c r="D724" s="129"/>
      <c r="E724" s="131" t="s">
        <v>7027</v>
      </c>
      <c r="F724" s="131" t="s">
        <v>7027</v>
      </c>
      <c r="G724" s="131" t="s">
        <v>7027</v>
      </c>
      <c r="H724" s="131" t="s">
        <v>7027</v>
      </c>
      <c r="I724" s="131" t="s">
        <v>7027</v>
      </c>
      <c r="J724" s="129"/>
      <c r="K724" s="133"/>
      <c r="L724" s="131"/>
      <c r="M724" s="131"/>
      <c r="N724" s="131"/>
      <c r="O724" s="131"/>
      <c r="P724" s="129"/>
      <c r="Q724" s="131"/>
      <c r="R724" s="131"/>
      <c r="S724" s="131"/>
      <c r="T724" s="129"/>
    </row>
    <row r="725" ht="37.5" customHeight="1">
      <c r="A725" s="129"/>
      <c r="B725" s="130"/>
      <c r="C725" s="130"/>
      <c r="D725" s="129"/>
      <c r="E725" s="131" t="s">
        <v>7027</v>
      </c>
      <c r="F725" s="131" t="s">
        <v>7027</v>
      </c>
      <c r="G725" s="131" t="s">
        <v>7027</v>
      </c>
      <c r="H725" s="131" t="s">
        <v>7027</v>
      </c>
      <c r="I725" s="131" t="s">
        <v>7027</v>
      </c>
      <c r="J725" s="129"/>
      <c r="K725" s="133"/>
      <c r="L725" s="131"/>
      <c r="M725" s="131"/>
      <c r="N725" s="131"/>
      <c r="O725" s="131"/>
      <c r="P725" s="129"/>
      <c r="Q725" s="131"/>
      <c r="R725" s="131"/>
      <c r="S725" s="131"/>
      <c r="T725" s="129"/>
    </row>
    <row r="726" ht="37.5" customHeight="1">
      <c r="A726" s="129"/>
      <c r="B726" s="130"/>
      <c r="C726" s="130"/>
      <c r="D726" s="129"/>
      <c r="E726" s="131" t="s">
        <v>7027</v>
      </c>
      <c r="F726" s="131" t="s">
        <v>7027</v>
      </c>
      <c r="G726" s="131" t="s">
        <v>7027</v>
      </c>
      <c r="H726" s="131" t="s">
        <v>7027</v>
      </c>
      <c r="I726" s="131" t="s">
        <v>7027</v>
      </c>
      <c r="J726" s="129"/>
      <c r="K726" s="133"/>
      <c r="L726" s="131"/>
      <c r="M726" s="131"/>
      <c r="N726" s="131"/>
      <c r="O726" s="131"/>
      <c r="P726" s="129"/>
      <c r="Q726" s="131"/>
      <c r="R726" s="131"/>
      <c r="S726" s="131"/>
      <c r="T726" s="129"/>
    </row>
    <row r="727" ht="37.5" customHeight="1">
      <c r="A727" s="129"/>
      <c r="B727" s="130"/>
      <c r="C727" s="130"/>
      <c r="D727" s="129"/>
      <c r="E727" s="131" t="s">
        <v>7027</v>
      </c>
      <c r="F727" s="131" t="s">
        <v>7027</v>
      </c>
      <c r="G727" s="131" t="s">
        <v>7027</v>
      </c>
      <c r="H727" s="131" t="s">
        <v>7027</v>
      </c>
      <c r="I727" s="131" t="s">
        <v>7027</v>
      </c>
      <c r="J727" s="129"/>
      <c r="K727" s="133"/>
      <c r="L727" s="131"/>
      <c r="M727" s="131"/>
      <c r="N727" s="131"/>
      <c r="O727" s="131"/>
      <c r="P727" s="129"/>
      <c r="Q727" s="131"/>
      <c r="R727" s="131"/>
      <c r="S727" s="131"/>
      <c r="T727" s="129"/>
    </row>
    <row r="728" ht="37.5" customHeight="1">
      <c r="A728" s="129"/>
      <c r="B728" s="130"/>
      <c r="C728" s="130"/>
      <c r="D728" s="129"/>
      <c r="E728" s="131" t="s">
        <v>7027</v>
      </c>
      <c r="F728" s="131" t="s">
        <v>7027</v>
      </c>
      <c r="G728" s="131" t="s">
        <v>7027</v>
      </c>
      <c r="H728" s="131" t="s">
        <v>7027</v>
      </c>
      <c r="I728" s="131" t="s">
        <v>7027</v>
      </c>
      <c r="J728" s="129"/>
      <c r="K728" s="133"/>
      <c r="L728" s="131"/>
      <c r="M728" s="131"/>
      <c r="N728" s="131"/>
      <c r="O728" s="131"/>
      <c r="P728" s="129"/>
      <c r="Q728" s="131"/>
      <c r="R728" s="131"/>
      <c r="S728" s="131"/>
      <c r="T728" s="129"/>
    </row>
    <row r="729" ht="37.5" customHeight="1">
      <c r="A729" s="129"/>
      <c r="B729" s="130"/>
      <c r="C729" s="130"/>
      <c r="D729" s="129"/>
      <c r="E729" s="131" t="s">
        <v>7027</v>
      </c>
      <c r="F729" s="131" t="s">
        <v>7027</v>
      </c>
      <c r="G729" s="131" t="s">
        <v>7027</v>
      </c>
      <c r="H729" s="131" t="s">
        <v>7027</v>
      </c>
      <c r="I729" s="131" t="s">
        <v>7027</v>
      </c>
      <c r="J729" s="129"/>
      <c r="K729" s="133"/>
      <c r="L729" s="131"/>
      <c r="M729" s="131"/>
      <c r="N729" s="131"/>
      <c r="O729" s="131"/>
      <c r="P729" s="129"/>
      <c r="Q729" s="131"/>
      <c r="R729" s="131"/>
      <c r="S729" s="131"/>
      <c r="T729" s="129"/>
    </row>
    <row r="730" ht="37.5" customHeight="1">
      <c r="A730" s="129"/>
      <c r="B730" s="130"/>
      <c r="C730" s="130"/>
      <c r="D730" s="129"/>
      <c r="E730" s="131" t="s">
        <v>7027</v>
      </c>
      <c r="F730" s="131" t="s">
        <v>7027</v>
      </c>
      <c r="G730" s="131" t="s">
        <v>7027</v>
      </c>
      <c r="H730" s="131" t="s">
        <v>7027</v>
      </c>
      <c r="I730" s="131" t="s">
        <v>7027</v>
      </c>
      <c r="J730" s="129"/>
      <c r="K730" s="133"/>
      <c r="L730" s="131"/>
      <c r="M730" s="131"/>
      <c r="N730" s="131"/>
      <c r="O730" s="131"/>
      <c r="P730" s="129"/>
      <c r="Q730" s="131"/>
      <c r="R730" s="131"/>
      <c r="S730" s="131"/>
      <c r="T730" s="129"/>
    </row>
    <row r="731" ht="37.5" customHeight="1">
      <c r="A731" s="129"/>
      <c r="B731" s="130"/>
      <c r="C731" s="130"/>
      <c r="D731" s="129"/>
      <c r="E731" s="131" t="s">
        <v>7027</v>
      </c>
      <c r="F731" s="131" t="s">
        <v>7027</v>
      </c>
      <c r="G731" s="131" t="s">
        <v>7027</v>
      </c>
      <c r="H731" s="131" t="s">
        <v>7027</v>
      </c>
      <c r="I731" s="131" t="s">
        <v>7027</v>
      </c>
      <c r="J731" s="129"/>
      <c r="K731" s="133"/>
      <c r="L731" s="131"/>
      <c r="M731" s="131"/>
      <c r="N731" s="131"/>
      <c r="O731" s="131"/>
      <c r="P731" s="129"/>
      <c r="Q731" s="131"/>
      <c r="R731" s="131"/>
      <c r="S731" s="131"/>
      <c r="T731" s="129"/>
    </row>
    <row r="732" ht="37.5" customHeight="1">
      <c r="A732" s="129"/>
      <c r="B732" s="130"/>
      <c r="C732" s="130"/>
      <c r="D732" s="129"/>
      <c r="E732" s="131" t="s">
        <v>7027</v>
      </c>
      <c r="F732" s="131" t="s">
        <v>7027</v>
      </c>
      <c r="G732" s="131" t="s">
        <v>7027</v>
      </c>
      <c r="H732" s="131" t="s">
        <v>7027</v>
      </c>
      <c r="I732" s="131" t="s">
        <v>7027</v>
      </c>
      <c r="J732" s="129"/>
      <c r="K732" s="133"/>
      <c r="L732" s="131"/>
      <c r="M732" s="131"/>
      <c r="N732" s="131"/>
      <c r="O732" s="131"/>
      <c r="P732" s="129"/>
      <c r="Q732" s="131"/>
      <c r="R732" s="131"/>
      <c r="S732" s="131"/>
      <c r="T732" s="129"/>
    </row>
    <row r="733" ht="37.5" customHeight="1">
      <c r="A733" s="129"/>
      <c r="B733" s="130"/>
      <c r="C733" s="130"/>
      <c r="D733" s="129"/>
      <c r="E733" s="131" t="s">
        <v>7027</v>
      </c>
      <c r="F733" s="131" t="s">
        <v>7027</v>
      </c>
      <c r="G733" s="131" t="s">
        <v>7027</v>
      </c>
      <c r="H733" s="131" t="s">
        <v>7027</v>
      </c>
      <c r="I733" s="131" t="s">
        <v>7027</v>
      </c>
      <c r="J733" s="129"/>
      <c r="K733" s="133"/>
      <c r="L733" s="131"/>
      <c r="M733" s="131"/>
      <c r="N733" s="131"/>
      <c r="O733" s="131"/>
      <c r="P733" s="129"/>
      <c r="Q733" s="131"/>
      <c r="R733" s="131"/>
      <c r="S733" s="131"/>
      <c r="T733" s="129"/>
    </row>
    <row r="734" ht="37.5" customHeight="1">
      <c r="A734" s="129"/>
      <c r="B734" s="130"/>
      <c r="C734" s="130"/>
      <c r="D734" s="129"/>
      <c r="E734" s="131" t="s">
        <v>7027</v>
      </c>
      <c r="F734" s="131" t="s">
        <v>7027</v>
      </c>
      <c r="G734" s="131" t="s">
        <v>7027</v>
      </c>
      <c r="H734" s="131" t="s">
        <v>7027</v>
      </c>
      <c r="I734" s="131" t="s">
        <v>7027</v>
      </c>
      <c r="J734" s="129"/>
      <c r="K734" s="133"/>
      <c r="L734" s="131"/>
      <c r="M734" s="131"/>
      <c r="N734" s="131"/>
      <c r="O734" s="131"/>
      <c r="P734" s="129"/>
      <c r="Q734" s="131"/>
      <c r="R734" s="131"/>
      <c r="S734" s="131"/>
      <c r="T734" s="129"/>
    </row>
    <row r="735" ht="37.5" customHeight="1">
      <c r="A735" s="129"/>
      <c r="B735" s="130"/>
      <c r="C735" s="130"/>
      <c r="D735" s="129"/>
      <c r="E735" s="131" t="s">
        <v>7027</v>
      </c>
      <c r="F735" s="131" t="s">
        <v>7027</v>
      </c>
      <c r="G735" s="131" t="s">
        <v>7027</v>
      </c>
      <c r="H735" s="131" t="s">
        <v>7027</v>
      </c>
      <c r="I735" s="131" t="s">
        <v>7027</v>
      </c>
      <c r="J735" s="129"/>
      <c r="K735" s="133"/>
      <c r="L735" s="131"/>
      <c r="M735" s="131"/>
      <c r="N735" s="131"/>
      <c r="O735" s="131"/>
      <c r="P735" s="129"/>
      <c r="Q735" s="131"/>
      <c r="R735" s="131"/>
      <c r="S735" s="131"/>
      <c r="T735" s="129"/>
    </row>
    <row r="736" ht="37.5" customHeight="1">
      <c r="A736" s="129"/>
      <c r="B736" s="130"/>
      <c r="C736" s="130"/>
      <c r="D736" s="129"/>
      <c r="E736" s="131" t="s">
        <v>7027</v>
      </c>
      <c r="F736" s="131" t="s">
        <v>7027</v>
      </c>
      <c r="G736" s="131" t="s">
        <v>7027</v>
      </c>
      <c r="H736" s="131" t="s">
        <v>7027</v>
      </c>
      <c r="I736" s="131" t="s">
        <v>7027</v>
      </c>
      <c r="J736" s="129"/>
      <c r="K736" s="133"/>
      <c r="L736" s="131"/>
      <c r="M736" s="131"/>
      <c r="N736" s="131"/>
      <c r="O736" s="131"/>
      <c r="P736" s="129"/>
      <c r="Q736" s="131"/>
      <c r="R736" s="131"/>
      <c r="S736" s="131"/>
      <c r="T736" s="129"/>
    </row>
    <row r="737" ht="37.5" customHeight="1">
      <c r="A737" s="129"/>
      <c r="B737" s="130"/>
      <c r="C737" s="130"/>
      <c r="D737" s="129"/>
      <c r="E737" s="131" t="s">
        <v>7027</v>
      </c>
      <c r="F737" s="131" t="s">
        <v>7027</v>
      </c>
      <c r="G737" s="131" t="s">
        <v>7027</v>
      </c>
      <c r="H737" s="131" t="s">
        <v>7027</v>
      </c>
      <c r="I737" s="131" t="s">
        <v>7027</v>
      </c>
      <c r="J737" s="129"/>
      <c r="K737" s="133"/>
      <c r="L737" s="131"/>
      <c r="M737" s="131"/>
      <c r="N737" s="131"/>
      <c r="O737" s="131"/>
      <c r="P737" s="129"/>
      <c r="Q737" s="131"/>
      <c r="R737" s="131"/>
      <c r="S737" s="131"/>
      <c r="T737" s="129"/>
    </row>
    <row r="738" ht="37.5" customHeight="1">
      <c r="A738" s="129"/>
      <c r="B738" s="130"/>
      <c r="C738" s="130"/>
      <c r="D738" s="129"/>
      <c r="E738" s="131" t="s">
        <v>7027</v>
      </c>
      <c r="F738" s="131" t="s">
        <v>7027</v>
      </c>
      <c r="G738" s="131" t="s">
        <v>7027</v>
      </c>
      <c r="H738" s="131" t="s">
        <v>7027</v>
      </c>
      <c r="I738" s="131" t="s">
        <v>7027</v>
      </c>
      <c r="J738" s="129"/>
      <c r="K738" s="133"/>
      <c r="L738" s="131"/>
      <c r="M738" s="131"/>
      <c r="N738" s="131"/>
      <c r="O738" s="131"/>
      <c r="P738" s="129"/>
      <c r="Q738" s="131"/>
      <c r="R738" s="131"/>
      <c r="S738" s="131"/>
      <c r="T738" s="129"/>
    </row>
    <row r="739" ht="37.5" customHeight="1">
      <c r="A739" s="129"/>
      <c r="B739" s="130"/>
      <c r="C739" s="130"/>
      <c r="D739" s="129"/>
      <c r="E739" s="131" t="s">
        <v>7027</v>
      </c>
      <c r="F739" s="131" t="s">
        <v>7027</v>
      </c>
      <c r="G739" s="131" t="s">
        <v>7027</v>
      </c>
      <c r="H739" s="131" t="s">
        <v>7027</v>
      </c>
      <c r="I739" s="131" t="s">
        <v>7027</v>
      </c>
      <c r="J739" s="129"/>
      <c r="K739" s="133"/>
      <c r="L739" s="131"/>
      <c r="M739" s="131"/>
      <c r="N739" s="131"/>
      <c r="O739" s="131"/>
      <c r="P739" s="129"/>
      <c r="Q739" s="131"/>
      <c r="R739" s="131"/>
      <c r="S739" s="131"/>
      <c r="T739" s="129"/>
    </row>
    <row r="740" ht="37.5" customHeight="1">
      <c r="A740" s="129"/>
      <c r="B740" s="130"/>
      <c r="C740" s="130"/>
      <c r="D740" s="129"/>
      <c r="E740" s="131" t="s">
        <v>7027</v>
      </c>
      <c r="F740" s="131" t="s">
        <v>7027</v>
      </c>
      <c r="G740" s="131" t="s">
        <v>7027</v>
      </c>
      <c r="H740" s="131" t="s">
        <v>7027</v>
      </c>
      <c r="I740" s="131" t="s">
        <v>7027</v>
      </c>
      <c r="J740" s="129"/>
      <c r="K740" s="133"/>
      <c r="L740" s="131"/>
      <c r="M740" s="131"/>
      <c r="N740" s="131"/>
      <c r="O740" s="131"/>
      <c r="P740" s="129"/>
      <c r="Q740" s="131"/>
      <c r="R740" s="131"/>
      <c r="S740" s="131"/>
      <c r="T740" s="129"/>
    </row>
    <row r="741" ht="37.5" customHeight="1">
      <c r="A741" s="129"/>
      <c r="B741" s="130"/>
      <c r="C741" s="130"/>
      <c r="D741" s="129"/>
      <c r="E741" s="131" t="s">
        <v>7027</v>
      </c>
      <c r="F741" s="131" t="s">
        <v>7027</v>
      </c>
      <c r="G741" s="131" t="s">
        <v>7027</v>
      </c>
      <c r="H741" s="131" t="s">
        <v>7027</v>
      </c>
      <c r="I741" s="131" t="s">
        <v>7027</v>
      </c>
      <c r="J741" s="129"/>
      <c r="K741" s="133"/>
      <c r="L741" s="131"/>
      <c r="M741" s="131"/>
      <c r="N741" s="131"/>
      <c r="O741" s="131"/>
      <c r="P741" s="129"/>
      <c r="Q741" s="131"/>
      <c r="R741" s="131"/>
      <c r="S741" s="131"/>
      <c r="T741" s="129"/>
    </row>
    <row r="742" ht="37.5" customHeight="1">
      <c r="A742" s="129"/>
      <c r="B742" s="130"/>
      <c r="C742" s="130"/>
      <c r="D742" s="129"/>
      <c r="E742" s="131" t="s">
        <v>7027</v>
      </c>
      <c r="F742" s="131" t="s">
        <v>7027</v>
      </c>
      <c r="G742" s="131" t="s">
        <v>7027</v>
      </c>
      <c r="H742" s="131" t="s">
        <v>7027</v>
      </c>
      <c r="I742" s="131" t="s">
        <v>7027</v>
      </c>
      <c r="J742" s="129"/>
      <c r="K742" s="133"/>
      <c r="L742" s="131"/>
      <c r="M742" s="131"/>
      <c r="N742" s="131"/>
      <c r="O742" s="131"/>
      <c r="P742" s="129"/>
      <c r="Q742" s="131"/>
      <c r="R742" s="131"/>
      <c r="S742" s="131"/>
      <c r="T742" s="129"/>
    </row>
    <row r="743" ht="37.5" customHeight="1">
      <c r="A743" s="129"/>
      <c r="B743" s="130"/>
      <c r="C743" s="130"/>
      <c r="D743" s="129"/>
      <c r="E743" s="131" t="s">
        <v>7027</v>
      </c>
      <c r="F743" s="131" t="s">
        <v>7027</v>
      </c>
      <c r="G743" s="131" t="s">
        <v>7027</v>
      </c>
      <c r="H743" s="131" t="s">
        <v>7027</v>
      </c>
      <c r="I743" s="131" t="s">
        <v>7027</v>
      </c>
      <c r="J743" s="129"/>
      <c r="K743" s="133"/>
      <c r="L743" s="131"/>
      <c r="M743" s="131"/>
      <c r="N743" s="131"/>
      <c r="O743" s="131"/>
      <c r="P743" s="129"/>
      <c r="Q743" s="131"/>
      <c r="R743" s="131"/>
      <c r="S743" s="131"/>
      <c r="T743" s="129"/>
    </row>
    <row r="744" ht="37.5" customHeight="1">
      <c r="A744" s="129"/>
      <c r="B744" s="130"/>
      <c r="C744" s="130"/>
      <c r="D744" s="129"/>
      <c r="E744" s="131" t="s">
        <v>7027</v>
      </c>
      <c r="F744" s="131" t="s">
        <v>7027</v>
      </c>
      <c r="G744" s="131" t="s">
        <v>7027</v>
      </c>
      <c r="H744" s="131" t="s">
        <v>7027</v>
      </c>
      <c r="I744" s="131" t="s">
        <v>7027</v>
      </c>
      <c r="J744" s="129"/>
      <c r="K744" s="133"/>
      <c r="L744" s="131"/>
      <c r="M744" s="131"/>
      <c r="N744" s="131"/>
      <c r="O744" s="131"/>
      <c r="P744" s="129"/>
      <c r="Q744" s="131"/>
      <c r="R744" s="131"/>
      <c r="S744" s="131"/>
      <c r="T744" s="129"/>
    </row>
    <row r="745" ht="37.5" customHeight="1">
      <c r="A745" s="129"/>
      <c r="B745" s="130"/>
      <c r="C745" s="130"/>
      <c r="D745" s="129"/>
      <c r="E745" s="131" t="s">
        <v>7027</v>
      </c>
      <c r="F745" s="131" t="s">
        <v>7027</v>
      </c>
      <c r="G745" s="131" t="s">
        <v>7027</v>
      </c>
      <c r="H745" s="131" t="s">
        <v>7027</v>
      </c>
      <c r="I745" s="131" t="s">
        <v>7027</v>
      </c>
      <c r="J745" s="129"/>
      <c r="K745" s="133"/>
      <c r="L745" s="131"/>
      <c r="M745" s="131"/>
      <c r="N745" s="131"/>
      <c r="O745" s="131"/>
      <c r="P745" s="129"/>
      <c r="Q745" s="131"/>
      <c r="R745" s="131"/>
      <c r="S745" s="131"/>
      <c r="T745" s="129"/>
    </row>
    <row r="746" ht="37.5" customHeight="1">
      <c r="A746" s="129"/>
      <c r="B746" s="130"/>
      <c r="C746" s="130"/>
      <c r="D746" s="129"/>
      <c r="E746" s="131" t="s">
        <v>7027</v>
      </c>
      <c r="F746" s="131" t="s">
        <v>7027</v>
      </c>
      <c r="G746" s="131" t="s">
        <v>7027</v>
      </c>
      <c r="H746" s="131" t="s">
        <v>7027</v>
      </c>
      <c r="I746" s="131" t="s">
        <v>7027</v>
      </c>
      <c r="J746" s="129"/>
      <c r="K746" s="133"/>
      <c r="L746" s="131"/>
      <c r="M746" s="131"/>
      <c r="N746" s="131"/>
      <c r="O746" s="131"/>
      <c r="P746" s="129"/>
      <c r="Q746" s="131"/>
      <c r="R746" s="131"/>
      <c r="S746" s="131"/>
      <c r="T746" s="129"/>
    </row>
    <row r="747" ht="37.5" customHeight="1">
      <c r="A747" s="129"/>
      <c r="B747" s="130"/>
      <c r="C747" s="130"/>
      <c r="D747" s="129"/>
      <c r="E747" s="131" t="s">
        <v>7027</v>
      </c>
      <c r="F747" s="131" t="s">
        <v>7027</v>
      </c>
      <c r="G747" s="131" t="s">
        <v>7027</v>
      </c>
      <c r="H747" s="131" t="s">
        <v>7027</v>
      </c>
      <c r="I747" s="131" t="s">
        <v>7027</v>
      </c>
      <c r="J747" s="129"/>
      <c r="K747" s="133"/>
      <c r="L747" s="131"/>
      <c r="M747" s="131"/>
      <c r="N747" s="131"/>
      <c r="O747" s="131"/>
      <c r="P747" s="129"/>
      <c r="Q747" s="131"/>
      <c r="R747" s="131"/>
      <c r="S747" s="131"/>
      <c r="T747" s="129"/>
    </row>
    <row r="748" ht="37.5" customHeight="1">
      <c r="A748" s="129"/>
      <c r="B748" s="130"/>
      <c r="C748" s="130"/>
      <c r="D748" s="129"/>
      <c r="E748" s="131" t="s">
        <v>7027</v>
      </c>
      <c r="F748" s="131" t="s">
        <v>7027</v>
      </c>
      <c r="G748" s="131" t="s">
        <v>7027</v>
      </c>
      <c r="H748" s="131" t="s">
        <v>7027</v>
      </c>
      <c r="I748" s="131" t="s">
        <v>7027</v>
      </c>
      <c r="J748" s="129"/>
      <c r="K748" s="133"/>
      <c r="L748" s="131"/>
      <c r="M748" s="131"/>
      <c r="N748" s="131"/>
      <c r="O748" s="131"/>
      <c r="P748" s="129"/>
      <c r="Q748" s="131"/>
      <c r="R748" s="131"/>
      <c r="S748" s="131"/>
      <c r="T748" s="129"/>
    </row>
    <row r="749" ht="37.5" customHeight="1">
      <c r="A749" s="129"/>
      <c r="B749" s="130"/>
      <c r="C749" s="130"/>
      <c r="D749" s="129"/>
      <c r="E749" s="131" t="s">
        <v>7027</v>
      </c>
      <c r="F749" s="131" t="s">
        <v>7027</v>
      </c>
      <c r="G749" s="131" t="s">
        <v>7027</v>
      </c>
      <c r="H749" s="131" t="s">
        <v>7027</v>
      </c>
      <c r="I749" s="131" t="s">
        <v>7027</v>
      </c>
      <c r="J749" s="129"/>
      <c r="K749" s="133"/>
      <c r="L749" s="131"/>
      <c r="M749" s="131"/>
      <c r="N749" s="131"/>
      <c r="O749" s="131"/>
      <c r="P749" s="129"/>
      <c r="Q749" s="131"/>
      <c r="R749" s="131"/>
      <c r="S749" s="131"/>
      <c r="T749" s="129"/>
    </row>
    <row r="750" ht="37.5" customHeight="1">
      <c r="A750" s="129"/>
      <c r="B750" s="130"/>
      <c r="C750" s="130"/>
      <c r="D750" s="129"/>
      <c r="E750" s="131" t="s">
        <v>7027</v>
      </c>
      <c r="F750" s="131" t="s">
        <v>7027</v>
      </c>
      <c r="G750" s="131" t="s">
        <v>7027</v>
      </c>
      <c r="H750" s="131" t="s">
        <v>7027</v>
      </c>
      <c r="I750" s="131" t="s">
        <v>7027</v>
      </c>
      <c r="J750" s="129"/>
      <c r="K750" s="133"/>
      <c r="L750" s="131"/>
      <c r="M750" s="131"/>
      <c r="N750" s="131"/>
      <c r="O750" s="131"/>
      <c r="P750" s="129"/>
      <c r="Q750" s="131"/>
      <c r="R750" s="131"/>
      <c r="S750" s="131"/>
      <c r="T750" s="129"/>
    </row>
    <row r="751" ht="37.5" customHeight="1">
      <c r="A751" s="129"/>
      <c r="B751" s="130"/>
      <c r="C751" s="130"/>
      <c r="D751" s="129"/>
      <c r="E751" s="131" t="s">
        <v>7027</v>
      </c>
      <c r="F751" s="131" t="s">
        <v>7027</v>
      </c>
      <c r="G751" s="131" t="s">
        <v>7027</v>
      </c>
      <c r="H751" s="131" t="s">
        <v>7027</v>
      </c>
      <c r="I751" s="131" t="s">
        <v>7027</v>
      </c>
      <c r="J751" s="129"/>
      <c r="K751" s="133"/>
      <c r="L751" s="131"/>
      <c r="M751" s="131"/>
      <c r="N751" s="131"/>
      <c r="O751" s="131"/>
      <c r="P751" s="129"/>
      <c r="Q751" s="131"/>
      <c r="R751" s="131"/>
      <c r="S751" s="131"/>
      <c r="T751" s="129"/>
    </row>
    <row r="752" ht="37.5" customHeight="1">
      <c r="A752" s="129"/>
      <c r="B752" s="130"/>
      <c r="C752" s="130"/>
      <c r="D752" s="129"/>
      <c r="E752" s="131" t="s">
        <v>7027</v>
      </c>
      <c r="F752" s="131" t="s">
        <v>7027</v>
      </c>
      <c r="G752" s="131" t="s">
        <v>7027</v>
      </c>
      <c r="H752" s="131" t="s">
        <v>7027</v>
      </c>
      <c r="I752" s="131" t="s">
        <v>7027</v>
      </c>
      <c r="J752" s="129"/>
      <c r="K752" s="133"/>
      <c r="L752" s="131"/>
      <c r="M752" s="131"/>
      <c r="N752" s="131"/>
      <c r="O752" s="131"/>
      <c r="P752" s="129"/>
      <c r="Q752" s="131"/>
      <c r="R752" s="131"/>
      <c r="S752" s="131"/>
      <c r="T752" s="129"/>
    </row>
    <row r="753" ht="37.5" customHeight="1">
      <c r="A753" s="129"/>
      <c r="B753" s="130"/>
      <c r="C753" s="130"/>
      <c r="D753" s="129"/>
      <c r="E753" s="131" t="s">
        <v>7027</v>
      </c>
      <c r="F753" s="131" t="s">
        <v>7027</v>
      </c>
      <c r="G753" s="131" t="s">
        <v>7027</v>
      </c>
      <c r="H753" s="131" t="s">
        <v>7027</v>
      </c>
      <c r="I753" s="131" t="s">
        <v>7027</v>
      </c>
      <c r="J753" s="129"/>
      <c r="K753" s="133"/>
      <c r="L753" s="131"/>
      <c r="M753" s="131"/>
      <c r="N753" s="131"/>
      <c r="O753" s="131"/>
      <c r="P753" s="129"/>
      <c r="Q753" s="131"/>
      <c r="R753" s="131"/>
      <c r="S753" s="131"/>
      <c r="T753" s="129"/>
    </row>
    <row r="754" ht="37.5" customHeight="1">
      <c r="A754" s="129"/>
      <c r="B754" s="130"/>
      <c r="C754" s="130"/>
      <c r="D754" s="129"/>
      <c r="E754" s="131" t="s">
        <v>7027</v>
      </c>
      <c r="F754" s="131" t="s">
        <v>7027</v>
      </c>
      <c r="G754" s="131" t="s">
        <v>7027</v>
      </c>
      <c r="H754" s="131" t="s">
        <v>7027</v>
      </c>
      <c r="I754" s="131" t="s">
        <v>7027</v>
      </c>
      <c r="J754" s="129"/>
      <c r="K754" s="133"/>
      <c r="L754" s="131"/>
      <c r="M754" s="131"/>
      <c r="N754" s="131"/>
      <c r="O754" s="131"/>
      <c r="P754" s="129"/>
      <c r="Q754" s="131"/>
      <c r="R754" s="131"/>
      <c r="S754" s="131"/>
      <c r="T754" s="129"/>
    </row>
    <row r="755" ht="37.5" customHeight="1">
      <c r="A755" s="129"/>
      <c r="B755" s="130"/>
      <c r="C755" s="130"/>
      <c r="D755" s="129"/>
      <c r="E755" s="131" t="s">
        <v>7027</v>
      </c>
      <c r="F755" s="131" t="s">
        <v>7027</v>
      </c>
      <c r="G755" s="131" t="s">
        <v>7027</v>
      </c>
      <c r="H755" s="131" t="s">
        <v>7027</v>
      </c>
      <c r="I755" s="131" t="s">
        <v>7027</v>
      </c>
      <c r="J755" s="129"/>
      <c r="K755" s="133"/>
      <c r="L755" s="131"/>
      <c r="M755" s="131"/>
      <c r="N755" s="131"/>
      <c r="O755" s="131"/>
      <c r="P755" s="129"/>
      <c r="Q755" s="131"/>
      <c r="R755" s="131"/>
      <c r="S755" s="131"/>
      <c r="T755" s="129"/>
    </row>
    <row r="756" ht="37.5" customHeight="1">
      <c r="A756" s="129"/>
      <c r="B756" s="130"/>
      <c r="C756" s="130"/>
      <c r="D756" s="129"/>
      <c r="E756" s="131" t="s">
        <v>7027</v>
      </c>
      <c r="F756" s="131" t="s">
        <v>7027</v>
      </c>
      <c r="G756" s="131" t="s">
        <v>7027</v>
      </c>
      <c r="H756" s="131" t="s">
        <v>7027</v>
      </c>
      <c r="I756" s="131" t="s">
        <v>7027</v>
      </c>
      <c r="J756" s="129"/>
      <c r="K756" s="133"/>
      <c r="L756" s="131"/>
      <c r="M756" s="131"/>
      <c r="N756" s="131"/>
      <c r="O756" s="131"/>
      <c r="P756" s="129"/>
      <c r="Q756" s="131"/>
      <c r="R756" s="131"/>
      <c r="S756" s="131"/>
      <c r="T756" s="129"/>
    </row>
    <row r="757" ht="37.5" customHeight="1">
      <c r="A757" s="129"/>
      <c r="B757" s="130"/>
      <c r="C757" s="130"/>
      <c r="D757" s="129"/>
      <c r="E757" s="131" t="s">
        <v>7027</v>
      </c>
      <c r="F757" s="131" t="s">
        <v>7027</v>
      </c>
      <c r="G757" s="131" t="s">
        <v>7027</v>
      </c>
      <c r="H757" s="131" t="s">
        <v>7027</v>
      </c>
      <c r="I757" s="131" t="s">
        <v>7027</v>
      </c>
      <c r="J757" s="129"/>
      <c r="K757" s="133"/>
      <c r="L757" s="131"/>
      <c r="M757" s="131"/>
      <c r="N757" s="131"/>
      <c r="O757" s="131"/>
      <c r="P757" s="129"/>
      <c r="Q757" s="131"/>
      <c r="R757" s="131"/>
      <c r="S757" s="131"/>
      <c r="T757" s="129"/>
    </row>
    <row r="758" ht="37.5" customHeight="1">
      <c r="A758" s="129"/>
      <c r="B758" s="130"/>
      <c r="C758" s="130"/>
      <c r="D758" s="129"/>
      <c r="E758" s="131" t="s">
        <v>7027</v>
      </c>
      <c r="F758" s="131" t="s">
        <v>7027</v>
      </c>
      <c r="G758" s="131" t="s">
        <v>7027</v>
      </c>
      <c r="H758" s="131" t="s">
        <v>7027</v>
      </c>
      <c r="I758" s="131" t="s">
        <v>7027</v>
      </c>
      <c r="J758" s="129"/>
      <c r="K758" s="133"/>
      <c r="L758" s="131"/>
      <c r="M758" s="131"/>
      <c r="N758" s="131"/>
      <c r="O758" s="131"/>
      <c r="P758" s="129"/>
      <c r="Q758" s="131"/>
      <c r="R758" s="131"/>
      <c r="S758" s="131"/>
      <c r="T758" s="129"/>
    </row>
    <row r="759" ht="37.5" customHeight="1">
      <c r="A759" s="129"/>
      <c r="B759" s="130"/>
      <c r="C759" s="130"/>
      <c r="D759" s="129"/>
      <c r="E759" s="131" t="s">
        <v>7027</v>
      </c>
      <c r="F759" s="131" t="s">
        <v>7027</v>
      </c>
      <c r="G759" s="131" t="s">
        <v>7027</v>
      </c>
      <c r="H759" s="131" t="s">
        <v>7027</v>
      </c>
      <c r="I759" s="131" t="s">
        <v>7027</v>
      </c>
      <c r="J759" s="129"/>
      <c r="K759" s="133"/>
      <c r="L759" s="131"/>
      <c r="M759" s="131"/>
      <c r="N759" s="131"/>
      <c r="O759" s="131"/>
      <c r="P759" s="129"/>
      <c r="Q759" s="131"/>
      <c r="R759" s="131"/>
      <c r="S759" s="131"/>
      <c r="T759" s="129"/>
    </row>
    <row r="760" ht="37.5" customHeight="1">
      <c r="A760" s="129"/>
      <c r="B760" s="130"/>
      <c r="C760" s="130"/>
      <c r="D760" s="129"/>
      <c r="E760" s="131" t="s">
        <v>7027</v>
      </c>
      <c r="F760" s="131" t="s">
        <v>7027</v>
      </c>
      <c r="G760" s="131" t="s">
        <v>7027</v>
      </c>
      <c r="H760" s="131" t="s">
        <v>7027</v>
      </c>
      <c r="I760" s="131" t="s">
        <v>7027</v>
      </c>
      <c r="J760" s="129"/>
      <c r="K760" s="133"/>
      <c r="L760" s="131"/>
      <c r="M760" s="131"/>
      <c r="N760" s="131"/>
      <c r="O760" s="131"/>
      <c r="P760" s="129"/>
      <c r="Q760" s="131"/>
      <c r="R760" s="131"/>
      <c r="S760" s="131"/>
      <c r="T760" s="129"/>
    </row>
    <row r="761" ht="37.5" customHeight="1">
      <c r="A761" s="129"/>
      <c r="B761" s="130"/>
      <c r="C761" s="130"/>
      <c r="D761" s="129"/>
      <c r="E761" s="131" t="s">
        <v>7027</v>
      </c>
      <c r="F761" s="131" t="s">
        <v>7027</v>
      </c>
      <c r="G761" s="131" t="s">
        <v>7027</v>
      </c>
      <c r="H761" s="131" t="s">
        <v>7027</v>
      </c>
      <c r="I761" s="131" t="s">
        <v>7027</v>
      </c>
      <c r="J761" s="129"/>
      <c r="K761" s="133"/>
      <c r="L761" s="131"/>
      <c r="M761" s="131"/>
      <c r="N761" s="131"/>
      <c r="O761" s="131"/>
      <c r="P761" s="129"/>
      <c r="Q761" s="131"/>
      <c r="R761" s="131"/>
      <c r="S761" s="131"/>
      <c r="T761" s="129"/>
    </row>
    <row r="762" ht="37.5" customHeight="1">
      <c r="A762" s="129"/>
      <c r="B762" s="130"/>
      <c r="C762" s="130"/>
      <c r="D762" s="129"/>
      <c r="E762" s="131" t="s">
        <v>7027</v>
      </c>
      <c r="F762" s="131" t="s">
        <v>7027</v>
      </c>
      <c r="G762" s="131" t="s">
        <v>7027</v>
      </c>
      <c r="H762" s="131" t="s">
        <v>7027</v>
      </c>
      <c r="I762" s="131" t="s">
        <v>7027</v>
      </c>
      <c r="J762" s="129"/>
      <c r="K762" s="133"/>
      <c r="L762" s="131"/>
      <c r="M762" s="131"/>
      <c r="N762" s="131"/>
      <c r="O762" s="131"/>
      <c r="P762" s="129"/>
      <c r="Q762" s="131"/>
      <c r="R762" s="131"/>
      <c r="S762" s="131"/>
      <c r="T762" s="129"/>
    </row>
    <row r="763" ht="37.5" customHeight="1">
      <c r="A763" s="129"/>
      <c r="B763" s="130"/>
      <c r="C763" s="130"/>
      <c r="D763" s="129"/>
      <c r="E763" s="131" t="s">
        <v>7027</v>
      </c>
      <c r="F763" s="131" t="s">
        <v>7027</v>
      </c>
      <c r="G763" s="131" t="s">
        <v>7027</v>
      </c>
      <c r="H763" s="131" t="s">
        <v>7027</v>
      </c>
      <c r="I763" s="131" t="s">
        <v>7027</v>
      </c>
      <c r="J763" s="129"/>
      <c r="K763" s="133"/>
      <c r="L763" s="131"/>
      <c r="M763" s="131"/>
      <c r="N763" s="131"/>
      <c r="O763" s="131"/>
      <c r="P763" s="129"/>
      <c r="Q763" s="131"/>
      <c r="R763" s="131"/>
      <c r="S763" s="131"/>
      <c r="T763" s="129"/>
    </row>
    <row r="764" ht="37.5" customHeight="1">
      <c r="A764" s="129"/>
      <c r="B764" s="130"/>
      <c r="C764" s="130"/>
      <c r="D764" s="129"/>
      <c r="E764" s="131" t="s">
        <v>7027</v>
      </c>
      <c r="F764" s="131" t="s">
        <v>7027</v>
      </c>
      <c r="G764" s="131" t="s">
        <v>7027</v>
      </c>
      <c r="H764" s="131" t="s">
        <v>7027</v>
      </c>
      <c r="I764" s="131" t="s">
        <v>7027</v>
      </c>
      <c r="J764" s="129"/>
      <c r="K764" s="133"/>
      <c r="L764" s="131"/>
      <c r="M764" s="131"/>
      <c r="N764" s="131"/>
      <c r="O764" s="131"/>
      <c r="P764" s="129"/>
      <c r="Q764" s="131"/>
      <c r="R764" s="131"/>
      <c r="S764" s="131"/>
      <c r="T764" s="129"/>
    </row>
    <row r="765" ht="37.5" customHeight="1">
      <c r="A765" s="129"/>
      <c r="B765" s="130"/>
      <c r="C765" s="130"/>
      <c r="D765" s="129"/>
      <c r="E765" s="131" t="s">
        <v>7027</v>
      </c>
      <c r="F765" s="131" t="s">
        <v>7027</v>
      </c>
      <c r="G765" s="131" t="s">
        <v>7027</v>
      </c>
      <c r="H765" s="131" t="s">
        <v>7027</v>
      </c>
      <c r="I765" s="131" t="s">
        <v>7027</v>
      </c>
      <c r="J765" s="129"/>
      <c r="K765" s="133"/>
      <c r="L765" s="131"/>
      <c r="M765" s="131"/>
      <c r="N765" s="131"/>
      <c r="O765" s="131"/>
      <c r="P765" s="129"/>
      <c r="Q765" s="131"/>
      <c r="R765" s="131"/>
      <c r="S765" s="131"/>
      <c r="T765" s="129"/>
    </row>
    <row r="766" ht="37.5" customHeight="1">
      <c r="A766" s="129"/>
      <c r="B766" s="130"/>
      <c r="C766" s="130"/>
      <c r="D766" s="129"/>
      <c r="E766" s="131" t="s">
        <v>7027</v>
      </c>
      <c r="F766" s="131" t="s">
        <v>7027</v>
      </c>
      <c r="G766" s="131" t="s">
        <v>7027</v>
      </c>
      <c r="H766" s="131" t="s">
        <v>7027</v>
      </c>
      <c r="I766" s="131" t="s">
        <v>7027</v>
      </c>
      <c r="J766" s="129"/>
      <c r="K766" s="133"/>
      <c r="L766" s="131"/>
      <c r="M766" s="131"/>
      <c r="N766" s="131"/>
      <c r="O766" s="131"/>
      <c r="P766" s="129"/>
      <c r="Q766" s="131"/>
      <c r="R766" s="131"/>
      <c r="S766" s="131"/>
      <c r="T766" s="129"/>
    </row>
    <row r="767" ht="37.5" customHeight="1">
      <c r="A767" s="129"/>
      <c r="B767" s="130"/>
      <c r="C767" s="130"/>
      <c r="D767" s="129"/>
      <c r="E767" s="131" t="s">
        <v>7027</v>
      </c>
      <c r="F767" s="131" t="s">
        <v>7027</v>
      </c>
      <c r="G767" s="131" t="s">
        <v>7027</v>
      </c>
      <c r="H767" s="131" t="s">
        <v>7027</v>
      </c>
      <c r="I767" s="131" t="s">
        <v>7027</v>
      </c>
      <c r="J767" s="129"/>
      <c r="K767" s="133"/>
      <c r="L767" s="131"/>
      <c r="M767" s="131"/>
      <c r="N767" s="131"/>
      <c r="O767" s="131"/>
      <c r="P767" s="129"/>
      <c r="Q767" s="131"/>
      <c r="R767" s="131"/>
      <c r="S767" s="131"/>
      <c r="T767" s="129"/>
    </row>
    <row r="768" ht="37.5" customHeight="1">
      <c r="A768" s="129"/>
      <c r="B768" s="130"/>
      <c r="C768" s="130"/>
      <c r="D768" s="129"/>
      <c r="E768" s="131" t="s">
        <v>7027</v>
      </c>
      <c r="F768" s="131" t="s">
        <v>7027</v>
      </c>
      <c r="G768" s="131" t="s">
        <v>7027</v>
      </c>
      <c r="H768" s="131" t="s">
        <v>7027</v>
      </c>
      <c r="I768" s="131" t="s">
        <v>7027</v>
      </c>
      <c r="J768" s="129"/>
      <c r="K768" s="133"/>
      <c r="L768" s="131"/>
      <c r="M768" s="131"/>
      <c r="N768" s="131"/>
      <c r="O768" s="131"/>
      <c r="P768" s="129"/>
      <c r="Q768" s="131"/>
      <c r="R768" s="131"/>
      <c r="S768" s="131"/>
      <c r="T768" s="129"/>
    </row>
    <row r="769" ht="37.5" customHeight="1">
      <c r="A769" s="129"/>
      <c r="B769" s="130"/>
      <c r="C769" s="130"/>
      <c r="D769" s="129"/>
      <c r="E769" s="131" t="s">
        <v>7027</v>
      </c>
      <c r="F769" s="131" t="s">
        <v>7027</v>
      </c>
      <c r="G769" s="131" t="s">
        <v>7027</v>
      </c>
      <c r="H769" s="131" t="s">
        <v>7027</v>
      </c>
      <c r="I769" s="131" t="s">
        <v>7027</v>
      </c>
      <c r="J769" s="129"/>
      <c r="K769" s="133"/>
      <c r="L769" s="131"/>
      <c r="M769" s="131"/>
      <c r="N769" s="131"/>
      <c r="O769" s="131"/>
      <c r="P769" s="129"/>
      <c r="Q769" s="131"/>
      <c r="R769" s="131"/>
      <c r="S769" s="131"/>
      <c r="T769" s="129"/>
    </row>
    <row r="770" ht="37.5" customHeight="1">
      <c r="A770" s="129"/>
      <c r="B770" s="130"/>
      <c r="C770" s="130"/>
      <c r="D770" s="129"/>
      <c r="E770" s="131" t="s">
        <v>7027</v>
      </c>
      <c r="F770" s="131" t="s">
        <v>7027</v>
      </c>
      <c r="G770" s="131" t="s">
        <v>7027</v>
      </c>
      <c r="H770" s="131" t="s">
        <v>7027</v>
      </c>
      <c r="I770" s="131" t="s">
        <v>7027</v>
      </c>
      <c r="J770" s="129"/>
      <c r="K770" s="133"/>
      <c r="L770" s="131"/>
      <c r="M770" s="131"/>
      <c r="N770" s="131"/>
      <c r="O770" s="131"/>
      <c r="P770" s="129"/>
      <c r="Q770" s="131"/>
      <c r="R770" s="131"/>
      <c r="S770" s="131"/>
      <c r="T770" s="129"/>
    </row>
    <row r="771" ht="37.5" customHeight="1">
      <c r="A771" s="129"/>
      <c r="B771" s="130"/>
      <c r="C771" s="130"/>
      <c r="D771" s="129"/>
      <c r="E771" s="131" t="s">
        <v>7027</v>
      </c>
      <c r="F771" s="131" t="s">
        <v>7027</v>
      </c>
      <c r="G771" s="131" t="s">
        <v>7027</v>
      </c>
      <c r="H771" s="131" t="s">
        <v>7027</v>
      </c>
      <c r="I771" s="131" t="s">
        <v>7027</v>
      </c>
      <c r="J771" s="129"/>
      <c r="K771" s="133"/>
      <c r="L771" s="131"/>
      <c r="M771" s="131"/>
      <c r="N771" s="131"/>
      <c r="O771" s="131"/>
      <c r="P771" s="129"/>
      <c r="Q771" s="131"/>
      <c r="R771" s="131"/>
      <c r="S771" s="131"/>
      <c r="T771" s="129"/>
    </row>
    <row r="772" ht="37.5" customHeight="1">
      <c r="A772" s="129"/>
      <c r="B772" s="130"/>
      <c r="C772" s="130"/>
      <c r="D772" s="129"/>
      <c r="E772" s="131" t="s">
        <v>7027</v>
      </c>
      <c r="F772" s="131" t="s">
        <v>7027</v>
      </c>
      <c r="G772" s="131" t="s">
        <v>7027</v>
      </c>
      <c r="H772" s="131" t="s">
        <v>7027</v>
      </c>
      <c r="I772" s="131" t="s">
        <v>7027</v>
      </c>
      <c r="J772" s="129"/>
      <c r="K772" s="133"/>
      <c r="L772" s="131"/>
      <c r="M772" s="131"/>
      <c r="N772" s="131"/>
      <c r="O772" s="131"/>
      <c r="P772" s="129"/>
      <c r="Q772" s="131"/>
      <c r="R772" s="131"/>
      <c r="S772" s="131"/>
      <c r="T772" s="129"/>
    </row>
    <row r="773" ht="37.5" customHeight="1">
      <c r="A773" s="129"/>
      <c r="B773" s="130"/>
      <c r="C773" s="130"/>
      <c r="D773" s="129"/>
      <c r="E773" s="131" t="s">
        <v>7027</v>
      </c>
      <c r="F773" s="131" t="s">
        <v>7027</v>
      </c>
      <c r="G773" s="131" t="s">
        <v>7027</v>
      </c>
      <c r="H773" s="131" t="s">
        <v>7027</v>
      </c>
      <c r="I773" s="131" t="s">
        <v>7027</v>
      </c>
      <c r="J773" s="129"/>
      <c r="K773" s="133"/>
      <c r="L773" s="131"/>
      <c r="M773" s="131"/>
      <c r="N773" s="131"/>
      <c r="O773" s="131"/>
      <c r="P773" s="129"/>
      <c r="Q773" s="131"/>
      <c r="R773" s="131"/>
      <c r="S773" s="131"/>
      <c r="T773" s="129"/>
    </row>
    <row r="774" ht="37.5" customHeight="1">
      <c r="A774" s="129"/>
      <c r="B774" s="130"/>
      <c r="C774" s="130"/>
      <c r="D774" s="129"/>
      <c r="E774" s="131" t="s">
        <v>7027</v>
      </c>
      <c r="F774" s="131" t="s">
        <v>7027</v>
      </c>
      <c r="G774" s="131" t="s">
        <v>7027</v>
      </c>
      <c r="H774" s="131" t="s">
        <v>7027</v>
      </c>
      <c r="I774" s="131" t="s">
        <v>7027</v>
      </c>
      <c r="J774" s="129"/>
      <c r="K774" s="133"/>
      <c r="L774" s="131"/>
      <c r="M774" s="131"/>
      <c r="N774" s="131"/>
      <c r="O774" s="131"/>
      <c r="P774" s="129"/>
      <c r="Q774" s="131"/>
      <c r="R774" s="131"/>
      <c r="S774" s="131"/>
      <c r="T774" s="129"/>
    </row>
    <row r="775" ht="37.5" customHeight="1">
      <c r="A775" s="129"/>
      <c r="B775" s="130"/>
      <c r="C775" s="130"/>
      <c r="D775" s="129"/>
      <c r="E775" s="131" t="s">
        <v>7027</v>
      </c>
      <c r="F775" s="131" t="s">
        <v>7027</v>
      </c>
      <c r="G775" s="131" t="s">
        <v>7027</v>
      </c>
      <c r="H775" s="131" t="s">
        <v>7027</v>
      </c>
      <c r="I775" s="131" t="s">
        <v>7027</v>
      </c>
      <c r="J775" s="129"/>
      <c r="K775" s="133"/>
      <c r="L775" s="131"/>
      <c r="M775" s="131"/>
      <c r="N775" s="131"/>
      <c r="O775" s="131"/>
      <c r="P775" s="129"/>
      <c r="Q775" s="131"/>
      <c r="R775" s="131"/>
      <c r="S775" s="131"/>
      <c r="T775" s="129"/>
    </row>
    <row r="776" ht="37.5" customHeight="1">
      <c r="A776" s="129"/>
      <c r="B776" s="130"/>
      <c r="C776" s="130"/>
      <c r="D776" s="129"/>
      <c r="E776" s="131" t="s">
        <v>7027</v>
      </c>
      <c r="F776" s="131" t="s">
        <v>7027</v>
      </c>
      <c r="G776" s="131" t="s">
        <v>7027</v>
      </c>
      <c r="H776" s="131" t="s">
        <v>7027</v>
      </c>
      <c r="I776" s="131" t="s">
        <v>7027</v>
      </c>
      <c r="J776" s="129"/>
      <c r="K776" s="133"/>
      <c r="L776" s="131"/>
      <c r="M776" s="131"/>
      <c r="N776" s="131"/>
      <c r="O776" s="131"/>
      <c r="P776" s="129"/>
      <c r="Q776" s="131"/>
      <c r="R776" s="131"/>
      <c r="S776" s="131"/>
      <c r="T776" s="129"/>
    </row>
    <row r="777" ht="37.5" customHeight="1">
      <c r="A777" s="129"/>
      <c r="B777" s="130"/>
      <c r="C777" s="130"/>
      <c r="D777" s="129"/>
      <c r="E777" s="131" t="s">
        <v>7027</v>
      </c>
      <c r="F777" s="131" t="s">
        <v>7027</v>
      </c>
      <c r="G777" s="131" t="s">
        <v>7027</v>
      </c>
      <c r="H777" s="131" t="s">
        <v>7027</v>
      </c>
      <c r="I777" s="131" t="s">
        <v>7027</v>
      </c>
      <c r="J777" s="129"/>
      <c r="K777" s="133"/>
      <c r="L777" s="131"/>
      <c r="M777" s="131"/>
      <c r="N777" s="131"/>
      <c r="O777" s="131"/>
      <c r="P777" s="129"/>
      <c r="Q777" s="131"/>
      <c r="R777" s="131"/>
      <c r="S777" s="131"/>
      <c r="T777" s="129"/>
    </row>
    <row r="778" ht="37.5" customHeight="1">
      <c r="A778" s="129"/>
      <c r="B778" s="130"/>
      <c r="C778" s="130"/>
      <c r="D778" s="129"/>
      <c r="E778" s="131" t="s">
        <v>7027</v>
      </c>
      <c r="F778" s="131" t="s">
        <v>7027</v>
      </c>
      <c r="G778" s="131" t="s">
        <v>7027</v>
      </c>
      <c r="H778" s="131" t="s">
        <v>7027</v>
      </c>
      <c r="I778" s="131" t="s">
        <v>7027</v>
      </c>
      <c r="J778" s="129"/>
      <c r="K778" s="133"/>
      <c r="L778" s="131"/>
      <c r="M778" s="131"/>
      <c r="N778" s="131"/>
      <c r="O778" s="131"/>
      <c r="P778" s="129"/>
      <c r="Q778" s="131"/>
      <c r="R778" s="131"/>
      <c r="S778" s="131"/>
      <c r="T778" s="129"/>
    </row>
    <row r="779" ht="37.5" customHeight="1">
      <c r="A779" s="129"/>
      <c r="B779" s="130"/>
      <c r="C779" s="130"/>
      <c r="D779" s="129"/>
      <c r="E779" s="131" t="s">
        <v>7027</v>
      </c>
      <c r="F779" s="131" t="s">
        <v>7027</v>
      </c>
      <c r="G779" s="131" t="s">
        <v>7027</v>
      </c>
      <c r="H779" s="131" t="s">
        <v>7027</v>
      </c>
      <c r="I779" s="131" t="s">
        <v>7027</v>
      </c>
      <c r="J779" s="129"/>
      <c r="K779" s="133"/>
      <c r="L779" s="131"/>
      <c r="M779" s="131"/>
      <c r="N779" s="131"/>
      <c r="O779" s="131"/>
      <c r="P779" s="129"/>
      <c r="Q779" s="131"/>
      <c r="R779" s="131"/>
      <c r="S779" s="131"/>
      <c r="T779" s="129"/>
    </row>
    <row r="780" ht="37.5" customHeight="1">
      <c r="A780" s="129"/>
      <c r="B780" s="130"/>
      <c r="C780" s="130"/>
      <c r="D780" s="129"/>
      <c r="E780" s="131" t="s">
        <v>7027</v>
      </c>
      <c r="F780" s="131" t="s">
        <v>7027</v>
      </c>
      <c r="G780" s="131" t="s">
        <v>7027</v>
      </c>
      <c r="H780" s="131" t="s">
        <v>7027</v>
      </c>
      <c r="I780" s="131" t="s">
        <v>7027</v>
      </c>
      <c r="J780" s="129"/>
      <c r="K780" s="133"/>
      <c r="L780" s="131"/>
      <c r="M780" s="131"/>
      <c r="N780" s="131"/>
      <c r="O780" s="131"/>
      <c r="P780" s="129"/>
      <c r="Q780" s="131"/>
      <c r="R780" s="131"/>
      <c r="S780" s="131"/>
      <c r="T780" s="129"/>
    </row>
    <row r="781" ht="37.5" customHeight="1">
      <c r="A781" s="129"/>
      <c r="B781" s="130"/>
      <c r="C781" s="130"/>
      <c r="D781" s="129"/>
      <c r="E781" s="131" t="s">
        <v>7027</v>
      </c>
      <c r="F781" s="131" t="s">
        <v>7027</v>
      </c>
      <c r="G781" s="131" t="s">
        <v>7027</v>
      </c>
      <c r="H781" s="131" t="s">
        <v>7027</v>
      </c>
      <c r="I781" s="131" t="s">
        <v>7027</v>
      </c>
      <c r="J781" s="129"/>
      <c r="K781" s="133"/>
      <c r="L781" s="131"/>
      <c r="M781" s="131"/>
      <c r="N781" s="131"/>
      <c r="O781" s="131"/>
      <c r="P781" s="129"/>
      <c r="Q781" s="131"/>
      <c r="R781" s="131"/>
      <c r="S781" s="131"/>
      <c r="T781" s="129"/>
    </row>
    <row r="782" ht="37.5" customHeight="1">
      <c r="A782" s="129"/>
      <c r="B782" s="130"/>
      <c r="C782" s="130"/>
      <c r="D782" s="129"/>
      <c r="E782" s="131" t="s">
        <v>7027</v>
      </c>
      <c r="F782" s="131" t="s">
        <v>7027</v>
      </c>
      <c r="G782" s="131" t="s">
        <v>7027</v>
      </c>
      <c r="H782" s="131" t="s">
        <v>7027</v>
      </c>
      <c r="I782" s="131" t="s">
        <v>7027</v>
      </c>
      <c r="J782" s="129"/>
      <c r="K782" s="133"/>
      <c r="L782" s="131"/>
      <c r="M782" s="131"/>
      <c r="N782" s="131"/>
      <c r="O782" s="131"/>
      <c r="P782" s="129"/>
      <c r="Q782" s="131"/>
      <c r="R782" s="131"/>
      <c r="S782" s="131"/>
      <c r="T782" s="129"/>
    </row>
    <row r="783" ht="37.5" customHeight="1">
      <c r="A783" s="129"/>
      <c r="B783" s="130"/>
      <c r="C783" s="130"/>
      <c r="D783" s="129"/>
      <c r="E783" s="131" t="s">
        <v>7027</v>
      </c>
      <c r="F783" s="131" t="s">
        <v>7027</v>
      </c>
      <c r="G783" s="131" t="s">
        <v>7027</v>
      </c>
      <c r="H783" s="131" t="s">
        <v>7027</v>
      </c>
      <c r="I783" s="131" t="s">
        <v>7027</v>
      </c>
      <c r="J783" s="129"/>
      <c r="K783" s="133"/>
      <c r="L783" s="131"/>
      <c r="M783" s="131"/>
      <c r="N783" s="131"/>
      <c r="O783" s="131"/>
      <c r="P783" s="129"/>
      <c r="Q783" s="131"/>
      <c r="R783" s="131"/>
      <c r="S783" s="131"/>
      <c r="T783" s="129"/>
    </row>
    <row r="784" ht="37.5" customHeight="1">
      <c r="A784" s="129"/>
      <c r="B784" s="130"/>
      <c r="C784" s="130"/>
      <c r="D784" s="129"/>
      <c r="E784" s="131" t="s">
        <v>7027</v>
      </c>
      <c r="F784" s="131" t="s">
        <v>7027</v>
      </c>
      <c r="G784" s="131" t="s">
        <v>7027</v>
      </c>
      <c r="H784" s="131" t="s">
        <v>7027</v>
      </c>
      <c r="I784" s="131" t="s">
        <v>7027</v>
      </c>
      <c r="J784" s="129"/>
      <c r="K784" s="133"/>
      <c r="L784" s="131"/>
      <c r="M784" s="131"/>
      <c r="N784" s="131"/>
      <c r="O784" s="131"/>
      <c r="P784" s="129"/>
      <c r="Q784" s="131"/>
      <c r="R784" s="131"/>
      <c r="S784" s="131"/>
      <c r="T784" s="129"/>
    </row>
    <row r="785" ht="37.5" customHeight="1">
      <c r="A785" s="129"/>
      <c r="B785" s="130"/>
      <c r="C785" s="130"/>
      <c r="D785" s="129"/>
      <c r="E785" s="131" t="s">
        <v>7027</v>
      </c>
      <c r="F785" s="131" t="s">
        <v>7027</v>
      </c>
      <c r="G785" s="131" t="s">
        <v>7027</v>
      </c>
      <c r="H785" s="131" t="s">
        <v>7027</v>
      </c>
      <c r="I785" s="131" t="s">
        <v>7027</v>
      </c>
      <c r="J785" s="129"/>
      <c r="K785" s="133"/>
      <c r="L785" s="131"/>
      <c r="M785" s="131"/>
      <c r="N785" s="131"/>
      <c r="O785" s="131"/>
      <c r="P785" s="129"/>
      <c r="Q785" s="131"/>
      <c r="R785" s="131"/>
      <c r="S785" s="131"/>
      <c r="T785" s="129"/>
    </row>
    <row r="786" ht="37.5" customHeight="1">
      <c r="A786" s="129"/>
      <c r="B786" s="130"/>
      <c r="C786" s="130"/>
      <c r="D786" s="129"/>
      <c r="E786" s="131" t="s">
        <v>7027</v>
      </c>
      <c r="F786" s="131" t="s">
        <v>7027</v>
      </c>
      <c r="G786" s="131" t="s">
        <v>7027</v>
      </c>
      <c r="H786" s="131" t="s">
        <v>7027</v>
      </c>
      <c r="I786" s="131" t="s">
        <v>7027</v>
      </c>
      <c r="J786" s="129"/>
      <c r="K786" s="133"/>
      <c r="L786" s="131"/>
      <c r="M786" s="131"/>
      <c r="N786" s="131"/>
      <c r="O786" s="131"/>
      <c r="P786" s="129"/>
      <c r="Q786" s="131"/>
      <c r="R786" s="131"/>
      <c r="S786" s="131"/>
      <c r="T786" s="129"/>
    </row>
    <row r="787" ht="37.5" customHeight="1">
      <c r="A787" s="129"/>
      <c r="B787" s="130"/>
      <c r="C787" s="130"/>
      <c r="D787" s="129"/>
      <c r="E787" s="131" t="s">
        <v>7027</v>
      </c>
      <c r="F787" s="131" t="s">
        <v>7027</v>
      </c>
      <c r="G787" s="131" t="s">
        <v>7027</v>
      </c>
      <c r="H787" s="131" t="s">
        <v>7027</v>
      </c>
      <c r="I787" s="131" t="s">
        <v>7027</v>
      </c>
      <c r="J787" s="129"/>
      <c r="K787" s="133"/>
      <c r="L787" s="131"/>
      <c r="M787" s="131"/>
      <c r="N787" s="131"/>
      <c r="O787" s="131"/>
      <c r="P787" s="129"/>
      <c r="Q787" s="131"/>
      <c r="R787" s="131"/>
      <c r="S787" s="131"/>
      <c r="T787" s="129"/>
    </row>
    <row r="788" ht="37.5" customHeight="1">
      <c r="A788" s="129"/>
      <c r="B788" s="130"/>
      <c r="C788" s="130"/>
      <c r="D788" s="129"/>
      <c r="E788" s="131" t="s">
        <v>7027</v>
      </c>
      <c r="F788" s="131" t="s">
        <v>7027</v>
      </c>
      <c r="G788" s="131" t="s">
        <v>7027</v>
      </c>
      <c r="H788" s="131" t="s">
        <v>7027</v>
      </c>
      <c r="I788" s="131" t="s">
        <v>7027</v>
      </c>
      <c r="J788" s="129"/>
      <c r="K788" s="133"/>
      <c r="L788" s="131"/>
      <c r="M788" s="131"/>
      <c r="N788" s="131"/>
      <c r="O788" s="131"/>
      <c r="P788" s="129"/>
      <c r="Q788" s="131"/>
      <c r="R788" s="131"/>
      <c r="S788" s="131"/>
      <c r="T788" s="129"/>
    </row>
    <row r="789" ht="37.5" customHeight="1">
      <c r="A789" s="129"/>
      <c r="B789" s="130"/>
      <c r="C789" s="130"/>
      <c r="D789" s="129"/>
      <c r="E789" s="131" t="s">
        <v>7027</v>
      </c>
      <c r="F789" s="131" t="s">
        <v>7027</v>
      </c>
      <c r="G789" s="131" t="s">
        <v>7027</v>
      </c>
      <c r="H789" s="131" t="s">
        <v>7027</v>
      </c>
      <c r="I789" s="131" t="s">
        <v>7027</v>
      </c>
      <c r="J789" s="129"/>
      <c r="K789" s="133"/>
      <c r="L789" s="131"/>
      <c r="M789" s="131"/>
      <c r="N789" s="131"/>
      <c r="O789" s="131"/>
      <c r="P789" s="129"/>
      <c r="Q789" s="131"/>
      <c r="R789" s="131"/>
      <c r="S789" s="131"/>
      <c r="T789" s="129"/>
    </row>
    <row r="790" ht="37.5" customHeight="1">
      <c r="A790" s="129"/>
      <c r="B790" s="130"/>
      <c r="C790" s="130"/>
      <c r="D790" s="129"/>
      <c r="E790" s="131" t="s">
        <v>7027</v>
      </c>
      <c r="F790" s="131" t="s">
        <v>7027</v>
      </c>
      <c r="G790" s="131" t="s">
        <v>7027</v>
      </c>
      <c r="H790" s="131" t="s">
        <v>7027</v>
      </c>
      <c r="I790" s="131" t="s">
        <v>7027</v>
      </c>
      <c r="J790" s="129"/>
      <c r="K790" s="133"/>
      <c r="L790" s="131"/>
      <c r="M790" s="131"/>
      <c r="N790" s="131"/>
      <c r="O790" s="131"/>
      <c r="P790" s="129"/>
      <c r="Q790" s="131"/>
      <c r="R790" s="131"/>
      <c r="S790" s="131"/>
      <c r="T790" s="129"/>
    </row>
    <row r="791" ht="37.5" customHeight="1">
      <c r="A791" s="129"/>
      <c r="B791" s="130"/>
      <c r="C791" s="130"/>
      <c r="D791" s="129"/>
      <c r="E791" s="131" t="s">
        <v>7027</v>
      </c>
      <c r="F791" s="131" t="s">
        <v>7027</v>
      </c>
      <c r="G791" s="131" t="s">
        <v>7027</v>
      </c>
      <c r="H791" s="131" t="s">
        <v>7027</v>
      </c>
      <c r="I791" s="131" t="s">
        <v>7027</v>
      </c>
      <c r="J791" s="129"/>
      <c r="K791" s="133"/>
      <c r="L791" s="131"/>
      <c r="M791" s="131"/>
      <c r="N791" s="131"/>
      <c r="O791" s="131"/>
      <c r="P791" s="129"/>
      <c r="Q791" s="131"/>
      <c r="R791" s="131"/>
      <c r="S791" s="131"/>
      <c r="T791" s="129"/>
    </row>
    <row r="792" ht="37.5" customHeight="1">
      <c r="A792" s="129"/>
      <c r="B792" s="130"/>
      <c r="C792" s="130"/>
      <c r="D792" s="129"/>
      <c r="E792" s="131" t="s">
        <v>7027</v>
      </c>
      <c r="F792" s="131" t="s">
        <v>7027</v>
      </c>
      <c r="G792" s="131" t="s">
        <v>7027</v>
      </c>
      <c r="H792" s="131" t="s">
        <v>7027</v>
      </c>
      <c r="I792" s="131" t="s">
        <v>7027</v>
      </c>
      <c r="J792" s="129"/>
      <c r="K792" s="133"/>
      <c r="L792" s="131"/>
      <c r="M792" s="131"/>
      <c r="N792" s="131"/>
      <c r="O792" s="131"/>
      <c r="P792" s="129"/>
      <c r="Q792" s="131"/>
      <c r="R792" s="131"/>
      <c r="S792" s="131"/>
      <c r="T792" s="129"/>
    </row>
    <row r="793" ht="37.5" customHeight="1">
      <c r="A793" s="129"/>
      <c r="B793" s="130"/>
      <c r="C793" s="130"/>
      <c r="D793" s="129"/>
      <c r="E793" s="131" t="s">
        <v>7027</v>
      </c>
      <c r="F793" s="131" t="s">
        <v>7027</v>
      </c>
      <c r="G793" s="131" t="s">
        <v>7027</v>
      </c>
      <c r="H793" s="131" t="s">
        <v>7027</v>
      </c>
      <c r="I793" s="131" t="s">
        <v>7027</v>
      </c>
      <c r="J793" s="129"/>
      <c r="K793" s="133"/>
      <c r="L793" s="131"/>
      <c r="M793" s="131"/>
      <c r="N793" s="131"/>
      <c r="O793" s="131"/>
      <c r="P793" s="129"/>
      <c r="Q793" s="131"/>
      <c r="R793" s="131"/>
      <c r="S793" s="131"/>
      <c r="T793" s="129"/>
    </row>
    <row r="794" ht="37.5" customHeight="1">
      <c r="A794" s="129"/>
      <c r="B794" s="130"/>
      <c r="C794" s="130"/>
      <c r="D794" s="129"/>
      <c r="E794" s="131" t="s">
        <v>7027</v>
      </c>
      <c r="F794" s="131" t="s">
        <v>7027</v>
      </c>
      <c r="G794" s="131" t="s">
        <v>7027</v>
      </c>
      <c r="H794" s="131" t="s">
        <v>7027</v>
      </c>
      <c r="I794" s="131" t="s">
        <v>7027</v>
      </c>
      <c r="J794" s="129"/>
      <c r="K794" s="133"/>
      <c r="L794" s="131"/>
      <c r="M794" s="131"/>
      <c r="N794" s="131"/>
      <c r="O794" s="131"/>
      <c r="P794" s="129"/>
      <c r="Q794" s="131"/>
      <c r="R794" s="131"/>
      <c r="S794" s="131"/>
      <c r="T794" s="129"/>
    </row>
    <row r="795" ht="37.5" customHeight="1">
      <c r="A795" s="129"/>
      <c r="B795" s="130"/>
      <c r="C795" s="130"/>
      <c r="D795" s="129"/>
      <c r="E795" s="131" t="s">
        <v>7027</v>
      </c>
      <c r="F795" s="131" t="s">
        <v>7027</v>
      </c>
      <c r="G795" s="131" t="s">
        <v>7027</v>
      </c>
      <c r="H795" s="131" t="s">
        <v>7027</v>
      </c>
      <c r="I795" s="131" t="s">
        <v>7027</v>
      </c>
      <c r="J795" s="129"/>
      <c r="K795" s="133"/>
      <c r="L795" s="131"/>
      <c r="M795" s="131"/>
      <c r="N795" s="131"/>
      <c r="O795" s="131"/>
      <c r="P795" s="129"/>
      <c r="Q795" s="131"/>
      <c r="R795" s="131"/>
      <c r="S795" s="131"/>
      <c r="T795" s="129"/>
    </row>
    <row r="796" ht="37.5" customHeight="1">
      <c r="A796" s="129"/>
      <c r="B796" s="130"/>
      <c r="C796" s="130"/>
      <c r="D796" s="129"/>
      <c r="E796" s="131" t="s">
        <v>7027</v>
      </c>
      <c r="F796" s="131" t="s">
        <v>7027</v>
      </c>
      <c r="G796" s="131" t="s">
        <v>7027</v>
      </c>
      <c r="H796" s="131" t="s">
        <v>7027</v>
      </c>
      <c r="I796" s="131" t="s">
        <v>7027</v>
      </c>
      <c r="J796" s="129"/>
      <c r="K796" s="133"/>
      <c r="L796" s="131"/>
      <c r="M796" s="131"/>
      <c r="N796" s="131"/>
      <c r="O796" s="131"/>
      <c r="P796" s="129"/>
      <c r="Q796" s="131"/>
      <c r="R796" s="131"/>
      <c r="S796" s="131"/>
      <c r="T796" s="129"/>
    </row>
    <row r="797" ht="37.5" customHeight="1">
      <c r="A797" s="129"/>
      <c r="B797" s="130"/>
      <c r="C797" s="130"/>
      <c r="D797" s="129"/>
      <c r="E797" s="131" t="s">
        <v>7027</v>
      </c>
      <c r="F797" s="131" t="s">
        <v>7027</v>
      </c>
      <c r="G797" s="131" t="s">
        <v>7027</v>
      </c>
      <c r="H797" s="131" t="s">
        <v>7027</v>
      </c>
      <c r="I797" s="131" t="s">
        <v>7027</v>
      </c>
      <c r="J797" s="129"/>
      <c r="K797" s="133"/>
      <c r="L797" s="131"/>
      <c r="M797" s="131"/>
      <c r="N797" s="131"/>
      <c r="O797" s="131"/>
      <c r="P797" s="129"/>
      <c r="Q797" s="131"/>
      <c r="R797" s="131"/>
      <c r="S797" s="131"/>
      <c r="T797" s="129"/>
    </row>
    <row r="798" ht="37.5" customHeight="1">
      <c r="A798" s="129"/>
      <c r="B798" s="130"/>
      <c r="C798" s="130"/>
      <c r="D798" s="129"/>
      <c r="E798" s="131" t="s">
        <v>7027</v>
      </c>
      <c r="F798" s="131" t="s">
        <v>7027</v>
      </c>
      <c r="G798" s="131" t="s">
        <v>7027</v>
      </c>
      <c r="H798" s="131" t="s">
        <v>7027</v>
      </c>
      <c r="I798" s="131" t="s">
        <v>7027</v>
      </c>
      <c r="J798" s="129"/>
      <c r="K798" s="133"/>
      <c r="L798" s="131"/>
      <c r="M798" s="131"/>
      <c r="N798" s="131"/>
      <c r="O798" s="131"/>
      <c r="P798" s="129"/>
      <c r="Q798" s="131"/>
      <c r="R798" s="131"/>
      <c r="S798" s="131"/>
      <c r="T798" s="129"/>
    </row>
    <row r="799" ht="37.5" customHeight="1">
      <c r="A799" s="129"/>
      <c r="B799" s="130"/>
      <c r="C799" s="130"/>
      <c r="D799" s="129"/>
      <c r="E799" s="131" t="s">
        <v>7027</v>
      </c>
      <c r="F799" s="131" t="s">
        <v>7027</v>
      </c>
      <c r="G799" s="131" t="s">
        <v>7027</v>
      </c>
      <c r="H799" s="131" t="s">
        <v>7027</v>
      </c>
      <c r="I799" s="131" t="s">
        <v>7027</v>
      </c>
      <c r="J799" s="129"/>
      <c r="K799" s="133"/>
      <c r="L799" s="131"/>
      <c r="M799" s="131"/>
      <c r="N799" s="131"/>
      <c r="O799" s="131"/>
      <c r="P799" s="129"/>
      <c r="Q799" s="131"/>
      <c r="R799" s="131"/>
      <c r="S799" s="131"/>
      <c r="T799" s="129"/>
    </row>
    <row r="800" ht="37.5" customHeight="1">
      <c r="A800" s="129"/>
      <c r="B800" s="130"/>
      <c r="C800" s="130"/>
      <c r="D800" s="129"/>
      <c r="E800" s="131" t="s">
        <v>7027</v>
      </c>
      <c r="F800" s="131" t="s">
        <v>7027</v>
      </c>
      <c r="G800" s="131" t="s">
        <v>7027</v>
      </c>
      <c r="H800" s="131" t="s">
        <v>7027</v>
      </c>
      <c r="I800" s="131" t="s">
        <v>7027</v>
      </c>
      <c r="J800" s="129"/>
      <c r="K800" s="133"/>
      <c r="L800" s="131"/>
      <c r="M800" s="131"/>
      <c r="N800" s="131"/>
      <c r="O800" s="131"/>
      <c r="P800" s="129"/>
      <c r="Q800" s="131"/>
      <c r="R800" s="131"/>
      <c r="S800" s="131"/>
      <c r="T800" s="129"/>
    </row>
    <row r="801" ht="37.5" customHeight="1">
      <c r="A801" s="129"/>
      <c r="B801" s="130"/>
      <c r="C801" s="130"/>
      <c r="D801" s="129"/>
      <c r="E801" s="131" t="s">
        <v>7027</v>
      </c>
      <c r="F801" s="131" t="s">
        <v>7027</v>
      </c>
      <c r="G801" s="131" t="s">
        <v>7027</v>
      </c>
      <c r="H801" s="131" t="s">
        <v>7027</v>
      </c>
      <c r="I801" s="131" t="s">
        <v>7027</v>
      </c>
      <c r="J801" s="129"/>
      <c r="K801" s="133"/>
      <c r="L801" s="131"/>
      <c r="M801" s="131"/>
      <c r="N801" s="131"/>
      <c r="O801" s="131"/>
      <c r="P801" s="129"/>
      <c r="Q801" s="131"/>
      <c r="R801" s="131"/>
      <c r="S801" s="131"/>
      <c r="T801" s="129"/>
    </row>
    <row r="802" ht="37.5" customHeight="1">
      <c r="A802" s="129"/>
      <c r="B802" s="130"/>
      <c r="C802" s="130"/>
      <c r="D802" s="129"/>
      <c r="E802" s="131" t="s">
        <v>7027</v>
      </c>
      <c r="F802" s="131" t="s">
        <v>7027</v>
      </c>
      <c r="G802" s="131" t="s">
        <v>7027</v>
      </c>
      <c r="H802" s="131" t="s">
        <v>7027</v>
      </c>
      <c r="I802" s="131" t="s">
        <v>7027</v>
      </c>
      <c r="J802" s="129"/>
      <c r="K802" s="133"/>
      <c r="L802" s="131"/>
      <c r="M802" s="131"/>
      <c r="N802" s="131"/>
      <c r="O802" s="131"/>
      <c r="P802" s="129"/>
      <c r="Q802" s="131"/>
      <c r="R802" s="131"/>
      <c r="S802" s="131"/>
      <c r="T802" s="129"/>
    </row>
  </sheetData>
  <mergeCells count="1">
    <mergeCell ref="R1:S1"/>
  </mergeCells>
  <conditionalFormatting sqref="B2:C802 I2:I802 K2:O802 Q2:S802">
    <cfRule type="containsBlanks" dxfId="8" priority="1">
      <formula>LEN(TRIM(B2))=0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6.38"/>
    <col collapsed="1" customWidth="1" min="2" max="2" width="97.0"/>
    <col customWidth="1" hidden="1" min="3" max="3" width="54.5" outlineLevel="1"/>
    <col customWidth="1" min="4" max="4" width="6.38"/>
  </cols>
  <sheetData>
    <row r="1" ht="18.75" customHeight="1">
      <c r="A1" s="136"/>
      <c r="B1" s="136"/>
      <c r="C1" s="136"/>
      <c r="D1" s="137"/>
    </row>
    <row r="2" ht="48.75" customHeight="1" collapsed="1">
      <c r="A2" s="136"/>
      <c r="B2" s="138" t="s">
        <v>7151</v>
      </c>
      <c r="C2" s="139"/>
      <c r="D2" s="137"/>
    </row>
    <row r="3" ht="11.25" hidden="1" customHeight="1" outlineLevel="1">
      <c r="A3" s="140"/>
      <c r="B3" s="141" t="s">
        <v>665</v>
      </c>
      <c r="C3" s="142" t="s">
        <v>7152</v>
      </c>
      <c r="D3" s="143"/>
    </row>
    <row r="4" ht="11.25" hidden="1" customHeight="1" outlineLevel="1">
      <c r="A4" s="140"/>
      <c r="B4" s="144" t="s">
        <v>7153</v>
      </c>
      <c r="C4" s="142" t="s">
        <v>7152</v>
      </c>
      <c r="D4" s="143"/>
    </row>
    <row r="5" ht="11.25" hidden="1" customHeight="1" outlineLevel="1">
      <c r="A5" s="140"/>
      <c r="B5" s="144" t="s">
        <v>637</v>
      </c>
      <c r="C5" s="142" t="s">
        <v>7152</v>
      </c>
      <c r="D5" s="143"/>
    </row>
    <row r="6" ht="11.25" hidden="1" customHeight="1" outlineLevel="1">
      <c r="A6" s="140"/>
      <c r="B6" s="144" t="s">
        <v>395</v>
      </c>
      <c r="C6" s="142" t="s">
        <v>7152</v>
      </c>
      <c r="D6" s="143"/>
    </row>
    <row r="7" ht="11.25" hidden="1" customHeight="1" outlineLevel="1">
      <c r="A7" s="140"/>
      <c r="B7" s="144" t="s">
        <v>449</v>
      </c>
      <c r="C7" s="142" t="s">
        <v>7152</v>
      </c>
      <c r="D7" s="143"/>
    </row>
    <row r="8" ht="11.25" hidden="1" customHeight="1" outlineLevel="1">
      <c r="A8" s="140"/>
      <c r="B8" s="144" t="s">
        <v>442</v>
      </c>
      <c r="C8" s="142" t="s">
        <v>7152</v>
      </c>
      <c r="D8" s="143"/>
    </row>
    <row r="9" ht="11.25" hidden="1" customHeight="1" outlineLevel="1">
      <c r="A9" s="140"/>
      <c r="B9" s="144" t="s">
        <v>7154</v>
      </c>
      <c r="C9" s="142" t="s">
        <v>7152</v>
      </c>
      <c r="D9" s="143"/>
    </row>
    <row r="10" ht="11.25" hidden="1" customHeight="1" outlineLevel="1">
      <c r="A10" s="140"/>
      <c r="B10" s="144" t="s">
        <v>7155</v>
      </c>
      <c r="C10" s="142" t="s">
        <v>7152</v>
      </c>
      <c r="D10" s="143"/>
    </row>
    <row r="11" ht="11.25" hidden="1" customHeight="1" outlineLevel="1">
      <c r="A11" s="140"/>
      <c r="B11" s="144" t="s">
        <v>7156</v>
      </c>
      <c r="C11" s="142" t="s">
        <v>7152</v>
      </c>
      <c r="D11" s="143"/>
    </row>
    <row r="12" ht="11.25" hidden="1" customHeight="1" outlineLevel="1">
      <c r="A12" s="140"/>
      <c r="B12" s="144" t="s">
        <v>7157</v>
      </c>
      <c r="C12" s="142" t="s">
        <v>7152</v>
      </c>
      <c r="D12" s="143"/>
    </row>
    <row r="13" ht="11.25" hidden="1" customHeight="1" outlineLevel="1">
      <c r="A13" s="140"/>
      <c r="B13" s="144" t="s">
        <v>7158</v>
      </c>
      <c r="C13" s="142" t="s">
        <v>7152</v>
      </c>
      <c r="D13" s="143"/>
    </row>
    <row r="14" ht="11.25" hidden="1" customHeight="1" outlineLevel="1">
      <c r="A14" s="140"/>
      <c r="B14" s="144" t="s">
        <v>7159</v>
      </c>
      <c r="C14" s="142" t="s">
        <v>7152</v>
      </c>
      <c r="D14" s="143"/>
    </row>
    <row r="15" ht="11.25" hidden="1" customHeight="1" outlineLevel="1">
      <c r="A15" s="140"/>
      <c r="B15" s="144" t="s">
        <v>7160</v>
      </c>
      <c r="C15" s="142" t="s">
        <v>7152</v>
      </c>
      <c r="D15" s="143"/>
    </row>
    <row r="16" ht="11.25" hidden="1" customHeight="1" outlineLevel="1">
      <c r="A16" s="140"/>
      <c r="B16" s="144" t="s">
        <v>7161</v>
      </c>
      <c r="C16" s="142" t="s">
        <v>7152</v>
      </c>
      <c r="D16" s="143"/>
    </row>
    <row r="17" ht="11.25" hidden="1" customHeight="1" outlineLevel="1">
      <c r="A17" s="140"/>
      <c r="B17" s="144" t="s">
        <v>7162</v>
      </c>
      <c r="C17" s="142" t="s">
        <v>7152</v>
      </c>
      <c r="D17" s="143"/>
    </row>
    <row r="18" ht="11.25" hidden="1" customHeight="1" outlineLevel="1">
      <c r="A18" s="140"/>
      <c r="B18" s="144" t="s">
        <v>731</v>
      </c>
      <c r="C18" s="142" t="s">
        <v>7152</v>
      </c>
      <c r="D18" s="143"/>
    </row>
    <row r="19" ht="11.25" hidden="1" customHeight="1" outlineLevel="1">
      <c r="A19" s="140"/>
      <c r="B19" s="144" t="s">
        <v>7163</v>
      </c>
      <c r="C19" s="142" t="s">
        <v>7152</v>
      </c>
      <c r="D19" s="143"/>
    </row>
    <row r="20" ht="11.25" hidden="1" customHeight="1" outlineLevel="1">
      <c r="A20" s="140"/>
      <c r="B20" s="144" t="s">
        <v>7164</v>
      </c>
      <c r="C20" s="142" t="s">
        <v>7152</v>
      </c>
      <c r="D20" s="143"/>
    </row>
    <row r="21" ht="11.25" hidden="1" customHeight="1" outlineLevel="1">
      <c r="A21" s="140"/>
      <c r="B21" s="144" t="s">
        <v>821</v>
      </c>
      <c r="C21" s="142" t="s">
        <v>7152</v>
      </c>
      <c r="D21" s="143"/>
    </row>
    <row r="22" ht="11.25" hidden="1" customHeight="1" outlineLevel="1">
      <c r="A22" s="140"/>
      <c r="B22" s="144" t="s">
        <v>7165</v>
      </c>
      <c r="C22" s="142" t="s">
        <v>7152</v>
      </c>
      <c r="D22" s="143"/>
    </row>
    <row r="23" ht="11.25" hidden="1" customHeight="1" outlineLevel="1">
      <c r="A23" s="140"/>
      <c r="B23" s="144" t="s">
        <v>694</v>
      </c>
      <c r="C23" s="142" t="s">
        <v>7152</v>
      </c>
      <c r="D23" s="143"/>
    </row>
    <row r="24" ht="11.25" hidden="1" customHeight="1" outlineLevel="1">
      <c r="A24" s="140"/>
      <c r="B24" s="144" t="s">
        <v>712</v>
      </c>
      <c r="C24" s="142" t="s">
        <v>7152</v>
      </c>
      <c r="D24" s="143"/>
    </row>
    <row r="25" ht="11.25" hidden="1" customHeight="1" outlineLevel="1">
      <c r="A25" s="140"/>
      <c r="B25" s="144" t="s">
        <v>7166</v>
      </c>
      <c r="C25" s="142" t="s">
        <v>7152</v>
      </c>
      <c r="D25" s="143"/>
    </row>
    <row r="26" ht="11.25" hidden="1" customHeight="1" outlineLevel="1">
      <c r="A26" s="140"/>
      <c r="B26" s="144" t="s">
        <v>7167</v>
      </c>
      <c r="C26" s="142" t="s">
        <v>7152</v>
      </c>
      <c r="D26" s="143"/>
    </row>
    <row r="27" ht="11.25" hidden="1" customHeight="1" outlineLevel="1">
      <c r="A27" s="140"/>
      <c r="B27" s="144" t="s">
        <v>7168</v>
      </c>
      <c r="C27" s="142" t="s">
        <v>7152</v>
      </c>
      <c r="D27" s="143"/>
    </row>
    <row r="28" ht="11.25" customHeight="1">
      <c r="A28" s="140"/>
      <c r="B28" s="144"/>
      <c r="C28" s="142"/>
      <c r="D28" s="143"/>
    </row>
    <row r="29" ht="48.75" customHeight="1" collapsed="1">
      <c r="A29" s="136"/>
      <c r="B29" s="145" t="s">
        <v>7169</v>
      </c>
      <c r="C29" s="139"/>
      <c r="D29" s="137"/>
    </row>
    <row r="30" ht="11.25" hidden="1" customHeight="1" outlineLevel="1">
      <c r="A30" s="140"/>
      <c r="B30" s="141" t="s">
        <v>374</v>
      </c>
      <c r="C30" s="142" t="s">
        <v>7170</v>
      </c>
      <c r="D30" s="143"/>
    </row>
    <row r="31" ht="11.25" hidden="1" customHeight="1" outlineLevel="1">
      <c r="A31" s="140"/>
      <c r="B31" s="144" t="s">
        <v>7171</v>
      </c>
      <c r="C31" s="142" t="s">
        <v>7170</v>
      </c>
      <c r="D31" s="143"/>
    </row>
    <row r="32" ht="11.25" hidden="1" customHeight="1" outlineLevel="1">
      <c r="A32" s="140"/>
      <c r="B32" s="144" t="s">
        <v>7172</v>
      </c>
      <c r="C32" s="142" t="s">
        <v>7170</v>
      </c>
      <c r="D32" s="143"/>
    </row>
    <row r="33" ht="11.25" hidden="1" customHeight="1" outlineLevel="1">
      <c r="A33" s="140"/>
      <c r="B33" s="144" t="s">
        <v>7173</v>
      </c>
      <c r="C33" s="142" t="s">
        <v>7170</v>
      </c>
      <c r="D33" s="143"/>
    </row>
    <row r="34" ht="11.25" hidden="1" customHeight="1" outlineLevel="1">
      <c r="A34" s="140"/>
      <c r="B34" s="144" t="s">
        <v>7174</v>
      </c>
      <c r="C34" s="142" t="s">
        <v>7170</v>
      </c>
      <c r="D34" s="143"/>
    </row>
    <row r="35" ht="11.25" hidden="1" customHeight="1" outlineLevel="1">
      <c r="A35" s="140"/>
      <c r="B35" s="144" t="s">
        <v>7175</v>
      </c>
      <c r="C35" s="142" t="s">
        <v>7170</v>
      </c>
      <c r="D35" s="143"/>
    </row>
    <row r="36" ht="11.25" hidden="1" customHeight="1" outlineLevel="1">
      <c r="A36" s="140"/>
      <c r="B36" s="144" t="s">
        <v>7176</v>
      </c>
      <c r="C36" s="142" t="s">
        <v>7170</v>
      </c>
      <c r="D36" s="143"/>
    </row>
    <row r="37" ht="11.25" hidden="1" customHeight="1" outlineLevel="1">
      <c r="A37" s="140"/>
      <c r="B37" s="144" t="s">
        <v>7177</v>
      </c>
      <c r="C37" s="142" t="s">
        <v>7170</v>
      </c>
      <c r="D37" s="143"/>
    </row>
    <row r="38" ht="11.25" hidden="1" customHeight="1" outlineLevel="1">
      <c r="A38" s="140"/>
      <c r="B38" s="144" t="s">
        <v>7178</v>
      </c>
      <c r="C38" s="142" t="s">
        <v>7170</v>
      </c>
      <c r="D38" s="143"/>
    </row>
    <row r="39" ht="11.25" hidden="1" customHeight="1" outlineLevel="1">
      <c r="A39" s="140"/>
      <c r="B39" s="144" t="s">
        <v>7179</v>
      </c>
      <c r="C39" s="142" t="s">
        <v>7170</v>
      </c>
      <c r="D39" s="143"/>
    </row>
    <row r="40" ht="11.25" hidden="1" customHeight="1" outlineLevel="1">
      <c r="A40" s="140"/>
      <c r="B40" s="144" t="s">
        <v>552</v>
      </c>
      <c r="C40" s="142" t="s">
        <v>7170</v>
      </c>
      <c r="D40" s="143"/>
    </row>
    <row r="41" ht="11.25" hidden="1" customHeight="1" outlineLevel="1">
      <c r="A41" s="140"/>
      <c r="B41" s="144" t="s">
        <v>7180</v>
      </c>
      <c r="C41" s="142" t="s">
        <v>7170</v>
      </c>
      <c r="D41" s="143"/>
    </row>
    <row r="42" ht="11.25" hidden="1" customHeight="1" outlineLevel="1">
      <c r="A42" s="140"/>
      <c r="B42" s="144" t="s">
        <v>7181</v>
      </c>
      <c r="C42" s="142" t="s">
        <v>7170</v>
      </c>
      <c r="D42" s="143"/>
    </row>
    <row r="43" ht="11.25" hidden="1" customHeight="1" outlineLevel="1">
      <c r="A43" s="140"/>
      <c r="B43" s="144" t="s">
        <v>7182</v>
      </c>
      <c r="C43" s="142" t="s">
        <v>7170</v>
      </c>
      <c r="D43" s="143"/>
    </row>
    <row r="44" ht="11.25" hidden="1" customHeight="1" outlineLevel="1">
      <c r="A44" s="140"/>
      <c r="B44" s="144" t="s">
        <v>7183</v>
      </c>
      <c r="C44" s="142" t="s">
        <v>7170</v>
      </c>
      <c r="D44" s="143"/>
    </row>
    <row r="45" ht="11.25" hidden="1" customHeight="1" outlineLevel="1">
      <c r="A45" s="140"/>
      <c r="B45" s="144" t="s">
        <v>7184</v>
      </c>
      <c r="C45" s="142" t="s">
        <v>7170</v>
      </c>
      <c r="D45" s="143"/>
    </row>
    <row r="46" ht="11.25" hidden="1" customHeight="1" outlineLevel="1">
      <c r="A46" s="140"/>
      <c r="B46" s="144" t="s">
        <v>7185</v>
      </c>
      <c r="C46" s="142" t="s">
        <v>7170</v>
      </c>
      <c r="D46" s="143"/>
    </row>
    <row r="47" ht="11.25" hidden="1" customHeight="1" outlineLevel="1">
      <c r="A47" s="140"/>
      <c r="B47" s="144" t="s">
        <v>7186</v>
      </c>
      <c r="C47" s="142" t="s">
        <v>7170</v>
      </c>
      <c r="D47" s="143"/>
    </row>
    <row r="48" ht="11.25" hidden="1" customHeight="1" outlineLevel="1">
      <c r="A48" s="140"/>
      <c r="B48" s="144" t="s">
        <v>7187</v>
      </c>
      <c r="C48" s="142" t="s">
        <v>7170</v>
      </c>
      <c r="D48" s="143"/>
    </row>
    <row r="49" ht="11.25" hidden="1" customHeight="1" outlineLevel="1">
      <c r="A49" s="140"/>
      <c r="B49" s="144" t="s">
        <v>7188</v>
      </c>
      <c r="C49" s="142" t="s">
        <v>7170</v>
      </c>
      <c r="D49" s="143"/>
    </row>
    <row r="50" ht="11.25" hidden="1" customHeight="1" outlineLevel="1">
      <c r="A50" s="140"/>
      <c r="B50" s="144" t="s">
        <v>7189</v>
      </c>
      <c r="C50" s="142" t="s">
        <v>7170</v>
      </c>
      <c r="D50" s="143"/>
    </row>
    <row r="51" ht="11.25" hidden="1" customHeight="1" outlineLevel="1">
      <c r="A51" s="140"/>
      <c r="B51" s="144" t="s">
        <v>7190</v>
      </c>
      <c r="C51" s="142" t="s">
        <v>7170</v>
      </c>
      <c r="D51" s="143"/>
    </row>
    <row r="52" ht="11.25" hidden="1" customHeight="1" outlineLevel="1">
      <c r="A52" s="140"/>
      <c r="B52" s="144" t="s">
        <v>7191</v>
      </c>
      <c r="C52" s="142" t="s">
        <v>7170</v>
      </c>
      <c r="D52" s="143"/>
    </row>
    <row r="53" ht="11.25" hidden="1" customHeight="1" outlineLevel="1">
      <c r="A53" s="140"/>
      <c r="B53" s="144" t="s">
        <v>7192</v>
      </c>
      <c r="C53" s="142" t="s">
        <v>7170</v>
      </c>
      <c r="D53" s="143"/>
    </row>
    <row r="54" ht="11.25" hidden="1" customHeight="1" outlineLevel="1">
      <c r="A54" s="140"/>
      <c r="B54" s="144" t="s">
        <v>495</v>
      </c>
      <c r="C54" s="142" t="s">
        <v>7170</v>
      </c>
      <c r="D54" s="143"/>
    </row>
    <row r="55" ht="11.25" hidden="1" customHeight="1" outlineLevel="1">
      <c r="A55" s="140"/>
      <c r="B55" s="144" t="s">
        <v>7193</v>
      </c>
      <c r="C55" s="142" t="s">
        <v>7170</v>
      </c>
      <c r="D55" s="143"/>
    </row>
    <row r="56" ht="11.25" hidden="1" customHeight="1" outlineLevel="1">
      <c r="A56" s="140"/>
      <c r="B56" s="144" t="s">
        <v>7194</v>
      </c>
      <c r="C56" s="142" t="s">
        <v>7170</v>
      </c>
      <c r="D56" s="143"/>
    </row>
    <row r="57" ht="11.25" customHeight="1">
      <c r="A57" s="146"/>
      <c r="B57" s="147"/>
      <c r="C57" s="148"/>
      <c r="D57" s="149"/>
    </row>
    <row r="58" ht="48.75" customHeight="1" collapsed="1">
      <c r="A58" s="136"/>
      <c r="B58" s="145" t="s">
        <v>7195</v>
      </c>
      <c r="C58" s="139"/>
      <c r="D58" s="137"/>
    </row>
    <row r="59" ht="11.25" hidden="1" customHeight="1" outlineLevel="1">
      <c r="A59" s="140"/>
      <c r="B59" s="141" t="s">
        <v>7196</v>
      </c>
      <c r="C59" s="142" t="s">
        <v>7197</v>
      </c>
      <c r="D59" s="143"/>
    </row>
    <row r="60" ht="11.25" hidden="1" customHeight="1" outlineLevel="1">
      <c r="A60" s="140"/>
      <c r="B60" s="144" t="s">
        <v>7198</v>
      </c>
      <c r="C60" s="142" t="s">
        <v>7197</v>
      </c>
      <c r="D60" s="143"/>
    </row>
    <row r="61" ht="11.25" hidden="1" customHeight="1" outlineLevel="1">
      <c r="A61" s="140"/>
      <c r="B61" s="144" t="s">
        <v>7199</v>
      </c>
      <c r="C61" s="142" t="s">
        <v>7197</v>
      </c>
      <c r="D61" s="143"/>
    </row>
    <row r="62" ht="11.25" customHeight="1">
      <c r="A62" s="140"/>
      <c r="B62" s="144"/>
      <c r="C62" s="142"/>
      <c r="D62" s="143"/>
    </row>
    <row r="63" ht="48.75" customHeight="1" collapsed="1">
      <c r="A63" s="136"/>
      <c r="B63" s="145" t="s">
        <v>7200</v>
      </c>
      <c r="C63" s="139"/>
      <c r="D63" s="137"/>
    </row>
    <row r="64" ht="11.25" hidden="1" customHeight="1" outlineLevel="1">
      <c r="A64" s="140"/>
      <c r="B64" s="141" t="s">
        <v>7201</v>
      </c>
      <c r="C64" s="142" t="s">
        <v>7202</v>
      </c>
      <c r="D64" s="143"/>
    </row>
    <row r="65" ht="11.25" hidden="1" customHeight="1" outlineLevel="1">
      <c r="A65" s="140"/>
      <c r="B65" s="144" t="s">
        <v>7203</v>
      </c>
      <c r="C65" s="142" t="s">
        <v>7202</v>
      </c>
      <c r="D65" s="143"/>
    </row>
    <row r="66" ht="11.25" hidden="1" customHeight="1" outlineLevel="1">
      <c r="A66" s="140"/>
      <c r="B66" s="144" t="s">
        <v>7204</v>
      </c>
      <c r="C66" s="142" t="s">
        <v>7202</v>
      </c>
      <c r="D66" s="143"/>
    </row>
    <row r="67" ht="11.25" hidden="1" customHeight="1" outlineLevel="1">
      <c r="A67" s="140"/>
      <c r="B67" s="144" t="s">
        <v>7205</v>
      </c>
      <c r="C67" s="142" t="s">
        <v>7202</v>
      </c>
      <c r="D67" s="143"/>
    </row>
    <row r="68" ht="11.25" hidden="1" customHeight="1" outlineLevel="1">
      <c r="A68" s="140"/>
      <c r="B68" s="144" t="s">
        <v>7206</v>
      </c>
      <c r="C68" s="142" t="s">
        <v>7202</v>
      </c>
      <c r="D68" s="143"/>
    </row>
    <row r="69" ht="11.25" hidden="1" customHeight="1" outlineLevel="1">
      <c r="A69" s="140"/>
      <c r="B69" s="144" t="s">
        <v>7207</v>
      </c>
      <c r="C69" s="142" t="s">
        <v>7202</v>
      </c>
      <c r="D69" s="143"/>
    </row>
    <row r="70" ht="11.25" hidden="1" customHeight="1" outlineLevel="1">
      <c r="A70" s="140"/>
      <c r="B70" s="144" t="s">
        <v>7208</v>
      </c>
      <c r="C70" s="142" t="s">
        <v>7202</v>
      </c>
      <c r="D70" s="143"/>
    </row>
    <row r="71" ht="11.25" hidden="1" customHeight="1" outlineLevel="1">
      <c r="A71" s="140"/>
      <c r="B71" s="144" t="s">
        <v>7209</v>
      </c>
      <c r="C71" s="142" t="s">
        <v>7202</v>
      </c>
      <c r="D71" s="143"/>
    </row>
    <row r="72" ht="11.25" hidden="1" customHeight="1" outlineLevel="1">
      <c r="A72" s="140"/>
      <c r="B72" s="144" t="s">
        <v>7210</v>
      </c>
      <c r="C72" s="142" t="s">
        <v>7202</v>
      </c>
      <c r="D72" s="143"/>
    </row>
    <row r="73" ht="11.25" hidden="1" customHeight="1" outlineLevel="1">
      <c r="A73" s="140"/>
      <c r="B73" s="144" t="s">
        <v>7211</v>
      </c>
      <c r="C73" s="142" t="s">
        <v>7202</v>
      </c>
      <c r="D73" s="143"/>
    </row>
    <row r="74" ht="11.25" hidden="1" customHeight="1" outlineLevel="1">
      <c r="A74" s="140"/>
      <c r="B74" s="144" t="s">
        <v>7212</v>
      </c>
      <c r="C74" s="142" t="s">
        <v>7202</v>
      </c>
      <c r="D74" s="143"/>
    </row>
    <row r="75" ht="11.25" hidden="1" customHeight="1" outlineLevel="1">
      <c r="A75" s="140"/>
      <c r="B75" s="144" t="s">
        <v>7213</v>
      </c>
      <c r="C75" s="142" t="s">
        <v>7202</v>
      </c>
      <c r="D75" s="143"/>
    </row>
    <row r="76" ht="11.25" hidden="1" customHeight="1" outlineLevel="1">
      <c r="A76" s="140"/>
      <c r="B76" s="144" t="s">
        <v>7214</v>
      </c>
      <c r="C76" s="142" t="s">
        <v>7202</v>
      </c>
      <c r="D76" s="143"/>
    </row>
    <row r="77" ht="11.25" hidden="1" customHeight="1" outlineLevel="1">
      <c r="A77" s="140"/>
      <c r="B77" s="144" t="s">
        <v>7215</v>
      </c>
      <c r="C77" s="142" t="s">
        <v>7202</v>
      </c>
      <c r="D77" s="143"/>
    </row>
    <row r="78" ht="11.25" hidden="1" customHeight="1" outlineLevel="1">
      <c r="A78" s="140"/>
      <c r="B78" s="144" t="s">
        <v>7216</v>
      </c>
      <c r="C78" s="142" t="s">
        <v>7202</v>
      </c>
      <c r="D78" s="143"/>
    </row>
    <row r="79" ht="11.25" hidden="1" customHeight="1" outlineLevel="1">
      <c r="A79" s="140"/>
      <c r="B79" s="144" t="s">
        <v>7217</v>
      </c>
      <c r="C79" s="142" t="s">
        <v>7202</v>
      </c>
      <c r="D79" s="143"/>
    </row>
    <row r="80" ht="11.25" hidden="1" customHeight="1" outlineLevel="1">
      <c r="A80" s="140"/>
      <c r="B80" s="144" t="s">
        <v>7218</v>
      </c>
      <c r="C80" s="142" t="s">
        <v>7202</v>
      </c>
      <c r="D80" s="143"/>
    </row>
    <row r="81" ht="11.25" hidden="1" customHeight="1" outlineLevel="1">
      <c r="A81" s="140"/>
      <c r="B81" s="144" t="s">
        <v>7219</v>
      </c>
      <c r="C81" s="142" t="s">
        <v>7202</v>
      </c>
      <c r="D81" s="143"/>
    </row>
    <row r="82" ht="11.25" hidden="1" customHeight="1" outlineLevel="1">
      <c r="A82" s="140"/>
      <c r="B82" s="144" t="s">
        <v>7220</v>
      </c>
      <c r="C82" s="142" t="s">
        <v>7202</v>
      </c>
      <c r="D82" s="143"/>
    </row>
    <row r="83" ht="11.25" hidden="1" customHeight="1" outlineLevel="1">
      <c r="A83" s="140"/>
      <c r="B83" s="144" t="s">
        <v>7221</v>
      </c>
      <c r="C83" s="142" t="s">
        <v>7202</v>
      </c>
      <c r="D83" s="143"/>
    </row>
    <row r="84" ht="11.25" hidden="1" customHeight="1" outlineLevel="1">
      <c r="A84" s="140"/>
      <c r="B84" s="144" t="s">
        <v>7222</v>
      </c>
      <c r="C84" s="142" t="s">
        <v>7202</v>
      </c>
      <c r="D84" s="143"/>
    </row>
    <row r="85" ht="11.25" hidden="1" customHeight="1" outlineLevel="1">
      <c r="A85" s="140"/>
      <c r="B85" s="144" t="s">
        <v>7223</v>
      </c>
      <c r="C85" s="142" t="s">
        <v>7202</v>
      </c>
      <c r="D85" s="143"/>
    </row>
    <row r="86" ht="11.25" hidden="1" customHeight="1" outlineLevel="1">
      <c r="A86" s="140"/>
      <c r="B86" s="144" t="s">
        <v>7224</v>
      </c>
      <c r="C86" s="142" t="s">
        <v>7202</v>
      </c>
      <c r="D86" s="143"/>
    </row>
    <row r="87" ht="11.25" hidden="1" customHeight="1" outlineLevel="1">
      <c r="A87" s="140"/>
      <c r="B87" s="144" t="s">
        <v>7225</v>
      </c>
      <c r="C87" s="142" t="s">
        <v>7202</v>
      </c>
      <c r="D87" s="143"/>
    </row>
    <row r="88" ht="11.25" hidden="1" customHeight="1" outlineLevel="1">
      <c r="A88" s="140"/>
      <c r="B88" s="144" t="s">
        <v>7226</v>
      </c>
      <c r="C88" s="142" t="s">
        <v>7202</v>
      </c>
      <c r="D88" s="143"/>
    </row>
    <row r="89" ht="11.25" hidden="1" customHeight="1" outlineLevel="1">
      <c r="A89" s="140"/>
      <c r="B89" s="144" t="s">
        <v>7227</v>
      </c>
      <c r="C89" s="142" t="s">
        <v>7202</v>
      </c>
      <c r="D89" s="143"/>
    </row>
    <row r="90" ht="11.25" hidden="1" customHeight="1" outlineLevel="1">
      <c r="A90" s="140"/>
      <c r="B90" s="150" t="s">
        <v>7228</v>
      </c>
      <c r="C90" s="142" t="s">
        <v>7202</v>
      </c>
      <c r="D90" s="143"/>
    </row>
    <row r="91" ht="11.25" hidden="1" customHeight="1" outlineLevel="1">
      <c r="A91" s="140"/>
      <c r="B91" s="150" t="s">
        <v>7229</v>
      </c>
      <c r="C91" s="142" t="s">
        <v>7202</v>
      </c>
      <c r="D91" s="143"/>
    </row>
    <row r="92" ht="11.25" hidden="1" customHeight="1" outlineLevel="1">
      <c r="A92" s="140"/>
      <c r="B92" s="150" t="s">
        <v>7230</v>
      </c>
      <c r="C92" s="142" t="s">
        <v>7202</v>
      </c>
      <c r="D92" s="143"/>
    </row>
    <row r="93" ht="11.25" customHeight="1">
      <c r="A93" s="140"/>
      <c r="B93" s="150"/>
      <c r="C93" s="142"/>
      <c r="D93" s="143"/>
    </row>
    <row r="94" ht="48.75" customHeight="1" collapsed="1">
      <c r="A94" s="136"/>
      <c r="B94" s="145" t="s">
        <v>7231</v>
      </c>
      <c r="C94" s="139"/>
      <c r="D94" s="137"/>
    </row>
    <row r="95" ht="11.25" hidden="1" customHeight="1" outlineLevel="1">
      <c r="A95" s="140"/>
      <c r="B95" s="141" t="s">
        <v>7232</v>
      </c>
      <c r="C95" s="142" t="s">
        <v>7233</v>
      </c>
      <c r="D95" s="143"/>
    </row>
    <row r="96" ht="11.25" customHeight="1">
      <c r="A96" s="140"/>
      <c r="B96" s="151"/>
      <c r="C96" s="142"/>
      <c r="D96" s="143"/>
    </row>
    <row r="97" ht="48.75" customHeight="1" collapsed="1">
      <c r="A97" s="136"/>
      <c r="B97" s="145" t="s">
        <v>7234</v>
      </c>
      <c r="C97" s="139"/>
      <c r="D97" s="137"/>
    </row>
    <row r="98" ht="11.25" hidden="1" customHeight="1" outlineLevel="1">
      <c r="A98" s="140"/>
      <c r="B98" s="144" t="s">
        <v>7235</v>
      </c>
      <c r="C98" s="142" t="s">
        <v>7236</v>
      </c>
      <c r="D98" s="143"/>
    </row>
    <row r="99" ht="11.25" hidden="1" customHeight="1" outlineLevel="1">
      <c r="A99" s="140"/>
      <c r="B99" s="141" t="s">
        <v>7237</v>
      </c>
      <c r="C99" s="142" t="s">
        <v>7236</v>
      </c>
      <c r="D99" s="143"/>
    </row>
    <row r="100" ht="11.25" hidden="1" customHeight="1" outlineLevel="1">
      <c r="A100" s="140"/>
      <c r="B100" s="144" t="s">
        <v>7238</v>
      </c>
      <c r="C100" s="142" t="s">
        <v>7236</v>
      </c>
      <c r="D100" s="143"/>
    </row>
    <row r="101" ht="11.25" hidden="1" customHeight="1" outlineLevel="1">
      <c r="A101" s="140"/>
      <c r="B101" s="144" t="s">
        <v>7239</v>
      </c>
      <c r="C101" s="142" t="s">
        <v>7236</v>
      </c>
      <c r="D101" s="143"/>
    </row>
    <row r="102" ht="11.25" hidden="1" customHeight="1" outlineLevel="1">
      <c r="A102" s="140"/>
      <c r="B102" s="144" t="s">
        <v>7240</v>
      </c>
      <c r="C102" s="142" t="s">
        <v>7236</v>
      </c>
      <c r="D102" s="143"/>
    </row>
    <row r="103" ht="11.25" hidden="1" customHeight="1" outlineLevel="1">
      <c r="A103" s="140"/>
      <c r="B103" s="144" t="s">
        <v>7241</v>
      </c>
      <c r="C103" s="142" t="s">
        <v>7236</v>
      </c>
      <c r="D103" s="143"/>
    </row>
    <row r="104" ht="11.25" hidden="1" customHeight="1" outlineLevel="1">
      <c r="A104" s="140"/>
      <c r="B104" s="144" t="s">
        <v>7242</v>
      </c>
      <c r="C104" s="142" t="s">
        <v>7236</v>
      </c>
      <c r="D104" s="143"/>
    </row>
    <row r="105" ht="11.25" hidden="1" customHeight="1" outlineLevel="1">
      <c r="A105" s="140"/>
      <c r="B105" s="144" t="s">
        <v>7243</v>
      </c>
      <c r="C105" s="142" t="s">
        <v>7236</v>
      </c>
      <c r="D105" s="143"/>
    </row>
    <row r="106" ht="11.25" hidden="1" customHeight="1" outlineLevel="1">
      <c r="A106" s="140"/>
      <c r="B106" s="144" t="s">
        <v>7244</v>
      </c>
      <c r="C106" s="142" t="s">
        <v>7236</v>
      </c>
      <c r="D106" s="143"/>
    </row>
    <row r="107" ht="11.25" hidden="1" customHeight="1" outlineLevel="1">
      <c r="A107" s="140"/>
      <c r="B107" s="144" t="s">
        <v>7245</v>
      </c>
      <c r="C107" s="142" t="s">
        <v>7236</v>
      </c>
      <c r="D107" s="143"/>
    </row>
    <row r="108" ht="11.25" hidden="1" customHeight="1" outlineLevel="1">
      <c r="A108" s="140"/>
      <c r="B108" s="144" t="s">
        <v>7246</v>
      </c>
      <c r="C108" s="142" t="s">
        <v>7236</v>
      </c>
      <c r="D108" s="143"/>
    </row>
    <row r="109" ht="11.25" customHeight="1">
      <c r="A109" s="140"/>
      <c r="B109" s="144"/>
      <c r="C109" s="142"/>
      <c r="D109" s="143"/>
    </row>
    <row r="110" ht="48.75" customHeight="1" collapsed="1">
      <c r="A110" s="136"/>
      <c r="B110" s="145" t="s">
        <v>7247</v>
      </c>
      <c r="C110" s="139"/>
      <c r="D110" s="137"/>
    </row>
    <row r="111" ht="11.25" hidden="1" customHeight="1" outlineLevel="1">
      <c r="A111" s="140"/>
      <c r="B111" s="141" t="s">
        <v>7248</v>
      </c>
      <c r="C111" s="142" t="s">
        <v>7249</v>
      </c>
      <c r="D111" s="143"/>
    </row>
    <row r="112" ht="11.25" hidden="1" customHeight="1" outlineLevel="1">
      <c r="A112" s="140"/>
      <c r="B112" s="141" t="s">
        <v>7250</v>
      </c>
      <c r="C112" s="142" t="s">
        <v>7249</v>
      </c>
      <c r="D112" s="143"/>
    </row>
    <row r="113" ht="11.25" hidden="1" customHeight="1" outlineLevel="1">
      <c r="A113" s="140"/>
      <c r="B113" s="144" t="s">
        <v>7251</v>
      </c>
      <c r="C113" s="142" t="s">
        <v>7249</v>
      </c>
      <c r="D113" s="143"/>
    </row>
    <row r="114" ht="11.25" hidden="1" customHeight="1" outlineLevel="1">
      <c r="A114" s="140"/>
      <c r="B114" s="144" t="s">
        <v>7252</v>
      </c>
      <c r="C114" s="142" t="s">
        <v>7249</v>
      </c>
      <c r="D114" s="143"/>
    </row>
    <row r="115" ht="11.25" hidden="1" customHeight="1" outlineLevel="1">
      <c r="A115" s="140"/>
      <c r="B115" s="144" t="s">
        <v>7253</v>
      </c>
      <c r="C115" s="142" t="s">
        <v>7249</v>
      </c>
      <c r="D115" s="143"/>
    </row>
    <row r="116" ht="11.25" customHeight="1">
      <c r="A116" s="140"/>
      <c r="B116" s="144"/>
      <c r="C116" s="142"/>
      <c r="D116" s="143"/>
    </row>
    <row r="117" ht="48.75" customHeight="1" collapsed="1">
      <c r="A117" s="136"/>
      <c r="B117" s="145" t="s">
        <v>7254</v>
      </c>
      <c r="C117" s="139"/>
      <c r="D117" s="137"/>
    </row>
    <row r="118" ht="11.25" hidden="1" customHeight="1" outlineLevel="1">
      <c r="A118" s="140"/>
      <c r="B118" s="141" t="s">
        <v>7255</v>
      </c>
      <c r="C118" s="142" t="s">
        <v>7256</v>
      </c>
      <c r="D118" s="143"/>
    </row>
    <row r="119" ht="11.25" hidden="1" customHeight="1" outlineLevel="1">
      <c r="A119" s="140"/>
      <c r="B119" s="144" t="s">
        <v>7257</v>
      </c>
      <c r="C119" s="142" t="s">
        <v>7256</v>
      </c>
      <c r="D119" s="143"/>
    </row>
    <row r="120" ht="11.25" hidden="1" customHeight="1" outlineLevel="1">
      <c r="A120" s="140"/>
      <c r="B120" s="144" t="s">
        <v>7258</v>
      </c>
      <c r="C120" s="142" t="s">
        <v>7256</v>
      </c>
      <c r="D120" s="143"/>
    </row>
    <row r="121" ht="11.25" hidden="1" customHeight="1" outlineLevel="1">
      <c r="A121" s="140"/>
      <c r="B121" s="144" t="s">
        <v>7259</v>
      </c>
      <c r="C121" s="142" t="s">
        <v>7256</v>
      </c>
      <c r="D121" s="143"/>
    </row>
    <row r="122" ht="11.25" hidden="1" customHeight="1" outlineLevel="1">
      <c r="A122" s="140"/>
      <c r="B122" s="144" t="s">
        <v>7260</v>
      </c>
      <c r="C122" s="142" t="s">
        <v>7256</v>
      </c>
      <c r="D122" s="143"/>
    </row>
    <row r="123" ht="11.25" customHeight="1">
      <c r="A123" s="140"/>
      <c r="B123" s="144"/>
      <c r="C123" s="142"/>
      <c r="D123" s="143"/>
    </row>
    <row r="124" ht="48.75" customHeight="1" collapsed="1">
      <c r="A124" s="136"/>
      <c r="B124" s="145" t="s">
        <v>7261</v>
      </c>
      <c r="C124" s="139"/>
      <c r="D124" s="137"/>
    </row>
    <row r="125" ht="11.25" hidden="1" customHeight="1" outlineLevel="1">
      <c r="A125" s="140"/>
      <c r="B125" s="141" t="s">
        <v>7262</v>
      </c>
      <c r="C125" s="142" t="s">
        <v>7263</v>
      </c>
      <c r="D125" s="143"/>
    </row>
    <row r="126" ht="11.25" hidden="1" customHeight="1" outlineLevel="1">
      <c r="A126" s="140"/>
      <c r="B126" s="144" t="s">
        <v>7264</v>
      </c>
      <c r="C126" s="142" t="s">
        <v>7263</v>
      </c>
      <c r="D126" s="143"/>
    </row>
    <row r="127" ht="11.25" hidden="1" customHeight="1" outlineLevel="1">
      <c r="A127" s="140"/>
      <c r="B127" s="144" t="s">
        <v>7265</v>
      </c>
      <c r="C127" s="142" t="s">
        <v>7263</v>
      </c>
      <c r="D127" s="143"/>
    </row>
    <row r="128" ht="11.25" hidden="1" customHeight="1" outlineLevel="1">
      <c r="A128" s="140"/>
      <c r="B128" s="144" t="s">
        <v>7266</v>
      </c>
      <c r="C128" s="142" t="s">
        <v>7263</v>
      </c>
      <c r="D128" s="143"/>
    </row>
    <row r="129" ht="11.25" hidden="1" customHeight="1" outlineLevel="1">
      <c r="A129" s="140"/>
      <c r="B129" s="144" t="s">
        <v>7267</v>
      </c>
      <c r="C129" s="142" t="s">
        <v>7263</v>
      </c>
      <c r="D129" s="143"/>
    </row>
    <row r="130" ht="11.25" hidden="1" customHeight="1" outlineLevel="1">
      <c r="A130" s="140"/>
      <c r="B130" s="144" t="s">
        <v>378</v>
      </c>
      <c r="C130" s="142" t="s">
        <v>7263</v>
      </c>
      <c r="D130" s="143"/>
    </row>
    <row r="131" ht="11.25" hidden="1" customHeight="1" outlineLevel="1">
      <c r="A131" s="140"/>
      <c r="B131" s="144" t="s">
        <v>7268</v>
      </c>
      <c r="C131" s="142" t="s">
        <v>7263</v>
      </c>
      <c r="D131" s="143"/>
    </row>
    <row r="132" ht="11.25" hidden="1" customHeight="1" outlineLevel="1">
      <c r="A132" s="140"/>
      <c r="B132" s="144" t="s">
        <v>7269</v>
      </c>
      <c r="C132" s="142" t="s">
        <v>7263</v>
      </c>
      <c r="D132" s="143"/>
    </row>
    <row r="133" ht="11.25" hidden="1" customHeight="1" outlineLevel="1">
      <c r="A133" s="140"/>
      <c r="B133" s="144" t="s">
        <v>7270</v>
      </c>
      <c r="C133" s="142" t="s">
        <v>7263</v>
      </c>
      <c r="D133" s="143"/>
    </row>
    <row r="134" ht="11.25" hidden="1" customHeight="1" outlineLevel="1">
      <c r="A134" s="140"/>
      <c r="B134" s="144" t="s">
        <v>7271</v>
      </c>
      <c r="C134" s="142" t="s">
        <v>7263</v>
      </c>
      <c r="D134" s="143"/>
    </row>
    <row r="135" ht="11.25" hidden="1" customHeight="1" outlineLevel="1">
      <c r="A135" s="140"/>
      <c r="B135" s="144" t="s">
        <v>7272</v>
      </c>
      <c r="C135" s="142" t="s">
        <v>7263</v>
      </c>
      <c r="D135" s="143"/>
    </row>
    <row r="136" ht="11.25" customHeight="1">
      <c r="A136" s="140"/>
      <c r="B136" s="144"/>
      <c r="C136" s="142"/>
      <c r="D136" s="143"/>
    </row>
  </sheetData>
  <conditionalFormatting sqref="B3:B136">
    <cfRule type="containsBlanks" dxfId="9" priority="1">
      <formula>LEN(TRIM(B3))=0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162.63"/>
    <col customWidth="1" min="5" max="5" width="6.38"/>
  </cols>
  <sheetData>
    <row r="1" ht="37.5" customHeight="1">
      <c r="A1" s="152"/>
      <c r="B1" s="101"/>
      <c r="C1" s="152"/>
      <c r="D1" s="152"/>
      <c r="E1" s="152"/>
    </row>
    <row r="2">
      <c r="A2" s="152"/>
      <c r="B2" s="153">
        <v>46049.0</v>
      </c>
      <c r="C2" s="154" t="s">
        <v>7273</v>
      </c>
      <c r="D2" s="155" t="s">
        <v>7274</v>
      </c>
      <c r="E2" s="152"/>
    </row>
    <row r="3">
      <c r="A3" s="152"/>
      <c r="B3" s="101"/>
      <c r="C3" s="156"/>
      <c r="D3" s="157"/>
      <c r="E3" s="152"/>
    </row>
    <row r="4">
      <c r="A4" s="152"/>
      <c r="B4" s="153">
        <v>46023.0</v>
      </c>
      <c r="C4" s="154" t="s">
        <v>7273</v>
      </c>
      <c r="D4" s="155" t="s">
        <v>7275</v>
      </c>
      <c r="E4" s="152"/>
    </row>
    <row r="5">
      <c r="A5" s="152"/>
      <c r="B5" s="101"/>
      <c r="C5" s="156"/>
      <c r="D5" s="157"/>
      <c r="E5" s="152"/>
    </row>
    <row r="6">
      <c r="A6" s="152"/>
      <c r="B6" s="153">
        <v>46009.0</v>
      </c>
      <c r="C6" s="154" t="s">
        <v>7273</v>
      </c>
      <c r="D6" s="155" t="s">
        <v>7276</v>
      </c>
      <c r="E6" s="152"/>
    </row>
    <row r="7">
      <c r="A7" s="152"/>
      <c r="B7" s="101"/>
      <c r="C7" s="156"/>
      <c r="D7" s="157"/>
      <c r="E7" s="152"/>
    </row>
    <row r="8">
      <c r="A8" s="152"/>
      <c r="B8" s="153">
        <v>46000.0</v>
      </c>
      <c r="C8" s="154" t="s">
        <v>7273</v>
      </c>
      <c r="D8" s="155" t="s">
        <v>7277</v>
      </c>
      <c r="E8" s="152"/>
    </row>
    <row r="9">
      <c r="A9" s="152"/>
      <c r="B9" s="101"/>
      <c r="C9" s="156"/>
      <c r="D9" s="157"/>
      <c r="E9" s="152"/>
    </row>
    <row r="10">
      <c r="A10" s="152"/>
      <c r="B10" s="153">
        <v>45986.0</v>
      </c>
      <c r="C10" s="154" t="s">
        <v>7273</v>
      </c>
      <c r="D10" s="155" t="s">
        <v>7278</v>
      </c>
      <c r="E10" s="152"/>
    </row>
    <row r="11">
      <c r="A11" s="152"/>
      <c r="B11" s="101"/>
      <c r="C11" s="156"/>
      <c r="D11" s="157"/>
      <c r="E11" s="152"/>
    </row>
    <row r="12">
      <c r="A12" s="152"/>
      <c r="B12" s="153">
        <v>45972.0</v>
      </c>
      <c r="C12" s="154" t="s">
        <v>7273</v>
      </c>
      <c r="D12" s="155" t="s">
        <v>7279</v>
      </c>
      <c r="E12" s="152"/>
    </row>
    <row r="13">
      <c r="A13" s="152"/>
      <c r="B13" s="101"/>
      <c r="C13" s="156"/>
      <c r="D13" s="157"/>
      <c r="E13" s="152"/>
    </row>
    <row r="14">
      <c r="A14" s="152"/>
      <c r="B14" s="153">
        <v>45959.0</v>
      </c>
      <c r="C14" s="154" t="s">
        <v>7273</v>
      </c>
      <c r="D14" s="155" t="s">
        <v>7280</v>
      </c>
      <c r="E14" s="152"/>
    </row>
    <row r="15">
      <c r="A15" s="152"/>
      <c r="B15" s="101"/>
      <c r="C15" s="156"/>
      <c r="D15" s="157"/>
      <c r="E15" s="152"/>
    </row>
    <row r="16">
      <c r="A16" s="152"/>
      <c r="B16" s="153">
        <v>45946.0</v>
      </c>
      <c r="C16" s="154" t="s">
        <v>7273</v>
      </c>
      <c r="D16" s="155" t="s">
        <v>7281</v>
      </c>
      <c r="E16" s="152"/>
    </row>
    <row r="17">
      <c r="A17" s="152"/>
      <c r="B17" s="101"/>
      <c r="C17" s="156"/>
      <c r="D17" s="157"/>
      <c r="E17" s="152"/>
    </row>
    <row r="18">
      <c r="A18" s="152"/>
      <c r="B18" s="153">
        <v>45929.0</v>
      </c>
      <c r="C18" s="154" t="s">
        <v>7273</v>
      </c>
      <c r="D18" s="155" t="s">
        <v>7282</v>
      </c>
      <c r="E18" s="152"/>
    </row>
    <row r="19">
      <c r="A19" s="152"/>
      <c r="B19" s="101"/>
      <c r="C19" s="156"/>
      <c r="D19" s="157"/>
      <c r="E19" s="152"/>
    </row>
    <row r="20">
      <c r="A20" s="152"/>
      <c r="B20" s="153">
        <v>45919.0</v>
      </c>
      <c r="C20" s="154" t="s">
        <v>7273</v>
      </c>
      <c r="D20" s="155" t="s">
        <v>7283</v>
      </c>
      <c r="E20" s="152"/>
    </row>
    <row r="21">
      <c r="A21" s="152"/>
      <c r="B21" s="101"/>
      <c r="C21" s="156"/>
      <c r="D21" s="157"/>
      <c r="E21" s="152"/>
    </row>
    <row r="22">
      <c r="A22" s="152"/>
      <c r="B22" s="153">
        <v>45897.0</v>
      </c>
      <c r="C22" s="154" t="s">
        <v>7273</v>
      </c>
      <c r="D22" s="155" t="s">
        <v>7284</v>
      </c>
      <c r="E22" s="152"/>
    </row>
    <row r="23">
      <c r="A23" s="152"/>
      <c r="B23" s="101"/>
      <c r="C23" s="156"/>
      <c r="D23" s="157"/>
      <c r="E23" s="152"/>
    </row>
    <row r="24">
      <c r="A24" s="152"/>
      <c r="B24" s="153">
        <v>45876.0</v>
      </c>
      <c r="C24" s="154" t="s">
        <v>7273</v>
      </c>
      <c r="D24" s="155" t="s">
        <v>7285</v>
      </c>
      <c r="E24" s="152"/>
    </row>
    <row r="25">
      <c r="A25" s="152"/>
      <c r="B25" s="101"/>
      <c r="C25" s="156"/>
      <c r="D25" s="156"/>
      <c r="E25" s="1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25"/>
    <col customWidth="1" min="12" max="12" width="3.25"/>
  </cols>
  <sheetData>
    <row r="1" ht="37.5" customHeight="1">
      <c r="A1" s="158" t="s">
        <v>7286</v>
      </c>
      <c r="F1" s="159"/>
      <c r="G1" s="158" t="s">
        <v>7287</v>
      </c>
      <c r="L1" s="159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</row>
    <row r="2">
      <c r="A2" s="161" t="s">
        <v>7288</v>
      </c>
      <c r="B2" s="161" t="s">
        <v>7289</v>
      </c>
      <c r="C2" s="161" t="s">
        <v>7290</v>
      </c>
      <c r="D2" s="161" t="s">
        <v>7291</v>
      </c>
      <c r="E2" s="161" t="s">
        <v>7292</v>
      </c>
      <c r="F2" s="162"/>
      <c r="G2" s="161" t="s">
        <v>7288</v>
      </c>
      <c r="H2" s="161" t="s">
        <v>7289</v>
      </c>
      <c r="I2" s="161" t="s">
        <v>7290</v>
      </c>
      <c r="J2" s="161" t="s">
        <v>7291</v>
      </c>
      <c r="K2" s="161" t="s">
        <v>7292</v>
      </c>
      <c r="L2" s="162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</row>
    <row r="3">
      <c r="A3" s="163" t="str">
        <f>IFERROR(__xludf.DUMMYFUNCTION("FILTER(""G-"" &amp; 'Medals Database'!B10:B1000, 'Medals Database'!B10:B1000 &lt;&gt; """")"),"G-341")</f>
        <v>G-341</v>
      </c>
      <c r="B3" s="163" t="str">
        <f>IFERROR(__xludf.DUMMYFUNCTION("FILTER(REGEXREPLACE('Medals Database'!C10:C1000, ""\n"", "" ""), 'Medals Database'!C10:C1000 &lt;&gt; """")"),"Black Vortex")</f>
        <v>Black Vortex</v>
      </c>
      <c r="C3" s="163" t="str">
        <f>IFERROR(__xludf.DUMMYFUNCTION("FILTER('Medals Database'!E10:E1000, 'Medals Database'!E10:E1000 &lt;&gt; """")"),"When attacked by a character type ``Power users`` enemy: Reduce damage recieved by 2%.")</f>
        <v>When attacked by a character type ``Power users`` enemy: Reduce damage recieved by 2%.</v>
      </c>
      <c r="D3" s="163" t="str">
        <f>IFERROR(__xludf.DUMMYFUNCTION("FILTER(REGEXREPLACE('Medals Database'!F10:F1000, ""\n"", "" ~ ""), 'Medals Database'!F10:F1000 &lt;&gt; """")"),"Egghead ~ The Seven Warlords of the Sea / Former Warlords of the Sea ~ Logia ~ Paramecia ~ Captain ~ The Four Emperors ~ Blackbeard Pirates")</f>
        <v>Egghead ~ The Seven Warlords of the Sea / Former Warlords of the Sea ~ Logia ~ Paramecia ~ Captain ~ The Four Emperors ~ Blackbeard Pirates</v>
      </c>
      <c r="E3" s="164" t="str">
        <f>IFERROR(__xludf.DUMMYFUNCTION("FILTER('Medals Database'!G10:G1000, 'Medals Database'!G10:G1000 &lt;&gt; """")"),"https://i.postimg.cc/K8sJ0jy7/341.png")</f>
        <v>https://i.postimg.cc/K8sJ0jy7/341.png</v>
      </c>
      <c r="F3" s="162"/>
      <c r="G3" s="163" t="str">
        <f>IFERROR(__xludf.DUMMYFUNCTION("FILTER(""E-"" &amp; 'Medals Database'!I10:I1000, 'Medals Database'!I10:I1000 &lt;&gt; """")"),"E-307")</f>
        <v>E-307</v>
      </c>
      <c r="H3" s="163" t="str">
        <f>IFERROR(__xludf.DUMMYFUNCTION("FILTER(REGEXREPLACE('Medals Database'!J10:J1000, ""\n"", "" ""), 'Medals Database'!J10:J1000 &lt;&gt; """")"),"The Four Emperrors Red Hair")</f>
        <v>The Four Emperrors Red Hair</v>
      </c>
      <c r="I3" s="163" t="str">
        <f>IFERROR(__xludf.DUMMYFUNCTION("FILTER('Medals Database'!L10:L1000, 'Medals Database'!L10:L1000 &lt;&gt; """")"),"When using Skill 2: Reduce the cooldown time of Skill 1 by 5%.")</f>
        <v>When using Skill 2: Reduce the cooldown time of Skill 1 by 5%.</v>
      </c>
      <c r="J3" s="163" t="str">
        <f>IFERROR(__xludf.DUMMYFUNCTION("FILTER(REGEXREPLACE('Medals Database'!M10:M1000, ""\n"", "" ~ ""), 'Medals Database'!M10:M1000 &lt;&gt; """")"),"Egghead ~ Red_Haired Pirates ~ Captain ~ The Four Emperors ~ Roger Pirates / Ex_Roger Pirates")</f>
        <v>Egghead ~ Red_Haired Pirates ~ Captain ~ The Four Emperors ~ Roger Pirates / Ex_Roger Pirates</v>
      </c>
      <c r="K3" s="164" t="str">
        <f>IFERROR(__xludf.DUMMYFUNCTION("FILTER('Medals Database'!N10:N1000, 'Medals Database'!N10:N1000 &lt;&gt; """")"),"https://i.postimg.cc/dQHvmRSb/307.png")</f>
        <v>https://i.postimg.cc/dQHvmRSb/307.png</v>
      </c>
      <c r="L3" s="162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</row>
    <row r="4">
      <c r="A4" s="163" t="str">
        <f>IFERROR(__xludf.DUMMYFUNCTION("""COMPUTED_VALUE"""),"G-340")</f>
        <v>G-340</v>
      </c>
      <c r="B4" s="163" t="str">
        <f>IFERROR(__xludf.DUMMYFUNCTION("""COMPUTED_VALUE"""),"ASL Ace &amp; Sabo &amp; Luffy")</f>
        <v>ASL Ace &amp; Sabo &amp; Luffy</v>
      </c>
      <c r="C4" s="163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D4" s="163" t="str">
        <f>IFERROR(__xludf.DUMMYFUNCTION("""COMPUTED_VALUE"""),"East Blue ~ Paramecia ~ Blood Brothers ~ Child")</f>
        <v>East Blue ~ Paramecia ~ Blood Brothers ~ Child</v>
      </c>
      <c r="E4" s="164" t="str">
        <f>IFERROR(__xludf.DUMMYFUNCTION("""COMPUTED_VALUE"""),"https://i.postimg.cc/8zX9f14t/340.png")</f>
        <v>https://i.postimg.cc/8zX9f14t/340.png</v>
      </c>
      <c r="F4" s="162"/>
      <c r="G4" s="163" t="str">
        <f>IFERROR(__xludf.DUMMYFUNCTION("""COMPUTED_VALUE"""),"E-306")</f>
        <v>E-306</v>
      </c>
      <c r="H4" s="163" t="str">
        <f>IFERROR(__xludf.DUMMYFUNCTION("""COMPUTED_VALUE"""),"The Four Emperrors Blackbeard")</f>
        <v>The Four Emperrors Blackbeard</v>
      </c>
      <c r="I4" s="163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J4" s="163" t="str">
        <f>IFERROR(__xludf.DUMMYFUNCTION("""COMPUTED_VALUE"""),"Egghead ~ The Seven Warlords of the Sea / Former Warlords of the Sea ~ Logia ~ Paramecia ~ Captain ~ The Four Emperors ~ Blackbeard Pirates")</f>
        <v>Egghead ~ The Seven Warlords of the Sea / Former Warlords of the Sea ~ Logia ~ Paramecia ~ Captain ~ The Four Emperors ~ Blackbeard Pirates</v>
      </c>
      <c r="K4" s="164" t="str">
        <f>IFERROR(__xludf.DUMMYFUNCTION("""COMPUTED_VALUE"""),"https://i.postimg.cc/dQHvmRSz/306.png")</f>
        <v>https://i.postimg.cc/dQHvmRSz/306.png</v>
      </c>
      <c r="L4" s="162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</row>
    <row r="5">
      <c r="A5" s="163" t="str">
        <f>IFERROR(__xludf.DUMMYFUNCTION("""COMPUTED_VALUE"""),"G-339")</f>
        <v>G-339</v>
      </c>
      <c r="B5" s="163" t="str">
        <f>IFERROR(__xludf.DUMMYFUNCTION("""COMPUTED_VALUE"""),"Winner Island Law")</f>
        <v>Winner Island Law</v>
      </c>
      <c r="C5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5" s="163" t="str">
        <f>IFERROR(__xludf.DUMMYFUNCTION("""COMPUTED_VALUE"""),"Egghead ~ The Seven Warlords of the Sea / Former Warlords of the Sea ~ Paramecia ~ Captain ~ Worst Generation ~ Heart Pirates")</f>
        <v>Egghead ~ The Seven Warlords of the Sea / Former Warlords of the Sea ~ Paramecia ~ Captain ~ Worst Generation ~ Heart Pirates</v>
      </c>
      <c r="E5" s="164" t="str">
        <f>IFERROR(__xludf.DUMMYFUNCTION("""COMPUTED_VALUE"""),"https://i.postimg.cc/4xZLWVgM/339.png")</f>
        <v>https://i.postimg.cc/4xZLWVgM/339.png</v>
      </c>
      <c r="F5" s="162"/>
      <c r="G5" s="163" t="str">
        <f>IFERROR(__xludf.DUMMYFUNCTION("""COMPUTED_VALUE"""),"E-305")</f>
        <v>E-305</v>
      </c>
      <c r="H5" s="163" t="str">
        <f>IFERROR(__xludf.DUMMYFUNCTION("""COMPUTED_VALUE"""),"ASL Luffy")</f>
        <v>ASL Luffy</v>
      </c>
      <c r="I5" s="163" t="str">
        <f>IFERROR(__xludf.DUMMYFUNCTION("""COMPUTED_VALUE"""),"When attacking an enemy whose ATK are boosted: Increase damage dealt by 3%.")</f>
        <v>When attacking an enemy whose ATK are boosted: Increase damage dealt by 3%.</v>
      </c>
      <c r="J5" s="163" t="str">
        <f>IFERROR(__xludf.DUMMYFUNCTION("""COMPUTED_VALUE"""),"East Blue ~ Paramecia ~ Blood Brothers ~ Child")</f>
        <v>East Blue ~ Paramecia ~ Blood Brothers ~ Child</v>
      </c>
      <c r="K5" s="164" t="str">
        <f>IFERROR(__xludf.DUMMYFUNCTION("""COMPUTED_VALUE"""),"https://i.postimg.cc/Lsq7zr0X/305.png")</f>
        <v>https://i.postimg.cc/Lsq7zr0X/305.png</v>
      </c>
      <c r="L5" s="162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</row>
    <row r="6">
      <c r="A6" s="163" t="str">
        <f>IFERROR(__xludf.DUMMYFUNCTION("""COMPUTED_VALUE"""),"G-338")</f>
        <v>G-338</v>
      </c>
      <c r="B6" s="163" t="str">
        <f>IFERROR(__xludf.DUMMYFUNCTION("""COMPUTED_VALUE"""),"Winner Island Bepo")</f>
        <v>Winner Island Bepo</v>
      </c>
      <c r="C6" s="163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D6" s="163" t="str">
        <f>IFERROR(__xludf.DUMMYFUNCTION("""COMPUTED_VALUE"""),"Egghead ~ Navigator ~ Minks ~ Heart Pirates")</f>
        <v>Egghead ~ Navigator ~ Minks ~ Heart Pirates</v>
      </c>
      <c r="E6" s="164" t="str">
        <f>IFERROR(__xludf.DUMMYFUNCTION("""COMPUTED_VALUE"""),"https://i.postimg.cc/4xb8hWRc/338.png")</f>
        <v>https://i.postimg.cc/4xb8hWRc/338.png</v>
      </c>
      <c r="F6" s="162"/>
      <c r="G6" s="163" t="str">
        <f>IFERROR(__xludf.DUMMYFUNCTION("""COMPUTED_VALUE"""),"E-304")</f>
        <v>E-304</v>
      </c>
      <c r="H6" s="163" t="str">
        <f>IFERROR(__xludf.DUMMYFUNCTION("""COMPUTED_VALUE"""),"ASL Sabo")</f>
        <v>ASL Sabo</v>
      </c>
      <c r="I6" s="163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J6" s="163" t="str">
        <f>IFERROR(__xludf.DUMMYFUNCTION("""COMPUTED_VALUE"""),"East Blue ~ Blood Brothers ~ Child")</f>
        <v>East Blue ~ Blood Brothers ~ Child</v>
      </c>
      <c r="K6" s="164" t="str">
        <f>IFERROR(__xludf.DUMMYFUNCTION("""COMPUTED_VALUE"""),"https://i.postimg.cc/HLJKQfPj/304.png")</f>
        <v>https://i.postimg.cc/HLJKQfPj/304.png</v>
      </c>
      <c r="L6" s="162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</row>
    <row r="7">
      <c r="A7" s="163" t="str">
        <f>IFERROR(__xludf.DUMMYFUNCTION("""COMPUTED_VALUE"""),"G-337")</f>
        <v>G-337</v>
      </c>
      <c r="B7" s="163" t="str">
        <f>IFERROR(__xludf.DUMMYFUNCTION("""COMPUTED_VALUE"""),"Genius Scientist")</f>
        <v>Genius Scientist</v>
      </c>
      <c r="C7" s="163" t="str">
        <f>IFERROR(__xludf.DUMMYFUNCTION("""COMPUTED_VALUE"""),"When attacked by a character type ``Navy`` enemy: Reduce damage recieved by 3%.")</f>
        <v>When attacked by a character type ``Navy`` enemy: Reduce damage recieved by 3%.</v>
      </c>
      <c r="D7" s="163" t="str">
        <f>IFERROR(__xludf.DUMMYFUNCTION("""COMPUTED_VALUE"""),"Egghead ~ Navy ~ Paramecia")</f>
        <v>Egghead ~ Navy ~ Paramecia</v>
      </c>
      <c r="E7" s="164" t="str">
        <f>IFERROR(__xludf.DUMMYFUNCTION("""COMPUTED_VALUE"""),"https://i.postimg.cc/HsbjQzTf/337.png")</f>
        <v>https://i.postimg.cc/HsbjQzTf/337.png</v>
      </c>
      <c r="F7" s="162"/>
      <c r="G7" s="163" t="str">
        <f>IFERROR(__xludf.DUMMYFUNCTION("""COMPUTED_VALUE"""),"E-303")</f>
        <v>E-303</v>
      </c>
      <c r="H7" s="163" t="str">
        <f>IFERROR(__xludf.DUMMYFUNCTION("""COMPUTED_VALUE"""),"Bepo (Sulong)")</f>
        <v>Bepo (Sulong)</v>
      </c>
      <c r="I7" s="163" t="str">
        <f>IFERROR(__xludf.DUMMYFUNCTION("""COMPUTED_VALUE"""),"When Critical occurs: Reduce the cooldown time of Skill 2 by 2%.")</f>
        <v>When Critical occurs: Reduce the cooldown time of Skill 2 by 2%.</v>
      </c>
      <c r="J7" s="163" t="str">
        <f>IFERROR(__xludf.DUMMYFUNCTION("""COMPUTED_VALUE"""),"Egghead ~ Navigator ~ Minks ~ Heart Pirates")</f>
        <v>Egghead ~ Navigator ~ Minks ~ Heart Pirates</v>
      </c>
      <c r="K7" s="164" t="str">
        <f>IFERROR(__xludf.DUMMYFUNCTION("""COMPUTED_VALUE"""),"https://i.postimg.cc/KzdQBgfR/303.png")</f>
        <v>https://i.postimg.cc/KzdQBgfR/303.png</v>
      </c>
      <c r="L7" s="162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</row>
    <row r="8">
      <c r="A8" s="163" t="str">
        <f>IFERROR(__xludf.DUMMYFUNCTION("""COMPUTED_VALUE"""),"G-336")</f>
        <v>G-336</v>
      </c>
      <c r="B8" s="163" t="str">
        <f>IFERROR(__xludf.DUMMYFUNCTION("""COMPUTED_VALUE"""),"Kuma &amp; Bonney")</f>
        <v>Kuma &amp; Bonney</v>
      </c>
      <c r="C8" s="163" t="str">
        <f>IFERROR(__xludf.DUMMYFUNCTION("""COMPUTED_VALUE"""),"After KOing an enemy: Recover HP by 5%.")</f>
        <v>After KOing an enemy: Recover HP by 5%.</v>
      </c>
      <c r="D8" s="163" t="str">
        <f>IFERROR(__xludf.DUMMYFUNCTION("""COMPUTED_VALUE"""),"Egghead ~ Bonney Pirates ~ Paramecia ~ Royalty / Former Royalty ~ Worst Generation ~ The Seven Warlords of the Sea / Former Warlords of the Sea")</f>
        <v>Egghead ~ Bonney Pirates ~ Paramecia ~ Royalty / Former Royalty ~ Worst Generation ~ The Seven Warlords of the Sea / Former Warlords of the Sea</v>
      </c>
      <c r="E8" s="164" t="str">
        <f>IFERROR(__xludf.DUMMYFUNCTION("""COMPUTED_VALUE"""),"https://i.postimg.cc/Pr1Nmydg/336.png")</f>
        <v>https://i.postimg.cc/Pr1Nmydg/336.png</v>
      </c>
      <c r="F8" s="162"/>
      <c r="G8" s="163" t="str">
        <f>IFERROR(__xludf.DUMMYFUNCTION("""COMPUTED_VALUE"""),"E-302")</f>
        <v>E-302</v>
      </c>
      <c r="H8" s="163" t="str">
        <f>IFERROR(__xludf.DUMMYFUNCTION("""COMPUTED_VALUE"""),"Winner Takes All")</f>
        <v>Winner Takes All</v>
      </c>
      <c r="I8" s="163" t="str">
        <f>IFERROR(__xludf.DUMMYFUNCTION("""COMPUTED_VALUE"""),"When you capture the Treasure: Reduce the cooldown time of Skill 2 by 8%.")</f>
        <v>When you capture the Treasure: Reduce the cooldown time of Skill 2 by 8%.</v>
      </c>
      <c r="J8" s="163" t="str">
        <f>IFERROR(__xludf.DUMMYFUNCTION("""COMPUTED_VALUE"""),"Egghead ~ The Seven Warlords of the Sea / Former Warlords of the Sea ~ Paramecia ~ Captain ~ Worst Generation ~ Heart Pirates")</f>
        <v>Egghead ~ The Seven Warlords of the Sea / Former Warlords of the Sea ~ Paramecia ~ Captain ~ Worst Generation ~ Heart Pirates</v>
      </c>
      <c r="K8" s="164" t="str">
        <f>IFERROR(__xludf.DUMMYFUNCTION("""COMPUTED_VALUE"""),"https://i.postimg.cc/rmvgxtjs/302.png")</f>
        <v>https://i.postimg.cc/rmvgxtjs/302.png</v>
      </c>
      <c r="L8" s="162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</row>
    <row r="9">
      <c r="A9" s="163" t="str">
        <f>IFERROR(__xludf.DUMMYFUNCTION("""COMPUTED_VALUE"""),"G-335")</f>
        <v>G-335</v>
      </c>
      <c r="B9" s="163" t="str">
        <f>IFERROR(__xludf.DUMMYFUNCTION("""COMPUTED_VALUE"""),"Egghead Jinbe")</f>
        <v>Egghead Jinbe</v>
      </c>
      <c r="C9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D9" s="163" t="str">
        <f>IFERROR(__xludf.DUMMYFUNCTION("""COMPUTED_VALUE"""),"Egghead ~ Straw Hat Pirates ~ The Seven Warlords of the Sea / Former Warlords of the Sea ~ Helmsman ~ Fish_Man ~ Fish_Man Karate")</f>
        <v>Egghead ~ Straw Hat Pirates ~ The Seven Warlords of the Sea / Former Warlords of the Sea ~ Helmsman ~ Fish_Man ~ Fish_Man Karate</v>
      </c>
      <c r="E9" s="164" t="str">
        <f>IFERROR(__xludf.DUMMYFUNCTION("""COMPUTED_VALUE"""),"https://i.postimg.cc/DZBsvxhd/335.png")</f>
        <v>https://i.postimg.cc/DZBsvxhd/335.png</v>
      </c>
      <c r="F9" s="162"/>
      <c r="G9" s="163" t="str">
        <f>IFERROR(__xludf.DUMMYFUNCTION("""COMPUTED_VALUE"""),"E-301")</f>
        <v>E-301</v>
      </c>
      <c r="H9" s="163" t="str">
        <f>IFERROR(__xludf.DUMMYFUNCTION("""COMPUTED_VALUE"""),"Sentomaru (Child)")</f>
        <v>Sentomaru (Child)</v>
      </c>
      <c r="I9" s="163" t="str">
        <f>IFERROR(__xludf.DUMMYFUNCTION("""COMPUTED_VALUE"""),"When you or an ally captures Treasure: Recover HP by 3%.")</f>
        <v>When you or an ally captures Treasure: Recover HP by 3%.</v>
      </c>
      <c r="J9" s="163" t="str">
        <f>IFERROR(__xludf.DUMMYFUNCTION("""COMPUTED_VALUE"""),"Egghead ~ Child")</f>
        <v>Egghead ~ Child</v>
      </c>
      <c r="K9" s="164" t="str">
        <f>IFERROR(__xludf.DUMMYFUNCTION("""COMPUTED_VALUE"""),"https://i.postimg.cc/1X5VWNMt/301.png")</f>
        <v>https://i.postimg.cc/1X5VWNMt/301.png</v>
      </c>
      <c r="L9" s="162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</row>
    <row r="10">
      <c r="A10" s="163" t="str">
        <f>IFERROR(__xludf.DUMMYFUNCTION("""COMPUTED_VALUE"""),"G-334")</f>
        <v>G-334</v>
      </c>
      <c r="B10" s="163" t="str">
        <f>IFERROR(__xludf.DUMMYFUNCTION("""COMPUTED_VALUE"""),"Egghead Franky")</f>
        <v>Egghead Franky</v>
      </c>
      <c r="C10" s="163" t="str">
        <f>IFERROR(__xludf.DUMMYFUNCTION("""COMPUTED_VALUE"""),"When attacking an enemy with Skill 2: Increase damage dealt by 5%.")</f>
        <v>When attacking an enemy with Skill 2: Increase damage dealt by 5%.</v>
      </c>
      <c r="D10" s="163" t="str">
        <f>IFERROR(__xludf.DUMMYFUNCTION("""COMPUTED_VALUE"""),"Egghead ~ Straw Hat Pirates ~ Ship Carpenter")</f>
        <v>Egghead ~ Straw Hat Pirates ~ Ship Carpenter</v>
      </c>
      <c r="E10" s="164" t="str">
        <f>IFERROR(__xludf.DUMMYFUNCTION("""COMPUTED_VALUE"""),"https://i.postimg.cc/RFXfSgmL/334.png")</f>
        <v>https://i.postimg.cc/RFXfSgmL/334.png</v>
      </c>
      <c r="F10" s="162"/>
      <c r="G10" s="163" t="str">
        <f>IFERROR(__xludf.DUMMYFUNCTION("""COMPUTED_VALUE"""),"E-300")</f>
        <v>E-300</v>
      </c>
      <c r="H10" s="163" t="str">
        <f>IFERROR(__xludf.DUMMYFUNCTION("""COMPUTED_VALUE"""),"Ginny (Child)")</f>
        <v>Ginny (Child)</v>
      </c>
      <c r="I10" s="163" t="str">
        <f>IFERROR(__xludf.DUMMYFUNCTION("""COMPUTED_VALUE"""),"When you Down an enemy: Reduce the cooldown time of Skill 2 by 4%.")</f>
        <v>When you Down an enemy: Reduce the cooldown time of Skill 2 by 4%.</v>
      </c>
      <c r="J10" s="163" t="str">
        <f>IFERROR(__xludf.DUMMYFUNCTION("""COMPUTED_VALUE"""),"Egghead ~ Child")</f>
        <v>Egghead ~ Child</v>
      </c>
      <c r="K10" s="164" t="str">
        <f>IFERROR(__xludf.DUMMYFUNCTION("""COMPUTED_VALUE"""),"https://i.postimg.cc/J04HTBKh/300.png")</f>
        <v>https://i.postimg.cc/J04HTBKh/300.png</v>
      </c>
      <c r="L10" s="162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</row>
    <row r="11">
      <c r="A11" s="163" t="str">
        <f>IFERROR(__xludf.DUMMYFUNCTION("""COMPUTED_VALUE"""),"G-333")</f>
        <v>G-333</v>
      </c>
      <c r="B11" s="163" t="str">
        <f>IFERROR(__xludf.DUMMYFUNCTION("""COMPUTED_VALUE"""),"St. Jaygarcia Saturn")</f>
        <v>St. Jaygarcia Saturn</v>
      </c>
      <c r="C11" s="163" t="str">
        <f>IFERROR(__xludf.DUMMYFUNCTION("""COMPUTED_VALUE"""),"When in the Treasure Area: Reduce damage recieved by 3%.")</f>
        <v>When in the Treasure Area: Reduce damage recieved by 3%.</v>
      </c>
      <c r="D11" s="163" t="str">
        <f>IFERROR(__xludf.DUMMYFUNCTION("""COMPUTED_VALUE"""),"Egghead ~ World Noble ~ The Five Elders")</f>
        <v>Egghead ~ World Noble ~ The Five Elders</v>
      </c>
      <c r="E11" s="164" t="str">
        <f>IFERROR(__xludf.DUMMYFUNCTION("""COMPUTED_VALUE"""),"https://i.postimg.cc/7Lq9QDmL/333.png")</f>
        <v>https://i.postimg.cc/7Lq9QDmL/333.png</v>
      </c>
      <c r="F11" s="162"/>
      <c r="G11" s="163" t="str">
        <f>IFERROR(__xludf.DUMMYFUNCTION("""COMPUTED_VALUE"""),"E-299")</f>
        <v>E-299</v>
      </c>
      <c r="H11" s="163" t="str">
        <f>IFERROR(__xludf.DUMMYFUNCTION("""COMPUTED_VALUE"""),"King (Bandaged)")</f>
        <v>King (Bandaged)</v>
      </c>
      <c r="I11" s="163" t="str">
        <f>IFERROR(__xludf.DUMMYFUNCTION("""COMPUTED_VALUE"""),"When Critical occurs: Recover HP by 2%.")</f>
        <v>When Critical occurs: Recover HP by 2%.</v>
      </c>
      <c r="J11" s="163" t="str">
        <f>IFERROR(__xludf.DUMMYFUNCTION("""COMPUTED_VALUE"""),"Land of Wano ~ Animal Kingdom Pirates ~ Zoan ~ Lead Performer")</f>
        <v>Land of Wano ~ Animal Kingdom Pirates ~ Zoan ~ Lead Performer</v>
      </c>
      <c r="K11" s="164" t="str">
        <f>IFERROR(__xludf.DUMMYFUNCTION("""COMPUTED_VALUE"""),"https://i.postimg.cc/kMybBzDn/299.png")</f>
        <v>https://i.postimg.cc/kMybBzDn/299.png</v>
      </c>
      <c r="L11" s="162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</row>
    <row r="12">
      <c r="A12" s="163" t="str">
        <f>IFERROR(__xludf.DUMMYFUNCTION("""COMPUTED_VALUE"""),"G-332")</f>
        <v>G-332</v>
      </c>
      <c r="B12" s="163" t="str">
        <f>IFERROR(__xludf.DUMMYFUNCTION("""COMPUTED_VALUE"""),"Egghead Robin")</f>
        <v>Egghead Robin</v>
      </c>
      <c r="C12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2" s="163" t="str">
        <f>IFERROR(__xludf.DUMMYFUNCTION("""COMPUTED_VALUE"""),"Egghead ~ Straw Hat Pirates ~ Paramecia ~ Archaeologist")</f>
        <v>Egghead ~ Straw Hat Pirates ~ Paramecia ~ Archaeologist</v>
      </c>
      <c r="E12" s="164" t="str">
        <f>IFERROR(__xludf.DUMMYFUNCTION("""COMPUTED_VALUE"""),"https://i.postimg.cc/6ppxZLBq/332.png")</f>
        <v>https://i.postimg.cc/6ppxZLBq/332.png</v>
      </c>
      <c r="F12" s="162"/>
      <c r="G12" s="163" t="str">
        <f>IFERROR(__xludf.DUMMYFUNCTION("""COMPUTED_VALUE"""),"E-298")</f>
        <v>E-298</v>
      </c>
      <c r="H12" s="163" t="str">
        <f>IFERROR(__xludf.DUMMYFUNCTION("""COMPUTED_VALUE"""),"Zoro (Feast)")</f>
        <v>Zoro (Feast)</v>
      </c>
      <c r="I12" s="163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J12" s="163" t="str">
        <f>IFERROR(__xludf.DUMMYFUNCTION("""COMPUTED_VALUE"""),"Land of Wano ~ Straw Hat Pirates ~ Combatant ~ Worst Generation")</f>
        <v>Land of Wano ~ Straw Hat Pirates ~ Combatant ~ Worst Generation</v>
      </c>
      <c r="K12" s="164" t="str">
        <f>IFERROR(__xludf.DUMMYFUNCTION("""COMPUTED_VALUE"""),"https://i.postimg.cc/wxkm7Z3q/298.png")</f>
        <v>https://i.postimg.cc/wxkm7Z3q/298.png</v>
      </c>
      <c r="L12" s="162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</row>
    <row r="13">
      <c r="A13" s="163" t="str">
        <f>IFERROR(__xludf.DUMMYFUNCTION("""COMPUTED_VALUE"""),"G-331")</f>
        <v>G-331</v>
      </c>
      <c r="B13" s="163" t="str">
        <f>IFERROR(__xludf.DUMMYFUNCTION("""COMPUTED_VALUE"""),"Egghead Chopper")</f>
        <v>Egghead Chopper</v>
      </c>
      <c r="C13" s="163" t="str">
        <f>IFERROR(__xludf.DUMMYFUNCTION("""COMPUTED_VALUE"""),"When your HP is 70% or more: Reduce damage recieved by 5%.")</f>
        <v>When your HP is 70% or more: Reduce damage recieved by 5%.</v>
      </c>
      <c r="D13" s="163" t="str">
        <f>IFERROR(__xludf.DUMMYFUNCTION("""COMPUTED_VALUE"""),"Egghead ~ Straw Hat Pirates ~ Zoan ~ Doctor")</f>
        <v>Egghead ~ Straw Hat Pirates ~ Zoan ~ Doctor</v>
      </c>
      <c r="E13" s="164" t="str">
        <f>IFERROR(__xludf.DUMMYFUNCTION("""COMPUTED_VALUE"""),"https://i.postimg.cc/XYY65cnJ/331.png")</f>
        <v>https://i.postimg.cc/XYY65cnJ/331.png</v>
      </c>
      <c r="F13" s="162"/>
      <c r="G13" s="163" t="str">
        <f>IFERROR(__xludf.DUMMYFUNCTION("""COMPUTED_VALUE"""),"E-297")</f>
        <v>E-297</v>
      </c>
      <c r="H13" s="163" t="str">
        <f>IFERROR(__xludf.DUMMYFUNCTION("""COMPUTED_VALUE"""),"Warrior God of Agriculture")</f>
        <v>Warrior God of Agriculture</v>
      </c>
      <c r="I13" s="163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J13" s="163" t="str">
        <f>IFERROR(__xludf.DUMMYFUNCTION("""COMPUTED_VALUE"""),"Egghead ~ World Noble ~ The Five Elders")</f>
        <v>Egghead ~ World Noble ~ The Five Elders</v>
      </c>
      <c r="K13" s="164" t="str">
        <f>IFERROR(__xludf.DUMMYFUNCTION("""COMPUTED_VALUE"""),"https://i.postimg.cc/3Nz9LvcJ/297.png")</f>
        <v>https://i.postimg.cc/3Nz9LvcJ/297.png</v>
      </c>
      <c r="L13" s="162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</row>
    <row r="14">
      <c r="A14" s="163" t="str">
        <f>IFERROR(__xludf.DUMMYFUNCTION("""COMPUTED_VALUE"""),"G-330")</f>
        <v>G-330</v>
      </c>
      <c r="B14" s="163" t="str">
        <f>IFERROR(__xludf.DUMMYFUNCTION("""COMPUTED_VALUE"""),"Egghead Brook")</f>
        <v>Egghead Brook</v>
      </c>
      <c r="C14" s="163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D14" s="163" t="str">
        <f>IFERROR(__xludf.DUMMYFUNCTION("""COMPUTED_VALUE"""),"Egghead ~ Straw Hat Pirates ~ Paramecia ~ Musician")</f>
        <v>Egghead ~ Straw Hat Pirates ~ Paramecia ~ Musician</v>
      </c>
      <c r="E14" s="164" t="str">
        <f>IFERROR(__xludf.DUMMYFUNCTION("""COMPUTED_VALUE"""),"https://i.postimg.cc/8PSXcjj5/330.png")</f>
        <v>https://i.postimg.cc/8PSXcjj5/330.png</v>
      </c>
      <c r="F14" s="162"/>
      <c r="G14" s="163" t="str">
        <f>IFERROR(__xludf.DUMMYFUNCTION("""COMPUTED_VALUE"""),"E-296")</f>
        <v>E-296</v>
      </c>
      <c r="H14" s="163" t="str">
        <f>IFERROR(__xludf.DUMMYFUNCTION("""COMPUTED_VALUE"""),"Warrior God of Justice")</f>
        <v>Warrior God of Justice</v>
      </c>
      <c r="I14" s="163" t="str">
        <f>IFERROR(__xludf.DUMMYFUNCTION("""COMPUTED_VALUE"""),"When you Knockback an enemy: Recover HP by 3%.")</f>
        <v>When you Knockback an enemy: Recover HP by 3%.</v>
      </c>
      <c r="J14" s="163" t="str">
        <f>IFERROR(__xludf.DUMMYFUNCTION("""COMPUTED_VALUE"""),"Egghead ~ World Noble ~ The Five Elders")</f>
        <v>Egghead ~ World Noble ~ The Five Elders</v>
      </c>
      <c r="K14" s="164" t="str">
        <f>IFERROR(__xludf.DUMMYFUNCTION("""COMPUTED_VALUE"""),"https://i.postimg.cc/0jhZtwB8/296.png")</f>
        <v>https://i.postimg.cc/0jhZtwB8/296.png</v>
      </c>
      <c r="L14" s="162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</row>
    <row r="15">
      <c r="A15" s="163" t="str">
        <f>IFERROR(__xludf.DUMMYFUNCTION("""COMPUTED_VALUE"""),"G-329")</f>
        <v>G-329</v>
      </c>
      <c r="B15" s="163" t="str">
        <f>IFERROR(__xludf.DUMMYFUNCTION("""COMPUTED_VALUE"""),"Star Gun")</f>
        <v>Star Gun</v>
      </c>
      <c r="C15" s="163" t="str">
        <f>IFERROR(__xludf.DUMMYFUNCTION("""COMPUTED_VALUE"""),"When your HP is 70% or more: Reduce damage recieved by 5%.")</f>
        <v>When your HP is 70% or more: Reduce damage recieved by 5%.</v>
      </c>
      <c r="D15" s="163" t="str">
        <f>IFERROR(__xludf.DUMMYFUNCTION("""COMPUTED_VALUE"""),"Egghead ~ Straw Hat Pirates ~ Zoan ~ Captain ~ The Four Emperors ~ Blood Brothers")</f>
        <v>Egghead ~ Straw Hat Pirates ~ Zoan ~ Captain ~ The Four Emperors ~ Blood Brothers</v>
      </c>
      <c r="E15" s="164" t="str">
        <f>IFERROR(__xludf.DUMMYFUNCTION("""COMPUTED_VALUE"""),"https://i.postimg.cc/B6xLJc36/329.png")</f>
        <v>https://i.postimg.cc/B6xLJc36/329.png</v>
      </c>
      <c r="F15" s="162"/>
      <c r="G15" s="163" t="str">
        <f>IFERROR(__xludf.DUMMYFUNCTION("""COMPUTED_VALUE"""),"E-295")</f>
        <v>E-295</v>
      </c>
      <c r="H15" s="163" t="str">
        <f>IFERROR(__xludf.DUMMYFUNCTION("""COMPUTED_VALUE"""),"Jinbe (Future Outfit)")</f>
        <v>Jinbe (Future Outfit)</v>
      </c>
      <c r="I15" s="163" t="str">
        <f>IFERROR(__xludf.DUMMYFUNCTION("""COMPUTED_VALUE"""),"When attacking an enemy in the area around your enemy`s Treasure: Increase damage dealt by 3%.")</f>
        <v>When attacking an enemy in the area around your enemy`s Treasure: Increase damage dealt by 3%.</v>
      </c>
      <c r="J15" s="163" t="str">
        <f>IFERROR(__xludf.DUMMYFUNCTION("""COMPUTED_VALUE"""),"Egghead ~ Straw Hat Pirates ~ The Seven Warlords of the Sea / Former Warlords of the Sea ~ Helmsman ~ Fish_Man ~ Fish_Man Karate")</f>
        <v>Egghead ~ Straw Hat Pirates ~ The Seven Warlords of the Sea / Former Warlords of the Sea ~ Helmsman ~ Fish_Man ~ Fish_Man Karate</v>
      </c>
      <c r="K15" s="164" t="str">
        <f>IFERROR(__xludf.DUMMYFUNCTION("""COMPUTED_VALUE"""),"https://i.postimg.cc/BbBRLty7/295.png")</f>
        <v>https://i.postimg.cc/BbBRLty7/295.png</v>
      </c>
      <c r="L15" s="162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</row>
    <row r="16">
      <c r="A16" s="163" t="str">
        <f>IFERROR(__xludf.DUMMYFUNCTION("""COMPUTED_VALUE"""),"G-328")</f>
        <v>G-328</v>
      </c>
      <c r="B16" s="163" t="str">
        <f>IFERROR(__xludf.DUMMYFUNCTION("""COMPUTED_VALUE"""),"Egghead Usopp")</f>
        <v>Egghead Usopp</v>
      </c>
      <c r="C16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6" s="163" t="str">
        <f>IFERROR(__xludf.DUMMYFUNCTION("""COMPUTED_VALUE"""),"Egghead ~ Straw Hat Pirates ~ Sharp Shooter")</f>
        <v>Egghead ~ Straw Hat Pirates ~ Sharp Shooter</v>
      </c>
      <c r="E16" s="164" t="str">
        <f>IFERROR(__xludf.DUMMYFUNCTION("""COMPUTED_VALUE"""),"https://i.postimg.cc/Yqf0m8Lz/328.png")</f>
        <v>https://i.postimg.cc/Yqf0m8Lz/328.png</v>
      </c>
      <c r="F16" s="162"/>
      <c r="G16" s="163" t="str">
        <f>IFERROR(__xludf.DUMMYFUNCTION("""COMPUTED_VALUE"""),"E-294")</f>
        <v>E-294</v>
      </c>
      <c r="H16" s="163" t="str">
        <f>IFERROR(__xludf.DUMMYFUNCTION("""COMPUTED_VALUE"""),"Zoro &amp; Kaku")</f>
        <v>Zoro &amp; Kaku</v>
      </c>
      <c r="I16" s="163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J16" s="163" t="str">
        <f>IFERROR(__xludf.DUMMYFUNCTION("""COMPUTED_VALUE"""),"Egghead ~ Straw Hat Pirates ~ Zoan ~ Combatant ~ Six Powers ~ Worst Generation")</f>
        <v>Egghead ~ Straw Hat Pirates ~ Zoan ~ Combatant ~ Six Powers ~ Worst Generation</v>
      </c>
      <c r="K16" s="164" t="str">
        <f>IFERROR(__xludf.DUMMYFUNCTION("""COMPUTED_VALUE"""),"https://i.postimg.cc/nrGNjM5w/294.png")</f>
        <v>https://i.postimg.cc/nrGNjM5w/294.png</v>
      </c>
      <c r="L16" s="162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</row>
    <row r="17">
      <c r="A17" s="163" t="str">
        <f>IFERROR(__xludf.DUMMYFUNCTION("""COMPUTED_VALUE"""),"G-327")</f>
        <v>G-327</v>
      </c>
      <c r="B17" s="163" t="str">
        <f>IFERROR(__xludf.DUMMYFUNCTION("""COMPUTED_VALUE"""),"Egghead Nami")</f>
        <v>Egghead Nami</v>
      </c>
      <c r="C17" s="163" t="str">
        <f>IFERROR(__xludf.DUMMYFUNCTION("""COMPUTED_VALUE"""),"When you capture the Treasure: Recover HP by 5%.")</f>
        <v>When you capture the Treasure: Recover HP by 5%.</v>
      </c>
      <c r="D17" s="163" t="str">
        <f>IFERROR(__xludf.DUMMYFUNCTION("""COMPUTED_VALUE"""),"Egghead ~ Straw Hat Pirates ~ Navigator")</f>
        <v>Egghead ~ Straw Hat Pirates ~ Navigator</v>
      </c>
      <c r="E17" s="164" t="str">
        <f>IFERROR(__xludf.DUMMYFUNCTION("""COMPUTED_VALUE"""),"https://i.postimg.cc/DwvZQsqk/327.png")</f>
        <v>https://i.postimg.cc/DwvZQsqk/327.png</v>
      </c>
      <c r="F17" s="162"/>
      <c r="G17" s="163" t="str">
        <f>IFERROR(__xludf.DUMMYFUNCTION("""COMPUTED_VALUE"""),"E-293")</f>
        <v>E-293</v>
      </c>
      <c r="H17" s="163" t="str">
        <f>IFERROR(__xludf.DUMMYFUNCTION("""COMPUTED_VALUE"""),"Franky (Future Outfit)")</f>
        <v>Franky (Future Outfit)</v>
      </c>
      <c r="I17" s="163" t="str">
        <f>IFERROR(__xludf.DUMMYFUNCTION("""COMPUTED_VALUE"""),"When attacked by an enemy whose ATK is boosted: Reduce damage recieved by 3%.")</f>
        <v>When attacked by an enemy whose ATK is boosted: Reduce damage recieved by 3%.</v>
      </c>
      <c r="J17" s="163" t="str">
        <f>IFERROR(__xludf.DUMMYFUNCTION("""COMPUTED_VALUE"""),"Egghead ~ Straw Hat Pirates ~ Ship Carpenter")</f>
        <v>Egghead ~ Straw Hat Pirates ~ Ship Carpenter</v>
      </c>
      <c r="K17" s="164" t="str">
        <f>IFERROR(__xludf.DUMMYFUNCTION("""COMPUTED_VALUE"""),"https://i.postimg.cc/wBvGzZ3Q/293.png")</f>
        <v>https://i.postimg.cc/wBvGzZ3Q/293.png</v>
      </c>
      <c r="L17" s="162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</row>
    <row r="18">
      <c r="A18" s="163" t="str">
        <f>IFERROR(__xludf.DUMMYFUNCTION("""COMPUTED_VALUE"""),"G-326")</f>
        <v>G-326</v>
      </c>
      <c r="B18" s="163" t="str">
        <f>IFERROR(__xludf.DUMMYFUNCTION("""COMPUTED_VALUE"""),"Issho")</f>
        <v>Issho</v>
      </c>
      <c r="C18" s="163" t="str">
        <f>IFERROR(__xludf.DUMMYFUNCTION("""COMPUTED_VALUE"""),"When you capture the Treasure: Recover HP by 5%.")</f>
        <v>When you capture the Treasure: Recover HP by 5%.</v>
      </c>
      <c r="D18" s="163" t="str">
        <f>IFERROR(__xludf.DUMMYFUNCTION("""COMPUTED_VALUE"""),"Dressrosa ~ Navy ~ Paramecia ~ Navy Admiral / Former Navy Admiral")</f>
        <v>Dressrosa ~ Navy ~ Paramecia ~ Navy Admiral / Former Navy Admiral</v>
      </c>
      <c r="E18" s="164" t="str">
        <f>IFERROR(__xludf.DUMMYFUNCTION("""COMPUTED_VALUE"""),"https://i.postimg.cc/6QLCZvL7/326.png")</f>
        <v>https://i.postimg.cc/6QLCZvL7/326.png</v>
      </c>
      <c r="F18" s="162"/>
      <c r="G18" s="163" t="str">
        <f>IFERROR(__xludf.DUMMYFUNCTION("""COMPUTED_VALUE"""),"E-292")</f>
        <v>E-292</v>
      </c>
      <c r="H18" s="163" t="str">
        <f>IFERROR(__xludf.DUMMYFUNCTION("""COMPUTED_VALUE"""),"Usopp (Future Outfit)")</f>
        <v>Usopp (Future Outfit)</v>
      </c>
      <c r="I18" s="163" t="str">
        <f>IFERROR(__xludf.DUMMYFUNCTION("""COMPUTED_VALUE"""),"When you or an ally KOs an enemy: Reduce the cooldown time of Skill 1 by 3%.")</f>
        <v>When you or an ally KOs an enemy: Reduce the cooldown time of Skill 1 by 3%.</v>
      </c>
      <c r="J18" s="163" t="str">
        <f>IFERROR(__xludf.DUMMYFUNCTION("""COMPUTED_VALUE"""),"Egghead ~ Straw Hat Pirates ~ Sharp Shooter")</f>
        <v>Egghead ~ Straw Hat Pirates ~ Sharp Shooter</v>
      </c>
      <c r="K18" s="164" t="str">
        <f>IFERROR(__xludf.DUMMYFUNCTION("""COMPUTED_VALUE"""),"https://i.postimg.cc/8C0nz46Q/292.png")</f>
        <v>https://i.postimg.cc/8C0nz46Q/292.png</v>
      </c>
      <c r="L18" s="162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</row>
    <row r="19">
      <c r="A19" s="163" t="str">
        <f>IFERROR(__xludf.DUMMYFUNCTION("""COMPUTED_VALUE"""),"G-325")</f>
        <v>G-325</v>
      </c>
      <c r="B19" s="163" t="str">
        <f>IFERROR(__xludf.DUMMYFUNCTION("""COMPUTED_VALUE"""),"Aramaki")</f>
        <v>Aramaki</v>
      </c>
      <c r="C19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9" s="163" t="str">
        <f>IFERROR(__xludf.DUMMYFUNCTION("""COMPUTED_VALUE"""),"Land of Wano ~ Navy ~ Logia ~ Navy Admiral / Former Navy Admiral")</f>
        <v>Land of Wano ~ Navy ~ Logia ~ Navy Admiral / Former Navy Admiral</v>
      </c>
      <c r="E19" s="164" t="str">
        <f>IFERROR(__xludf.DUMMYFUNCTION("""COMPUTED_VALUE"""),"https://i.postimg.cc/W4PMtnrL/325.png")</f>
        <v>https://i.postimg.cc/W4PMtnrL/325.png</v>
      </c>
      <c r="F19" s="162"/>
      <c r="G19" s="163" t="str">
        <f>IFERROR(__xludf.DUMMYFUNCTION("""COMPUTED_VALUE"""),"E-291")</f>
        <v>E-291</v>
      </c>
      <c r="H19" s="163" t="str">
        <f>IFERROR(__xludf.DUMMYFUNCTION("""COMPUTED_VALUE"""),"Sanji (Future Outfit)")</f>
        <v>Sanji (Future Outfit)</v>
      </c>
      <c r="I19" s="163" t="str">
        <f>IFERROR(__xludf.DUMMYFUNCTION("""COMPUTED_VALUE"""),"When you Knockback an enemy: Reduce the cooldown time of Skill 2 by 3%.")</f>
        <v>When you Knockback an enemy: Reduce the cooldown time of Skill 2 by 3%.</v>
      </c>
      <c r="J19" s="163" t="str">
        <f>IFERROR(__xludf.DUMMYFUNCTION("""COMPUTED_VALUE"""),"Egghead ~ Straw Hat Pirates ~ Cook")</f>
        <v>Egghead ~ Straw Hat Pirates ~ Cook</v>
      </c>
      <c r="K19" s="164" t="str">
        <f>IFERROR(__xludf.DUMMYFUNCTION("""COMPUTED_VALUE"""),"https://i.postimg.cc/rmWWK21q/291.png")</f>
        <v>https://i.postimg.cc/rmWWK21q/291.png</v>
      </c>
      <c r="L19" s="162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</row>
    <row r="20">
      <c r="A20" s="163" t="str">
        <f>IFERROR(__xludf.DUMMYFUNCTION("""COMPUTED_VALUE"""),"G-324")</f>
        <v>G-324</v>
      </c>
      <c r="B20" s="163" t="str">
        <f>IFERROR(__xludf.DUMMYFUNCTION("""COMPUTED_VALUE"""),"Borsalino")</f>
        <v>Borsalino</v>
      </c>
      <c r="C20" s="163" t="str">
        <f>IFERROR(__xludf.DUMMYFUNCTION("""COMPUTED_VALUE"""),"When in the Treasure Area: Reduce damage recieved by 3%.")</f>
        <v>When in the Treasure Area: Reduce damage recieved by 3%.</v>
      </c>
      <c r="D20" s="163" t="str">
        <f>IFERROR(__xludf.DUMMYFUNCTION("""COMPUTED_VALUE"""),"Egghead ~ Navy ~ Logia ~ Navy Admiral / Former Navy Admiral")</f>
        <v>Egghead ~ Navy ~ Logia ~ Navy Admiral / Former Navy Admiral</v>
      </c>
      <c r="E20" s="164" t="str">
        <f>IFERROR(__xludf.DUMMYFUNCTION("""COMPUTED_VALUE"""),"https://i.postimg.cc/ZKFqF2xm/324.png")</f>
        <v>https://i.postimg.cc/ZKFqF2xm/324.png</v>
      </c>
      <c r="F20" s="162"/>
      <c r="G20" s="163" t="str">
        <f>IFERROR(__xludf.DUMMYFUNCTION("""COMPUTED_VALUE"""),"E-290")</f>
        <v>E-290</v>
      </c>
      <c r="H20" s="163" t="str">
        <f>IFERROR(__xludf.DUMMYFUNCTION("""COMPUTED_VALUE"""),"A Hundred Times Stronger")</f>
        <v>A Hundred Times Stronger</v>
      </c>
      <c r="I20" s="163" t="str">
        <f>IFERROR(__xludf.DUMMYFUNCTION("""COMPUTED_VALUE"""),"When you capture the Treasure: Reduce the cooldown time of Skill 1 by 8%.")</f>
        <v>When you capture the Treasure: Reduce the cooldown time of Skill 1 by 8%.</v>
      </c>
      <c r="J20" s="163" t="str">
        <f>IFERROR(__xludf.DUMMYFUNCTION("""COMPUTED_VALUE"""),"Egghead ~ Straw Hat Pirates ~ Zoan ~ Captain ~ The Four Emperors ~ Blood Brothers")</f>
        <v>Egghead ~ Straw Hat Pirates ~ Zoan ~ Captain ~ The Four Emperors ~ Blood Brothers</v>
      </c>
      <c r="K20" s="164" t="str">
        <f>IFERROR(__xludf.DUMMYFUNCTION("""COMPUTED_VALUE"""),"https://i.postimg.cc/6QFnWpGH/290.png")</f>
        <v>https://i.postimg.cc/6QFnWpGH/290.png</v>
      </c>
      <c r="L20" s="162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</row>
    <row r="21">
      <c r="A21" s="163" t="str">
        <f>IFERROR(__xludf.DUMMYFUNCTION("""COMPUTED_VALUE"""),"G-323")</f>
        <v>G-323</v>
      </c>
      <c r="B21" s="163" t="str">
        <f>IFERROR(__xludf.DUMMYFUNCTION("""COMPUTED_VALUE"""),"Armée de l’Air Power Shoot")</f>
        <v>Armée de l’Air Power Shoot</v>
      </c>
      <c r="C21" s="163" t="str">
        <f>IFERROR(__xludf.DUMMYFUNCTION("""COMPUTED_VALUE"""),"When you are Downed: Reduce the cooldown time of Skill 2 by 4%.")</f>
        <v>When you are Downed: Reduce the cooldown time of Skill 2 by 4%.</v>
      </c>
      <c r="D21" s="163" t="str">
        <f>IFERROR(__xludf.DUMMYFUNCTION("""COMPUTED_VALUE"""),"Sky Island / LRLL ~ Foxy Pirates ~ Cook")</f>
        <v>Sky Island / LRLL ~ Foxy Pirates ~ Cook</v>
      </c>
      <c r="E21" s="164" t="str">
        <f>IFERROR(__xludf.DUMMYFUNCTION("""COMPUTED_VALUE"""),"https://i.postimg.cc/VkCqvGkD/323.png")</f>
        <v>https://i.postimg.cc/VkCqvGkD/323.png</v>
      </c>
      <c r="F21" s="162"/>
      <c r="G21" s="163" t="str">
        <f>IFERROR(__xludf.DUMMYFUNCTION("""COMPUTED_VALUE"""),"E-289")</f>
        <v>E-289</v>
      </c>
      <c r="H21" s="163" t="str">
        <f>IFERROR(__xludf.DUMMYFUNCTION("""COMPUTED_VALUE"""),"Atlas (Order)")</f>
        <v>Atlas (Order)</v>
      </c>
      <c r="I21" s="163" t="str">
        <f>IFERROR(__xludf.DUMMYFUNCTION("""COMPUTED_VALUE"""),"When your HP is 70% or more: Reduce damage recieved by 3%.")</f>
        <v>When your HP is 70% or more: Reduce damage recieved by 3%.</v>
      </c>
      <c r="J21" s="163" t="str">
        <f>IFERROR(__xludf.DUMMYFUNCTION("""COMPUTED_VALUE"""),"Egghead ~ Navy ~ Satellite")</f>
        <v>Egghead ~ Navy ~ Satellite</v>
      </c>
      <c r="K21" s="164" t="str">
        <f>IFERROR(__xludf.DUMMYFUNCTION("""COMPUTED_VALUE"""),"https://i.postimg.cc/GhQ3p26M/289.png")</f>
        <v>https://i.postimg.cc/GhQ3p26M/289.png</v>
      </c>
      <c r="L21" s="162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</row>
    <row r="22">
      <c r="A22" s="163" t="str">
        <f>IFERROR(__xludf.DUMMYFUNCTION("""COMPUTED_VALUE"""),"G-322")</f>
        <v>G-322</v>
      </c>
      <c r="B22" s="163" t="str">
        <f>IFERROR(__xludf.DUMMYFUNCTION("""COMPUTED_VALUE"""),"Foxy")</f>
        <v>Foxy</v>
      </c>
      <c r="C22" s="163" t="str">
        <f>IFERROR(__xludf.DUMMYFUNCTION("""COMPUTED_VALUE"""),"When your HP is 70% or more: Reduce damage recieved by 5%.")</f>
        <v>When your HP is 70% or more: Reduce damage recieved by 5%.</v>
      </c>
      <c r="D22" s="163" t="str">
        <f>IFERROR(__xludf.DUMMYFUNCTION("""COMPUTED_VALUE"""),"Sky Island / LRLL ~ Foxy Pirates ~ Paramecia ~ Captain")</f>
        <v>Sky Island / LRLL ~ Foxy Pirates ~ Paramecia ~ Captain</v>
      </c>
      <c r="E22" s="164" t="str">
        <f>IFERROR(__xludf.DUMMYFUNCTION("""COMPUTED_VALUE"""),"https://i.postimg.cc/28zbH4FF/322.png")</f>
        <v>https://i.postimg.cc/28zbH4FF/322.png</v>
      </c>
      <c r="F22" s="162"/>
      <c r="G22" s="163" t="str">
        <f>IFERROR(__xludf.DUMMYFUNCTION("""COMPUTED_VALUE"""),"E-288")</f>
        <v>E-288</v>
      </c>
      <c r="H22" s="163" t="str">
        <f>IFERROR(__xludf.DUMMYFUNCTION("""COMPUTED_VALUE"""),"Edison (Bandaged)")</f>
        <v>Edison (Bandaged)</v>
      </c>
      <c r="I22" s="163" t="str">
        <f>IFERROR(__xludf.DUMMYFUNCTION("""COMPUTED_VALUE"""),"When you Knockback an enemy: Reduce the cooldown time of Skill 2 by 5%.")</f>
        <v>When you Knockback an enemy: Reduce the cooldown time of Skill 2 by 5%.</v>
      </c>
      <c r="J22" s="163" t="str">
        <f>IFERROR(__xludf.DUMMYFUNCTION("""COMPUTED_VALUE"""),"Egghead ~ Navy ~ Satellite")</f>
        <v>Egghead ~ Navy ~ Satellite</v>
      </c>
      <c r="K22" s="164" t="str">
        <f>IFERROR(__xludf.DUMMYFUNCTION("""COMPUTED_VALUE"""),"https://i.postimg.cc/m2R2RMpz/288.png")</f>
        <v>https://i.postimg.cc/m2R2RMpz/288.png</v>
      </c>
      <c r="L22" s="162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</row>
    <row r="23">
      <c r="A23" s="163" t="str">
        <f>IFERROR(__xludf.DUMMYFUNCTION("""COMPUTED_VALUE"""),"G-321")</f>
        <v>G-321</v>
      </c>
      <c r="B23" s="163" t="str">
        <f>IFERROR(__xludf.DUMMYFUNCTION("""COMPUTED_VALUE"""),"Flail")</f>
        <v>Flail</v>
      </c>
      <c r="C23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D23" s="163" t="str">
        <f>IFERROR(__xludf.DUMMYFUNCTION("""COMPUTED_VALUE"""),"Sky Island / LRLL ~ Straw Hat Pirates ~ Paramecia ~ Captain ~ Blood Brothers")</f>
        <v>Sky Island / LRLL ~ Straw Hat Pirates ~ Paramecia ~ Captain ~ Blood Brothers</v>
      </c>
      <c r="E23" s="164" t="str">
        <f>IFERROR(__xludf.DUMMYFUNCTION("""COMPUTED_VALUE"""),"https://i.postimg.cc/Wpmq69r1/321.png")</f>
        <v>https://i.postimg.cc/Wpmq69r1/321.png</v>
      </c>
      <c r="F23" s="162"/>
      <c r="G23" s="163" t="str">
        <f>IFERROR(__xludf.DUMMYFUNCTION("""COMPUTED_VALUE"""),"E-287")</f>
        <v>E-287</v>
      </c>
      <c r="H23" s="163" t="str">
        <f>IFERROR(__xludf.DUMMYFUNCTION("""COMPUTED_VALUE"""),"Kuzan (FILM Z)")</f>
        <v>Kuzan (FILM Z)</v>
      </c>
      <c r="I23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J23" s="163" t="str">
        <f>IFERROR(__xludf.DUMMYFUNCTION("""COMPUTED_VALUE"""),"FILM Z ~ Logia ~ Navy Admiral / Former Navy Admiral")</f>
        <v>FILM Z ~ Logia ~ Navy Admiral / Former Navy Admiral</v>
      </c>
      <c r="K23" s="164" t="str">
        <f>IFERROR(__xludf.DUMMYFUNCTION("""COMPUTED_VALUE"""),"https://i.postimg.cc/pdjqGDm2/287.png")</f>
        <v>https://i.postimg.cc/pdjqGDm2/287.png</v>
      </c>
      <c r="L23" s="162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</row>
    <row r="24">
      <c r="A24" s="163" t="str">
        <f>IFERROR(__xludf.DUMMYFUNCTION("""COMPUTED_VALUE"""),"G-320")</f>
        <v>G-320</v>
      </c>
      <c r="B24" s="163" t="str">
        <f>IFERROR(__xludf.DUMMYFUNCTION("""COMPUTED_VALUE"""),"Sai")</f>
        <v>Sai</v>
      </c>
      <c r="C24" s="163" t="str">
        <f>IFERROR(__xludf.DUMMYFUNCTION("""COMPUTED_VALUE"""),"When Critical occurs: Recover HP by 2%.")</f>
        <v>When Critical occurs: Recover HP by 2%.</v>
      </c>
      <c r="D24" s="163" t="str">
        <f>IFERROR(__xludf.DUMMYFUNCTION("""COMPUTED_VALUE"""),"Reverie ~ Straw Hat Fleet")</f>
        <v>Reverie ~ Straw Hat Fleet</v>
      </c>
      <c r="E24" s="164" t="str">
        <f>IFERROR(__xludf.DUMMYFUNCTION("""COMPUTED_VALUE"""),"https://i.postimg.cc/bvvbC6KC/320.png")</f>
        <v>https://i.postimg.cc/bvvbC6KC/320.png</v>
      </c>
      <c r="F24" s="162"/>
      <c r="G24" s="163" t="str">
        <f>IFERROR(__xludf.DUMMYFUNCTION("""COMPUTED_VALUE"""),"E-286")</f>
        <v>E-286</v>
      </c>
      <c r="H24" s="163" t="str">
        <f>IFERROR(__xludf.DUMMYFUNCTION("""COMPUTED_VALUE"""),"Admiral Zephyr")</f>
        <v>Admiral Zephyr</v>
      </c>
      <c r="I24" s="163" t="str">
        <f>IFERROR(__xludf.DUMMYFUNCTION("""COMPUTED_VALUE"""),"When you Knockback an enemy: Recover HP by 3%.")</f>
        <v>When you Knockback an enemy: Recover HP by 3%.</v>
      </c>
      <c r="J24" s="163" t="str">
        <f>IFERROR(__xludf.DUMMYFUNCTION("""COMPUTED_VALUE"""),"FILM Z ~ Navy Admiral / Former Navy Admiral")</f>
        <v>FILM Z ~ Navy Admiral / Former Navy Admiral</v>
      </c>
      <c r="K24" s="164" t="str">
        <f>IFERROR(__xludf.DUMMYFUNCTION("""COMPUTED_VALUE"""),"https://i.postimg.cc/6pgMfH5j/286.png")</f>
        <v>https://i.postimg.cc/6pgMfH5j/286.png</v>
      </c>
      <c r="L24" s="162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</row>
    <row r="25">
      <c r="A25" s="163" t="str">
        <f>IFERROR(__xludf.DUMMYFUNCTION("""COMPUTED_VALUE"""),"G-319")</f>
        <v>G-319</v>
      </c>
      <c r="B25" s="163" t="str">
        <f>IFERROR(__xludf.DUMMYFUNCTION("""COMPUTED_VALUE"""),"Leo")</f>
        <v>Leo</v>
      </c>
      <c r="C25" s="163" t="str">
        <f>IFERROR(__xludf.DUMMYFUNCTION("""COMPUTED_VALUE"""),"When your HP is 70% or more: Reduce damage recieved by 5%.")</f>
        <v>When your HP is 70% or more: Reduce damage recieved by 5%.</v>
      </c>
      <c r="D25" s="163" t="str">
        <f>IFERROR(__xludf.DUMMYFUNCTION("""COMPUTED_VALUE"""),"Reverie ~ Paramecia ~ Captain ~ Straw Hat Fleet")</f>
        <v>Reverie ~ Paramecia ~ Captain ~ Straw Hat Fleet</v>
      </c>
      <c r="E25" s="164" t="str">
        <f>IFERROR(__xludf.DUMMYFUNCTION("""COMPUTED_VALUE"""),"https://i.postimg.cc/GpSDZFRc/319.png")</f>
        <v>https://i.postimg.cc/GpSDZFRc/319.png</v>
      </c>
      <c r="F25" s="162"/>
      <c r="G25" s="163" t="str">
        <f>IFERROR(__xludf.DUMMYFUNCTION("""COMPUTED_VALUE"""),"E-285")</f>
        <v>E-285</v>
      </c>
      <c r="H25" s="163" t="str">
        <f>IFERROR(__xludf.DUMMYFUNCTION("""COMPUTED_VALUE"""),"Bluegrass")</f>
        <v>Bluegrass</v>
      </c>
      <c r="I25" s="163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J25" s="163" t="str">
        <f>IFERROR(__xludf.DUMMYFUNCTION("""COMPUTED_VALUE"""),"Egghead ~ Navy ~ Paramecia ~ Vice Admiral")</f>
        <v>Egghead ~ Navy ~ Paramecia ~ Vice Admiral</v>
      </c>
      <c r="K25" s="164" t="str">
        <f>IFERROR(__xludf.DUMMYFUNCTION("""COMPUTED_VALUE"""),"https://i.postimg.cc/VkKL2thH/285.png")</f>
        <v>https://i.postimg.cc/VkKL2thH/285.png</v>
      </c>
      <c r="L25" s="162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</row>
    <row r="26">
      <c r="A26" s="163" t="str">
        <f>IFERROR(__xludf.DUMMYFUNCTION("""COMPUTED_VALUE"""),"G-318")</f>
        <v>G-318</v>
      </c>
      <c r="B26" s="163" t="str">
        <f>IFERROR(__xludf.DUMMYFUNCTION("""COMPUTED_VALUE"""),"St. Charlos")</f>
        <v>St. Charlos</v>
      </c>
      <c r="C26" s="163" t="str">
        <f>IFERROR(__xludf.DUMMYFUNCTION("""COMPUTED_VALUE"""),"When attacking a character type ``Fish_Man`` enemy: Increase damage dealt by 1%.")</f>
        <v>When attacking a character type ``Fish_Man`` enemy: Increase damage dealt by 1%.</v>
      </c>
      <c r="D26" s="163" t="str">
        <f>IFERROR(__xludf.DUMMYFUNCTION("""COMPUTED_VALUE"""),"Sabaody Archipelago / Island of Women ~ World Noble")</f>
        <v>Sabaody Archipelago / Island of Women ~ World Noble</v>
      </c>
      <c r="E26" s="164" t="str">
        <f>IFERROR(__xludf.DUMMYFUNCTION("""COMPUTED_VALUE"""),"https://i.postimg.cc/Y23F8CzG/318.png")</f>
        <v>https://i.postimg.cc/Y23F8CzG/318.png</v>
      </c>
      <c r="F26" s="162"/>
      <c r="G26" s="163" t="str">
        <f>IFERROR(__xludf.DUMMYFUNCTION("""COMPUTED_VALUE"""),"E-284")</f>
        <v>E-284</v>
      </c>
      <c r="H26" s="163" t="str">
        <f>IFERROR(__xludf.DUMMYFUNCTION("""COMPUTED_VALUE"""),"Doll")</f>
        <v>Doll</v>
      </c>
      <c r="I26" s="163" t="str">
        <f>IFERROR(__xludf.DUMMYFUNCTION("""COMPUTED_VALUE"""),"When you Knockback an enemy: Reduce the cooldown time of Skill 1 by 5%.")</f>
        <v>When you Knockback an enemy: Reduce the cooldown time of Skill 1 by 5%.</v>
      </c>
      <c r="J26" s="163" t="str">
        <f>IFERROR(__xludf.DUMMYFUNCTION("""COMPUTED_VALUE"""),"Egghead ~ Navy ~ Vice Admiral")</f>
        <v>Egghead ~ Navy ~ Vice Admiral</v>
      </c>
      <c r="K26" s="164" t="str">
        <f>IFERROR(__xludf.DUMMYFUNCTION("""COMPUTED_VALUE"""),"https://i.postimg.cc/0Nr2vQR5/284.png")</f>
        <v>https://i.postimg.cc/0Nr2vQR5/284.png</v>
      </c>
      <c r="L26" s="162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</row>
    <row r="27">
      <c r="A27" s="163" t="str">
        <f>IFERROR(__xludf.DUMMYFUNCTION("""COMPUTED_VALUE"""),"G-317")</f>
        <v>G-317</v>
      </c>
      <c r="B27" s="163" t="str">
        <f>IFERROR(__xludf.DUMMYFUNCTION("""COMPUTED_VALUE"""),"Invisible Strike")</f>
        <v>Invisible Strike</v>
      </c>
      <c r="C27" s="163" t="str">
        <f>IFERROR(__xludf.DUMMYFUNCTION("""COMPUTED_VALUE"""),"After KOing an enemy: Recover HP by 5%.")</f>
        <v>After KOing an enemy: Recover HP by 5%.</v>
      </c>
      <c r="D27" s="163" t="str">
        <f>IFERROR(__xludf.DUMMYFUNCTION("""COMPUTED_VALUE"""),"Egghead ~ Paramecia ~ Helmsman ~ Blackbeard Pirates")</f>
        <v>Egghead ~ Paramecia ~ Helmsman ~ Blackbeard Pirates</v>
      </c>
      <c r="E27" s="164" t="str">
        <f>IFERROR(__xludf.DUMMYFUNCTION("""COMPUTED_VALUE"""),"https://i.postimg.cc/XqQyvsYc/317.png")</f>
        <v>https://i.postimg.cc/XqQyvsYc/317.png</v>
      </c>
      <c r="F27" s="162"/>
      <c r="G27" s="163" t="str">
        <f>IFERROR(__xludf.DUMMYFUNCTION("""COMPUTED_VALUE"""),"E-283")</f>
        <v>E-283</v>
      </c>
      <c r="H27" s="163" t="str">
        <f>IFERROR(__xludf.DUMMYFUNCTION("""COMPUTED_VALUE"""),"Usopp (Cornerman)")</f>
        <v>Usopp (Cornerman)</v>
      </c>
      <c r="I27" s="163" t="str">
        <f>IFERROR(__xludf.DUMMYFUNCTION("""COMPUTED_VALUE"""),"When you capture the Treasure: Reduce the cooldown time of Skill 2 by 8%.")</f>
        <v>When you capture the Treasure: Reduce the cooldown time of Skill 2 by 8%.</v>
      </c>
      <c r="J27" s="163" t="str">
        <f>IFERROR(__xludf.DUMMYFUNCTION("""COMPUTED_VALUE"""),"Sky Island / LRLL ~ Foxy Pirates ~ Sharp Shooter")</f>
        <v>Sky Island / LRLL ~ Foxy Pirates ~ Sharp Shooter</v>
      </c>
      <c r="K27" s="164" t="str">
        <f>IFERROR(__xludf.DUMMYFUNCTION("""COMPUTED_VALUE"""),"https://i.postimg.cc/DzQ1dSsG/283.png")</f>
        <v>https://i.postimg.cc/DzQ1dSsG/283.png</v>
      </c>
      <c r="L27" s="162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</row>
    <row r="28">
      <c r="A28" s="163" t="str">
        <f>IFERROR(__xludf.DUMMYFUNCTION("""COMPUTED_VALUE"""),"G-316")</f>
        <v>G-316</v>
      </c>
      <c r="B28" s="163" t="str">
        <f>IFERROR(__xludf.DUMMYFUNCTION("""COMPUTED_VALUE"""),"Gallion Lariat")</f>
        <v>Gallion Lariat</v>
      </c>
      <c r="C28" s="163" t="str">
        <f>IFERROR(__xludf.DUMMYFUNCTION("""COMPUTED_VALUE"""),"When you Knockback an enemy: Recover HP by 3%.")</f>
        <v>When you Knockback an enemy: Recover HP by 3%.</v>
      </c>
      <c r="D28" s="163" t="str">
        <f>IFERROR(__xludf.DUMMYFUNCTION("""COMPUTED_VALUE"""),"Egghead ~ Paramecia ~ Blackbeard Pirates")</f>
        <v>Egghead ~ Paramecia ~ Blackbeard Pirates</v>
      </c>
      <c r="E28" s="164" t="str">
        <f>IFERROR(__xludf.DUMMYFUNCTION("""COMPUTED_VALUE"""),"https://i.postimg.cc/ZnTdZG45/316.png")</f>
        <v>https://i.postimg.cc/ZnTdZG45/316.png</v>
      </c>
      <c r="F28" s="162"/>
      <c r="G28" s="163" t="str">
        <f>IFERROR(__xludf.DUMMYFUNCTION("""COMPUTED_VALUE"""),"E-282")</f>
        <v>E-282</v>
      </c>
      <c r="H28" s="163" t="str">
        <f>IFERROR(__xludf.DUMMYFUNCTION("""COMPUTED_VALUE"""),"Chappy")</f>
        <v>Chappy</v>
      </c>
      <c r="I28" s="163" t="str">
        <f>IFERROR(__xludf.DUMMYFUNCTION("""COMPUTED_VALUE"""),"When in the area around your enemy`s Treasure: Increase damage dealt by 5%.")</f>
        <v>When in the area around your enemy`s Treasure: Increase damage dealt by 5%.</v>
      </c>
      <c r="J28" s="163" t="str">
        <f>IFERROR(__xludf.DUMMYFUNCTION("""COMPUTED_VALUE"""),"Sky Island / LRLL ~ Foxy Pirates ~ Zoan ~ Doctor")</f>
        <v>Sky Island / LRLL ~ Foxy Pirates ~ Zoan ~ Doctor</v>
      </c>
      <c r="K28" s="164" t="str">
        <f>IFERROR(__xludf.DUMMYFUNCTION("""COMPUTED_VALUE"""),"https://i.postimg.cc/FKXjLyfm/282.png")</f>
        <v>https://i.postimg.cc/FKXjLyfm/282.png</v>
      </c>
      <c r="L28" s="162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</row>
    <row r="29">
      <c r="A29" s="163" t="str">
        <f>IFERROR(__xludf.DUMMYFUNCTION("""COMPUTED_VALUE"""),"G-315")</f>
        <v>G-315</v>
      </c>
      <c r="B29" s="163" t="str">
        <f>IFERROR(__xludf.DUMMYFUNCTION("""COMPUTED_VALUE"""),"Yonji")</f>
        <v>Yonji</v>
      </c>
      <c r="C29" s="163" t="str">
        <f>IFERROR(__xludf.DUMMYFUNCTION("""COMPUTED_VALUE"""),"When your HP is 70% or more: Reduce damage recieved by 5%.")</f>
        <v>When your HP is 70% or more: Reduce damage recieved by 5%.</v>
      </c>
      <c r="D29" s="163" t="str">
        <f>IFERROR(__xludf.DUMMYFUNCTION("""COMPUTED_VALUE"""),"Zou / Whole Cake Island ~ Royalty / Former Royalty ~ Germa 66")</f>
        <v>Zou / Whole Cake Island ~ Royalty / Former Royalty ~ Germa 66</v>
      </c>
      <c r="E29" s="164" t="str">
        <f>IFERROR(__xludf.DUMMYFUNCTION("""COMPUTED_VALUE"""),"https://i.postimg.cc/bYmdMGh3/315.png")</f>
        <v>https://i.postimg.cc/bYmdMGh3/315.png</v>
      </c>
      <c r="F29" s="162"/>
      <c r="G29" s="163" t="str">
        <f>IFERROR(__xludf.DUMMYFUNCTION("""COMPUTED_VALUE"""),"E-281")</f>
        <v>E-281</v>
      </c>
      <c r="H29" s="163" t="str">
        <f>IFERROR(__xludf.DUMMYFUNCTION("""COMPUTED_VALUE"""),"Hamburg")</f>
        <v>Hamburg</v>
      </c>
      <c r="I29" s="163" t="str">
        <f>IFERROR(__xludf.DUMMYFUNCTION("""COMPUTED_VALUE"""),"When in the Treasure Area: Boost the cooldown reduction speed of dodge by 10%.")</f>
        <v>When in the Treasure Area: Boost the cooldown reduction speed of dodge by 10%.</v>
      </c>
      <c r="J29" s="163" t="str">
        <f>IFERROR(__xludf.DUMMYFUNCTION("""COMPUTED_VALUE"""),"Sky Island / LRLL ~ Foxy Pirates ~ Combatant")</f>
        <v>Sky Island / LRLL ~ Foxy Pirates ~ Combatant</v>
      </c>
      <c r="K29" s="164" t="str">
        <f>IFERROR(__xludf.DUMMYFUNCTION("""COMPUTED_VALUE"""),"https://i.postimg.cc/TYCyBpt8/281.png")</f>
        <v>https://i.postimg.cc/TYCyBpt8/281.png</v>
      </c>
      <c r="L29" s="162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</row>
    <row r="30">
      <c r="A30" s="163" t="str">
        <f>IFERROR(__xludf.DUMMYFUNCTION("""COMPUTED_VALUE"""),"G-314")</f>
        <v>G-314</v>
      </c>
      <c r="B30" s="163" t="str">
        <f>IFERROR(__xludf.DUMMYFUNCTION("""COMPUTED_VALUE"""),"Neji")</f>
        <v>Neji</v>
      </c>
      <c r="C30" s="163" t="str">
        <f>IFERROR(__xludf.DUMMYFUNCTION("""COMPUTED_VALUE"""),"When performing a Perfect Dodge: Reduce the cooldown time of Skill 1 by 3%.")</f>
        <v>When performing a Perfect Dodge: Reduce the cooldown time of Skill 1 by 3%.</v>
      </c>
      <c r="D30" s="163" t="str">
        <f>IFERROR(__xludf.DUMMYFUNCTION("""COMPUTED_VALUE"""),"Zou / Whole Cake Island ~ Royalty / Former Royalty ~ Germa 66")</f>
        <v>Zou / Whole Cake Island ~ Royalty / Former Royalty ~ Germa 66</v>
      </c>
      <c r="E30" s="164" t="str">
        <f>IFERROR(__xludf.DUMMYFUNCTION("""COMPUTED_VALUE"""),"https://i.postimg.cc/tC77HXRy/314.png")</f>
        <v>https://i.postimg.cc/tC77HXRy/314.png</v>
      </c>
      <c r="F30" s="162"/>
      <c r="G30" s="163" t="str">
        <f>IFERROR(__xludf.DUMMYFUNCTION("""COMPUTED_VALUE"""),"E-280")</f>
        <v>E-280</v>
      </c>
      <c r="H30" s="163" t="str">
        <f>IFERROR(__xludf.DUMMYFUNCTION("""COMPUTED_VALUE"""),"Porche")</f>
        <v>Porche</v>
      </c>
      <c r="I30" s="163" t="str">
        <f>IFERROR(__xludf.DUMMYFUNCTION("""COMPUTED_VALUE"""),"After KOing an enemy: Reduce the cooldown time of Skill 2 by 8%.")</f>
        <v>After KOing an enemy: Reduce the cooldown time of Skill 2 by 8%.</v>
      </c>
      <c r="J30" s="163" t="str">
        <f>IFERROR(__xludf.DUMMYFUNCTION("""COMPUTED_VALUE"""),"Sky Island / LRLL ~ Foxy Pirates ~ Combatant")</f>
        <v>Sky Island / LRLL ~ Foxy Pirates ~ Combatant</v>
      </c>
      <c r="K30" s="164" t="str">
        <f>IFERROR(__xludf.DUMMYFUNCTION("""COMPUTED_VALUE"""),"https://i.postimg.cc/6pq7KtP8/280.png")</f>
        <v>https://i.postimg.cc/6pq7KtP8/280.png</v>
      </c>
      <c r="L30" s="162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</row>
    <row r="31">
      <c r="A31" s="163" t="str">
        <f>IFERROR(__xludf.DUMMYFUNCTION("""COMPUTED_VALUE"""),"G-313")</f>
        <v>G-313</v>
      </c>
      <c r="B31" s="163" t="str">
        <f>IFERROR(__xludf.DUMMYFUNCTION("""COMPUTED_VALUE"""),"Ichiji")</f>
        <v>Ichiji</v>
      </c>
      <c r="C31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31" s="163" t="str">
        <f>IFERROR(__xludf.DUMMYFUNCTION("""COMPUTED_VALUE"""),"Zou / Whole Cake Island ~ Royalty / Former Royalty ~ Germa 66")</f>
        <v>Zou / Whole Cake Island ~ Royalty / Former Royalty ~ Germa 66</v>
      </c>
      <c r="E31" s="164" t="str">
        <f>IFERROR(__xludf.DUMMYFUNCTION("""COMPUTED_VALUE"""),"https://i.postimg.cc/BQybSdtF/313.png")</f>
        <v>https://i.postimg.cc/BQybSdtF/313.png</v>
      </c>
      <c r="F31" s="162"/>
      <c r="G31" s="163" t="str">
        <f>IFERROR(__xludf.DUMMYFUNCTION("""COMPUTED_VALUE"""),"E-279")</f>
        <v>E-279</v>
      </c>
      <c r="H31" s="163" t="str">
        <f>IFERROR(__xludf.DUMMYFUNCTION("""COMPUTED_VALUE"""),"Bartolomeo (Straw Hat Fleet)")</f>
        <v>Bartolomeo (Straw Hat Fleet)</v>
      </c>
      <c r="I31" s="163" t="str">
        <f>IFERROR(__xludf.DUMMYFUNCTION("""COMPUTED_VALUE"""),"When attacking an enemy that is capturing Treasure: Reduce the cooldown time of Skill 2 by 2%.")</f>
        <v>When attacking an enemy that is capturing Treasure: Reduce the cooldown time of Skill 2 by 2%.</v>
      </c>
      <c r="J31" s="163" t="str">
        <f>IFERROR(__xludf.DUMMYFUNCTION("""COMPUTED_VALUE"""),"Dressrosa ~ Barto Club ~ Paramecia ~ Captain ~ Straw Hat Fleet")</f>
        <v>Dressrosa ~ Barto Club ~ Paramecia ~ Captain ~ Straw Hat Fleet</v>
      </c>
      <c r="K31" s="164" t="str">
        <f>IFERROR(__xludf.DUMMYFUNCTION("""COMPUTED_VALUE"""),"https://i.postimg.cc/wTL4kvpf/279.png")</f>
        <v>https://i.postimg.cc/wTL4kvpf/279.png</v>
      </c>
      <c r="L31" s="162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</row>
    <row r="32">
      <c r="A32" s="163" t="str">
        <f>IFERROR(__xludf.DUMMYFUNCTION("""COMPUTED_VALUE"""),"G-312")</f>
        <v>G-312</v>
      </c>
      <c r="B32" s="163" t="str">
        <f>IFERROR(__xludf.DUMMYFUNCTION("""COMPUTED_VALUE"""),"Rock Check")</f>
        <v>Rock Check</v>
      </c>
      <c r="C32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D32" s="163" t="str">
        <f>IFERROR(__xludf.DUMMYFUNCTION("""COMPUTED_VALUE"""),"Egghead ~ Revolutionary Army ~ Logia ~ Chief of Staff ~ Blood Brothers")</f>
        <v>Egghead ~ Revolutionary Army ~ Logia ~ Chief of Staff ~ Blood Brothers</v>
      </c>
      <c r="E32" s="164" t="str">
        <f>IFERROR(__xludf.DUMMYFUNCTION("""COMPUTED_VALUE"""),"https://i.postimg.cc/Hx0XhSN7/312.png")</f>
        <v>https://i.postimg.cc/Hx0XhSN7/312.png</v>
      </c>
      <c r="F32" s="162"/>
      <c r="G32" s="163" t="str">
        <f>IFERROR(__xludf.DUMMYFUNCTION("""COMPUTED_VALUE"""),"E-278")</f>
        <v>E-278</v>
      </c>
      <c r="H32" s="163" t="str">
        <f>IFERROR(__xludf.DUMMYFUNCTION("""COMPUTED_VALUE"""),"Hajrudin (Straw Hat Fleet)")</f>
        <v>Hajrudin (Straw Hat Fleet)</v>
      </c>
      <c r="I32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J32" s="163" t="str">
        <f>IFERROR(__xludf.DUMMYFUNCTION("""COMPUTED_VALUE"""),"Dressrosa ~ Captain ~ Giant ~ Straw Hat Fleet")</f>
        <v>Dressrosa ~ Captain ~ Giant ~ Straw Hat Fleet</v>
      </c>
      <c r="K32" s="164" t="str">
        <f>IFERROR(__xludf.DUMMYFUNCTION("""COMPUTED_VALUE"""),"https://i.postimg.cc/Vs3HMt30/278.png")</f>
        <v>https://i.postimg.cc/Vs3HMt30/278.png</v>
      </c>
      <c r="L32" s="162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</row>
    <row r="33">
      <c r="A33" s="163" t="str">
        <f>IFERROR(__xludf.DUMMYFUNCTION("""COMPUTED_VALUE"""),"G-311")</f>
        <v>G-311</v>
      </c>
      <c r="B33" s="163" t="str">
        <f>IFERROR(__xludf.DUMMYFUNCTION("""COMPUTED_VALUE"""),"Revolutionary Army Female Solider")</f>
        <v>Revolutionary Army Female Solider</v>
      </c>
      <c r="C33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33" s="163" t="str">
        <f>IFERROR(__xludf.DUMMYFUNCTION("""COMPUTED_VALUE"""),"Egghead ~ Revolutionary Army ~ Fish_Man Karate")</f>
        <v>Egghead ~ Revolutionary Army ~ Fish_Man Karate</v>
      </c>
      <c r="E33" s="164" t="str">
        <f>IFERROR(__xludf.DUMMYFUNCTION("""COMPUTED_VALUE"""),"https://i.postimg.cc/W3Dmy7fS/311.png")</f>
        <v>https://i.postimg.cc/W3Dmy7fS/311.png</v>
      </c>
      <c r="F33" s="162"/>
      <c r="G33" s="163" t="str">
        <f>IFERROR(__xludf.DUMMYFUNCTION("""COMPUTED_VALUE"""),"E-277")</f>
        <v>E-277</v>
      </c>
      <c r="H33" s="163" t="str">
        <f>IFERROR(__xludf.DUMMYFUNCTION("""COMPUTED_VALUE"""),"Kuma`s Daughter")</f>
        <v>Kuma`s Daughter</v>
      </c>
      <c r="I33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J33" s="163" t="str">
        <f>IFERROR(__xludf.DUMMYFUNCTION("""COMPUTED_VALUE"""),"Egghead ~ Bonney Pirates ~ Paramecia ~ Captain ~ Worst Generation")</f>
        <v>Egghead ~ Bonney Pirates ~ Paramecia ~ Captain ~ Worst Generation</v>
      </c>
      <c r="K33" s="164" t="str">
        <f>IFERROR(__xludf.DUMMYFUNCTION("""COMPUTED_VALUE"""),"https://i.postimg.cc/KvpMSpVm/277.png")</f>
        <v>https://i.postimg.cc/KvpMSpVm/277.png</v>
      </c>
      <c r="L33" s="162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</row>
    <row r="34">
      <c r="A34" s="163" t="str">
        <f>IFERROR(__xludf.DUMMYFUNCTION("""COMPUTED_VALUE"""),"G-310")</f>
        <v>G-310</v>
      </c>
      <c r="B34" s="163" t="str">
        <f>IFERROR(__xludf.DUMMYFUNCTION("""COMPUTED_VALUE"""),"Former Senior Apprentice")</f>
        <v>Former Senior Apprentice</v>
      </c>
      <c r="C34" s="163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D34" s="163" t="str">
        <f>IFERROR(__xludf.DUMMYFUNCTION("""COMPUTED_VALUE"""),"Egghead ~ Blackbeard Pirates ~ Logia ~ Navy Admiral / Former Navy Admiral")</f>
        <v>Egghead ~ Blackbeard Pirates ~ Logia ~ Navy Admiral / Former Navy Admiral</v>
      </c>
      <c r="E34" s="164" t="str">
        <f>IFERROR(__xludf.DUMMYFUNCTION("""COMPUTED_VALUE"""),"https://i.postimg.cc/x81w7xKv/310.png")</f>
        <v>https://i.postimg.cc/x81w7xKv/310.png</v>
      </c>
      <c r="F34" s="162"/>
      <c r="G34" s="163" t="str">
        <f>IFERROR(__xludf.DUMMYFUNCTION("""COMPUTED_VALUE"""),"E-276")</f>
        <v>E-276</v>
      </c>
      <c r="H34" s="163" t="str">
        <f>IFERROR(__xludf.DUMMYFUNCTION("""COMPUTED_VALUE"""),"Free Form")</f>
        <v>Free Form</v>
      </c>
      <c r="I34" s="163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J34" s="163" t="str">
        <f>IFERROR(__xludf.DUMMYFUNCTION("""COMPUTED_VALUE"""),"Egghead ~ Straw Hat Pirates ~ Zoan ~ Captain ~ The Four Emperors ~ Blood Brothers")</f>
        <v>Egghead ~ Straw Hat Pirates ~ Zoan ~ Captain ~ The Four Emperors ~ Blood Brothers</v>
      </c>
      <c r="K34" s="164" t="str">
        <f>IFERROR(__xludf.DUMMYFUNCTION("""COMPUTED_VALUE"""),"https://i.postimg.cc/P5L8tzsY/276.png")</f>
        <v>https://i.postimg.cc/P5L8tzsY/276.png</v>
      </c>
      <c r="L34" s="162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</row>
    <row r="35">
      <c r="A35" s="163" t="str">
        <f>IFERROR(__xludf.DUMMYFUNCTION("""COMPUTED_VALUE"""),"G-309")</f>
        <v>G-309</v>
      </c>
      <c r="B35" s="163" t="str">
        <f>IFERROR(__xludf.DUMMYFUNCTION("""COMPUTED_VALUE"""),"The Future of the Navy")</f>
        <v>The Future of the Navy</v>
      </c>
      <c r="C35" s="163" t="str">
        <f>IFERROR(__xludf.DUMMYFUNCTION("""COMPUTED_VALUE"""),"When an ally is KO`d (not including you): Recover HP by 3%.")</f>
        <v>When an ally is KO`d (not including you): Recover HP by 3%.</v>
      </c>
      <c r="D35" s="163" t="str">
        <f>IFERROR(__xludf.DUMMYFUNCTION("""COMPUTED_VALUE"""),"Egghead ~ Navy ~ Navy Captain ~ Six Powers ~ ``Sword``")</f>
        <v>Egghead ~ Navy ~ Navy Captain ~ Six Powers ~ ``Sword``</v>
      </c>
      <c r="E35" s="164" t="str">
        <f>IFERROR(__xludf.DUMMYFUNCTION("""COMPUTED_VALUE"""),"https://i.postimg.cc/RVJztKWq/309.png")</f>
        <v>https://i.postimg.cc/RVJztKWq/309.png</v>
      </c>
      <c r="F35" s="162"/>
      <c r="G35" s="163" t="str">
        <f>IFERROR(__xludf.DUMMYFUNCTION("""COMPUTED_VALUE"""),"E-275")</f>
        <v>E-275</v>
      </c>
      <c r="H35" s="163" t="str">
        <f>IFERROR(__xludf.DUMMYFUNCTION("""COMPUTED_VALUE"""),"St. Roswald")</f>
        <v>St. Roswald</v>
      </c>
      <c r="I35" s="163" t="str">
        <f>IFERROR(__xludf.DUMMYFUNCTION("""COMPUTED_VALUE"""),"When you or an ally KOs an enemy: Reduce the cooldown time of Skill 2 by 3%.")</f>
        <v>When you or an ally KOs an enemy: Reduce the cooldown time of Skill 2 by 3%.</v>
      </c>
      <c r="J35" s="163" t="str">
        <f>IFERROR(__xludf.DUMMYFUNCTION("""COMPUTED_VALUE"""),"Sabaody Archipelago / Island of Women ~ World Noble")</f>
        <v>Sabaody Archipelago / Island of Women ~ World Noble</v>
      </c>
      <c r="K35" s="164" t="str">
        <f>IFERROR(__xludf.DUMMYFUNCTION("""COMPUTED_VALUE"""),"https://i.postimg.cc/4Nx90RW8/275.png")</f>
        <v>https://i.postimg.cc/4Nx90RW8/275.png</v>
      </c>
      <c r="L35" s="162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</row>
    <row r="36">
      <c r="A36" s="163" t="str">
        <f>IFERROR(__xludf.DUMMYFUNCTION("""COMPUTED_VALUE"""),"G-308")</f>
        <v>G-308</v>
      </c>
      <c r="B36" s="163" t="str">
        <f>IFERROR(__xludf.DUMMYFUNCTION("""COMPUTED_VALUE"""),"Galaxy Impact")</f>
        <v>Galaxy Impact</v>
      </c>
      <c r="C36" s="163" t="str">
        <f>IFERROR(__xludf.DUMMYFUNCTION("""COMPUTED_VALUE"""),"When your HP is 70% or more: Increase damage dealt by 5%.")</f>
        <v>When your HP is 70% or more: Increase damage dealt by 5%.</v>
      </c>
      <c r="D36" s="163" t="str">
        <f>IFERROR(__xludf.DUMMYFUNCTION("""COMPUTED_VALUE"""),"Egghead ~ Navy ~ Vice Admiral")</f>
        <v>Egghead ~ Navy ~ Vice Admiral</v>
      </c>
      <c r="E36" s="164" t="str">
        <f>IFERROR(__xludf.DUMMYFUNCTION("""COMPUTED_VALUE"""),"https://i.postimg.cc/L4kctyd8/308.png")</f>
        <v>https://i.postimg.cc/L4kctyd8/308.png</v>
      </c>
      <c r="F36" s="162"/>
      <c r="G36" s="163" t="str">
        <f>IFERROR(__xludf.DUMMYFUNCTION("""COMPUTED_VALUE"""),"E-274")</f>
        <v>E-274</v>
      </c>
      <c r="H36" s="163" t="str">
        <f>IFERROR(__xludf.DUMMYFUNCTION("""COMPUTED_VALUE"""),"Buggyjiro")</f>
        <v>Buggyjiro</v>
      </c>
      <c r="I36" s="163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J36" s="163" t="str">
        <f>IFERROR(__xludf.DUMMYFUNCTION("""COMPUTED_VALUE"""),"Land of Wano ~ Paramecia ~ Child ~ Roger Pirates / Ex_Roger Pirates")</f>
        <v>Land of Wano ~ Paramecia ~ Child ~ Roger Pirates / Ex_Roger Pirates</v>
      </c>
      <c r="K36" s="164" t="str">
        <f>IFERROR(__xludf.DUMMYFUNCTION("""COMPUTED_VALUE"""),"https://i.postimg.cc/155SkMHq/274.png")</f>
        <v>https://i.postimg.cc/155SkMHq/274.png</v>
      </c>
      <c r="L36" s="162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</row>
    <row r="37">
      <c r="A37" s="163" t="str">
        <f>IFERROR(__xludf.DUMMYFUNCTION("""COMPUTED_VALUE"""),"G-307")</f>
        <v>G-307</v>
      </c>
      <c r="B37" s="163" t="str">
        <f>IFERROR(__xludf.DUMMYFUNCTION("""COMPUTED_VALUE"""),"Lt. Commander Helmeppo")</f>
        <v>Lt. Commander Helmeppo</v>
      </c>
      <c r="C37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D37" s="163" t="str">
        <f>IFERROR(__xludf.DUMMYFUNCTION("""COMPUTED_VALUE"""),"Egghead ~ Navy ~ ``Sword``")</f>
        <v>Egghead ~ Navy ~ ``Sword``</v>
      </c>
      <c r="E37" s="164" t="str">
        <f>IFERROR(__xludf.DUMMYFUNCTION("""COMPUTED_VALUE"""),"https://i.postimg.cc/Dy7gvNSD/307.png")</f>
        <v>https://i.postimg.cc/Dy7gvNSD/307.png</v>
      </c>
      <c r="F37" s="162"/>
      <c r="G37" s="163" t="str">
        <f>IFERROR(__xludf.DUMMYFUNCTION("""COMPUTED_VALUE"""),"E-273")</f>
        <v>E-273</v>
      </c>
      <c r="H37" s="163" t="str">
        <f>IFERROR(__xludf.DUMMYFUNCTION("""COMPUTED_VALUE"""),"Redtaro")</f>
        <v>Redtaro</v>
      </c>
      <c r="I37" s="163" t="str">
        <f>IFERROR(__xludf.DUMMYFUNCTION("""COMPUTED_VALUE"""),"When you capture the Treasure: Reduce the cooldown time of Skill 2 by 8%.")</f>
        <v>When you capture the Treasure: Reduce the cooldown time of Skill 2 by 8%.</v>
      </c>
      <c r="J37" s="163" t="str">
        <f>IFERROR(__xludf.DUMMYFUNCTION("""COMPUTED_VALUE"""),"Land of Wano ~ Child ~ Roger Pirates / Ex_Roger Pirates")</f>
        <v>Land of Wano ~ Child ~ Roger Pirates / Ex_Roger Pirates</v>
      </c>
      <c r="K37" s="164" t="str">
        <f>IFERROR(__xludf.DUMMYFUNCTION("""COMPUTED_VALUE"""),"https://i.postimg.cc/tCSbpPSm/273.png")</f>
        <v>https://i.postimg.cc/tCSbpPSm/273.png</v>
      </c>
      <c r="L37" s="162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</row>
    <row r="38">
      <c r="A38" s="163" t="str">
        <f>IFERROR(__xludf.DUMMYFUNCTION("""COMPUTED_VALUE"""),"G-306")</f>
        <v>G-306</v>
      </c>
      <c r="B38" s="163" t="str">
        <f>IFERROR(__xludf.DUMMYFUNCTION("""COMPUTED_VALUE"""),"Egghead Bonney")</f>
        <v>Egghead Bonney</v>
      </c>
      <c r="C38" s="163" t="str">
        <f>IFERROR(__xludf.DUMMYFUNCTION("""COMPUTED_VALUE"""),"When attacking an enemy that is capturing Treasure: Reduce the cooldown time of Skill 1 by 2%.")</f>
        <v>When attacking an enemy that is capturing Treasure: Reduce the cooldown time of Skill 1 by 2%.</v>
      </c>
      <c r="D38" s="163" t="str">
        <f>IFERROR(__xludf.DUMMYFUNCTION("""COMPUTED_VALUE"""),"Egghead ~ Bonney Pirates ~ Paramecia ~ Captain ~ Royalty / Former Royalty ~ Worst Generation")</f>
        <v>Egghead ~ Bonney Pirates ~ Paramecia ~ Captain ~ Royalty / Former Royalty ~ Worst Generation</v>
      </c>
      <c r="E38" s="164" t="str">
        <f>IFERROR(__xludf.DUMMYFUNCTION("""COMPUTED_VALUE"""),"https://i.postimg.cc/N0MvPMFy/308.png")</f>
        <v>https://i.postimg.cc/N0MvPMFy/308.png</v>
      </c>
      <c r="F38" s="162"/>
      <c r="G38" s="163" t="str">
        <f>IFERROR(__xludf.DUMMYFUNCTION("""COMPUTED_VALUE"""),"E-272")</f>
        <v>E-272</v>
      </c>
      <c r="H38" s="163" t="str">
        <f>IFERROR(__xludf.DUMMYFUNCTION("""COMPUTED_VALUE"""),"Vice Captain of the Eastern Forces")</f>
        <v>Vice Captain of the Eastern Forces</v>
      </c>
      <c r="I38" s="163" t="str">
        <f>IFERROR(__xludf.DUMMYFUNCTION("""COMPUTED_VALUE"""),"When your HP is 50% or less: Increase damage dealt by 3%.")</f>
        <v>When your HP is 50% or less: Increase damage dealt by 3%.</v>
      </c>
      <c r="J38" s="163" t="str">
        <f>IFERROR(__xludf.DUMMYFUNCTION("""COMPUTED_VALUE"""),"Egghead ~ Revolutionary Army")</f>
        <v>Egghead ~ Revolutionary Army</v>
      </c>
      <c r="K38" s="164" t="str">
        <f>IFERROR(__xludf.DUMMYFUNCTION("""COMPUTED_VALUE"""),"https://i.postimg.cc/Kzd7hg6b/272.png")</f>
        <v>https://i.postimg.cc/Kzd7hg6b/272.png</v>
      </c>
      <c r="L38" s="162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</row>
    <row r="39">
      <c r="A39" s="163" t="str">
        <f>IFERROR(__xludf.DUMMYFUNCTION("""COMPUTED_VALUE"""),"G-305")</f>
        <v>G-305</v>
      </c>
      <c r="B39" s="163" t="str">
        <f>IFERROR(__xludf.DUMMYFUNCTION("""COMPUTED_VALUE"""),"Egghead Sanji")</f>
        <v>Egghead Sanji</v>
      </c>
      <c r="C39" s="163" t="str">
        <f>IFERROR(__xludf.DUMMYFUNCTION("""COMPUTED_VALUE"""),"When your HP is 70% or more: Reduce damage recieved by 5%.")</f>
        <v>When your HP is 70% or more: Reduce damage recieved by 5%.</v>
      </c>
      <c r="D39" s="163" t="str">
        <f>IFERROR(__xludf.DUMMYFUNCTION("""COMPUTED_VALUE"""),"Egghead ~ Straw Hat Pirates ~ Cook ~ Royalty / Former Royalty")</f>
        <v>Egghead ~ Straw Hat Pirates ~ Cook ~ Royalty / Former Royalty</v>
      </c>
      <c r="E39" s="164" t="str">
        <f>IFERROR(__xludf.DUMMYFUNCTION("""COMPUTED_VALUE"""),"https://i.postimg.cc/NFyBnLZ2/305.png")</f>
        <v>https://i.postimg.cc/NFyBnLZ2/305.png</v>
      </c>
      <c r="F39" s="162"/>
      <c r="G39" s="163" t="str">
        <f>IFERROR(__xludf.DUMMYFUNCTION("""COMPUTED_VALUE"""),"E-271")</f>
        <v>E-271</v>
      </c>
      <c r="H39" s="163" t="str">
        <f>IFERROR(__xludf.DUMMYFUNCTION("""COMPUTED_VALUE"""),"Captain of the Eastern Forces")</f>
        <v>Captain of the Eastern Forces</v>
      </c>
      <c r="I39" s="163" t="str">
        <f>IFERROR(__xludf.DUMMYFUNCTION("""COMPUTED_VALUE"""),"When hit with Knockback by enemy: Reduce the cooldown time of Skill 1 by 5%.")</f>
        <v>When hit with Knockback by enemy: Reduce the cooldown time of Skill 1 by 5%.</v>
      </c>
      <c r="J39" s="163" t="str">
        <f>IFERROR(__xludf.DUMMYFUNCTION("""COMPUTED_VALUE"""),"Egghead ~ Revolutionary Army ~ Paramecia ~ Captain of the Revolutionary Army")</f>
        <v>Egghead ~ Revolutionary Army ~ Paramecia ~ Captain of the Revolutionary Army</v>
      </c>
      <c r="K39" s="164" t="str">
        <f>IFERROR(__xludf.DUMMYFUNCTION("""COMPUTED_VALUE"""),"https://i.postimg.cc/C5kGhx0q/271.png")</f>
        <v>https://i.postimg.cc/C5kGhx0q/271.png</v>
      </c>
      <c r="L39" s="162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</row>
    <row r="40">
      <c r="A40" s="163" t="str">
        <f>IFERROR(__xludf.DUMMYFUNCTION("""COMPUTED_VALUE"""),"G-304")</f>
        <v>G-304</v>
      </c>
      <c r="B40" s="163" t="str">
        <f>IFERROR(__xludf.DUMMYFUNCTION("""COMPUTED_VALUE"""),"S_Shark")</f>
        <v>S_Shark</v>
      </c>
      <c r="C40" s="163" t="str">
        <f>IFERROR(__xludf.DUMMYFUNCTION("""COMPUTED_VALUE"""),"When you capture the Treasure: Reduce the cooldown time of Skill 2 by 8%.")</f>
        <v>When you capture the Treasure: Reduce the cooldown time of Skill 2 by 8%.</v>
      </c>
      <c r="D40" s="163" t="str">
        <f>IFERROR(__xludf.DUMMYFUNCTION("""COMPUTED_VALUE"""),"Egghead ~ Navy ~ Paramecia ~ Fish_Man Karate ~ Seraphim")</f>
        <v>Egghead ~ Navy ~ Paramecia ~ Fish_Man Karate ~ Seraphim</v>
      </c>
      <c r="E40" s="164" t="str">
        <f>IFERROR(__xludf.DUMMYFUNCTION("""COMPUTED_VALUE"""),"https://i.postimg.cc/9Mgc1ygj/304.png")</f>
        <v>https://i.postimg.cc/9Mgc1ygj/304.png</v>
      </c>
      <c r="F40" s="162"/>
      <c r="G40" s="163" t="str">
        <f>IFERROR(__xludf.DUMMYFUNCTION("""COMPUTED_VALUE"""),"E-270")</f>
        <v>E-270</v>
      </c>
      <c r="H40" s="163" t="str">
        <f>IFERROR(__xludf.DUMMYFUNCTION("""COMPUTED_VALUE"""),"Helmeppo (Fullalead)")</f>
        <v>Helmeppo (Fullalead)</v>
      </c>
      <c r="I40" s="163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J40" s="163" t="str">
        <f>IFERROR(__xludf.DUMMYFUNCTION("""COMPUTED_VALUE"""),"Egghead ~ Navy ~ ``Sword``")</f>
        <v>Egghead ~ Navy ~ ``Sword``</v>
      </c>
      <c r="K40" s="164" t="str">
        <f>IFERROR(__xludf.DUMMYFUNCTION("""COMPUTED_VALUE"""),"https://i.postimg.cc/x1rV38m5/270.png")</f>
        <v>https://i.postimg.cc/x1rV38m5/270.png</v>
      </c>
      <c r="L40" s="162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</row>
    <row r="41">
      <c r="A41" s="163" t="str">
        <f>IFERROR(__xludf.DUMMYFUNCTION("""COMPUTED_VALUE"""),"G-303")</f>
        <v>G-303</v>
      </c>
      <c r="B41" s="163" t="str">
        <f>IFERROR(__xludf.DUMMYFUNCTION("""COMPUTED_VALUE"""),"Punk_06")</f>
        <v>Punk_06</v>
      </c>
      <c r="C41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41" s="163" t="str">
        <f>IFERROR(__xludf.DUMMYFUNCTION("""COMPUTED_VALUE"""),"Egghead ~ Navy ~ Satellite")</f>
        <v>Egghead ~ Navy ~ Satellite</v>
      </c>
      <c r="E41" s="164" t="str">
        <f>IFERROR(__xludf.DUMMYFUNCTION("""COMPUTED_VALUE"""),"https://i.postimg.cc/G2VjmpmX/303.png")</f>
        <v>https://i.postimg.cc/G2VjmpmX/303.png</v>
      </c>
      <c r="F41" s="162"/>
      <c r="G41" s="163" t="str">
        <f>IFERROR(__xludf.DUMMYFUNCTION("""COMPUTED_VALUE"""),"E-269")</f>
        <v>E-269</v>
      </c>
      <c r="H41" s="163" t="str">
        <f>IFERROR(__xludf.DUMMYFUNCTION("""COMPUTED_VALUE"""),"Garp (Fullalead)")</f>
        <v>Garp (Fullalead)</v>
      </c>
      <c r="I41" s="163" t="str">
        <f>IFERROR(__xludf.DUMMYFUNCTION("""COMPUTED_VALUE"""),"When in the area around your enemy`s Treasure: Increase damage dealt by 5%.")</f>
        <v>When in the area around your enemy`s Treasure: Increase damage dealt by 5%.</v>
      </c>
      <c r="J41" s="163" t="str">
        <f>IFERROR(__xludf.DUMMYFUNCTION("""COMPUTED_VALUE"""),"Egghead ~ Navy ~ Vice Admiral")</f>
        <v>Egghead ~ Navy ~ Vice Admiral</v>
      </c>
      <c r="K41" s="164" t="str">
        <f>IFERROR(__xludf.DUMMYFUNCTION("""COMPUTED_VALUE"""),"https://i.postimg.cc/13phCScQ/269.png")</f>
        <v>https://i.postimg.cc/13phCScQ/269.png</v>
      </c>
      <c r="L41" s="162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</row>
    <row r="42">
      <c r="A42" s="163" t="str">
        <f>IFERROR(__xludf.DUMMYFUNCTION("""COMPUTED_VALUE"""),"G-302")</f>
        <v>G-302</v>
      </c>
      <c r="B42" s="163" t="str">
        <f>IFERROR(__xludf.DUMMYFUNCTION("""COMPUTED_VALUE"""),"Punk_05")</f>
        <v>Punk_05</v>
      </c>
      <c r="C42" s="163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D42" s="163" t="str">
        <f>IFERROR(__xludf.DUMMYFUNCTION("""COMPUTED_VALUE"""),"Egghead ~ Navy ~ Satellite")</f>
        <v>Egghead ~ Navy ~ Satellite</v>
      </c>
      <c r="E42" s="164" t="str">
        <f>IFERROR(__xludf.DUMMYFUNCTION("""COMPUTED_VALUE"""),"https://i.postimg.cc/MTZxTsNP/302.png")</f>
        <v>https://i.postimg.cc/MTZxTsNP/302.png</v>
      </c>
      <c r="F42" s="162"/>
      <c r="G42" s="163" t="str">
        <f>IFERROR(__xludf.DUMMYFUNCTION("""COMPUTED_VALUE"""),"E-268")</f>
        <v>E-268</v>
      </c>
      <c r="H42" s="163" t="str">
        <f>IFERROR(__xludf.DUMMYFUNCTION("""COMPUTED_VALUE"""),"Hibari (Fullalead)")</f>
        <v>Hibari (Fullalead)</v>
      </c>
      <c r="I42" s="163" t="str">
        <f>IFERROR(__xludf.DUMMYFUNCTION("""COMPUTED_VALUE"""),"When using Skill 2: Reduce the cooldown time of Skill 1 by 3%.")</f>
        <v>When using Skill 2: Reduce the cooldown time of Skill 1 by 3%.</v>
      </c>
      <c r="J42" s="163" t="str">
        <f>IFERROR(__xludf.DUMMYFUNCTION("""COMPUTED_VALUE"""),"Egghead ~ Navy ~ ``Sword``")</f>
        <v>Egghead ~ Navy ~ ``Sword``</v>
      </c>
      <c r="K42" s="164" t="str">
        <f>IFERROR(__xludf.DUMMYFUNCTION("""COMPUTED_VALUE"""),"https://i.postimg.cc/m258CMrr/268.png")</f>
        <v>https://i.postimg.cc/m258CMrr/268.png</v>
      </c>
      <c r="L42" s="162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</row>
    <row r="43">
      <c r="A43" s="163" t="str">
        <f>IFERROR(__xludf.DUMMYFUNCTION("""COMPUTED_VALUE"""),"G-301")</f>
        <v>G-301</v>
      </c>
      <c r="B43" s="163" t="str">
        <f>IFERROR(__xludf.DUMMYFUNCTION("""COMPUTED_VALUE"""),"S_Bear")</f>
        <v>S_Bear</v>
      </c>
      <c r="C43" s="163" t="str">
        <f>IFERROR(__xludf.DUMMYFUNCTION("""COMPUTED_VALUE"""),"When you Knockback an enemy: Recover HP by 3%.")</f>
        <v>When you Knockback an enemy: Recover HP by 3%.</v>
      </c>
      <c r="D43" s="163" t="str">
        <f>IFERROR(__xludf.DUMMYFUNCTION("""COMPUTED_VALUE"""),"Egghead ~ Paramecia ~ Navy ~ Seraphim")</f>
        <v>Egghead ~ Paramecia ~ Navy ~ Seraphim</v>
      </c>
      <c r="E43" s="164" t="str">
        <f>IFERROR(__xludf.DUMMYFUNCTION("""COMPUTED_VALUE"""),"https://i.postimg.cc/BnDJwP2g/301.png")</f>
        <v>https://i.postimg.cc/BnDJwP2g/301.png</v>
      </c>
      <c r="F43" s="162"/>
      <c r="G43" s="163" t="str">
        <f>IFERROR(__xludf.DUMMYFUNCTION("""COMPUTED_VALUE"""),"E-267")</f>
        <v>E-267</v>
      </c>
      <c r="H43" s="163" t="str">
        <f>IFERROR(__xludf.DUMMYFUNCTION("""COMPUTED_VALUE"""),"Prince Grus (Fullalead)")</f>
        <v>Prince Grus (Fullalead)</v>
      </c>
      <c r="I43" s="163" t="str">
        <f>IFERROR(__xludf.DUMMYFUNCTION("""COMPUTED_VALUE"""),"After KOing an enemy: Reduce the cooldown time of Skill 1 by 8%.")</f>
        <v>After KOing an enemy: Reduce the cooldown time of Skill 1 by 8%.</v>
      </c>
      <c r="J43" s="163" t="str">
        <f>IFERROR(__xludf.DUMMYFUNCTION("""COMPUTED_VALUE"""),"Egghead ~ Navy ~ ``Sword``")</f>
        <v>Egghead ~ Navy ~ ``Sword``</v>
      </c>
      <c r="K43" s="164" t="str">
        <f>IFERROR(__xludf.DUMMYFUNCTION("""COMPUTED_VALUE"""),"https://i.postimg.cc/Gh2X4zdN/267.png")</f>
        <v>https://i.postimg.cc/Gh2X4zdN/267.png</v>
      </c>
      <c r="L43" s="162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</row>
    <row r="44">
      <c r="A44" s="163" t="str">
        <f>IFERROR(__xludf.DUMMYFUNCTION("""COMPUTED_VALUE"""),"G-300")</f>
        <v>G-300</v>
      </c>
      <c r="B44" s="163" t="str">
        <f>IFERROR(__xludf.DUMMYFUNCTION("""COMPUTED_VALUE"""),"Punk_02")</f>
        <v>Punk_02</v>
      </c>
      <c r="C44" s="163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D44" s="163" t="str">
        <f>IFERROR(__xludf.DUMMYFUNCTION("""COMPUTED_VALUE"""),"Egghead ~ Navy ~ Satellite")</f>
        <v>Egghead ~ Navy ~ Satellite</v>
      </c>
      <c r="E44" s="164" t="str">
        <f>IFERROR(__xludf.DUMMYFUNCTION("""COMPUTED_VALUE"""),"https://i.postimg.cc/VsV1fWRg/300.png")</f>
        <v>https://i.postimg.cc/VsV1fWRg/300.png</v>
      </c>
      <c r="F44" s="162"/>
      <c r="G44" s="163" t="str">
        <f>IFERROR(__xludf.DUMMYFUNCTION("""COMPUTED_VALUE"""),"E-266")</f>
        <v>E-266</v>
      </c>
      <c r="H44" s="163" t="str">
        <f>IFERROR(__xludf.DUMMYFUNCTION("""COMPUTED_VALUE"""),"Tashigi (Fullalead)")</f>
        <v>Tashigi (Fullalead)</v>
      </c>
      <c r="I44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J44" s="163" t="str">
        <f>IFERROR(__xludf.DUMMYFUNCTION("""COMPUTED_VALUE"""),"Egghead ~ Navy ~ Navy Captain")</f>
        <v>Egghead ~ Navy ~ Navy Captain</v>
      </c>
      <c r="K44" s="164" t="str">
        <f>IFERROR(__xludf.DUMMYFUNCTION("""COMPUTED_VALUE"""),"https://i.postimg.cc/d3s4xNdz/266.png")</f>
        <v>https://i.postimg.cc/d3s4xNdz/266.png</v>
      </c>
      <c r="L44" s="162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</row>
    <row r="45">
      <c r="A45" s="163" t="str">
        <f>IFERROR(__xludf.DUMMYFUNCTION("""COMPUTED_VALUE"""),"G-299")</f>
        <v>G-299</v>
      </c>
      <c r="B45" s="163" t="str">
        <f>IFERROR(__xludf.DUMMYFUNCTION("""COMPUTED_VALUE"""),"Halloween Uta")</f>
        <v>Halloween Uta</v>
      </c>
      <c r="C45" s="163" t="str">
        <f>IFERROR(__xludf.DUMMYFUNCTION("""COMPUTED_VALUE"""),"When using Skill 2: Reduce the cooldown time of Skill 1 by 5%.")</f>
        <v>When using Skill 2: Reduce the cooldown time of Skill 1 by 5%.</v>
      </c>
      <c r="D45" s="163" t="str">
        <f>IFERROR(__xludf.DUMMYFUNCTION("""COMPUTED_VALUE"""),"FILM RED ~ Paramecia")</f>
        <v>FILM RED ~ Paramecia</v>
      </c>
      <c r="E45" s="164" t="str">
        <f>IFERROR(__xludf.DUMMYFUNCTION("""COMPUTED_VALUE"""),"https://i.postimg.cc/dtZFLZNY/299.png")</f>
        <v>https://i.postimg.cc/dtZFLZNY/299.png</v>
      </c>
      <c r="F45" s="162"/>
      <c r="G45" s="163" t="str">
        <f>IFERROR(__xludf.DUMMYFUNCTION("""COMPUTED_VALUE"""),"E-265")</f>
        <v>E-265</v>
      </c>
      <c r="H45" s="163" t="str">
        <f>IFERROR(__xludf.DUMMYFUNCTION("""COMPUTED_VALUE"""),"Peacook (Fullalead)")</f>
        <v>Peacook (Fullalead)</v>
      </c>
      <c r="I45" s="163" t="str">
        <f>IFERROR(__xludf.DUMMYFUNCTION("""COMPUTED_VALUE"""),"When you Knockback an enemy: Reduce the cooldown time of Skill 2 by 5%.")</f>
        <v>When you Knockback an enemy: Reduce the cooldown time of Skill 2 by 5%.</v>
      </c>
      <c r="J45" s="163" t="str">
        <f>IFERROR(__xludf.DUMMYFUNCTION("""COMPUTED_VALUE"""),"Egghead ~ Navy ~ ``Sword``")</f>
        <v>Egghead ~ Navy ~ ``Sword``</v>
      </c>
      <c r="K45" s="164" t="str">
        <f>IFERROR(__xludf.DUMMYFUNCTION("""COMPUTED_VALUE"""),"https://i.postimg.cc/3RCt9QyX/265.png")</f>
        <v>https://i.postimg.cc/3RCt9QyX/265.png</v>
      </c>
      <c r="L45" s="162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</row>
    <row r="46">
      <c r="A46" s="163" t="str">
        <f>IFERROR(__xludf.DUMMYFUNCTION("""COMPUTED_VALUE"""),"G-298")</f>
        <v>G-298</v>
      </c>
      <c r="B46" s="163" t="str">
        <f>IFERROR(__xludf.DUMMYFUNCTION("""COMPUTED_VALUE"""),"Broggy")</f>
        <v>Broggy</v>
      </c>
      <c r="C46" s="163" t="str">
        <f>IFERROR(__xludf.DUMMYFUNCTION("""COMPUTED_VALUE"""),"When your HP is 70% or more: Reduce damage recieved by 5%.")</f>
        <v>When your HP is 70% or more: Reduce damage recieved by 5%.</v>
      </c>
      <c r="D46" s="163" t="str">
        <f>IFERROR(__xludf.DUMMYFUNCTION("""COMPUTED_VALUE"""),"Egghead ~ Giant Pirate Crew ~ Captain ~ Giant")</f>
        <v>Egghead ~ Giant Pirate Crew ~ Captain ~ Giant</v>
      </c>
      <c r="E46" s="164" t="str">
        <f>IFERROR(__xludf.DUMMYFUNCTION("""COMPUTED_VALUE"""),"https://i.postimg.cc/RZrBfC2n/298.png")</f>
        <v>https://i.postimg.cc/RZrBfC2n/298.png</v>
      </c>
      <c r="F46" s="162"/>
      <c r="G46" s="163" t="str">
        <f>IFERROR(__xludf.DUMMYFUNCTION("""COMPUTED_VALUE"""),"E-264")</f>
        <v>E-264</v>
      </c>
      <c r="H46" s="163" t="str">
        <f>IFERROR(__xludf.DUMMYFUNCTION("""COMPUTED_VALUE"""),"Nami (Future Outfit)")</f>
        <v>Nami (Future Outfit)</v>
      </c>
      <c r="I46" s="163" t="str">
        <f>IFERROR(__xludf.DUMMYFUNCTION("""COMPUTED_VALUE"""),"When in the area around your captured Treasure: Increase damage dealt by 3%.")</f>
        <v>When in the area around your captured Treasure: Increase damage dealt by 3%.</v>
      </c>
      <c r="J46" s="163" t="str">
        <f>IFERROR(__xludf.DUMMYFUNCTION("""COMPUTED_VALUE"""),"Egghead ~ Straw Hat Pirates ~ Navigator")</f>
        <v>Egghead ~ Straw Hat Pirates ~ Navigator</v>
      </c>
      <c r="K46" s="164" t="str">
        <f>IFERROR(__xludf.DUMMYFUNCTION("""COMPUTED_VALUE"""),"https://i.postimg.cc/sD4sNFNc/264.png")</f>
        <v>https://i.postimg.cc/sD4sNFNc/264.png</v>
      </c>
      <c r="L46" s="162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</row>
    <row r="47">
      <c r="A47" s="163" t="str">
        <f>IFERROR(__xludf.DUMMYFUNCTION("""COMPUTED_VALUE"""),"G-297")</f>
        <v>G-297</v>
      </c>
      <c r="B47" s="163" t="str">
        <f>IFERROR(__xludf.DUMMYFUNCTION("""COMPUTED_VALUE"""),"Dorry")</f>
        <v>Dorry</v>
      </c>
      <c r="C47" s="163" t="str">
        <f>IFERROR(__xludf.DUMMYFUNCTION("""COMPUTED_VALUE"""),"When your HP is 70% or more: Increase damage dealt by 5%.")</f>
        <v>When your HP is 70% or more: Increase damage dealt by 5%.</v>
      </c>
      <c r="D47" s="163" t="str">
        <f>IFERROR(__xludf.DUMMYFUNCTION("""COMPUTED_VALUE"""),"Egghead ~ Giant Pirate Crew ~ Captain ~ Giant")</f>
        <v>Egghead ~ Giant Pirate Crew ~ Captain ~ Giant</v>
      </c>
      <c r="E47" s="164" t="str">
        <f>IFERROR(__xludf.DUMMYFUNCTION("""COMPUTED_VALUE"""),"https://i.postimg.cc/tgj90R5H/297.png")</f>
        <v>https://i.postimg.cc/tgj90R5H/297.png</v>
      </c>
      <c r="F47" s="162"/>
      <c r="G47" s="163" t="str">
        <f>IFERROR(__xludf.DUMMYFUNCTION("""COMPUTED_VALUE"""),"E-263")</f>
        <v>E-263</v>
      </c>
      <c r="H47" s="163" t="str">
        <f>IFERROR(__xludf.DUMMYFUNCTION("""COMPUTED_VALUE"""),"Robin (Future Outfit)")</f>
        <v>Robin (Future Outfit)</v>
      </c>
      <c r="I47" s="163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J47" s="163" t="str">
        <f>IFERROR(__xludf.DUMMYFUNCTION("""COMPUTED_VALUE"""),"Egghead ~ Straw Hat Pirates ~ Paramecia ~ Archaeologist")</f>
        <v>Egghead ~ Straw Hat Pirates ~ Paramecia ~ Archaeologist</v>
      </c>
      <c r="K47" s="164" t="str">
        <f>IFERROR(__xludf.DUMMYFUNCTION("""COMPUTED_VALUE"""),"https://i.postimg.cc/FHFNtWtQ/263.png")</f>
        <v>https://i.postimg.cc/FHFNtWtQ/263.png</v>
      </c>
      <c r="L47" s="162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</row>
    <row r="48">
      <c r="A48" s="163" t="str">
        <f>IFERROR(__xludf.DUMMYFUNCTION("""COMPUTED_VALUE"""),"G-296")</f>
        <v>G-296</v>
      </c>
      <c r="B48" s="163" t="str">
        <f>IFERROR(__xludf.DUMMYFUNCTION("""COMPUTED_VALUE"""),"Red_Haired Divine Departure")</f>
        <v>Red_Haired Divine Departure</v>
      </c>
      <c r="C48" s="163" t="str">
        <f>IFERROR(__xludf.DUMMYFUNCTION("""COMPUTED_VALUE"""),"When you capture the Treasure: Reduce the cooldown time of Skill 2 by 8%.")</f>
        <v>When you capture the Treasure: Reduce the cooldown time of Skill 2 by 8%.</v>
      </c>
      <c r="D48" s="163" t="str">
        <f>IFERROR(__xludf.DUMMYFUNCTION("""COMPUTED_VALUE"""),"Egghead ~ Red_Haired Pirates ~ Captain ~ The Four Emperors ~ Roger Pirates / Ex_Roger Pirates")</f>
        <v>Egghead ~ Red_Haired Pirates ~ Captain ~ The Four Emperors ~ Roger Pirates / Ex_Roger Pirates</v>
      </c>
      <c r="E48" s="164" t="str">
        <f>IFERROR(__xludf.DUMMYFUNCTION("""COMPUTED_VALUE"""),"https://i.postimg.cc/MT2nSCWV/296.png")</f>
        <v>https://i.postimg.cc/MT2nSCWV/296.png</v>
      </c>
      <c r="F48" s="162"/>
      <c r="G48" s="163" t="str">
        <f>IFERROR(__xludf.DUMMYFUNCTION("""COMPUTED_VALUE"""),"E-262")</f>
        <v>E-262</v>
      </c>
      <c r="H48" s="163" t="str">
        <f>IFERROR(__xludf.DUMMYFUNCTION("""COMPUTED_VALUE"""),"Chopper (Future Outfit)")</f>
        <v>Chopper (Future Outfit)</v>
      </c>
      <c r="I48" s="163" t="str">
        <f>IFERROR(__xludf.DUMMYFUNCTION("""COMPUTED_VALUE"""),"When you Down an enemy: Reduce the cooldown time of Skill 2 by 3%.")</f>
        <v>When you Down an enemy: Reduce the cooldown time of Skill 2 by 3%.</v>
      </c>
      <c r="J48" s="163" t="str">
        <f>IFERROR(__xludf.DUMMYFUNCTION("""COMPUTED_VALUE"""),"Egghead ~ Straw Hat Pirates ~ Zoan ~ Doctor")</f>
        <v>Egghead ~ Straw Hat Pirates ~ Zoan ~ Doctor</v>
      </c>
      <c r="K48" s="164" t="str">
        <f>IFERROR(__xludf.DUMMYFUNCTION("""COMPUTED_VALUE"""),"https://i.postimg.cc/s2s9MScH/262.png")</f>
        <v>https://i.postimg.cc/s2s9MScH/262.png</v>
      </c>
      <c r="L48" s="162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</row>
    <row r="49">
      <c r="A49" s="163" t="str">
        <f>IFERROR(__xludf.DUMMYFUNCTION("""COMPUTED_VALUE"""),"G-295")</f>
        <v>G-295</v>
      </c>
      <c r="B49" s="163" t="str">
        <f>IFERROR(__xludf.DUMMYFUNCTION("""COMPUTED_VALUE"""),"Vegapunk`s Spy")</f>
        <v>Vegapunk`s Spy</v>
      </c>
      <c r="C49" s="163" t="str">
        <f>IFERROR(__xludf.DUMMYFUNCTION("""COMPUTED_VALUE"""),"When attacking a character type ``Zoan`` enemy: Increase damage dealt by 5%.")</f>
        <v>When attacking a character type ``Zoan`` enemy: Increase damage dealt by 5%.</v>
      </c>
      <c r="D49" s="163" t="str">
        <f>IFERROR(__xludf.DUMMYFUNCTION("""COMPUTED_VALUE"""),"Egghead ~ Six Powers")</f>
        <v>Egghead ~ Six Powers</v>
      </c>
      <c r="E49" s="164" t="str">
        <f>IFERROR(__xludf.DUMMYFUNCTION("""COMPUTED_VALUE"""),"https://i.postimg.cc/HWvYDq86/295.png")</f>
        <v>https://i.postimg.cc/HWvYDq86/295.png</v>
      </c>
      <c r="F49" s="162"/>
      <c r="G49" s="163" t="str">
        <f>IFERROR(__xludf.DUMMYFUNCTION("""COMPUTED_VALUE"""),"E-261")</f>
        <v>E-261</v>
      </c>
      <c r="H49" s="163" t="str">
        <f>IFERROR(__xludf.DUMMYFUNCTION("""COMPUTED_VALUE"""),"Brook (Future Outfit)")</f>
        <v>Brook (Future Outfit)</v>
      </c>
      <c r="I49" s="163" t="str">
        <f>IFERROR(__xludf.DUMMYFUNCTION("""COMPUTED_VALUE"""),"After KOing an enemy: Reduce the cooldown time of Skill 2 by 8%.")</f>
        <v>After KOing an enemy: Reduce the cooldown time of Skill 2 by 8%.</v>
      </c>
      <c r="J49" s="163" t="str">
        <f>IFERROR(__xludf.DUMMYFUNCTION("""COMPUTED_VALUE"""),"Egghead ~ Straw Hat Pirates ~ Paramecia ~ Musician")</f>
        <v>Egghead ~ Straw Hat Pirates ~ Paramecia ~ Musician</v>
      </c>
      <c r="K49" s="164" t="str">
        <f>IFERROR(__xludf.DUMMYFUNCTION("""COMPUTED_VALUE"""),"https://i.postimg.cc/MpkY8gjS/261.png")</f>
        <v>https://i.postimg.cc/MpkY8gjS/261.png</v>
      </c>
      <c r="L49" s="162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</row>
    <row r="50">
      <c r="A50" s="163" t="str">
        <f>IFERROR(__xludf.DUMMYFUNCTION("""COMPUTED_VALUE"""),"G-294")</f>
        <v>G-294</v>
      </c>
      <c r="B50" s="163" t="str">
        <f>IFERROR(__xludf.DUMMYFUNCTION("""COMPUTED_VALUE"""),"Nose Pistol")</f>
        <v>Nose Pistol</v>
      </c>
      <c r="C50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D50" s="163" t="str">
        <f>IFERROR(__xludf.DUMMYFUNCTION("""COMPUTED_VALUE"""),"Egghead ~ Cipher Pol ~ Zoan ~ Intelligence Agent ~ Six Powers")</f>
        <v>Egghead ~ Cipher Pol ~ Zoan ~ Intelligence Agent ~ Six Powers</v>
      </c>
      <c r="E50" s="164" t="str">
        <f>IFERROR(__xludf.DUMMYFUNCTION("""COMPUTED_VALUE"""),"https://i.postimg.cc/xdJYHww9/294.png")</f>
        <v>https://i.postimg.cc/xdJYHww9/294.png</v>
      </c>
      <c r="F50" s="162"/>
      <c r="G50" s="163" t="str">
        <f>IFERROR(__xludf.DUMMYFUNCTION("""COMPUTED_VALUE"""),"E-260")</f>
        <v>E-260</v>
      </c>
      <c r="H50" s="163" t="str">
        <f>IFERROR(__xludf.DUMMYFUNCTION("""COMPUTED_VALUE"""),"Bonney`s Father")</f>
        <v>Bonney`s Father</v>
      </c>
      <c r="I50" s="163" t="str">
        <f>IFERROR(__xludf.DUMMYFUNCTION("""COMPUTED_VALUE"""),"When you Knockback an enemy: Reduce the cooldown time of Skill 1 by 3%.")</f>
        <v>When you Knockback an enemy: Reduce the cooldown time of Skill 1 by 3%.</v>
      </c>
      <c r="J50" s="163" t="str">
        <f>IFERROR(__xludf.DUMMYFUNCTION("""COMPUTED_VALUE"""),"Egghead ~ Revolutionary Army ~ Paramecia")</f>
        <v>Egghead ~ Revolutionary Army ~ Paramecia</v>
      </c>
      <c r="K50" s="164" t="str">
        <f>IFERROR(__xludf.DUMMYFUNCTION("""COMPUTED_VALUE"""),"https://i.postimg.cc/FHjVFGjJ/260.png")</f>
        <v>https://i.postimg.cc/FHjVFGjJ/260.png</v>
      </c>
      <c r="L50" s="162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</row>
    <row r="51">
      <c r="A51" s="163" t="str">
        <f>IFERROR(__xludf.DUMMYFUNCTION("""COMPUTED_VALUE"""),"G-293")</f>
        <v>G-293</v>
      </c>
      <c r="B51" s="163" t="str">
        <f>IFERROR(__xludf.DUMMYFUNCTION("""COMPUTED_VALUE"""),"Hand Pistol")</f>
        <v>Hand Pistol</v>
      </c>
      <c r="C51" s="163" t="str">
        <f>IFERROR(__xludf.DUMMYFUNCTION("""COMPUTED_VALUE"""),"When you capture the Treasure: Reduce the cooldown time of Skill 2 by 8%.")</f>
        <v>When you capture the Treasure: Reduce the cooldown time of Skill 2 by 8%.</v>
      </c>
      <c r="D51" s="163" t="str">
        <f>IFERROR(__xludf.DUMMYFUNCTION("""COMPUTED_VALUE"""),"Egghead ~ Cipher Pol ~ Zoan ~ Intelligence Agent ~ Six Powers")</f>
        <v>Egghead ~ Cipher Pol ~ Zoan ~ Intelligence Agent ~ Six Powers</v>
      </c>
      <c r="E51" s="164" t="str">
        <f>IFERROR(__xludf.DUMMYFUNCTION("""COMPUTED_VALUE"""),"https://i.postimg.cc/nLyx1dxB/293.png")</f>
        <v>https://i.postimg.cc/nLyx1dxB/293.png</v>
      </c>
      <c r="F51" s="162"/>
      <c r="G51" s="163" t="str">
        <f>IFERROR(__xludf.DUMMYFUNCTION("""COMPUTED_VALUE"""),"E-259")</f>
        <v>E-259</v>
      </c>
      <c r="H51" s="163" t="str">
        <f>IFERROR(__xludf.DUMMYFUNCTION("""COMPUTED_VALUE"""),"Luffy &amp; Lucci")</f>
        <v>Luffy &amp; Lucci</v>
      </c>
      <c r="I51" s="163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J51" s="163" t="str">
        <f>IFERROR(__xludf.DUMMYFUNCTION("""COMPUTED_VALUE"""),"Egghead ~ Straw Hat Pirates ~ Zoan ~ Captain ~ Six Powers ~ The Four Emperors ~ Blood Brothers")</f>
        <v>Egghead ~ Straw Hat Pirates ~ Zoan ~ Captain ~ Six Powers ~ The Four Emperors ~ Blood Brothers</v>
      </c>
      <c r="K51" s="164" t="str">
        <f>IFERROR(__xludf.DUMMYFUNCTION("""COMPUTED_VALUE"""),"https://i.postimg.cc/d3pj3xHG/259.png")</f>
        <v>https://i.postimg.cc/d3pj3xHG/259.png</v>
      </c>
      <c r="L51" s="162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</row>
    <row r="52">
      <c r="A52" s="163" t="str">
        <f>IFERROR(__xludf.DUMMYFUNCTION("""COMPUTED_VALUE"""),"G-292")</f>
        <v>G-292</v>
      </c>
      <c r="B52" s="163" t="str">
        <f>IFERROR(__xludf.DUMMYFUNCTION("""COMPUTED_VALUE"""),"Jabra")</f>
        <v>Jabra</v>
      </c>
      <c r="C52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52" s="163" t="str">
        <f>IFERROR(__xludf.DUMMYFUNCTION("""COMPUTED_VALUE"""),"Water 7 / Enies Lobby ~ Cipher Pol ~ Zoan ~ Intelligence Agent ~ Six Powers")</f>
        <v>Water 7 / Enies Lobby ~ Cipher Pol ~ Zoan ~ Intelligence Agent ~ Six Powers</v>
      </c>
      <c r="E52" s="164" t="str">
        <f>IFERROR(__xludf.DUMMYFUNCTION("""COMPUTED_VALUE"""),"https://i.postimg.cc/vHpqjgWf/292.png")</f>
        <v>https://i.postimg.cc/vHpqjgWf/292.png</v>
      </c>
      <c r="F52" s="162"/>
      <c r="G52" s="163" t="str">
        <f>IFERROR(__xludf.DUMMYFUNCTION("""COMPUTED_VALUE"""),"E-258")</f>
        <v>E-258</v>
      </c>
      <c r="H52" s="163" t="str">
        <f>IFERROR(__xludf.DUMMYFUNCTION("""COMPUTED_VALUE"""),"Pythagores")</f>
        <v>Pythagores</v>
      </c>
      <c r="I52" s="163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J52" s="163" t="str">
        <f>IFERROR(__xludf.DUMMYFUNCTION("""COMPUTED_VALUE"""),"Egghead ~ Navy")</f>
        <v>Egghead ~ Navy</v>
      </c>
      <c r="K52" s="164" t="str">
        <f>IFERROR(__xludf.DUMMYFUNCTION("""COMPUTED_VALUE"""),"https://i.postimg.cc/J72qpsrt/258.png")</f>
        <v>https://i.postimg.cc/J72qpsrt/258.png</v>
      </c>
      <c r="L52" s="162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</row>
    <row r="53">
      <c r="A53" s="163" t="str">
        <f>IFERROR(__xludf.DUMMYFUNCTION("""COMPUTED_VALUE"""),"G-291")</f>
        <v>G-291</v>
      </c>
      <c r="B53" s="163" t="str">
        <f>IFERROR(__xludf.DUMMYFUNCTION("""COMPUTED_VALUE"""),"Blueno")</f>
        <v>Blueno</v>
      </c>
      <c r="C53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D53" s="163" t="str">
        <f>IFERROR(__xludf.DUMMYFUNCTION("""COMPUTED_VALUE"""),"Water 7 / Enies Lobby ~ Cipher Pol ~ Paramecia ~ Intelligence Agent ~ Six Powers")</f>
        <v>Water 7 / Enies Lobby ~ Cipher Pol ~ Paramecia ~ Intelligence Agent ~ Six Powers</v>
      </c>
      <c r="E53" s="164" t="str">
        <f>IFERROR(__xludf.DUMMYFUNCTION("""COMPUTED_VALUE"""),"https://i.postimg.cc/sg76Rjc8/291.png")</f>
        <v>https://i.postimg.cc/sg76Rjc8/291.png</v>
      </c>
      <c r="F53" s="162"/>
      <c r="G53" s="163" t="str">
        <f>IFERROR(__xludf.DUMMYFUNCTION("""COMPUTED_VALUE"""),"E-257")</f>
        <v>E-257</v>
      </c>
      <c r="H53" s="163" t="str">
        <f>IFERROR(__xludf.DUMMYFUNCTION("""COMPUTED_VALUE"""),"Vegaforce_01")</f>
        <v>Vegaforce_01</v>
      </c>
      <c r="I53" s="163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J53" s="163" t="str">
        <f>IFERROR(__xludf.DUMMYFUNCTION("""COMPUTED_VALUE"""),"Egghead ~ Navy")</f>
        <v>Egghead ~ Navy</v>
      </c>
      <c r="K53" s="164" t="str">
        <f>IFERROR(__xludf.DUMMYFUNCTION("""COMPUTED_VALUE"""),"https://i.postimg.cc/VvdFY8RY/257.png")</f>
        <v>https://i.postimg.cc/VvdFY8RY/257.png</v>
      </c>
      <c r="L53" s="162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</row>
    <row r="54">
      <c r="A54" s="163" t="str">
        <f>IFERROR(__xludf.DUMMYFUNCTION("""COMPUTED_VALUE"""),"G-290")</f>
        <v>G-290</v>
      </c>
      <c r="B54" s="163" t="str">
        <f>IFERROR(__xludf.DUMMYFUNCTION("""COMPUTED_VALUE"""),"S_Hawk")</f>
        <v>S_Hawk</v>
      </c>
      <c r="C54" s="163" t="str">
        <f>IFERROR(__xludf.DUMMYFUNCTION("""COMPUTED_VALUE"""),"When your HP is 70% or more: Reduce damage recieved by 5%.")</f>
        <v>When your HP is 70% or more: Reduce damage recieved by 5%.</v>
      </c>
      <c r="D54" s="163" t="str">
        <f>IFERROR(__xludf.DUMMYFUNCTION("""COMPUTED_VALUE"""),"Egghead ~ Paramecia ~ Navy ~ Seraphim")</f>
        <v>Egghead ~ Paramecia ~ Navy ~ Seraphim</v>
      </c>
      <c r="E54" s="164" t="str">
        <f>IFERROR(__xludf.DUMMYFUNCTION("""COMPUTED_VALUE"""),"https://i.postimg.cc/htGptmqX/290.png")</f>
        <v>https://i.postimg.cc/htGptmqX/290.png</v>
      </c>
      <c r="F54" s="162"/>
      <c r="G54" s="163" t="str">
        <f>IFERROR(__xludf.DUMMYFUNCTION("""COMPUTED_VALUE"""),"E-256")</f>
        <v>E-256</v>
      </c>
      <c r="H54" s="163" t="str">
        <f>IFERROR(__xludf.DUMMYFUNCTION("""COMPUTED_VALUE"""),"Kashii")</f>
        <v>Kashii</v>
      </c>
      <c r="I54" s="163" t="str">
        <f>IFERROR(__xludf.DUMMYFUNCTION("""COMPUTED_VALUE"""),"When you Knockback an enemy: Recover HP by 2%.")</f>
        <v>When you Knockback an enemy: Recover HP by 2%.</v>
      </c>
      <c r="J54" s="163" t="str">
        <f>IFERROR(__xludf.DUMMYFUNCTION("""COMPUTED_VALUE"""),"Egghead ~ Giant Pirate Crew ~ Giant")</f>
        <v>Egghead ~ Giant Pirate Crew ~ Giant</v>
      </c>
      <c r="K54" s="164" t="str">
        <f>IFERROR(__xludf.DUMMYFUNCTION("""COMPUTED_VALUE"""),"https://i.postimg.cc/zBdjZBTt/256.png")</f>
        <v>https://i.postimg.cc/zBdjZBTt/256.png</v>
      </c>
      <c r="L54" s="162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</row>
    <row r="55">
      <c r="A55" s="163" t="str">
        <f>IFERROR(__xludf.DUMMYFUNCTION("""COMPUTED_VALUE"""),"G-289")</f>
        <v>G-289</v>
      </c>
      <c r="B55" s="163" t="str">
        <f>IFERROR(__xludf.DUMMYFUNCTION("""COMPUTED_VALUE"""),"Egghead Zoro")</f>
        <v>Egghead Zoro</v>
      </c>
      <c r="C55" s="163" t="str">
        <f>IFERROR(__xludf.DUMMYFUNCTION("""COMPUTED_VALUE"""),"When you capture the Treasure: Reduce the cooldown time of Skill 1 by 8%.")</f>
        <v>When you capture the Treasure: Reduce the cooldown time of Skill 1 by 8%.</v>
      </c>
      <c r="D55" s="163" t="str">
        <f>IFERROR(__xludf.DUMMYFUNCTION("""COMPUTED_VALUE"""),"Egghead ~ Straw Hat Pirates ~ Combatant ~ Worst Generation")</f>
        <v>Egghead ~ Straw Hat Pirates ~ Combatant ~ Worst Generation</v>
      </c>
      <c r="E55" s="164" t="str">
        <f>IFERROR(__xludf.DUMMYFUNCTION("""COMPUTED_VALUE"""),"https://i.postimg.cc/SscGv7cv/289.png")</f>
        <v>https://i.postimg.cc/SscGv7cv/289.png</v>
      </c>
      <c r="F55" s="162"/>
      <c r="G55" s="163" t="str">
        <f>IFERROR(__xludf.DUMMYFUNCTION("""COMPUTED_VALUE"""),"E-255")</f>
        <v>E-255</v>
      </c>
      <c r="H55" s="163" t="str">
        <f>IFERROR(__xludf.DUMMYFUNCTION("""COMPUTED_VALUE"""),"Oimo")</f>
        <v>Oimo</v>
      </c>
      <c r="I55" s="163" t="str">
        <f>IFERROR(__xludf.DUMMYFUNCTION("""COMPUTED_VALUE"""),"When using Skill 1: Reduce the cooldown time of Skill 2 by 5%.")</f>
        <v>When using Skill 1: Reduce the cooldown time of Skill 2 by 5%.</v>
      </c>
      <c r="J55" s="163" t="str">
        <f>IFERROR(__xludf.DUMMYFUNCTION("""COMPUTED_VALUE"""),"Egghead ~ Giant Pirate Crew ~ Giant")</f>
        <v>Egghead ~ Giant Pirate Crew ~ Giant</v>
      </c>
      <c r="K55" s="164" t="str">
        <f>IFERROR(__xludf.DUMMYFUNCTION("""COMPUTED_VALUE"""),"https://i.postimg.cc/4NH1qXyP/255.png")</f>
        <v>https://i.postimg.cc/4NH1qXyP/255.png</v>
      </c>
      <c r="L55" s="162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</row>
    <row r="56">
      <c r="A56" s="163" t="str">
        <f>IFERROR(__xludf.DUMMYFUNCTION("""COMPUTED_VALUE"""),"G-288")</f>
        <v>G-288</v>
      </c>
      <c r="B56" s="163" t="str">
        <f>IFERROR(__xludf.DUMMYFUNCTION("""COMPUTED_VALUE"""),"S_Snake")</f>
        <v>S_Snake</v>
      </c>
      <c r="C56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56" s="163" t="str">
        <f>IFERROR(__xludf.DUMMYFUNCTION("""COMPUTED_VALUE"""),"Egghead ~ Paramecia ~ Navy ~ Seraphim")</f>
        <v>Egghead ~ Paramecia ~ Navy ~ Seraphim</v>
      </c>
      <c r="E56" s="164" t="str">
        <f>IFERROR(__xludf.DUMMYFUNCTION("""COMPUTED_VALUE"""),"https://i.postimg.cc/MTkDgg21/288.png")</f>
        <v>https://i.postimg.cc/MTkDgg21/288.png</v>
      </c>
      <c r="F56" s="162"/>
      <c r="G56" s="163" t="str">
        <f>IFERROR(__xludf.DUMMYFUNCTION("""COMPUTED_VALUE"""),"E-254")</f>
        <v>E-254</v>
      </c>
      <c r="H56" s="163" t="str">
        <f>IFERROR(__xludf.DUMMYFUNCTION("""COMPUTED_VALUE"""),"Izo (Young)")</f>
        <v>Izo (Young)</v>
      </c>
      <c r="I56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J56" s="163" t="str">
        <f>IFERROR(__xludf.DUMMYFUNCTION("""COMPUTED_VALUE"""),"Whitebeard Pirates ~ Kozuki Clan / Kozuki Clan Servant")</f>
        <v>Whitebeard Pirates ~ Kozuki Clan / Kozuki Clan Servant</v>
      </c>
      <c r="K56" s="164" t="str">
        <f>IFERROR(__xludf.DUMMYFUNCTION("""COMPUTED_VALUE"""),"https://i.postimg.cc/QM1xz0d5/254.png")</f>
        <v>https://i.postimg.cc/QM1xz0d5/254.png</v>
      </c>
      <c r="L56" s="162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</row>
    <row r="57">
      <c r="A57" s="163" t="str">
        <f>IFERROR(__xludf.DUMMYFUNCTION("""COMPUTED_VALUE"""),"G-287")</f>
        <v>G-287</v>
      </c>
      <c r="B57" s="163" t="str">
        <f>IFERROR(__xludf.DUMMYFUNCTION("""COMPUTED_VALUE"""),"Egghead Luffy")</f>
        <v>Egghead Luffy</v>
      </c>
      <c r="C57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D57" s="163" t="str">
        <f>IFERROR(__xludf.DUMMYFUNCTION("""COMPUTED_VALUE"""),"Egghead ~ Straw Hat Pirates ~ Zoan ~ Captain ~ The Four Emperors ~ Blood Brothers")</f>
        <v>Egghead ~ Straw Hat Pirates ~ Zoan ~ Captain ~ The Four Emperors ~ Blood Brothers</v>
      </c>
      <c r="E57" s="164" t="str">
        <f>IFERROR(__xludf.DUMMYFUNCTION("""COMPUTED_VALUE"""),"https://i.postimg.cc/5th3gkQz/287.png")</f>
        <v>https://i.postimg.cc/5th3gkQz/287.png</v>
      </c>
      <c r="F57" s="162"/>
      <c r="G57" s="163" t="str">
        <f>IFERROR(__xludf.DUMMYFUNCTION("""COMPUTED_VALUE"""),"E-253")</f>
        <v>E-253</v>
      </c>
      <c r="H57" s="163" t="str">
        <f>IFERROR(__xludf.DUMMYFUNCTION("""COMPUTED_VALUE"""),"Oden (2nd Division Commander)")</f>
        <v>Oden (2nd Division Commander)</v>
      </c>
      <c r="I57" s="163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J57" s="163" t="str">
        <f>IFERROR(__xludf.DUMMYFUNCTION("""COMPUTED_VALUE"""),"Whitebeard Pirates ~ Kozuki Clan / Kozuki Clan Servant ~ Whitebeard Pirates Commander")</f>
        <v>Whitebeard Pirates ~ Kozuki Clan / Kozuki Clan Servant ~ Whitebeard Pirates Commander</v>
      </c>
      <c r="K57" s="164" t="str">
        <f>IFERROR(__xludf.DUMMYFUNCTION("""COMPUTED_VALUE"""),"https://i.postimg.cc/52Z2pZbb/253.png")</f>
        <v>https://i.postimg.cc/52Z2pZbb/253.png</v>
      </c>
      <c r="L57" s="162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</row>
    <row r="58">
      <c r="A58" s="163" t="str">
        <f>IFERROR(__xludf.DUMMYFUNCTION("""COMPUTED_VALUE"""),"G-286")</f>
        <v>G-286</v>
      </c>
      <c r="B58" s="163" t="str">
        <f>IFERROR(__xludf.DUMMYFUNCTION("""COMPUTED_VALUE"""),"Pacifista")</f>
        <v>Pacifista</v>
      </c>
      <c r="C58" s="163" t="str">
        <f>IFERROR(__xludf.DUMMYFUNCTION("""COMPUTED_VALUE"""),"When you Knockback an enemy: Recover HP by 3%.")</f>
        <v>When you Knockback an enemy: Recover HP by 3%.</v>
      </c>
      <c r="D58" s="163" t="str">
        <f>IFERROR(__xludf.DUMMYFUNCTION("""COMPUTED_VALUE"""),"Navy")</f>
        <v>Navy</v>
      </c>
      <c r="E58" s="164" t="str">
        <f>IFERROR(__xludf.DUMMYFUNCTION("""COMPUTED_VALUE"""),"https://i.postimg.cc/wBy2hdMH/286.png")</f>
        <v>https://i.postimg.cc/wBy2hdMH/286.png</v>
      </c>
      <c r="F58" s="162"/>
      <c r="G58" s="163" t="str">
        <f>IFERROR(__xludf.DUMMYFUNCTION("""COMPUTED_VALUE"""),"E-252")</f>
        <v>E-252</v>
      </c>
      <c r="H58" s="163" t="str">
        <f>IFERROR(__xludf.DUMMYFUNCTION("""COMPUTED_VALUE"""),"Rayleigh (First Mate)")</f>
        <v>Rayleigh (First Mate)</v>
      </c>
      <c r="I58" s="163" t="str">
        <f>IFERROR(__xludf.DUMMYFUNCTION("""COMPUTED_VALUE"""),"When in the Treasure Area: Boost the cooldown reduction speed of dodge by 13%.")</f>
        <v>When in the Treasure Area: Boost the cooldown reduction speed of dodge by 13%.</v>
      </c>
      <c r="J58" s="163" t="str">
        <f>IFERROR(__xludf.DUMMYFUNCTION("""COMPUTED_VALUE"""),"Roger Pirates / Ex_Roger Pirates")</f>
        <v>Roger Pirates / Ex_Roger Pirates</v>
      </c>
      <c r="K58" s="164" t="str">
        <f>IFERROR(__xludf.DUMMYFUNCTION("""COMPUTED_VALUE"""),"https://i.postimg.cc/y8JNmVqL/252.png")</f>
        <v>https://i.postimg.cc/y8JNmVqL/252.png</v>
      </c>
      <c r="L58" s="162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</row>
    <row r="59">
      <c r="A59" s="163" t="str">
        <f>IFERROR(__xludf.DUMMYFUNCTION("""COMPUTED_VALUE"""),"G-285")</f>
        <v>G-285</v>
      </c>
      <c r="B59" s="163" t="str">
        <f>IFERROR(__xludf.DUMMYFUNCTION("""COMPUTED_VALUE"""),"Axe")</f>
        <v>Axe</v>
      </c>
      <c r="C59" s="163" t="str">
        <f>IFERROR(__xludf.DUMMYFUNCTION("""COMPUTED_VALUE"""),"When enemies are inflicted with Recovery Block: Reduce the cooldown time of Skill 2 by 6%.")</f>
        <v>When enemies are inflicted with Recovery Block: Reduce the cooldown time of Skill 2 by 6%.</v>
      </c>
      <c r="D59" s="163" t="str">
        <f>IFERROR(__xludf.DUMMYFUNCTION("""COMPUTED_VALUE"""),"Navy")</f>
        <v>Navy</v>
      </c>
      <c r="E59" s="164" t="str">
        <f>IFERROR(__xludf.DUMMYFUNCTION("""COMPUTED_VALUE"""),"https://i.postimg.cc/fRg5tbwB/285.png")</f>
        <v>https://i.postimg.cc/fRg5tbwB/285.png</v>
      </c>
      <c r="F59" s="162"/>
      <c r="G59" s="163" t="str">
        <f>IFERROR(__xludf.DUMMYFUNCTION("""COMPUTED_VALUE"""),"E-251")</f>
        <v>E-251</v>
      </c>
      <c r="H59" s="163" t="str">
        <f>IFERROR(__xludf.DUMMYFUNCTION("""COMPUTED_VALUE"""),"Roger (Captain)")</f>
        <v>Roger (Captain)</v>
      </c>
      <c r="I59" s="163" t="str">
        <f>IFERROR(__xludf.DUMMYFUNCTION("""COMPUTED_VALUE"""),"When your HP is 70% or more: Increase damage dealt by 5%.")</f>
        <v>When your HP is 70% or more: Increase damage dealt by 5%.</v>
      </c>
      <c r="J59" s="163" t="str">
        <f>IFERROR(__xludf.DUMMYFUNCTION("""COMPUTED_VALUE"""),"Captain ~ Roger Pirates / Ex_Roger Pirates")</f>
        <v>Captain ~ Roger Pirates / Ex_Roger Pirates</v>
      </c>
      <c r="K59" s="164" t="str">
        <f>IFERROR(__xludf.DUMMYFUNCTION("""COMPUTED_VALUE"""),"https://i.postimg.cc/xT18dv6D/251.png")</f>
        <v>https://i.postimg.cc/xT18dv6D/251.png</v>
      </c>
      <c r="L59" s="162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</row>
    <row r="60">
      <c r="A60" s="163" t="str">
        <f>IFERROR(__xludf.DUMMYFUNCTION("""COMPUTED_VALUE"""),"G-284")</f>
        <v>G-284</v>
      </c>
      <c r="B60" s="163" t="str">
        <f>IFERROR(__xludf.DUMMYFUNCTION("""COMPUTED_VALUE"""),"Demaro Black")</f>
        <v>Demaro Black</v>
      </c>
      <c r="C60" s="163" t="str">
        <f>IFERROR(__xludf.DUMMYFUNCTION("""COMPUTED_VALUE"""),"When attacked by a character type ``Straw Hat Pirates`` enemy: Reduce damage recieved by 3%.")</f>
        <v>When attacked by a character type ``Straw Hat Pirates`` enemy: Reduce damage recieved by 3%.</v>
      </c>
      <c r="D60" s="163" t="str">
        <f>IFERROR(__xludf.DUMMYFUNCTION("""COMPUTED_VALUE"""),"Fake Straw Hat Pirates ~ Captain")</f>
        <v>Fake Straw Hat Pirates ~ Captain</v>
      </c>
      <c r="E60" s="164" t="str">
        <f>IFERROR(__xludf.DUMMYFUNCTION("""COMPUTED_VALUE"""),"https://i.postimg.cc/jS1QqGs2/284.png")</f>
        <v>https://i.postimg.cc/jS1QqGs2/284.png</v>
      </c>
      <c r="F60" s="162"/>
      <c r="G60" s="163" t="str">
        <f>IFERROR(__xludf.DUMMYFUNCTION("""COMPUTED_VALUE"""),"E-250")</f>
        <v>E-250</v>
      </c>
      <c r="H60" s="163" t="str">
        <f>IFERROR(__xludf.DUMMYFUNCTION("""COMPUTED_VALUE"""),"Edison")</f>
        <v>Edison</v>
      </c>
      <c r="I60" s="163" t="str">
        <f>IFERROR(__xludf.DUMMYFUNCTION("""COMPUTED_VALUE"""),"When hit with Knockback by enemy: Reduce the cooldown time of Skill 2 by 3%.")</f>
        <v>When hit with Knockback by enemy: Reduce the cooldown time of Skill 2 by 3%.</v>
      </c>
      <c r="J60" s="163" t="str">
        <f>IFERROR(__xludf.DUMMYFUNCTION("""COMPUTED_VALUE"""),"Egghead ~ Navy")</f>
        <v>Egghead ~ Navy</v>
      </c>
      <c r="K60" s="164" t="str">
        <f>IFERROR(__xludf.DUMMYFUNCTION("""COMPUTED_VALUE"""),"https://i.postimg.cc/2896L1tq/250.png")</f>
        <v>https://i.postimg.cc/2896L1tq/250.png</v>
      </c>
      <c r="L60" s="162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</row>
    <row r="61">
      <c r="A61" s="163" t="str">
        <f>IFERROR(__xludf.DUMMYFUNCTION("""COMPUTED_VALUE"""),"G-283")</f>
        <v>G-283</v>
      </c>
      <c r="B61" s="163" t="str">
        <f>IFERROR(__xludf.DUMMYFUNCTION("""COMPUTED_VALUE"""),"Shandia`s Savior")</f>
        <v>Shandia`s Savior</v>
      </c>
      <c r="C61" s="163" t="str">
        <f>IFERROR(__xludf.DUMMYFUNCTION("""COMPUTED_VALUE"""),"When attacking an enemy that is capturing Treasure: Recover HP by 3%.")</f>
        <v>When attacking an enemy that is capturing Treasure: Recover HP by 3%.</v>
      </c>
      <c r="D61" s="163" t="str">
        <f>IFERROR(__xludf.DUMMYFUNCTION("""COMPUTED_VALUE"""),"Sky Island / LRLL")</f>
        <v>Sky Island / LRLL</v>
      </c>
      <c r="E61" s="164" t="str">
        <f>IFERROR(__xludf.DUMMYFUNCTION("""COMPUTED_VALUE"""),"https://i.postimg.cc/rFQN3D3S/283.png")</f>
        <v>https://i.postimg.cc/rFQN3D3S/283.png</v>
      </c>
      <c r="F61" s="162"/>
      <c r="G61" s="163" t="str">
        <f>IFERROR(__xludf.DUMMYFUNCTION("""COMPUTED_VALUE"""),"E-249")</f>
        <v>E-249</v>
      </c>
      <c r="H61" s="163" t="str">
        <f>IFERROR(__xludf.DUMMYFUNCTION("""COMPUTED_VALUE"""),"Shaka")</f>
        <v>Shaka</v>
      </c>
      <c r="I61" s="163" t="str">
        <f>IFERROR(__xludf.DUMMYFUNCTION("""COMPUTED_VALUE"""),"When attacked by an enemy: Reduce the cooldown time of Skill 1 by 2%.")</f>
        <v>When attacked by an enemy: Reduce the cooldown time of Skill 1 by 2%.</v>
      </c>
      <c r="J61" s="163" t="str">
        <f>IFERROR(__xludf.DUMMYFUNCTION("""COMPUTED_VALUE"""),"Egghead ~ Navy")</f>
        <v>Egghead ~ Navy</v>
      </c>
      <c r="K61" s="164" t="str">
        <f>IFERROR(__xludf.DUMMYFUNCTION("""COMPUTED_VALUE"""),"https://i.postimg.cc/J7qtm6c5/249.png")</f>
        <v>https://i.postimg.cc/J7qtm6c5/249.png</v>
      </c>
      <c r="L61" s="162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</row>
    <row r="62">
      <c r="A62" s="163" t="str">
        <f>IFERROR(__xludf.DUMMYFUNCTION("""COMPUTED_VALUE"""),"G-282")</f>
        <v>G-282</v>
      </c>
      <c r="B62" s="163" t="str">
        <f>IFERROR(__xludf.DUMMYFUNCTION("""COMPUTED_VALUE"""),"The Great Warrior Kalgara")</f>
        <v>The Great Warrior Kalgara</v>
      </c>
      <c r="C62" s="163" t="str">
        <f>IFERROR(__xludf.DUMMYFUNCTION("""COMPUTED_VALUE"""),"When attacking an enemy that is capturing Treasure: Increase damage dealt by 3%.")</f>
        <v>When attacking an enemy that is capturing Treasure: Increase damage dealt by 3%.</v>
      </c>
      <c r="D62" s="163" t="str">
        <f>IFERROR(__xludf.DUMMYFUNCTION("""COMPUTED_VALUE"""),"Sky Island / LRLL")</f>
        <v>Sky Island / LRLL</v>
      </c>
      <c r="E62" s="164" t="str">
        <f>IFERROR(__xludf.DUMMYFUNCTION("""COMPUTED_VALUE"""),"https://i.postimg.cc/T31J6RvB/282.png")</f>
        <v>https://i.postimg.cc/T31J6RvB/282.png</v>
      </c>
      <c r="F62" s="162"/>
      <c r="G62" s="163" t="str">
        <f>IFERROR(__xludf.DUMMYFUNCTION("""COMPUTED_VALUE"""),"E-248")</f>
        <v>E-248</v>
      </c>
      <c r="H62" s="163" t="str">
        <f>IFERROR(__xludf.DUMMYFUNCTION("""COMPUTED_VALUE"""),"Hattori (CP0)")</f>
        <v>Hattori (CP0)</v>
      </c>
      <c r="I62" s="163" t="str">
        <f>IFERROR(__xludf.DUMMYFUNCTION("""COMPUTED_VALUE"""),"When the equipped character is character type ``Cipher Pol``: Increase Normal Attack damage dealt by 3%.")</f>
        <v>When the equipped character is character type ``Cipher Pol``: Increase Normal Attack damage dealt by 3%.</v>
      </c>
      <c r="J62" s="163" t="str">
        <f>IFERROR(__xludf.DUMMYFUNCTION("""COMPUTED_VALUE"""),"Egghead ~ Cipher Pol")</f>
        <v>Egghead ~ Cipher Pol</v>
      </c>
      <c r="K62" s="164" t="str">
        <f>IFERROR(__xludf.DUMMYFUNCTION("""COMPUTED_VALUE"""),"https://i.postimg.cc/T1CP91Y4/248.png")</f>
        <v>https://i.postimg.cc/T1CP91Y4/248.png</v>
      </c>
      <c r="L62" s="162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</row>
    <row r="63">
      <c r="A63" s="163" t="str">
        <f>IFERROR(__xludf.DUMMYFUNCTION("""COMPUTED_VALUE"""),"G-281")</f>
        <v>G-281</v>
      </c>
      <c r="B63" s="163" t="str">
        <f>IFERROR(__xludf.DUMMYFUNCTION("""COMPUTED_VALUE"""),"Ganfor")</f>
        <v>Ganfor</v>
      </c>
      <c r="C63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63" s="163" t="str">
        <f>IFERROR(__xludf.DUMMYFUNCTION("""COMPUTED_VALUE"""),"Sky Island / LRLL")</f>
        <v>Sky Island / LRLL</v>
      </c>
      <c r="E63" s="164" t="str">
        <f>IFERROR(__xludf.DUMMYFUNCTION("""COMPUTED_VALUE"""),"https://i.postimg.cc/hPkTg4Rh/281.png")</f>
        <v>https://i.postimg.cc/hPkTg4Rh/281.png</v>
      </c>
      <c r="F63" s="162"/>
      <c r="G63" s="163" t="str">
        <f>IFERROR(__xludf.DUMMYFUNCTION("""COMPUTED_VALUE"""),"E-247")</f>
        <v>E-247</v>
      </c>
      <c r="H63" s="163" t="str">
        <f>IFERROR(__xludf.DUMMYFUNCTION("""COMPUTED_VALUE"""),"Stussy (CP0)")</f>
        <v>Stussy (CP0)</v>
      </c>
      <c r="I63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J63" s="163" t="str">
        <f>IFERROR(__xludf.DUMMYFUNCTION("""COMPUTED_VALUE"""),"Egghead ~ Cipher Pol ~ Intelligence Agent ~ Six Powers")</f>
        <v>Egghead ~ Cipher Pol ~ Intelligence Agent ~ Six Powers</v>
      </c>
      <c r="K63" s="164" t="str">
        <f>IFERROR(__xludf.DUMMYFUNCTION("""COMPUTED_VALUE"""),"https://i.postimg.cc/DZ3mfRMB/247.png")</f>
        <v>https://i.postimg.cc/DZ3mfRMB/247.png</v>
      </c>
      <c r="L63" s="162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</row>
    <row r="64">
      <c r="A64" s="163" t="str">
        <f>IFERROR(__xludf.DUMMYFUNCTION("""COMPUTED_VALUE"""),"G-280")</f>
        <v>G-280</v>
      </c>
      <c r="B64" s="163" t="str">
        <f>IFERROR(__xludf.DUMMYFUNCTION("""COMPUTED_VALUE"""),"The Dark King`s Flash")</f>
        <v>The Dark King`s Flash</v>
      </c>
      <c r="C64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64" s="163" t="str">
        <f>IFERROR(__xludf.DUMMYFUNCTION("""COMPUTED_VALUE"""),"Sabaody Archipelago / Island of Women ~ Roger Pirates / Ex_Roger Pirates")</f>
        <v>Sabaody Archipelago / Island of Women ~ Roger Pirates / Ex_Roger Pirates</v>
      </c>
      <c r="E64" s="164" t="str">
        <f>IFERROR(__xludf.DUMMYFUNCTION("""COMPUTED_VALUE"""),"https://i.postimg.cc/MTL5GrGz/280.png")</f>
        <v>https://i.postimg.cc/MTL5GrGz/280.png</v>
      </c>
      <c r="F64" s="162"/>
      <c r="G64" s="163" t="str">
        <f>IFERROR(__xludf.DUMMYFUNCTION("""COMPUTED_VALUE"""),"E-246")</f>
        <v>E-246</v>
      </c>
      <c r="H64" s="163" t="str">
        <f>IFERROR(__xludf.DUMMYFUNCTION("""COMPUTED_VALUE"""),"Zoro (Future Outfit)")</f>
        <v>Zoro (Future Outfit)</v>
      </c>
      <c r="I64" s="163" t="str">
        <f>IFERROR(__xludf.DUMMYFUNCTION("""COMPUTED_VALUE"""),"When in the area around your enemy`s Treasure: Increase damage dealt by 3%.")</f>
        <v>When in the area around your enemy`s Treasure: Increase damage dealt by 3%.</v>
      </c>
      <c r="J64" s="163" t="str">
        <f>IFERROR(__xludf.DUMMYFUNCTION("""COMPUTED_VALUE"""),"Egghead ~ Straw Hat Pirates ~ Combatant ~ Worst Generation")</f>
        <v>Egghead ~ Straw Hat Pirates ~ Combatant ~ Worst Generation</v>
      </c>
      <c r="K64" s="164" t="str">
        <f>IFERROR(__xludf.DUMMYFUNCTION("""COMPUTED_VALUE"""),"https://i.postimg.cc/XvCpbnQr/246.png")</f>
        <v>https://i.postimg.cc/XvCpbnQr/246.png</v>
      </c>
      <c r="L64" s="162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</row>
    <row r="65">
      <c r="A65" s="163" t="str">
        <f>IFERROR(__xludf.DUMMYFUNCTION("""COMPUTED_VALUE"""),"G-279")</f>
        <v>G-279</v>
      </c>
      <c r="B65" s="163" t="str">
        <f>IFERROR(__xludf.DUMMYFUNCTION("""COMPUTED_VALUE"""),"The Man Who Had Everything")</f>
        <v>The Man Who Had Everything</v>
      </c>
      <c r="C65" s="163" t="str">
        <f>IFERROR(__xludf.DUMMYFUNCTION("""COMPUTED_VALUE"""),"When you capture the Treasure: Recover HP by 5%.")</f>
        <v>When you capture the Treasure: Recover HP by 5%.</v>
      </c>
      <c r="D65" s="163" t="str">
        <f>IFERROR(__xludf.DUMMYFUNCTION("""COMPUTED_VALUE"""),"Captain ~ Roger Pirates / Ex_Roger Pirates")</f>
        <v>Captain ~ Roger Pirates / Ex_Roger Pirates</v>
      </c>
      <c r="E65" s="164" t="str">
        <f>IFERROR(__xludf.DUMMYFUNCTION("""COMPUTED_VALUE"""),"https://i.postimg.cc/1tXMsZsW/279.png")</f>
        <v>https://i.postimg.cc/1tXMsZsW/279.png</v>
      </c>
      <c r="F65" s="162"/>
      <c r="G65" s="163" t="str">
        <f>IFERROR(__xludf.DUMMYFUNCTION("""COMPUTED_VALUE"""),"E-245")</f>
        <v>E-245</v>
      </c>
      <c r="H65" s="163" t="str">
        <f>IFERROR(__xludf.DUMMYFUNCTION("""COMPUTED_VALUE"""),"Luffy (Future Outfit)")</f>
        <v>Luffy (Future Outfit)</v>
      </c>
      <c r="I65" s="163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J65" s="163" t="str">
        <f>IFERROR(__xludf.DUMMYFUNCTION("""COMPUTED_VALUE"""),"Egghead ~ Straw Hat Pirates ~ Zoan ~ Captain ~ The Four Emperors ~ Blood Brothers")</f>
        <v>Egghead ~ Straw Hat Pirates ~ Zoan ~ Captain ~ The Four Emperors ~ Blood Brothers</v>
      </c>
      <c r="K65" s="164" t="str">
        <f>IFERROR(__xludf.DUMMYFUNCTION("""COMPUTED_VALUE"""),"https://i.postimg.cc/4xnYW6cb/245.png")</f>
        <v>https://i.postimg.cc/4xnYW6cb/245.png</v>
      </c>
      <c r="L65" s="162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</row>
    <row r="66">
      <c r="A66" s="163" t="str">
        <f>IFERROR(__xludf.DUMMYFUNCTION("""COMPUTED_VALUE"""),"G-278")</f>
        <v>G-278</v>
      </c>
      <c r="B66" s="163" t="str">
        <f>IFERROR(__xludf.DUMMYFUNCTION("""COMPUTED_VALUE"""),"Carrot (Whole Cake Island)")</f>
        <v>Carrot (Whole Cake Island)</v>
      </c>
      <c r="C66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66" s="163" t="str">
        <f>IFERROR(__xludf.DUMMYFUNCTION("""COMPUTED_VALUE"""),"Zou / Whole Cake Island ~ Mokomo Dukedom Musketeer ~ Kingsbird ~ Minks")</f>
        <v>Zou / Whole Cake Island ~ Mokomo Dukedom Musketeer ~ Kingsbird ~ Minks</v>
      </c>
      <c r="E66" s="164" t="str">
        <f>IFERROR(__xludf.DUMMYFUNCTION("""COMPUTED_VALUE"""),"https://i.postimg.cc/k5J5M9BP/278.png")</f>
        <v>https://i.postimg.cc/k5J5M9BP/278.png</v>
      </c>
      <c r="F66" s="162"/>
      <c r="G66" s="163" t="str">
        <f>IFERROR(__xludf.DUMMYFUNCTION("""COMPUTED_VALUE"""),"E-244")</f>
        <v>E-244</v>
      </c>
      <c r="H66" s="163" t="str">
        <f>IFERROR(__xludf.DUMMYFUNCTION("""COMPUTED_VALUE"""),"Kumadori")</f>
        <v>Kumadori</v>
      </c>
      <c r="I66" s="163" t="str">
        <f>IFERROR(__xludf.DUMMYFUNCTION("""COMPUTED_VALUE"""),"When you Down an enemy: Reduce the cooldown time of Skill 1 by 3%.")</f>
        <v>When you Down an enemy: Reduce the cooldown time of Skill 1 by 3%.</v>
      </c>
      <c r="J66" s="163" t="str">
        <f>IFERROR(__xludf.DUMMYFUNCTION("""COMPUTED_VALUE"""),"East Blue ~ Buggy Pirates")</f>
        <v>East Blue ~ Buggy Pirates</v>
      </c>
      <c r="K66" s="164" t="str">
        <f>IFERROR(__xludf.DUMMYFUNCTION("""COMPUTED_VALUE"""),"https://i.postimg.cc/FsTfbWYH/244.png")</f>
        <v>https://i.postimg.cc/FsTfbWYH/244.png</v>
      </c>
      <c r="L66" s="162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</row>
    <row r="67">
      <c r="A67" s="163" t="str">
        <f>IFERROR(__xludf.DUMMYFUNCTION("""COMPUTED_VALUE"""),"G-277")</f>
        <v>G-277</v>
      </c>
      <c r="B67" s="165" t="str">
        <f>IFERROR(__xludf.DUMMYFUNCTION("""COMPUTED_VALUE"""),"Paradise Waterfall")</f>
        <v>Paradise Waterfall</v>
      </c>
      <c r="C67" s="163" t="str">
        <f>IFERROR(__xludf.DUMMYFUNCTION("""COMPUTED_VALUE"""),"When your HP is 50% or less: Increase damage dealt by 5%.")</f>
        <v>When your HP is 50% or less: Increase damage dealt by 5%.</v>
      </c>
      <c r="D67" s="163" t="str">
        <f>IFERROR(__xludf.DUMMYFUNCTION("""COMPUTED_VALUE"""),"Whitebeard Pirates ~ Kozuki Clan / Kozuki Clan Servant ~ Whitebeard Pirates Commander ~ Roger Pirates / Ex_Roger Pirates")</f>
        <v>Whitebeard Pirates ~ Kozuki Clan / Kozuki Clan Servant ~ Whitebeard Pirates Commander ~ Roger Pirates / Ex_Roger Pirates</v>
      </c>
      <c r="E67" s="166" t="str">
        <f>IFERROR(__xludf.DUMMYFUNCTION("""COMPUTED_VALUE"""),"https://i.postimg.cc/pdC9Z6J1/277.png")</f>
        <v>https://i.postimg.cc/pdC9Z6J1/277.png</v>
      </c>
      <c r="F67" s="162"/>
      <c r="G67" s="163" t="str">
        <f>IFERROR(__xludf.DUMMYFUNCTION("""COMPUTED_VALUE"""),"E-243")</f>
        <v>E-243</v>
      </c>
      <c r="H67" s="163" t="str">
        <f>IFERROR(__xludf.DUMMYFUNCTION("""COMPUTED_VALUE"""),"Fukuro")</f>
        <v>Fukuro</v>
      </c>
      <c r="I67" s="163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J67" s="163" t="str">
        <f>IFERROR(__xludf.DUMMYFUNCTION("""COMPUTED_VALUE"""),"Water 7 / Enies Lobby ~ Cipher Pol ~ Intelligence Agent ~ Six Powers")</f>
        <v>Water 7 / Enies Lobby ~ Cipher Pol ~ Intelligence Agent ~ Six Powers</v>
      </c>
      <c r="K67" s="164" t="str">
        <f>IFERROR(__xludf.DUMMYFUNCTION("""COMPUTED_VALUE"""),"https://i.postimg.cc/RVS6H5VY/243.png")</f>
        <v>https://i.postimg.cc/RVS6H5VY/243.png</v>
      </c>
      <c r="L67" s="162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</row>
    <row r="68">
      <c r="A68" s="163" t="str">
        <f>IFERROR(__xludf.DUMMYFUNCTION("""COMPUTED_VALUE"""),"G-276")</f>
        <v>G-276</v>
      </c>
      <c r="B68" s="163" t="str">
        <f>IFERROR(__xludf.DUMMYFUNCTION("""COMPUTED_VALUE"""),"The Man Who Shook the World")</f>
        <v>The Man Who Shook the World</v>
      </c>
      <c r="C68" s="163" t="str">
        <f>IFERROR(__xludf.DUMMYFUNCTION("""COMPUTED_VALUE"""),"When attacked by an enemy: Reduce the cooldown time of Skill 1 by 2%.")</f>
        <v>When attacked by an enemy: Reduce the cooldown time of Skill 1 by 2%.</v>
      </c>
      <c r="D68" s="163" t="str">
        <f>IFERROR(__xludf.DUMMYFUNCTION("""COMPUTED_VALUE"""),"Whitebeard Pirates ~ Paramecia ~ Captain ~ Former Rocks Pirates")</f>
        <v>Whitebeard Pirates ~ Paramecia ~ Captain ~ Former Rocks Pirates</v>
      </c>
      <c r="E68" s="164" t="str">
        <f>IFERROR(__xludf.DUMMYFUNCTION("""COMPUTED_VALUE"""),"https://i.postimg.cc/DZmysgrC/276.png")</f>
        <v>https://i.postimg.cc/DZmysgrC/276.png</v>
      </c>
      <c r="F68" s="162"/>
      <c r="G68" s="163" t="str">
        <f>IFERROR(__xludf.DUMMYFUNCTION("""COMPUTED_VALUE"""),"E-242")</f>
        <v>E-242</v>
      </c>
      <c r="H68" s="163" t="str">
        <f>IFERROR(__xludf.DUMMYFUNCTION("""COMPUTED_VALUE"""),"Mini_Merry")</f>
        <v>Mini_Merry</v>
      </c>
      <c r="I68" s="163" t="str">
        <f>IFERROR(__xludf.DUMMYFUNCTION("""COMPUTED_VALUE"""),"When attacking an enemy with a Normal Attack: 30% chance to, Reduce the cooldown time of Skill 2 by 2%.")</f>
        <v>When attacking an enemy with a Normal Attack: 30% chance to, Reduce the cooldown time of Skill 2 by 2%.</v>
      </c>
      <c r="J68" s="163" t="str">
        <f>IFERROR(__xludf.DUMMYFUNCTION("""COMPUTED_VALUE"""),"Thriller Bark")</f>
        <v>Thriller Bark</v>
      </c>
      <c r="K68" s="164" t="str">
        <f>IFERROR(__xludf.DUMMYFUNCTION("""COMPUTED_VALUE"""),"https://i.postimg.cc/zDSHvX5W/242.png")</f>
        <v>https://i.postimg.cc/zDSHvX5W/242.png</v>
      </c>
      <c r="L68" s="162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</row>
    <row r="69">
      <c r="A69" s="163" t="str">
        <f>IFERROR(__xludf.DUMMYFUNCTION("""COMPUTED_VALUE"""),"G-275")</f>
        <v>G-275</v>
      </c>
      <c r="B69" s="163" t="str">
        <f>IFERROR(__xludf.DUMMYFUNCTION("""COMPUTED_VALUE"""),"Ace &amp; Yamato")</f>
        <v>Ace &amp; Yamato</v>
      </c>
      <c r="C69" s="163" t="str">
        <f>IFERROR(__xludf.DUMMYFUNCTION("""COMPUTED_VALUE"""),"When your HP is 70% or more: Reduce damage recieved by 5%.")</f>
        <v>When your HP is 70% or more: Reduce damage recieved by 5%.</v>
      </c>
      <c r="D69" s="163" t="str">
        <f>IFERROR(__xludf.DUMMYFUNCTION("""COMPUTED_VALUE"""),"Land of Wano ~ Logia ~ Zoan ~ Captain ~ Blood Brothers")</f>
        <v>Land of Wano ~ Logia ~ Zoan ~ Captain ~ Blood Brothers</v>
      </c>
      <c r="E69" s="164" t="str">
        <f>IFERROR(__xludf.DUMMYFUNCTION("""COMPUTED_VALUE"""),"https://i.postimg.cc/RhkFvHng/275.png")</f>
        <v>https://i.postimg.cc/RhkFvHng/275.png</v>
      </c>
      <c r="F69" s="162"/>
      <c r="G69" s="163" t="str">
        <f>IFERROR(__xludf.DUMMYFUNCTION("""COMPUTED_VALUE"""),"E-241")</f>
        <v>E-241</v>
      </c>
      <c r="H69" s="163" t="str">
        <f>IFERROR(__xludf.DUMMYFUNCTION("""COMPUTED_VALUE"""),"Thousand Sunny")</f>
        <v>Thousand Sunny</v>
      </c>
      <c r="I69" s="163" t="str">
        <f>IFERROR(__xludf.DUMMYFUNCTION("""COMPUTED_VALUE"""),"When attacking an enemy with a Normal Attack: 30% chance to, Reduce the cooldown time of Skill 1 by 3%.")</f>
        <v>When attacking an enemy with a Normal Attack: 30% chance to, Reduce the cooldown time of Skill 1 by 3%.</v>
      </c>
      <c r="J69" s="163" t="str">
        <f>IFERROR(__xludf.DUMMYFUNCTION("""COMPUTED_VALUE"""),"Water 7 / Enies Lobby")</f>
        <v>Water 7 / Enies Lobby</v>
      </c>
      <c r="K69" s="164" t="str">
        <f>IFERROR(__xludf.DUMMYFUNCTION("""COMPUTED_VALUE"""),"https://i.postimg.cc/TwTG4xSM/241.png")</f>
        <v>https://i.postimg.cc/TwTG4xSM/241.png</v>
      </c>
      <c r="L69" s="162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</row>
    <row r="70">
      <c r="A70" s="163" t="str">
        <f>IFERROR(__xludf.DUMMYFUNCTION("""COMPUTED_VALUE"""),"G-274")</f>
        <v>G-274</v>
      </c>
      <c r="B70" s="163" t="str">
        <f>IFERROR(__xludf.DUMMYFUNCTION("""COMPUTED_VALUE"""),"Shogun of Wano")</f>
        <v>Shogun of Wano</v>
      </c>
      <c r="C70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70" s="163" t="str">
        <f>IFERROR(__xludf.DUMMYFUNCTION("""COMPUTED_VALUE"""),"Land of Wano ~ Paramecia ~ Kozuki Clan / Kozuki Clan Servant")</f>
        <v>Land of Wano ~ Paramecia ~ Kozuki Clan / Kozuki Clan Servant</v>
      </c>
      <c r="E70" s="164" t="str">
        <f>IFERROR(__xludf.DUMMYFUNCTION("""COMPUTED_VALUE"""),"https://i.postimg.cc/nVgM46wq/274.png")</f>
        <v>https://i.postimg.cc/nVgM46wq/274.png</v>
      </c>
      <c r="F70" s="162"/>
      <c r="G70" s="163" t="str">
        <f>IFERROR(__xludf.DUMMYFUNCTION("""COMPUTED_VALUE"""),"E-240")</f>
        <v>E-240</v>
      </c>
      <c r="H70" s="163" t="str">
        <f>IFERROR(__xludf.DUMMYFUNCTION("""COMPUTED_VALUE"""),"Dr. Vegapunk")</f>
        <v>Dr. Vegapunk</v>
      </c>
      <c r="I70" s="163" t="str">
        <f>IFERROR(__xludf.DUMMYFUNCTION("""COMPUTED_VALUE"""),"When using Skill 2: Reduce the cooldown time of Skill 1 by 5%.")</f>
        <v>When using Skill 2: Reduce the cooldown time of Skill 1 by 5%.</v>
      </c>
      <c r="J70" s="163" t="str">
        <f>IFERROR(__xludf.DUMMYFUNCTION("""COMPUTED_VALUE"""),"Egghead ~ Paramecia ~ Navy")</f>
        <v>Egghead ~ Paramecia ~ Navy</v>
      </c>
      <c r="K70" s="164" t="str">
        <f>IFERROR(__xludf.DUMMYFUNCTION("""COMPUTED_VALUE"""),"https://i.postimg.cc/tgQ9FWNg/240.png")</f>
        <v>https://i.postimg.cc/tgQ9FWNg/240.png</v>
      </c>
      <c r="L70" s="162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</row>
    <row r="71">
      <c r="A71" s="163" t="str">
        <f>IFERROR(__xludf.DUMMYFUNCTION("""COMPUTED_VALUE"""),"G-273")</f>
        <v>G-273</v>
      </c>
      <c r="B71" s="163" t="str">
        <f>IFERROR(__xludf.DUMMYFUNCTION("""COMPUTED_VALUE"""),"Ryokugyu")</f>
        <v>Ryokugyu</v>
      </c>
      <c r="C71" s="163" t="str">
        <f>IFERROR(__xludf.DUMMYFUNCTION("""COMPUTED_VALUE"""),"When your HP is 70% or more: Boost capture speed by 8%.")</f>
        <v>When your HP is 70% or more: Boost capture speed by 8%.</v>
      </c>
      <c r="D71" s="163" t="str">
        <f>IFERROR(__xludf.DUMMYFUNCTION("""COMPUTED_VALUE"""),"Land of Wano ~ Navy ~ Logia ~ Navy Admiral / Former Navy Admiral")</f>
        <v>Land of Wano ~ Navy ~ Logia ~ Navy Admiral / Former Navy Admiral</v>
      </c>
      <c r="E71" s="164" t="str">
        <f>IFERROR(__xludf.DUMMYFUNCTION("""COMPUTED_VALUE"""),"https://i.postimg.cc/bvmwsMtD/273.png")</f>
        <v>https://i.postimg.cc/bvmwsMtD/273.png</v>
      </c>
      <c r="F71" s="162"/>
      <c r="G71" s="163" t="str">
        <f>IFERROR(__xludf.DUMMYFUNCTION("""COMPUTED_VALUE"""),"E-239")</f>
        <v>E-239</v>
      </c>
      <c r="H71" s="163" t="str">
        <f>IFERROR(__xludf.DUMMYFUNCTION("""COMPUTED_VALUE"""),"Slave Arrow")</f>
        <v>Slave Arrow</v>
      </c>
      <c r="I71" s="163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J71" s="163" t="str">
        <f>IFERROR(__xludf.DUMMYFUNCTION("""COMPUTED_VALUE"""),"Kuja Pirates ~ Paramecia ~ Captain ~ Gorgon Sisters")</f>
        <v>Kuja Pirates ~ Paramecia ~ Captain ~ Gorgon Sisters</v>
      </c>
      <c r="K71" s="164" t="str">
        <f>IFERROR(__xludf.DUMMYFUNCTION("""COMPUTED_VALUE"""),"https://i.postimg.cc/QdWXB05P/239.png")</f>
        <v>https://i.postimg.cc/QdWXB05P/239.png</v>
      </c>
      <c r="L71" s="162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</row>
    <row r="72">
      <c r="A72" s="163" t="str">
        <f>IFERROR(__xludf.DUMMYFUNCTION("""COMPUTED_VALUE"""),"G-272")</f>
        <v>G-272</v>
      </c>
      <c r="B72" s="163" t="str">
        <f>IFERROR(__xludf.DUMMYFUNCTION("""COMPUTED_VALUE"""),"Otama &amp; Komachiyo")</f>
        <v>Otama &amp; Komachiyo</v>
      </c>
      <c r="C72" s="163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D72" s="163" t="str">
        <f>IFERROR(__xludf.DUMMYFUNCTION("""COMPUTED_VALUE"""),"Land of Wano ~ Paramecia")</f>
        <v>Land of Wano ~ Paramecia</v>
      </c>
      <c r="E72" s="164" t="str">
        <f>IFERROR(__xludf.DUMMYFUNCTION("""COMPUTED_VALUE"""),"https://i.postimg.cc/Ls2YjpL1/272.png")</f>
        <v>https://i.postimg.cc/Ls2YjpL1/272.png</v>
      </c>
      <c r="F72" s="162"/>
      <c r="G72" s="163" t="str">
        <f>IFERROR(__xludf.DUMMYFUNCTION("""COMPUTED_VALUE"""),"E-238")</f>
        <v>E-238</v>
      </c>
      <c r="H72" s="163" t="str">
        <f>IFERROR(__xludf.DUMMYFUNCTION("""COMPUTED_VALUE"""),"Lilith")</f>
        <v>Lilith</v>
      </c>
      <c r="I72" s="163" t="str">
        <f>IFERROR(__xludf.DUMMYFUNCTION("""COMPUTED_VALUE"""),"When you capture the Treasure: Reduce the cooldown time of Skill 1 by 6%.")</f>
        <v>When you capture the Treasure: Reduce the cooldown time of Skill 1 by 6%.</v>
      </c>
      <c r="J72" s="163" t="str">
        <f>IFERROR(__xludf.DUMMYFUNCTION("""COMPUTED_VALUE"""),"Egghead ~ Navy")</f>
        <v>Egghead ~ Navy</v>
      </c>
      <c r="K72" s="164" t="str">
        <f>IFERROR(__xludf.DUMMYFUNCTION("""COMPUTED_VALUE"""),"https://i.postimg.cc/wTrqTStL/238.png")</f>
        <v>https://i.postimg.cc/wTrqTStL/238.png</v>
      </c>
      <c r="L72" s="162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</row>
    <row r="73">
      <c r="A73" s="163" t="str">
        <f>IFERROR(__xludf.DUMMYFUNCTION("""COMPUTED_VALUE"""),"G-271")</f>
        <v>G-271</v>
      </c>
      <c r="B73" s="163" t="str">
        <f>IFERROR(__xludf.DUMMYFUNCTION("""COMPUTED_VALUE"""),"Raid Franky")</f>
        <v>Raid Franky</v>
      </c>
      <c r="C73" s="163" t="str">
        <f>IFERROR(__xludf.DUMMYFUNCTION("""COMPUTED_VALUE"""),"When you capture the Treasure: Reduce the cooldown time of Skill 1 by 8%.")</f>
        <v>When you capture the Treasure: Reduce the cooldown time of Skill 1 by 8%.</v>
      </c>
      <c r="D73" s="163" t="str">
        <f>IFERROR(__xludf.DUMMYFUNCTION("""COMPUTED_VALUE"""),"Land of Wano ~ Straw Hat Pirates ~ Ship Carpenter")</f>
        <v>Land of Wano ~ Straw Hat Pirates ~ Ship Carpenter</v>
      </c>
      <c r="E73" s="164" t="str">
        <f>IFERROR(__xludf.DUMMYFUNCTION("""COMPUTED_VALUE"""),"https://i.postimg.cc/qMKqjj9S/271.png")</f>
        <v>https://i.postimg.cc/qMKqjj9S/271.png</v>
      </c>
      <c r="F73" s="162"/>
      <c r="G73" s="163" t="str">
        <f>IFERROR(__xludf.DUMMYFUNCTION("""COMPUTED_VALUE"""),"E-237")</f>
        <v>E-237</v>
      </c>
      <c r="H73" s="163" t="str">
        <f>IFERROR(__xludf.DUMMYFUNCTION("""COMPUTED_VALUE"""),"Bonney (Kid)")</f>
        <v>Bonney (Kid)</v>
      </c>
      <c r="I73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J73" s="163" t="str">
        <f>IFERROR(__xludf.DUMMYFUNCTION("""COMPUTED_VALUE"""),"Egghead ~ Bonney Pirates ~ Paramecia ~ Captain ~ Worst Generation")</f>
        <v>Egghead ~ Bonney Pirates ~ Paramecia ~ Captain ~ Worst Generation</v>
      </c>
      <c r="K73" s="164" t="str">
        <f>IFERROR(__xludf.DUMMYFUNCTION("""COMPUTED_VALUE"""),"https://i.postimg.cc/bNrYPzvq/237.png")</f>
        <v>https://i.postimg.cc/bNrYPzvq/237.png</v>
      </c>
      <c r="L73" s="162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</row>
    <row r="74">
      <c r="A74" s="163" t="str">
        <f>IFERROR(__xludf.DUMMYFUNCTION("""COMPUTED_VALUE"""),"G-270")</f>
        <v>G-270</v>
      </c>
      <c r="B74" s="163" t="str">
        <f>IFERROR(__xludf.DUMMYFUNCTION("""COMPUTED_VALUE"""),"Raid Chopper")</f>
        <v>Raid Chopper</v>
      </c>
      <c r="C74" s="163" t="str">
        <f>IFERROR(__xludf.DUMMYFUNCTION("""COMPUTED_VALUE"""),"When hit with Knockback by enemy: Reduce the cooldown time of Skill 2 by 5%.")</f>
        <v>When hit with Knockback by enemy: Reduce the cooldown time of Skill 2 by 5%.</v>
      </c>
      <c r="D74" s="163" t="str">
        <f>IFERROR(__xludf.DUMMYFUNCTION("""COMPUTED_VALUE"""),"Land of Wano ~ Straw Hat Pirates ~ Zoan ~ Doctor")</f>
        <v>Land of Wano ~ Straw Hat Pirates ~ Zoan ~ Doctor</v>
      </c>
      <c r="E74" s="164" t="str">
        <f>IFERROR(__xludf.DUMMYFUNCTION("""COMPUTED_VALUE"""),"https://i.postimg.cc/7Zy6cS46/270.png")</f>
        <v>https://i.postimg.cc/7Zy6cS46/270.png</v>
      </c>
      <c r="F74" s="162"/>
      <c r="G74" s="163" t="str">
        <f>IFERROR(__xludf.DUMMYFUNCTION("""COMPUTED_VALUE"""),"E-236")</f>
        <v>E-236</v>
      </c>
      <c r="H74" s="163" t="str">
        <f>IFERROR(__xludf.DUMMYFUNCTION("""COMPUTED_VALUE"""),"The Pirate King``s Right Arm")</f>
        <v>The Pirate King``s Right Arm</v>
      </c>
      <c r="I74" s="163" t="str">
        <f>IFERROR(__xludf.DUMMYFUNCTION("""COMPUTED_VALUE"""),"When you or an ally KOs an enemy: Recover HP by 2%.")</f>
        <v>When you or an ally KOs an enemy: Recover HP by 2%.</v>
      </c>
      <c r="J74" s="163" t="str">
        <f>IFERROR(__xludf.DUMMYFUNCTION("""COMPUTED_VALUE"""),"Roger Pirates / Ex_Roger Pirates")</f>
        <v>Roger Pirates / Ex_Roger Pirates</v>
      </c>
      <c r="K74" s="164" t="str">
        <f>IFERROR(__xludf.DUMMYFUNCTION("""COMPUTED_VALUE"""),"https://i.postimg.cc/NMxGsFTj/236.png")</f>
        <v>https://i.postimg.cc/NMxGsFTj/236.png</v>
      </c>
      <c r="L74" s="162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</row>
    <row r="75">
      <c r="A75" s="163" t="str">
        <f>IFERROR(__xludf.DUMMYFUNCTION("""COMPUTED_VALUE"""),"G-269")</f>
        <v>G-269</v>
      </c>
      <c r="B75" s="163" t="str">
        <f>IFERROR(__xludf.DUMMYFUNCTION("""COMPUTED_VALUE"""),"Spider_Spider")</f>
        <v>Spider_Spider</v>
      </c>
      <c r="C75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75" s="163" t="str">
        <f>IFERROR(__xludf.DUMMYFUNCTION("""COMPUTED_VALUE"""),"Land of Wano ~ Animal Kingdom Pirates ~ Zoan ~ Tobi Roppo")</f>
        <v>Land of Wano ~ Animal Kingdom Pirates ~ Zoan ~ Tobi Roppo</v>
      </c>
      <c r="E75" s="164" t="str">
        <f>IFERROR(__xludf.DUMMYFUNCTION("""COMPUTED_VALUE"""),"https://i.postimg.cc/VkB6c5sF/269.png")</f>
        <v>https://i.postimg.cc/VkB6c5sF/269.png</v>
      </c>
      <c r="F75" s="162"/>
      <c r="G75" s="163" t="str">
        <f>IFERROR(__xludf.DUMMYFUNCTION("""COMPUTED_VALUE"""),"E-235")</f>
        <v>E-235</v>
      </c>
      <c r="H75" s="163" t="str">
        <f>IFERROR(__xludf.DUMMYFUNCTION("""COMPUTED_VALUE"""),"Light Human")</f>
        <v>Light Human</v>
      </c>
      <c r="I75" s="163" t="str">
        <f>IFERROR(__xludf.DUMMYFUNCTION("""COMPUTED_VALUE"""),"When you capture the Treasure: Reduce the cooldown time of Skill 2 by 8%.")</f>
        <v>When you capture the Treasure: Reduce the cooldown time of Skill 2 by 8%.</v>
      </c>
      <c r="J75" s="163" t="str">
        <f>IFERROR(__xludf.DUMMYFUNCTION("""COMPUTED_VALUE"""),"Sabaody Archipelago / Island of Women ~ Navy ~ Logia ~ Navy Admiral / Former Navy Admiral")</f>
        <v>Sabaody Archipelago / Island of Women ~ Navy ~ Logia ~ Navy Admiral / Former Navy Admiral</v>
      </c>
      <c r="K75" s="164" t="str">
        <f>IFERROR(__xludf.DUMMYFUNCTION("""COMPUTED_VALUE"""),"https://i.postimg.cc/sXzDC7ML/235.png")</f>
        <v>https://i.postimg.cc/sXzDC7ML/235.png</v>
      </c>
      <c r="L75" s="162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</row>
    <row r="76">
      <c r="A76" s="163" t="str">
        <f>IFERROR(__xludf.DUMMYFUNCTION("""COMPUTED_VALUE"""),"G-268")</f>
        <v>G-268</v>
      </c>
      <c r="B76" s="163" t="str">
        <f>IFERROR(__xludf.DUMMYFUNCTION("""COMPUTED_VALUE"""),"Belo Betty")</f>
        <v>Belo Betty</v>
      </c>
      <c r="C76" s="163" t="str">
        <f>IFERROR(__xludf.DUMMYFUNCTION("""COMPUTED_VALUE"""),"When your HP is 70% or more: Reduce damage recieved by 5%.")</f>
        <v>When your HP is 70% or more: Reduce damage recieved by 5%.</v>
      </c>
      <c r="D76" s="163" t="str">
        <f>IFERROR(__xludf.DUMMYFUNCTION("""COMPUTED_VALUE"""),"Reverie ~ Revolutionary Army ~ Paramecia ~ Captain of the Revolutionary Army")</f>
        <v>Reverie ~ Revolutionary Army ~ Paramecia ~ Captain of the Revolutionary Army</v>
      </c>
      <c r="E76" s="164" t="str">
        <f>IFERROR(__xludf.DUMMYFUNCTION("""COMPUTED_VALUE"""),"https://i.postimg.cc/Hx1Swj3t/268.png")</f>
        <v>https://i.postimg.cc/Hx1Swj3t/268.png</v>
      </c>
      <c r="F76" s="162"/>
      <c r="G76" s="163" t="str">
        <f>IFERROR(__xludf.DUMMYFUNCTION("""COMPUTED_VALUE"""),"E-234")</f>
        <v>E-234</v>
      </c>
      <c r="H76" s="163" t="str">
        <f>IFERROR(__xludf.DUMMYFUNCTION("""COMPUTED_VALUE"""),"Fake Sniper King")</f>
        <v>Fake Sniper King</v>
      </c>
      <c r="I76" s="163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J76" s="163" t="str">
        <f>IFERROR(__xludf.DUMMYFUNCTION("""COMPUTED_VALUE"""),"Fake Straw Hat Pirates")</f>
        <v>Fake Straw Hat Pirates</v>
      </c>
      <c r="K76" s="164" t="str">
        <f>IFERROR(__xludf.DUMMYFUNCTION("""COMPUTED_VALUE"""),"https://i.postimg.cc/5NxcmX3y/234.png")</f>
        <v>https://i.postimg.cc/5NxcmX3y/234.png</v>
      </c>
      <c r="L76" s="162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</row>
    <row r="77">
      <c r="A77" s="163" t="str">
        <f>IFERROR(__xludf.DUMMYFUNCTION("""COMPUTED_VALUE"""),"G-267")</f>
        <v>G-267</v>
      </c>
      <c r="B77" s="163" t="str">
        <f>IFERROR(__xludf.DUMMYFUNCTION("""COMPUTED_VALUE"""),"Karasu")</f>
        <v>Karasu</v>
      </c>
      <c r="C77" s="163" t="str">
        <f>IFERROR(__xludf.DUMMYFUNCTION("""COMPUTED_VALUE"""),"When your HP is 70% or more: Boost capture speed by 8%.")</f>
        <v>When your HP is 70% or more: Boost capture speed by 8%.</v>
      </c>
      <c r="D77" s="163" t="str">
        <f>IFERROR(__xludf.DUMMYFUNCTION("""COMPUTED_VALUE"""),"Reverie ~ Revolutionary Army ~ Captain of the Revolutionary Army")</f>
        <v>Reverie ~ Revolutionary Army ~ Captain of the Revolutionary Army</v>
      </c>
      <c r="E77" s="164" t="str">
        <f>IFERROR(__xludf.DUMMYFUNCTION("""COMPUTED_VALUE"""),"https://i.postimg.cc/jj7gny65/267.png")</f>
        <v>https://i.postimg.cc/jj7gny65/267.png</v>
      </c>
      <c r="F77" s="162"/>
      <c r="G77" s="163" t="str">
        <f>IFERROR(__xludf.DUMMYFUNCTION("""COMPUTED_VALUE"""),"E-233")</f>
        <v>E-233</v>
      </c>
      <c r="H77" s="163" t="str">
        <f>IFERROR(__xludf.DUMMYFUNCTION("""COMPUTED_VALUE"""),"Wyper (Young)")</f>
        <v>Wyper (Young)</v>
      </c>
      <c r="I77" s="163" t="str">
        <f>IFERROR(__xludf.DUMMYFUNCTION("""COMPUTED_VALUE"""),"When attacking an enemy with the Element you are strong against: Increase damage dealt by 3%.")</f>
        <v>When attacking an enemy with the Element you are strong against: Increase damage dealt by 3%.</v>
      </c>
      <c r="J77" s="163" t="str">
        <f>IFERROR(__xludf.DUMMYFUNCTION("""COMPUTED_VALUE"""),"Sky Island / LRLL")</f>
        <v>Sky Island / LRLL</v>
      </c>
      <c r="K77" s="164" t="str">
        <f>IFERROR(__xludf.DUMMYFUNCTION("""COMPUTED_VALUE"""),"https://i.postimg.cc/c4Tpkd9m/233.png")</f>
        <v>https://i.postimg.cc/c4Tpkd9m/233.png</v>
      </c>
      <c r="L77" s="162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</row>
    <row r="78">
      <c r="A78" s="163" t="str">
        <f>IFERROR(__xludf.DUMMYFUNCTION("""COMPUTED_VALUE"""),"G-266")</f>
        <v>G-266</v>
      </c>
      <c r="B78" s="163" t="str">
        <f>IFERROR(__xludf.DUMMYFUNCTION("""COMPUTED_VALUE"""),"Inazuma")</f>
        <v>Inazuma</v>
      </c>
      <c r="C78" s="163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D78" s="163" t="str">
        <f>IFERROR(__xludf.DUMMYFUNCTION("""COMPUTED_VALUE"""),"Impel Down ~ Revolutionary Army ~ Paramecia ~ New Kama")</f>
        <v>Impel Down ~ Revolutionary Army ~ Paramecia ~ New Kama</v>
      </c>
      <c r="E78" s="164" t="str">
        <f>IFERROR(__xludf.DUMMYFUNCTION("""COMPUTED_VALUE"""),"https://i.postimg.cc/jS93jM7m/266.png")</f>
        <v>https://i.postimg.cc/jS93jM7m/266.png</v>
      </c>
      <c r="F78" s="162"/>
      <c r="G78" s="163" t="str">
        <f>IFERROR(__xludf.DUMMYFUNCTION("""COMPUTED_VALUE"""),"E-232")</f>
        <v>E-232</v>
      </c>
      <c r="H78" s="163" t="str">
        <f>IFERROR(__xludf.DUMMYFUNCTION("""COMPUTED_VALUE"""),"Cricket")</f>
        <v>Cricket</v>
      </c>
      <c r="I78" s="163" t="str">
        <f>IFERROR(__xludf.DUMMYFUNCTION("""COMPUTED_VALUE"""),"When an enemy begins capturing one of your team`s Treasure Areas: Reduce the cooldown time of Skill 1 by 3%.")</f>
        <v>When an enemy begins capturing one of your team`s Treasure Areas: Reduce the cooldown time of Skill 1 by 3%.</v>
      </c>
      <c r="J78" s="163" t="str">
        <f>IFERROR(__xludf.DUMMYFUNCTION("""COMPUTED_VALUE"""),"Sky Island / LRLL")</f>
        <v>Sky Island / LRLL</v>
      </c>
      <c r="K78" s="164" t="str">
        <f>IFERROR(__xludf.DUMMYFUNCTION("""COMPUTED_VALUE"""),"https://i.postimg.cc/kgpk9fdR/232.png")</f>
        <v>https://i.postimg.cc/kgpk9fdR/232.png</v>
      </c>
      <c r="L78" s="162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</row>
    <row r="79">
      <c r="A79" s="163" t="str">
        <f>IFERROR(__xludf.DUMMYFUNCTION("""COMPUTED_VALUE"""),"G-265")</f>
        <v>G-265</v>
      </c>
      <c r="B79" s="163" t="str">
        <f>IFERROR(__xludf.DUMMYFUNCTION("""COMPUTED_VALUE"""),"Hack")</f>
        <v>Hack</v>
      </c>
      <c r="C79" s="163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D79" s="163" t="str">
        <f>IFERROR(__xludf.DUMMYFUNCTION("""COMPUTED_VALUE"""),"Dressrosa ~ Revolutionary Army ~ Fish_Man ~ Fish_Man Karate")</f>
        <v>Dressrosa ~ Revolutionary Army ~ Fish_Man ~ Fish_Man Karate</v>
      </c>
      <c r="E79" s="164" t="str">
        <f>IFERROR(__xludf.DUMMYFUNCTION("""COMPUTED_VALUE"""),"https://i.postimg.cc/wj3bHC7D/265.png")</f>
        <v>https://i.postimg.cc/wj3bHC7D/265.png</v>
      </c>
      <c r="F79" s="162"/>
      <c r="G79" s="163" t="str">
        <f>IFERROR(__xludf.DUMMYFUNCTION("""COMPUTED_VALUE"""),"E-231")</f>
        <v>E-231</v>
      </c>
      <c r="H79" s="163" t="str">
        <f>IFERROR(__xludf.DUMMYFUNCTION("""COMPUTED_VALUE"""),"Pierre")</f>
        <v>Pierre</v>
      </c>
      <c r="I79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79" s="163" t="str">
        <f>IFERROR(__xludf.DUMMYFUNCTION("""COMPUTED_VALUE"""),"Sky Island / LRLL ~ Zoan")</f>
        <v>Sky Island / LRLL ~ Zoan</v>
      </c>
      <c r="K79" s="164" t="str">
        <f>IFERROR(__xludf.DUMMYFUNCTION("""COMPUTED_VALUE"""),"https://i.postimg.cc/YC9JJTTw/231.png")</f>
        <v>https://i.postimg.cc/YC9JJTTw/231.png</v>
      </c>
      <c r="L79" s="162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</row>
    <row r="80">
      <c r="A80" s="163" t="str">
        <f>IFERROR(__xludf.DUMMYFUNCTION("""COMPUTED_VALUE"""),"G-264")</f>
        <v>G-264</v>
      </c>
      <c r="B80" s="163" t="str">
        <f>IFERROR(__xludf.DUMMYFUNCTION("""COMPUTED_VALUE"""),"Flying Pan")</f>
        <v>Flying Pan</v>
      </c>
      <c r="C80" s="163" t="str">
        <f>IFERROR(__xludf.DUMMYFUNCTION("""COMPUTED_VALUE"""),"When hit with Knockback by enemy: Recover HP by 3%.")</f>
        <v>When hit with Knockback by enemy: Recover HP by 3%.</v>
      </c>
      <c r="D80" s="163" t="str">
        <f>IFERROR(__xludf.DUMMYFUNCTION("""COMPUTED_VALUE"""),"Land of Wano ~ Animal Kingdom Pirates ~ Zoan ~ Lead Performer")</f>
        <v>Land of Wano ~ Animal Kingdom Pirates ~ Zoan ~ Lead Performer</v>
      </c>
      <c r="E80" s="164" t="str">
        <f>IFERROR(__xludf.DUMMYFUNCTION("""COMPUTED_VALUE"""),"https://i.postimg.cc/DyxY9vy2/264.png")</f>
        <v>https://i.postimg.cc/DyxY9vy2/264.png</v>
      </c>
      <c r="F80" s="162"/>
      <c r="G80" s="163" t="str">
        <f>IFERROR(__xludf.DUMMYFUNCTION("""COMPUTED_VALUE"""),"E-230")</f>
        <v>E-230</v>
      </c>
      <c r="H80" s="163" t="str">
        <f>IFERROR(__xludf.DUMMYFUNCTION("""COMPUTED_VALUE"""),"String Challenge")</f>
        <v>String Challenge</v>
      </c>
      <c r="I80" s="163" t="str">
        <f>IFERROR(__xludf.DUMMYFUNCTION("""COMPUTED_VALUE"""),"When you Knockback an enemy: Recover HP by 3%.")</f>
        <v>When you Knockback an enemy: Recover HP by 3%.</v>
      </c>
      <c r="J80" s="163" t="str">
        <f>IFERROR(__xludf.DUMMYFUNCTION("""COMPUTED_VALUE"""),"Sky Island / LRLL ~ God`s Army ~ Mantra")</f>
        <v>Sky Island / LRLL ~ God`s Army ~ Mantra</v>
      </c>
      <c r="K80" s="164" t="str">
        <f>IFERROR(__xludf.DUMMYFUNCTION("""COMPUTED_VALUE"""),"https://i.postimg.cc/1zVbzw9C/230.png")</f>
        <v>https://i.postimg.cc/1zVbzw9C/230.png</v>
      </c>
      <c r="L80" s="162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</row>
    <row r="81">
      <c r="A81" s="163" t="str">
        <f>IFERROR(__xludf.DUMMYFUNCTION("""COMPUTED_VALUE"""),"G-263")</f>
        <v>G-263</v>
      </c>
      <c r="B81" s="163" t="str">
        <f>IFERROR(__xludf.DUMMYFUNCTION("""COMPUTED_VALUE"""),"Imperial Flame")</f>
        <v>Imperial Flame</v>
      </c>
      <c r="C81" s="163" t="str">
        <f>IFERROR(__xludf.DUMMYFUNCTION("""COMPUTED_VALUE"""),"When attacking an enemy whose DEF is boosted: Increase damage dealt by 5%.")</f>
        <v>When attacking an enemy whose DEF is boosted: Increase damage dealt by 5%.</v>
      </c>
      <c r="D81" s="163" t="str">
        <f>IFERROR(__xludf.DUMMYFUNCTION("""COMPUTED_VALUE"""),"Land of Wano ~ Animal Kingdom Pirates ~ Zoan ~ Lead Performer")</f>
        <v>Land of Wano ~ Animal Kingdom Pirates ~ Zoan ~ Lead Performer</v>
      </c>
      <c r="E81" s="164" t="str">
        <f>IFERROR(__xludf.DUMMYFUNCTION("""COMPUTED_VALUE"""),"https://i.postimg.cc/zXzc2bNt/263.png")</f>
        <v>https://i.postimg.cc/zXzc2bNt/263.png</v>
      </c>
      <c r="F81" s="162"/>
      <c r="G81" s="163" t="str">
        <f>IFERROR(__xludf.DUMMYFUNCTION("""COMPUTED_VALUE"""),"E-229")</f>
        <v>E-229</v>
      </c>
      <c r="H81" s="163" t="str">
        <f>IFERROR(__xludf.DUMMYFUNCTION("""COMPUTED_VALUE"""),"Crocus (Roger Pirates)")</f>
        <v>Crocus (Roger Pirates)</v>
      </c>
      <c r="I81" s="163" t="str">
        <f>IFERROR(__xludf.DUMMYFUNCTION("""COMPUTED_VALUE"""),"When performing a Perfect Dodge: Reduce the cooldown time of Skill 1 by 4%.")</f>
        <v>When performing a Perfect Dodge: Reduce the cooldown time of Skill 1 by 4%.</v>
      </c>
      <c r="J81" s="163" t="str">
        <f>IFERROR(__xludf.DUMMYFUNCTION("""COMPUTED_VALUE"""),"Doctor ~ Roger Pirates / Ex_Roger Pirates")</f>
        <v>Doctor ~ Roger Pirates / Ex_Roger Pirates</v>
      </c>
      <c r="K81" s="164" t="str">
        <f>IFERROR(__xludf.DUMMYFUNCTION("""COMPUTED_VALUE"""),"https://i.postimg.cc/TYDSgS7r/229.png")</f>
        <v>https://i.postimg.cc/TYDSgS7r/229.png</v>
      </c>
      <c r="L81" s="162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</row>
    <row r="82">
      <c r="A82" s="163" t="str">
        <f>IFERROR(__xludf.DUMMYFUNCTION("""COMPUTED_VALUE"""),"G-262")</f>
        <v>G-262</v>
      </c>
      <c r="B82" s="163" t="str">
        <f>IFERROR(__xludf.DUMMYFUNCTION("""COMPUTED_VALUE"""),"Heliceratops")</f>
        <v>Heliceratops</v>
      </c>
      <c r="C82" s="163" t="str">
        <f>IFERROR(__xludf.DUMMYFUNCTION("""COMPUTED_VALUE"""),"When your HP is 70% or more: Boost capture speed by 8%.")</f>
        <v>When your HP is 70% or more: Boost capture speed by 8%.</v>
      </c>
      <c r="D82" s="163" t="str">
        <f>IFERROR(__xludf.DUMMYFUNCTION("""COMPUTED_VALUE"""),"Land of Wano ~ Animal Kingdom Pirates ~ Zoan ~ Tobi Roppo ~ Fish_Man")</f>
        <v>Land of Wano ~ Animal Kingdom Pirates ~ Zoan ~ Tobi Roppo ~ Fish_Man</v>
      </c>
      <c r="E82" s="164" t="str">
        <f>IFERROR(__xludf.DUMMYFUNCTION("""COMPUTED_VALUE"""),"https://i.postimg.cc/8kBYbd2f/262.png")</f>
        <v>https://i.postimg.cc/8kBYbd2f/262.png</v>
      </c>
      <c r="F82" s="162"/>
      <c r="G82" s="163" t="str">
        <f>IFERROR(__xludf.DUMMYFUNCTION("""COMPUTED_VALUE"""),"E-228")</f>
        <v>E-228</v>
      </c>
      <c r="H82" s="163" t="str">
        <f>IFERROR(__xludf.DUMMYFUNCTION("""COMPUTED_VALUE"""),"Oden (Roger Pirates)")</f>
        <v>Oden (Roger Pirates)</v>
      </c>
      <c r="I82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J82" s="163" t="str">
        <f>IFERROR(__xludf.DUMMYFUNCTION("""COMPUTED_VALUE"""),"Whitebeard Pirates ~ Kozuki Clan / Kozuki Clan Servant ~ Whitebeard Pirates Commander ~ Roger Pirates / Ex_Roger Pirates")</f>
        <v>Whitebeard Pirates ~ Kozuki Clan / Kozuki Clan Servant ~ Whitebeard Pirates Commander ~ Roger Pirates / Ex_Roger Pirates</v>
      </c>
      <c r="K82" s="164" t="str">
        <f>IFERROR(__xludf.DUMMYFUNCTION("""COMPUTED_VALUE"""),"https://i.postimg.cc/rFcTYn88/228.png")</f>
        <v>https://i.postimg.cc/rFcTYn88/228.png</v>
      </c>
      <c r="L82" s="162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</row>
    <row r="83">
      <c r="A83" s="163" t="str">
        <f>IFERROR(__xludf.DUMMYFUNCTION("""COMPUTED_VALUE"""),"G-261")</f>
        <v>G-261</v>
      </c>
      <c r="B83" s="163" t="str">
        <f>IFERROR(__xludf.DUMMYFUNCTION("""COMPUTED_VALUE"""),"Raid Sanji")</f>
        <v>Raid Sanji</v>
      </c>
      <c r="C83" s="163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D83" s="163" t="str">
        <f>IFERROR(__xludf.DUMMYFUNCTION("""COMPUTED_VALUE"""),"Land of Wano ~ Straw Hat Pirates ~ Cook ~ Royalty / Former Royalty")</f>
        <v>Land of Wano ~ Straw Hat Pirates ~ Cook ~ Royalty / Former Royalty</v>
      </c>
      <c r="E83" s="164" t="str">
        <f>IFERROR(__xludf.DUMMYFUNCTION("""COMPUTED_VALUE"""),"https://i.postimg.cc/D0gYyFrP/261.png")</f>
        <v>https://i.postimg.cc/D0gYyFrP/261.png</v>
      </c>
      <c r="F83" s="162"/>
      <c r="G83" s="163" t="str">
        <f>IFERROR(__xludf.DUMMYFUNCTION("""COMPUTED_VALUE"""),"E-227")</f>
        <v>E-227</v>
      </c>
      <c r="H83" s="163" t="str">
        <f>IFERROR(__xludf.DUMMYFUNCTION("""COMPUTED_VALUE"""),"Tristan")</f>
        <v>Tristan</v>
      </c>
      <c r="I83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83" s="163" t="str">
        <f>IFERROR(__xludf.DUMMYFUNCTION("""COMPUTED_VALUE"""),"Zou / Whole Cake Island ~ Minks")</f>
        <v>Zou / Whole Cake Island ~ Minks</v>
      </c>
      <c r="K83" s="164" t="str">
        <f>IFERROR(__xludf.DUMMYFUNCTION("""COMPUTED_VALUE"""),"https://i.postimg.cc/NFvttbmk/227.png")</f>
        <v>https://i.postimg.cc/NFvttbmk/227.png</v>
      </c>
      <c r="L83" s="162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</row>
    <row r="84">
      <c r="A84" s="163" t="str">
        <f>IFERROR(__xludf.DUMMYFUNCTION("""COMPUTED_VALUE"""),"G-260")</f>
        <v>G-260</v>
      </c>
      <c r="B84" s="163" t="str">
        <f>IFERROR(__xludf.DUMMYFUNCTION("""COMPUTED_VALUE"""),"Gear Five")</f>
        <v>Gear Five</v>
      </c>
      <c r="C84" s="163" t="str">
        <f>IFERROR(__xludf.DUMMYFUNCTION("""COMPUTED_VALUE"""),"When you Knockback an enemy: Recover HP by 3%.")</f>
        <v>When you Knockback an enemy: Recover HP by 3%.</v>
      </c>
      <c r="D84" s="163" t="str">
        <f>IFERROR(__xludf.DUMMYFUNCTION("""COMPUTED_VALUE"""),"Land of Wano ~ Straw Hat Pirates ~ Zoan ~ Captain ~ Worst Generation ~ Blood Brothers")</f>
        <v>Land of Wano ~ Straw Hat Pirates ~ Zoan ~ Captain ~ Worst Generation ~ Blood Brothers</v>
      </c>
      <c r="E84" s="164" t="str">
        <f>IFERROR(__xludf.DUMMYFUNCTION("""COMPUTED_VALUE"""),"https://i.postimg.cc/7ZQd2xpB/260.png")</f>
        <v>https://i.postimg.cc/7ZQd2xpB/260.png</v>
      </c>
      <c r="F84" s="162"/>
      <c r="G84" s="163" t="str">
        <f>IFERROR(__xludf.DUMMYFUNCTION("""COMPUTED_VALUE"""),"E-226")</f>
        <v>E-226</v>
      </c>
      <c r="H84" s="163" t="str">
        <f>IFERROR(__xludf.DUMMYFUNCTION("""COMPUTED_VALUE"""),"Milky")</f>
        <v>Milky</v>
      </c>
      <c r="I84" s="163" t="str">
        <f>IFERROR(__xludf.DUMMYFUNCTION("""COMPUTED_VALUE"""),"When enemies are inflicted with Shock: Recover HP by 3%.")</f>
        <v>When enemies are inflicted with Shock: Recover HP by 3%.</v>
      </c>
      <c r="J84" s="163" t="str">
        <f>IFERROR(__xludf.DUMMYFUNCTION("""COMPUTED_VALUE"""),"Zou / Whole Cake Island ~ Minks")</f>
        <v>Zou / Whole Cake Island ~ Minks</v>
      </c>
      <c r="K84" s="164" t="str">
        <f>IFERROR(__xludf.DUMMYFUNCTION("""COMPUTED_VALUE"""),"https://i.postimg.cc/KctFfShq/226.png")</f>
        <v>https://i.postimg.cc/KctFfShq/226.png</v>
      </c>
      <c r="L84" s="162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</row>
    <row r="85">
      <c r="A85" s="163" t="str">
        <f>IFERROR(__xludf.DUMMYFUNCTION("""COMPUTED_VALUE"""),"G-259")</f>
        <v>G-259</v>
      </c>
      <c r="B85" s="163" t="str">
        <f>IFERROR(__xludf.DUMMYFUNCTION("""COMPUTED_VALUE"""),"Shanks`` Daughter")</f>
        <v>Shanks`` Daughter</v>
      </c>
      <c r="C85" s="163" t="str">
        <f>IFERROR(__xludf.DUMMYFUNCTION("""COMPUTED_VALUE"""),"When attacking an enemy inflicted With Sing_Sing: Increase damage dealt by 5%.")</f>
        <v>When attacking an enemy inflicted With Sing_Sing: Increase damage dealt by 5%.</v>
      </c>
      <c r="D85" s="163" t="str">
        <f>IFERROR(__xludf.DUMMYFUNCTION("""COMPUTED_VALUE"""),"FILM RED ~ Paramecia")</f>
        <v>FILM RED ~ Paramecia</v>
      </c>
      <c r="E85" s="164" t="str">
        <f>IFERROR(__xludf.DUMMYFUNCTION("""COMPUTED_VALUE"""),"https://i.postimg.cc/FzmB41LK/259.png")</f>
        <v>https://i.postimg.cc/FzmB41LK/259.png</v>
      </c>
      <c r="F85" s="162"/>
      <c r="G85" s="163" t="str">
        <f>IFERROR(__xludf.DUMMYFUNCTION("""COMPUTED_VALUE"""),"E-225")</f>
        <v>E-225</v>
      </c>
      <c r="H85" s="163" t="str">
        <f>IFERROR(__xludf.DUMMYFUNCTION("""COMPUTED_VALUE"""),"Vista (Land of Wano Memoir)")</f>
        <v>Vista (Land of Wano Memoir)</v>
      </c>
      <c r="I85" s="163" t="str">
        <f>IFERROR(__xludf.DUMMYFUNCTION("""COMPUTED_VALUE"""),"After KOing an enemy: Reduce the cooldown time of Skill 1 by 6%.")</f>
        <v>After KOing an enemy: Reduce the cooldown time of Skill 1 by 6%.</v>
      </c>
      <c r="J85" s="163" t="str">
        <f>IFERROR(__xludf.DUMMYFUNCTION("""COMPUTED_VALUE"""),"Whitebeard Pirates")</f>
        <v>Whitebeard Pirates</v>
      </c>
      <c r="K85" s="164" t="str">
        <f>IFERROR(__xludf.DUMMYFUNCTION("""COMPUTED_VALUE"""),"https://i.postimg.cc/x8G21HPD/225.png")</f>
        <v>https://i.postimg.cc/x8G21HPD/225.png</v>
      </c>
      <c r="L85" s="162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</row>
    <row r="86">
      <c r="A86" s="163" t="str">
        <f>IFERROR(__xludf.DUMMYFUNCTION("""COMPUTED_VALUE"""),"G-258")</f>
        <v>G-258</v>
      </c>
      <c r="B86" s="163" t="str">
        <f>IFERROR(__xludf.DUMMYFUNCTION("""COMPUTED_VALUE"""),"Raid Killer")</f>
        <v>Raid Killer</v>
      </c>
      <c r="C86" s="163" t="str">
        <f>IFERROR(__xludf.DUMMYFUNCTION("""COMPUTED_VALUE"""),"When Critical occurs: Reduce the cooldown time of Skill 1 by 3%.")</f>
        <v>When Critical occurs: Reduce the cooldown time of Skill 1 by 3%.</v>
      </c>
      <c r="D86" s="163" t="str">
        <f>IFERROR(__xludf.DUMMYFUNCTION("""COMPUTED_VALUE"""),"Land of Wano ~ Kid Pirates ~ Combatant ~ Worst Generation")</f>
        <v>Land of Wano ~ Kid Pirates ~ Combatant ~ Worst Generation</v>
      </c>
      <c r="E86" s="164" t="str">
        <f>IFERROR(__xludf.DUMMYFUNCTION("""COMPUTED_VALUE"""),"https://i.postimg.cc/MGM40Cwz/258.png")</f>
        <v>https://i.postimg.cc/MGM40Cwz/258.png</v>
      </c>
      <c r="F86" s="162"/>
      <c r="G86" s="163" t="str">
        <f>IFERROR(__xludf.DUMMYFUNCTION("""COMPUTED_VALUE"""),"E-224")</f>
        <v>E-224</v>
      </c>
      <c r="H86" s="163" t="str">
        <f>IFERROR(__xludf.DUMMYFUNCTION("""COMPUTED_VALUE"""),"Marco (Land of Wano Memoir)")</f>
        <v>Marco (Land of Wano Memoir)</v>
      </c>
      <c r="I86" s="163" t="str">
        <f>IFERROR(__xludf.DUMMYFUNCTION("""COMPUTED_VALUE"""),"After KOing an enemy: Reduce the cooldown time of Skill 2 by 8%.")</f>
        <v>After KOing an enemy: Reduce the cooldown time of Skill 2 by 8%.</v>
      </c>
      <c r="J86" s="163" t="str">
        <f>IFERROR(__xludf.DUMMYFUNCTION("""COMPUTED_VALUE"""),"Whitebeard Pirates ~ Zoan")</f>
        <v>Whitebeard Pirates ~ Zoan</v>
      </c>
      <c r="K86" s="164" t="str">
        <f>IFERROR(__xludf.DUMMYFUNCTION("""COMPUTED_VALUE"""),"https://i.postimg.cc/3JBhMXR2/224.png")</f>
        <v>https://i.postimg.cc/3JBhMXR2/224.png</v>
      </c>
      <c r="L86" s="162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</row>
    <row r="87">
      <c r="A87" s="163" t="str">
        <f>IFERROR(__xludf.DUMMYFUNCTION("""COMPUTED_VALUE"""),"G-257")</f>
        <v>G-257</v>
      </c>
      <c r="B87" s="163" t="str">
        <f>IFERROR(__xludf.DUMMYFUNCTION("""COMPUTED_VALUE"""),"Kid &amp; Law")</f>
        <v>Kid &amp; Law</v>
      </c>
      <c r="C87" s="163" t="str">
        <f>IFERROR(__xludf.DUMMYFUNCTION("""COMPUTED_VALUE"""),"When your HP is 70% or more: Boost capture speed by 8%.")</f>
        <v>When your HP is 70% or more: Boost capture speed by 8%.</v>
      </c>
      <c r="D87" s="163" t="str">
        <f>IFERROR(__xludf.DUMMYFUNCTION("""COMPUTED_VALUE"""),"Land of Wano ~ Kid Pirates ~ Paramecia ~ Captain ~ The Seven Warlords of the Sea / Former Warlords of the Sea ~ Worst Generation ~ Heart Pirates")</f>
        <v>Land of Wano ~ Kid Pirates ~ Paramecia ~ Captain ~ The Seven Warlords of the Sea / Former Warlords of the Sea ~ Worst Generation ~ Heart Pirates</v>
      </c>
      <c r="E87" s="164" t="str">
        <f>IFERROR(__xludf.DUMMYFUNCTION("""COMPUTED_VALUE"""),"https://i.postimg.cc/76SWdSbc/257.png")</f>
        <v>https://i.postimg.cc/76SWdSbc/257.png</v>
      </c>
      <c r="F87" s="162"/>
      <c r="G87" s="163" t="str">
        <f>IFERROR(__xludf.DUMMYFUNCTION("""COMPUTED_VALUE"""),"E-223")</f>
        <v>E-223</v>
      </c>
      <c r="H87" s="163" t="str">
        <f>IFERROR(__xludf.DUMMYFUNCTION("""COMPUTED_VALUE"""),"Otama (Post_Onigashima)")</f>
        <v>Otama (Post_Onigashima)</v>
      </c>
      <c r="I87" s="163" t="str">
        <f>IFERROR(__xludf.DUMMYFUNCTION("""COMPUTED_VALUE"""),"When an ally is KO`d (not including you): Reduce the cooldown time of Skill 2 by 4%.")</f>
        <v>When an ally is KO`d (not including you): Reduce the cooldown time of Skill 2 by 4%.</v>
      </c>
      <c r="J87" s="163" t="str">
        <f>IFERROR(__xludf.DUMMYFUNCTION("""COMPUTED_VALUE"""),"Land of Wano ~ Paramecia")</f>
        <v>Land of Wano ~ Paramecia</v>
      </c>
      <c r="K87" s="164" t="str">
        <f>IFERROR(__xludf.DUMMYFUNCTION("""COMPUTED_VALUE"""),"https://i.postimg.cc/Qdd3jF9w/223.png")</f>
        <v>https://i.postimg.cc/Qdd3jF9w/223.png</v>
      </c>
      <c r="L87" s="162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</row>
    <row r="88">
      <c r="A88" s="163" t="str">
        <f>IFERROR(__xludf.DUMMYFUNCTION("""COMPUTED_VALUE"""),"G-256")</f>
        <v>G-256</v>
      </c>
      <c r="B88" s="163" t="str">
        <f>IFERROR(__xludf.DUMMYFUNCTION("""COMPUTED_VALUE"""),"Shark Pack")</f>
        <v>Shark Pack</v>
      </c>
      <c r="C88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88" s="163" t="str">
        <f>IFERROR(__xludf.DUMMYFUNCTION("""COMPUTED_VALUE"""),"Fish_Man Island ~ Captain ~ Fish_Man ~ Fish_Man Karate")</f>
        <v>Fish_Man Island ~ Captain ~ Fish_Man ~ Fish_Man Karate</v>
      </c>
      <c r="E88" s="164" t="str">
        <f>IFERROR(__xludf.DUMMYFUNCTION("""COMPUTED_VALUE"""),"https://i.postimg.cc/7LFRKKP0/256.png")</f>
        <v>https://i.postimg.cc/7LFRKKP0/256.png</v>
      </c>
      <c r="F88" s="162"/>
      <c r="G88" s="163" t="str">
        <f>IFERROR(__xludf.DUMMYFUNCTION("""COMPUTED_VALUE"""),"E-222")</f>
        <v>E-222</v>
      </c>
      <c r="H88" s="163" t="str">
        <f>IFERROR(__xludf.DUMMYFUNCTION("""COMPUTED_VALUE"""),"Luffy (Post_Onigashima)")</f>
        <v>Luffy (Post_Onigashima)</v>
      </c>
      <c r="I88" s="163" t="str">
        <f>IFERROR(__xludf.DUMMYFUNCTION("""COMPUTED_VALUE"""),"When in the Treasure Area: Increase damage dealt by 3%.")</f>
        <v>When in the Treasure Area: Increase damage dealt by 3%.</v>
      </c>
      <c r="J88" s="163" t="str">
        <f>IFERROR(__xludf.DUMMYFUNCTION("""COMPUTED_VALUE"""),"Land of Wano ~ Straw Hat Pirates ~ Zoan ~ Captain ~ Worst Generation ~ Blood Brothers")</f>
        <v>Land of Wano ~ Straw Hat Pirates ~ Zoan ~ Captain ~ Worst Generation ~ Blood Brothers</v>
      </c>
      <c r="K88" s="164" t="str">
        <f>IFERROR(__xludf.DUMMYFUNCTION("""COMPUTED_VALUE"""),"https://i.postimg.cc/XY10qn9J/222.png")</f>
        <v>https://i.postimg.cc/XY10qn9J/222.png</v>
      </c>
      <c r="L88" s="162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</row>
    <row r="89">
      <c r="A89" s="163" t="str">
        <f>IFERROR(__xludf.DUMMYFUNCTION("""COMPUTED_VALUE"""),"G-255")</f>
        <v>G-255</v>
      </c>
      <c r="B89" s="163" t="str">
        <f>IFERROR(__xludf.DUMMYFUNCTION("""COMPUTED_VALUE"""),"Neptune")</f>
        <v>Neptune</v>
      </c>
      <c r="C89" s="163" t="str">
        <f>IFERROR(__xludf.DUMMYFUNCTION("""COMPUTED_VALUE"""),"When attacked by an enemy: Reduce the cooldown time of Skill 1 by 2%.")</f>
        <v>When attacked by an enemy: Reduce the cooldown time of Skill 1 by 2%.</v>
      </c>
      <c r="D89" s="163" t="str">
        <f>IFERROR(__xludf.DUMMYFUNCTION("""COMPUTED_VALUE"""),"Fish_Man Island ~ Royalty / Former Royalty")</f>
        <v>Fish_Man Island ~ Royalty / Former Royalty</v>
      </c>
      <c r="E89" s="164" t="str">
        <f>IFERROR(__xludf.DUMMYFUNCTION("""COMPUTED_VALUE"""),"https://i.postimg.cc/sg2bxB0Q/255.png")</f>
        <v>https://i.postimg.cc/sg2bxB0Q/255.png</v>
      </c>
      <c r="F89" s="162"/>
      <c r="G89" s="163" t="str">
        <f>IFERROR(__xludf.DUMMYFUNCTION("""COMPUTED_VALUE"""),"E-221")</f>
        <v>E-221</v>
      </c>
      <c r="H89" s="163" t="str">
        <f>IFERROR(__xludf.DUMMYFUNCTION("""COMPUTED_VALUE"""),"Princess Hiyori")</f>
        <v>Princess Hiyori</v>
      </c>
      <c r="I89" s="163" t="str">
        <f>IFERROR(__xludf.DUMMYFUNCTION("""COMPUTED_VALUE"""),"When your allies are not near the Treasure area where you are at: Boost capture speed by 6%.")</f>
        <v>When your allies are not near the Treasure area where you are at: Boost capture speed by 6%.</v>
      </c>
      <c r="J89" s="163" t="str">
        <f>IFERROR(__xludf.DUMMYFUNCTION("""COMPUTED_VALUE"""),"Land of Wano ~ Kozuki Clan / Kozuki Clan Servant")</f>
        <v>Land of Wano ~ Kozuki Clan / Kozuki Clan Servant</v>
      </c>
      <c r="K89" s="164" t="str">
        <f>IFERROR(__xludf.DUMMYFUNCTION("""COMPUTED_VALUE"""),"https://i.postimg.cc/7LCrTjNN/221.png")</f>
        <v>https://i.postimg.cc/7LCrTjNN/221.png</v>
      </c>
      <c r="L89" s="162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</row>
    <row r="90">
      <c r="A90" s="163" t="str">
        <f>IFERROR(__xludf.DUMMYFUNCTION("""COMPUTED_VALUE"""),"G-254")</f>
        <v>G-254</v>
      </c>
      <c r="B90" s="163" t="str">
        <f>IFERROR(__xludf.DUMMYFUNCTION("""COMPUTED_VALUE"""),"Caribou")</f>
        <v>Caribou</v>
      </c>
      <c r="C90" s="163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D90" s="163" t="str">
        <f>IFERROR(__xludf.DUMMYFUNCTION("""COMPUTED_VALUE"""),"Fish_Man Island ~ Logia ~ Captain")</f>
        <v>Fish_Man Island ~ Logia ~ Captain</v>
      </c>
      <c r="E90" s="164" t="str">
        <f>IFERROR(__xludf.DUMMYFUNCTION("""COMPUTED_VALUE"""),"https://i.postimg.cc/sDPQ3TwS/254.png")</f>
        <v>https://i.postimg.cc/sDPQ3TwS/254.png</v>
      </c>
      <c r="F90" s="162"/>
      <c r="G90" s="163" t="str">
        <f>IFERROR(__xludf.DUMMYFUNCTION("""COMPUTED_VALUE"""),"E-220")</f>
        <v>E-220</v>
      </c>
      <c r="H90" s="163" t="str">
        <f>IFERROR(__xludf.DUMMYFUNCTION("""COMPUTED_VALUE"""),"Yamato (Post_Onigashima)")</f>
        <v>Yamato (Post_Onigashima)</v>
      </c>
      <c r="I90" s="163" t="str">
        <f>IFERROR(__xludf.DUMMYFUNCTION("""COMPUTED_VALUE"""),"When your team has more Treasure secured: Increase damage dealt by 5%.")</f>
        <v>When your team has more Treasure secured: Increase damage dealt by 5%.</v>
      </c>
      <c r="J90" s="163" t="str">
        <f>IFERROR(__xludf.DUMMYFUNCTION("""COMPUTED_VALUE"""),"Land of Wano ~ Zoan")</f>
        <v>Land of Wano ~ Zoan</v>
      </c>
      <c r="K90" s="164" t="str">
        <f>IFERROR(__xludf.DUMMYFUNCTION("""COMPUTED_VALUE"""),"https://i.postimg.cc/Jh9V3K6C/220.png")</f>
        <v>https://i.postimg.cc/Jh9V3K6C/220.png</v>
      </c>
      <c r="L90" s="162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</row>
    <row r="91">
      <c r="A91" s="163" t="str">
        <f>IFERROR(__xludf.DUMMYFUNCTION("""COMPUTED_VALUE"""),"G-253")</f>
        <v>G-253</v>
      </c>
      <c r="B91" s="163" t="str">
        <f>IFERROR(__xludf.DUMMYFUNCTION("""COMPUTED_VALUE"""),"Vander Decken IX")</f>
        <v>Vander Decken IX</v>
      </c>
      <c r="C91" s="163" t="str">
        <f>IFERROR(__xludf.DUMMYFUNCTION("""COMPUTED_VALUE"""),"When using Skill 1: Reduce the cooldown time of Skill 2 by 5%.")</f>
        <v>When using Skill 1: Reduce the cooldown time of Skill 2 by 5%.</v>
      </c>
      <c r="D91" s="163" t="str">
        <f>IFERROR(__xludf.DUMMYFUNCTION("""COMPUTED_VALUE"""),"Fish_Man Island ~ Flying Pirates ~ Paramecia ~ Captain ~ Fish_Man")</f>
        <v>Fish_Man Island ~ Flying Pirates ~ Paramecia ~ Captain ~ Fish_Man</v>
      </c>
      <c r="E91" s="164" t="str">
        <f>IFERROR(__xludf.DUMMYFUNCTION("""COMPUTED_VALUE"""),"https://i.postimg.cc/jSsW2yF1/253.png")</f>
        <v>https://i.postimg.cc/jSsW2yF1/253.png</v>
      </c>
      <c r="F91" s="162"/>
      <c r="G91" s="163" t="str">
        <f>IFERROR(__xludf.DUMMYFUNCTION("""COMPUTED_VALUE"""),"E-219")</f>
        <v>E-219</v>
      </c>
      <c r="H91" s="163" t="str">
        <f>IFERROR(__xludf.DUMMYFUNCTION("""COMPUTED_VALUE"""),"Daifugo")</f>
        <v>Daifugo</v>
      </c>
      <c r="I91" s="163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J91" s="163" t="str">
        <f>IFERROR(__xludf.DUMMYFUNCTION("""COMPUTED_VALUE"""),"Land of Wano ~ Animal Kingdom Pirates ~ Zoan ~ Headliner")</f>
        <v>Land of Wano ~ Animal Kingdom Pirates ~ Zoan ~ Headliner</v>
      </c>
      <c r="K91" s="164" t="str">
        <f>IFERROR(__xludf.DUMMYFUNCTION("""COMPUTED_VALUE"""),"https://i.postimg.cc/63nsMRg2/219.png")</f>
        <v>https://i.postimg.cc/63nsMRg2/219.png</v>
      </c>
      <c r="L91" s="162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</row>
    <row r="92">
      <c r="A92" s="163" t="str">
        <f>IFERROR(__xludf.DUMMYFUNCTION("""COMPUTED_VALUE"""),"G-252")</f>
        <v>G-252</v>
      </c>
      <c r="B92" s="163" t="str">
        <f>IFERROR(__xludf.DUMMYFUNCTION("""COMPUTED_VALUE"""),"Raid Usopp")</f>
        <v>Raid Usopp</v>
      </c>
      <c r="C92" s="163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D92" s="163" t="str">
        <f>IFERROR(__xludf.DUMMYFUNCTION("""COMPUTED_VALUE"""),"Land of Wano ~ Straw Hat Pirates ~ Sharp Shooter")</f>
        <v>Land of Wano ~ Straw Hat Pirates ~ Sharp Shooter</v>
      </c>
      <c r="E92" s="164" t="str">
        <f>IFERROR(__xludf.DUMMYFUNCTION("""COMPUTED_VALUE"""),"https://i.postimg.cc/HkBryVGk/252.png")</f>
        <v>https://i.postimg.cc/HkBryVGk/252.png</v>
      </c>
      <c r="F92" s="162"/>
      <c r="G92" s="163" t="str">
        <f>IFERROR(__xludf.DUMMYFUNCTION("""COMPUTED_VALUE"""),"E-218")</f>
        <v>E-218</v>
      </c>
      <c r="H92" s="163" t="str">
        <f>IFERROR(__xludf.DUMMYFUNCTION("""COMPUTED_VALUE"""),"Speed")</f>
        <v>Speed</v>
      </c>
      <c r="I92" s="163" t="str">
        <f>IFERROR(__xludf.DUMMYFUNCTION("""COMPUTED_VALUE"""),"When your team loses the Treasure: Reduce the cooldown time of Skill 1 by 8%.")</f>
        <v>When your team loses the Treasure: Reduce the cooldown time of Skill 1 by 8%.</v>
      </c>
      <c r="J92" s="163" t="str">
        <f>IFERROR(__xludf.DUMMYFUNCTION("""COMPUTED_VALUE"""),"Land of Wano ~ Animal Kingdom Pirates ~ Zoan ~ Headliner")</f>
        <v>Land of Wano ~ Animal Kingdom Pirates ~ Zoan ~ Headliner</v>
      </c>
      <c r="K92" s="164" t="str">
        <f>IFERROR(__xludf.DUMMYFUNCTION("""COMPUTED_VALUE"""),"https://i.postimg.cc/D0T9H03C/218.png")</f>
        <v>https://i.postimg.cc/D0T9H03C/218.png</v>
      </c>
      <c r="L92" s="162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</row>
    <row r="93">
      <c r="A93" s="163" t="str">
        <f>IFERROR(__xludf.DUMMYFUNCTION("""COMPUTED_VALUE"""),"G-251")</f>
        <v>G-251</v>
      </c>
      <c r="B93" s="163" t="str">
        <f>IFERROR(__xludf.DUMMYFUNCTION("""COMPUTED_VALUE"""),"Raid Nami")</f>
        <v>Raid Nami</v>
      </c>
      <c r="C93" s="163" t="str">
        <f>IFERROR(__xludf.DUMMYFUNCTION("""COMPUTED_VALUE"""),"When your HP is 70% or more: Reduce damage recieved by 5%.")</f>
        <v>When your HP is 70% or more: Reduce damage recieved by 5%.</v>
      </c>
      <c r="D93" s="163" t="str">
        <f>IFERROR(__xludf.DUMMYFUNCTION("""COMPUTED_VALUE"""),"Land of Wano ~ Straw Hat Pirates ~ Navigator")</f>
        <v>Land of Wano ~ Straw Hat Pirates ~ Navigator</v>
      </c>
      <c r="E93" s="164" t="str">
        <f>IFERROR(__xludf.DUMMYFUNCTION("""COMPUTED_VALUE"""),"https://i.postimg.cc/g0jnqmdq/251.png")</f>
        <v>https://i.postimg.cc/g0jnqmdq/251.png</v>
      </c>
      <c r="F93" s="162"/>
      <c r="G93" s="163" t="str">
        <f>IFERROR(__xludf.DUMMYFUNCTION("""COMPUTED_VALUE"""),"E-217")</f>
        <v>E-217</v>
      </c>
      <c r="H93" s="163" t="str">
        <f>IFERROR(__xludf.DUMMYFUNCTION("""COMPUTED_VALUE"""),"Robin (Onigashima Infiltration)")</f>
        <v>Robin (Onigashima Infiltration)</v>
      </c>
      <c r="I93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93" s="163" t="str">
        <f>IFERROR(__xludf.DUMMYFUNCTION("""COMPUTED_VALUE"""),"Land of Wano ~ Straw Hat Pirates ~ Paramecia ~ Archaeologist")</f>
        <v>Land of Wano ~ Straw Hat Pirates ~ Paramecia ~ Archaeologist</v>
      </c>
      <c r="K93" s="164" t="str">
        <f>IFERROR(__xludf.DUMMYFUNCTION("""COMPUTED_VALUE"""),"https://i.postimg.cc/v87F9r5C/217.png")</f>
        <v>https://i.postimg.cc/v87F9r5C/217.png</v>
      </c>
      <c r="L93" s="162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</row>
    <row r="94">
      <c r="A94" s="163" t="str">
        <f>IFERROR(__xludf.DUMMYFUNCTION("""COMPUTED_VALUE"""),"G-250")</f>
        <v>G-250</v>
      </c>
      <c r="B94" s="163" t="str">
        <f>IFERROR(__xludf.DUMMYFUNCTION("""COMPUTED_VALUE"""),"Namuji Glacier Fang")</f>
        <v>Namuji Glacier Fang</v>
      </c>
      <c r="C94" s="163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D94" s="163" t="str">
        <f>IFERROR(__xludf.DUMMYFUNCTION("""COMPUTED_VALUE"""),"Land of Wano ~ Zoan")</f>
        <v>Land of Wano ~ Zoan</v>
      </c>
      <c r="E94" s="164" t="str">
        <f>IFERROR(__xludf.DUMMYFUNCTION("""COMPUTED_VALUE"""),"https://i.postimg.cc/k5HDTzgr/250.png")</f>
        <v>https://i.postimg.cc/k5HDTzgr/250.png</v>
      </c>
      <c r="F94" s="162"/>
      <c r="G94" s="163" t="str">
        <f>IFERROR(__xludf.DUMMYFUNCTION("""COMPUTED_VALUE"""),"E-216")</f>
        <v>E-216</v>
      </c>
      <c r="H94" s="163" t="str">
        <f>IFERROR(__xludf.DUMMYFUNCTION("""COMPUTED_VALUE"""),"Jinbe (Onigashima Infiltration)")</f>
        <v>Jinbe (Onigashima Infiltration)</v>
      </c>
      <c r="I94" s="163" t="str">
        <f>IFERROR(__xludf.DUMMYFUNCTION("""COMPUTED_VALUE"""),"When your HP is 70% or more: Increase damage dealt by 5%.")</f>
        <v>When your HP is 70% or more: Increase damage dealt by 5%.</v>
      </c>
      <c r="J94" s="163" t="str">
        <f>IFERROR(__xludf.DUMMYFUNCTION("""COMPUTED_VALUE"""),"Land of Wano ~ Straw Hat Pirates ~ Helmsman ~ Fish_Man ~ Fish_Man Karate")</f>
        <v>Land of Wano ~ Straw Hat Pirates ~ Helmsman ~ Fish_Man ~ Fish_Man Karate</v>
      </c>
      <c r="K94" s="164" t="str">
        <f>IFERROR(__xludf.DUMMYFUNCTION("""COMPUTED_VALUE"""),"https://i.postimg.cc/T1Jz6xRT/216.png")</f>
        <v>https://i.postimg.cc/T1Jz6xRT/216.png</v>
      </c>
      <c r="L94" s="162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</row>
    <row r="95">
      <c r="A95" s="163" t="str">
        <f>IFERROR(__xludf.DUMMYFUNCTION("""COMPUTED_VALUE"""),"G-249")</f>
        <v>G-249</v>
      </c>
      <c r="B95" s="163" t="str">
        <f>IFERROR(__xludf.DUMMYFUNCTION("""COMPUTED_VALUE"""),"Raid Brook")</f>
        <v>Raid Brook</v>
      </c>
      <c r="C95" s="163" t="str">
        <f>IFERROR(__xludf.DUMMYFUNCTION("""COMPUTED_VALUE"""),"When enemies are inflicted with Freeze: Reduce the cooldown time of Skill 1 by 6%.")</f>
        <v>When enemies are inflicted with Freeze: Reduce the cooldown time of Skill 1 by 6%.</v>
      </c>
      <c r="D95" s="163" t="str">
        <f>IFERROR(__xludf.DUMMYFUNCTION("""COMPUTED_VALUE"""),"Land of Wano ~ Straw Hat Pirates ~ Paramecia ~ Musician")</f>
        <v>Land of Wano ~ Straw Hat Pirates ~ Paramecia ~ Musician</v>
      </c>
      <c r="E95" s="164" t="str">
        <f>IFERROR(__xludf.DUMMYFUNCTION("""COMPUTED_VALUE"""),"https://i.postimg.cc/V6bvpgJJ/249.png")</f>
        <v>https://i.postimg.cc/V6bvpgJJ/249.png</v>
      </c>
      <c r="F95" s="162"/>
      <c r="G95" s="163" t="str">
        <f>IFERROR(__xludf.DUMMYFUNCTION("""COMPUTED_VALUE"""),"E-215")</f>
        <v>E-215</v>
      </c>
      <c r="H95" s="163" t="str">
        <f>IFERROR(__xludf.DUMMYFUNCTION("""COMPUTED_VALUE"""),"Page One (Human_Monster Form)")</f>
        <v>Page One (Human_Monster Form)</v>
      </c>
      <c r="I95" s="163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J95" s="163" t="str">
        <f>IFERROR(__xludf.DUMMYFUNCTION("""COMPUTED_VALUE"""),"Land of Wano ~ Animal Kingdom Pirates ~ Zoan ~ Tobi Roppo")</f>
        <v>Land of Wano ~ Animal Kingdom Pirates ~ Zoan ~ Tobi Roppo</v>
      </c>
      <c r="K95" s="164" t="str">
        <f>IFERROR(__xludf.DUMMYFUNCTION("""COMPUTED_VALUE"""),"https://i.postimg.cc/VLgJqTsr/215.png")</f>
        <v>https://i.postimg.cc/VLgJqTsr/215.png</v>
      </c>
      <c r="L95" s="162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</row>
    <row r="96">
      <c r="A96" s="163" t="str">
        <f>IFERROR(__xludf.DUMMYFUNCTION("""COMPUTED_VALUE"""),"G-248")</f>
        <v>G-248</v>
      </c>
      <c r="B96" s="163" t="str">
        <f>IFERROR(__xludf.DUMMYFUNCTION("""COMPUTED_VALUE"""),"Raid Robin")</f>
        <v>Raid Robin</v>
      </c>
      <c r="C96" s="163" t="str">
        <f>IFERROR(__xludf.DUMMYFUNCTION("""COMPUTED_VALUE"""),"When attacking an enemy in the area around your captured Treasure: Increase damage dealt by 5%.")</f>
        <v>When attacking an enemy in the area around your captured Treasure: Increase damage dealt by 5%.</v>
      </c>
      <c r="D96" s="163" t="str">
        <f>IFERROR(__xludf.DUMMYFUNCTION("""COMPUTED_VALUE"""),"Land of Wano ~ Straw Hat Pirates ~ Paramecia ~ Archaeologist")</f>
        <v>Land of Wano ~ Straw Hat Pirates ~ Paramecia ~ Archaeologist</v>
      </c>
      <c r="E96" s="164" t="str">
        <f>IFERROR(__xludf.DUMMYFUNCTION("""COMPUTED_VALUE"""),"https://i.postimg.cc/GtwtCDDq/248.png")</f>
        <v>https://i.postimg.cc/GtwtCDDq/248.png</v>
      </c>
      <c r="F96" s="162"/>
      <c r="G96" s="163" t="str">
        <f>IFERROR(__xludf.DUMMYFUNCTION("""COMPUTED_VALUE"""),"E-214")</f>
        <v>E-214</v>
      </c>
      <c r="H96" s="163" t="str">
        <f>IFERROR(__xludf.DUMMYFUNCTION("""COMPUTED_VALUE"""),"Ulti (Human_Monster Form)")</f>
        <v>Ulti (Human_Monster Form)</v>
      </c>
      <c r="I96" s="163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J96" s="163" t="str">
        <f>IFERROR(__xludf.DUMMYFUNCTION("""COMPUTED_VALUE"""),"Land of Wano ~ Animal Kingdom Pirates ~ Zoan ~ Tobi Roppo")</f>
        <v>Land of Wano ~ Animal Kingdom Pirates ~ Zoan ~ Tobi Roppo</v>
      </c>
      <c r="K96" s="164" t="str">
        <f>IFERROR(__xludf.DUMMYFUNCTION("""COMPUTED_VALUE"""),"https://i.postimg.cc/zGP3Mggq/214.png")</f>
        <v>https://i.postimg.cc/zGP3Mggq/214.png</v>
      </c>
      <c r="L96" s="162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</row>
    <row r="97">
      <c r="A97" s="163" t="str">
        <f>IFERROR(__xludf.DUMMYFUNCTION("""COMPUTED_VALUE"""),"G-247")</f>
        <v>G-247</v>
      </c>
      <c r="B97" s="163" t="str">
        <f>IFERROR(__xludf.DUMMYFUNCTION("""COMPUTED_VALUE"""),"Ideo")</f>
        <v>Ideo</v>
      </c>
      <c r="C97" s="163" t="str">
        <f>IFERROR(__xludf.DUMMYFUNCTION("""COMPUTED_VALUE"""),"When you Knockback an enemy: Recover HP by 3%.")</f>
        <v>When you Knockback an enemy: Recover HP by 3%.</v>
      </c>
      <c r="D97" s="163" t="str">
        <f>IFERROR(__xludf.DUMMYFUNCTION("""COMPUTED_VALUE"""),"Dressrosa ~ Straw Hat Fleet")</f>
        <v>Dressrosa ~ Straw Hat Fleet</v>
      </c>
      <c r="E97" s="164" t="str">
        <f>IFERROR(__xludf.DUMMYFUNCTION("""COMPUTED_VALUE"""),"https://i.postimg.cc/dQrD9WMX/247.png")</f>
        <v>https://i.postimg.cc/dQrD9WMX/247.png</v>
      </c>
      <c r="F97" s="162"/>
      <c r="G97" s="163" t="str">
        <f>IFERROR(__xludf.DUMMYFUNCTION("""COMPUTED_VALUE"""),"E-213")</f>
        <v>E-213</v>
      </c>
      <c r="H97" s="163" t="str">
        <f>IFERROR(__xludf.DUMMYFUNCTION("""COMPUTED_VALUE"""),"Inventor")</f>
        <v>Inventor</v>
      </c>
      <c r="I97" s="163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J97" s="163" t="str">
        <f>IFERROR(__xludf.DUMMYFUNCTION("""COMPUTED_VALUE"""),"Reverie ~ Revolutionary Army ~ Captain of the Revolutionary Army ~ Minks")</f>
        <v>Reverie ~ Revolutionary Army ~ Captain of the Revolutionary Army ~ Minks</v>
      </c>
      <c r="K97" s="164" t="str">
        <f>IFERROR(__xludf.DUMMYFUNCTION("""COMPUTED_VALUE"""),"https://i.postimg.cc/kg5BfcDj/213.png")</f>
        <v>https://i.postimg.cc/kg5BfcDj/213.png</v>
      </c>
      <c r="L97" s="162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</row>
    <row r="98">
      <c r="A98" s="163" t="str">
        <f>IFERROR(__xludf.DUMMYFUNCTION("""COMPUTED_VALUE"""),"G-246")</f>
        <v>G-246</v>
      </c>
      <c r="B98" s="163" t="str">
        <f>IFERROR(__xludf.DUMMYFUNCTION("""COMPUTED_VALUE"""),"Elizabello II")</f>
        <v>Elizabello II</v>
      </c>
      <c r="C98" s="163" t="str">
        <f>IFERROR(__xludf.DUMMYFUNCTION("""COMPUTED_VALUE"""),"When using Skill 1: Reduce the cooldown time of Skill 2 by 5%.")</f>
        <v>When using Skill 1: Reduce the cooldown time of Skill 2 by 5%.</v>
      </c>
      <c r="D98" s="163" t="str">
        <f>IFERROR(__xludf.DUMMYFUNCTION("""COMPUTED_VALUE"""),"Dressrosa ~ Royalty / Former Royalty")</f>
        <v>Dressrosa ~ Royalty / Former Royalty</v>
      </c>
      <c r="E98" s="164" t="str">
        <f>IFERROR(__xludf.DUMMYFUNCTION("""COMPUTED_VALUE"""),"https://i.postimg.cc/yxmdYNXB/246.png")</f>
        <v>https://i.postimg.cc/yxmdYNXB/246.png</v>
      </c>
      <c r="F98" s="162"/>
      <c r="G98" s="163" t="str">
        <f>IFERROR(__xludf.DUMMYFUNCTION("""COMPUTED_VALUE"""),"E-212")</f>
        <v>E-212</v>
      </c>
      <c r="H98" s="163" t="str">
        <f>IFERROR(__xludf.DUMMYFUNCTION("""COMPUTED_VALUE"""),"Horm_Horm")</f>
        <v>Horm_Horm</v>
      </c>
      <c r="I98" s="163" t="str">
        <f>IFERROR(__xludf.DUMMYFUNCTION("""COMPUTED_VALUE"""),"When you or an ally KOs an enemy: Reduce the cooldown time of Skill 1 by 3%.")</f>
        <v>When you or an ally KOs an enemy: Reduce the cooldown time of Skill 1 by 3%.</v>
      </c>
      <c r="J98" s="163" t="str">
        <f>IFERROR(__xludf.DUMMYFUNCTION("""COMPUTED_VALUE"""),"Reverie ~ Revolutionary Army ~ Paramecia ~ New Kama")</f>
        <v>Reverie ~ Revolutionary Army ~ Paramecia ~ New Kama</v>
      </c>
      <c r="K98" s="164" t="str">
        <f>IFERROR(__xludf.DUMMYFUNCTION("""COMPUTED_VALUE"""),"https://i.postimg.cc/sDsBZyzC/212.png")</f>
        <v>https://i.postimg.cc/sDsBZyzC/212.png</v>
      </c>
      <c r="L98" s="162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</row>
    <row r="99">
      <c r="A99" s="163" t="str">
        <f>IFERROR(__xludf.DUMMYFUNCTION("""COMPUTED_VALUE"""),"G-245")</f>
        <v>G-245</v>
      </c>
      <c r="B99" s="163" t="str">
        <f>IFERROR(__xludf.DUMMYFUNCTION("""COMPUTED_VALUE"""),"Kung Fu Jugon")</f>
        <v>Kung Fu Jugon</v>
      </c>
      <c r="C99" s="163" t="str">
        <f>IFERROR(__xludf.DUMMYFUNCTION("""COMPUTED_VALUE"""),"When attacking an enemy with the same Element: Increase damage dealt by 3%.")</f>
        <v>When attacking an enemy with the same Element: Increase damage dealt by 3%.</v>
      </c>
      <c r="D99" s="163" t="str">
        <f>IFERROR(__xludf.DUMMYFUNCTION("""COMPUTED_VALUE"""),"Alabasta")</f>
        <v>Alabasta</v>
      </c>
      <c r="E99" s="164" t="str">
        <f>IFERROR(__xludf.DUMMYFUNCTION("""COMPUTED_VALUE"""),"https://i.postimg.cc/WbVzYMT4/245.png")</f>
        <v>https://i.postimg.cc/WbVzYMT4/245.png</v>
      </c>
      <c r="F99" s="162"/>
      <c r="G99" s="163" t="str">
        <f>IFERROR(__xludf.DUMMYFUNCTION("""COMPUTED_VALUE"""),"E-211")</f>
        <v>E-211</v>
      </c>
      <c r="H99" s="163" t="str">
        <f>IFERROR(__xludf.DUMMYFUNCTION("""COMPUTED_VALUE"""),"Push_Push")</f>
        <v>Push_Push</v>
      </c>
      <c r="I99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J99" s="163" t="str">
        <f>IFERROR(__xludf.DUMMYFUNCTION("""COMPUTED_VALUE"""),"Reverie ~ Revolutionary Army ~ Fish_Man Karate ~ Captain of the Revolutionary Army")</f>
        <v>Reverie ~ Revolutionary Army ~ Fish_Man Karate ~ Captain of the Revolutionary Army</v>
      </c>
      <c r="K99" s="164" t="str">
        <f>IFERROR(__xludf.DUMMYFUNCTION("""COMPUTED_VALUE"""),"https://i.postimg.cc/mZQzDk0S/211.png")</f>
        <v>https://i.postimg.cc/mZQzDk0S/211.png</v>
      </c>
      <c r="L99" s="162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</row>
    <row r="100">
      <c r="A100" s="163" t="str">
        <f>IFERROR(__xludf.DUMMYFUNCTION("""COMPUTED_VALUE"""),"G-244")</f>
        <v>G-244</v>
      </c>
      <c r="B100" s="163" t="str">
        <f>IFERROR(__xludf.DUMMYFUNCTION("""COMPUTED_VALUE"""),"Hakuba")</f>
        <v>Hakuba</v>
      </c>
      <c r="C100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100" s="163" t="str">
        <f>IFERROR(__xludf.DUMMYFUNCTION("""COMPUTED_VALUE"""),"Dressrosa ~ Beautiful Pirates ~ Captain ~ Royalty / Former Royalty ~ Straw Hat Fleet")</f>
        <v>Dressrosa ~ Beautiful Pirates ~ Captain ~ Royalty / Former Royalty ~ Straw Hat Fleet</v>
      </c>
      <c r="E100" s="164" t="str">
        <f>IFERROR(__xludf.DUMMYFUNCTION("""COMPUTED_VALUE"""),"https://i.postimg.cc/qvMR44tV/244.png")</f>
        <v>https://i.postimg.cc/qvMR44tV/244.png</v>
      </c>
      <c r="F100" s="162"/>
      <c r="G100" s="163" t="str">
        <f>IFERROR(__xludf.DUMMYFUNCTION("""COMPUTED_VALUE"""),"E-210")</f>
        <v>E-210</v>
      </c>
      <c r="H100" s="163" t="str">
        <f>IFERROR(__xludf.DUMMYFUNCTION("""COMPUTED_VALUE"""),"Koala (Reverie)")</f>
        <v>Koala (Reverie)</v>
      </c>
      <c r="I100" s="163" t="str">
        <f>IFERROR(__xludf.DUMMYFUNCTION("""COMPUTED_VALUE"""),"When you Knockback an enemy: Reduce the cooldown time of Skill 2 by 5%.")</f>
        <v>When you Knockback an enemy: Reduce the cooldown time of Skill 2 by 5%.</v>
      </c>
      <c r="J100" s="163" t="str">
        <f>IFERROR(__xludf.DUMMYFUNCTION("""COMPUTED_VALUE"""),"Reverie ~ Revolutionary Army ~ Fish_Man Karate")</f>
        <v>Reverie ~ Revolutionary Army ~ Fish_Man Karate</v>
      </c>
      <c r="K100" s="164" t="str">
        <f>IFERROR(__xludf.DUMMYFUNCTION("""COMPUTED_VALUE"""),"https://i.postimg.cc/SR7Jt1WP/210.png")</f>
        <v>https://i.postimg.cc/SR7Jt1WP/210.png</v>
      </c>
      <c r="L100" s="162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</row>
    <row r="101">
      <c r="A101" s="163" t="str">
        <f>IFERROR(__xludf.DUMMYFUNCTION("""COMPUTED_VALUE"""),"G-243")</f>
        <v>G-243</v>
      </c>
      <c r="B101" s="163" t="str">
        <f>IFERROR(__xludf.DUMMYFUNCTION("""COMPUTED_VALUE"""),"Chin Jao")</f>
        <v>Chin Jao</v>
      </c>
      <c r="C101" s="163" t="str">
        <f>IFERROR(__xludf.DUMMYFUNCTION("""COMPUTED_VALUE"""),"When hit with Knockback by enemy: Reduce the cooldown time of Skill 2 by 5%.")</f>
        <v>When hit with Knockback by enemy: Reduce the cooldown time of Skill 2 by 5%.</v>
      </c>
      <c r="D101" s="163" t="str">
        <f>IFERROR(__xludf.DUMMYFUNCTION("""COMPUTED_VALUE"""),"Dressrosa ~ Straw Hat Fleet")</f>
        <v>Dressrosa ~ Straw Hat Fleet</v>
      </c>
      <c r="E101" s="164" t="str">
        <f>IFERROR(__xludf.DUMMYFUNCTION("""COMPUTED_VALUE"""),"https://i.postimg.cc/Wb73Bh1w/243.png")</f>
        <v>https://i.postimg.cc/Wb73Bh1w/243.png</v>
      </c>
      <c r="F101" s="162"/>
      <c r="G101" s="163" t="str">
        <f>IFERROR(__xludf.DUMMYFUNCTION("""COMPUTED_VALUE"""),"E-209")</f>
        <v>E-209</v>
      </c>
      <c r="H101" s="163" t="str">
        <f>IFERROR(__xludf.DUMMYFUNCTION("""COMPUTED_VALUE"""),"Jack (Human_Monster Form)")</f>
        <v>Jack (Human_Monster Form)</v>
      </c>
      <c r="I101" s="163" t="str">
        <f>IFERROR(__xludf.DUMMYFUNCTION("""COMPUTED_VALUE"""),"When there are 60 seconds or less remaining: Boost capture speed by 6%.")</f>
        <v>When there are 60 seconds or less remaining: Boost capture speed by 6%.</v>
      </c>
      <c r="J101" s="163" t="str">
        <f>IFERROR(__xludf.DUMMYFUNCTION("""COMPUTED_VALUE"""),"Land of Wano ~ Animal Kingdom Pirates ~ Zoan ~ Fish_Man ~ Lead Performer")</f>
        <v>Land of Wano ~ Animal Kingdom Pirates ~ Zoan ~ Fish_Man ~ Lead Performer</v>
      </c>
      <c r="K101" s="164" t="str">
        <f>IFERROR(__xludf.DUMMYFUNCTION("""COMPUTED_VALUE"""),"https://i.postimg.cc/brjZgf2b/209.png")</f>
        <v>https://i.postimg.cc/brjZgf2b/209.png</v>
      </c>
      <c r="L101" s="162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</row>
    <row r="102">
      <c r="A102" s="163" t="str">
        <f>IFERROR(__xludf.DUMMYFUNCTION("""COMPUTED_VALUE"""),"G-242")</f>
        <v>G-242</v>
      </c>
      <c r="B102" s="163" t="str">
        <f>IFERROR(__xludf.DUMMYFUNCTION("""COMPUTED_VALUE"""),"Oven")</f>
        <v>Oven</v>
      </c>
      <c r="C102" s="163" t="str">
        <f>IFERROR(__xludf.DUMMYFUNCTION("""COMPUTED_VALUE"""),"When attacked by an enemy inflicted with Aflame: Reduce damage recieved by 5%.")</f>
        <v>When attacked by an enemy inflicted with Aflame: Reduce damage recieved by 5%.</v>
      </c>
      <c r="D102" s="163" t="str">
        <f>IFERROR(__xludf.DUMMYFUNCTION("""COMPUTED_VALUE"""),"Zou / Whole Cake Island ~ Big Mom Pirates ~ Paramecia ~ Royalty / Former Royalty ~ Charlotte Family")</f>
        <v>Zou / Whole Cake Island ~ Big Mom Pirates ~ Paramecia ~ Royalty / Former Royalty ~ Charlotte Family</v>
      </c>
      <c r="E102" s="164" t="str">
        <f>IFERROR(__xludf.DUMMYFUNCTION("""COMPUTED_VALUE"""),"https://i.postimg.cc/Qd4MMw5B/242.png")</f>
        <v>https://i.postimg.cc/Qd4MMw5B/242.png</v>
      </c>
      <c r="F102" s="162"/>
      <c r="G102" s="163" t="str">
        <f>IFERROR(__xludf.DUMMYFUNCTION("""COMPUTED_VALUE"""),"E-208")</f>
        <v>E-208</v>
      </c>
      <c r="H102" s="163" t="str">
        <f>IFERROR(__xludf.DUMMYFUNCTION("""COMPUTED_VALUE"""),"Kaido (Human_Monster Form)")</f>
        <v>Kaido (Human_Monster Form)</v>
      </c>
      <c r="I102" s="163" t="str">
        <f>IFERROR(__xludf.DUMMYFUNCTION("""COMPUTED_VALUE"""),"After KOing an enemy: Reduce the cooldown time of Skill 1 by 8%.")</f>
        <v>After KOing an enemy: Reduce the cooldown time of Skill 1 by 8%.</v>
      </c>
      <c r="J102" s="163" t="str">
        <f>IFERROR(__xludf.DUMMYFUNCTION("""COMPUTED_VALUE"""),"Land of Wano ~ Animal Kingdom Pirates ~ Zoan ~ Captain ~ The Four Emperors ~ Former Rocks Pirates")</f>
        <v>Land of Wano ~ Animal Kingdom Pirates ~ Zoan ~ Captain ~ The Four Emperors ~ Former Rocks Pirates</v>
      </c>
      <c r="K102" s="164" t="str">
        <f>IFERROR(__xludf.DUMMYFUNCTION("""COMPUTED_VALUE"""),"https://i.postimg.cc/9M94yQzC/208.png")</f>
        <v>https://i.postimg.cc/9M94yQzC/208.png</v>
      </c>
      <c r="L102" s="162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</row>
    <row r="103">
      <c r="A103" s="163" t="str">
        <f>IFERROR(__xludf.DUMMYFUNCTION("""COMPUTED_VALUE"""),"G-241")</f>
        <v>G-241</v>
      </c>
      <c r="B103" s="163" t="str">
        <f>IFERROR(__xludf.DUMMYFUNCTION("""COMPUTED_VALUE"""),"Leader")</f>
        <v>Leader</v>
      </c>
      <c r="C103" s="163" t="str">
        <f>IFERROR(__xludf.DUMMYFUNCTION("""COMPUTED_VALUE"""),"When enemies are inflicted with Shock: Reduce the cooldown time of Skill 2 by 6%.")</f>
        <v>When enemies are inflicted with Shock: Reduce the cooldown time of Skill 2 by 6%.</v>
      </c>
      <c r="D103" s="163" t="str">
        <f>IFERROR(__xludf.DUMMYFUNCTION("""COMPUTED_VALUE"""),"Zou / Whole Cake Island ~ Minks")</f>
        <v>Zou / Whole Cake Island ~ Minks</v>
      </c>
      <c r="E103" s="164" t="str">
        <f>IFERROR(__xludf.DUMMYFUNCTION("""COMPUTED_VALUE"""),"https://i.postimg.cc/xdX1N5y6/241.png")</f>
        <v>https://i.postimg.cc/xdX1N5y6/241.png</v>
      </c>
      <c r="F103" s="162"/>
      <c r="G103" s="163" t="str">
        <f>IFERROR(__xludf.DUMMYFUNCTION("""COMPUTED_VALUE"""),"E-207")</f>
        <v>E-207</v>
      </c>
      <c r="H103" s="163" t="str">
        <f>IFERROR(__xludf.DUMMYFUNCTION("""COMPUTED_VALUE"""),"Local Sea Monster")</f>
        <v>Local Sea Monster</v>
      </c>
      <c r="I103" s="163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J103" s="163" t="str">
        <f>IFERROR(__xludf.DUMMYFUNCTION("""COMPUTED_VALUE"""),"East Blue")</f>
        <v>East Blue</v>
      </c>
      <c r="K103" s="164" t="str">
        <f>IFERROR(__xludf.DUMMYFUNCTION("""COMPUTED_VALUE"""),"https://i.postimg.cc/7ZBTkRp8/207.png")</f>
        <v>https://i.postimg.cc/7ZBTkRp8/207.png</v>
      </c>
      <c r="L103" s="162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</row>
    <row r="104">
      <c r="A104" s="163" t="str">
        <f>IFERROR(__xludf.DUMMYFUNCTION("""COMPUTED_VALUE"""),"G-240")</f>
        <v>G-240</v>
      </c>
      <c r="B104" s="163" t="str">
        <f>IFERROR(__xludf.DUMMYFUNCTION("""COMPUTED_VALUE"""),"Brulee")</f>
        <v>Brulee</v>
      </c>
      <c r="C104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04" s="163" t="str">
        <f>IFERROR(__xludf.DUMMYFUNCTION("""COMPUTED_VALUE"""),"Zou / Whole Cake Island ~ Big Mom Pirates ~ Paramecia ~ Royalty / Former Royalty ~ Charlotte Family")</f>
        <v>Zou / Whole Cake Island ~ Big Mom Pirates ~ Paramecia ~ Royalty / Former Royalty ~ Charlotte Family</v>
      </c>
      <c r="E104" s="164" t="str">
        <f>IFERROR(__xludf.DUMMYFUNCTION("""COMPUTED_VALUE"""),"https://i.postimg.cc/nLNc4m3p/240.png")</f>
        <v>https://i.postimg.cc/nLNc4m3p/240.png</v>
      </c>
      <c r="F104" s="162"/>
      <c r="G104" s="163" t="str">
        <f>IFERROR(__xludf.DUMMYFUNCTION("""COMPUTED_VALUE"""),"E-206")</f>
        <v>E-206</v>
      </c>
      <c r="H104" s="163" t="str">
        <f>IFERROR(__xludf.DUMMYFUNCTION("""COMPUTED_VALUE"""),"Merry Go")</f>
        <v>Merry Go</v>
      </c>
      <c r="I104" s="163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J104" s="163" t="str">
        <f>IFERROR(__xludf.DUMMYFUNCTION("""COMPUTED_VALUE"""),"East Blue")</f>
        <v>East Blue</v>
      </c>
      <c r="K104" s="164" t="str">
        <f>IFERROR(__xludf.DUMMYFUNCTION("""COMPUTED_VALUE"""),"https://i.postimg.cc/zf6bLgzx/206.png")</f>
        <v>https://i.postimg.cc/zf6bLgzx/206.png</v>
      </c>
      <c r="L104" s="162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</row>
    <row r="105">
      <c r="A105" s="163" t="str">
        <f>IFERROR(__xludf.DUMMYFUNCTION("""COMPUTED_VALUE"""),"G-239")</f>
        <v>G-239</v>
      </c>
      <c r="B105" s="163" t="str">
        <f>IFERROR(__xludf.DUMMYFUNCTION("""COMPUTED_VALUE"""),"Cracker")</f>
        <v>Cracker</v>
      </c>
      <c r="C105" s="163" t="str">
        <f>IFERROR(__xludf.DUMMYFUNCTION("""COMPUTED_VALUE"""),"When attacking an enemy with Skill 2: Increase damage dealt by 5%.")</f>
        <v>When attacking an enemy with Skill 2: Increase damage dealt by 5%.</v>
      </c>
      <c r="D105" s="163" t="str">
        <f>IFERROR(__xludf.DUMMYFUNCTION("""COMPUTED_VALUE"""),"Zou / Whole Cake Island ~ Big Mom Pirates ~ Paramecia ~ Royalty / Former Royalty ~ ``Sweet 3`` General ~ Charlotte Family")</f>
        <v>Zou / Whole Cake Island ~ Big Mom Pirates ~ Paramecia ~ Royalty / Former Royalty ~ ``Sweet 3`` General ~ Charlotte Family</v>
      </c>
      <c r="E105" s="164" t="str">
        <f>IFERROR(__xludf.DUMMYFUNCTION("""COMPUTED_VALUE"""),"https://i.postimg.cc/zBWD0fQW/239.png")</f>
        <v>https://i.postimg.cc/zBWD0fQW/239.png</v>
      </c>
      <c r="F105" s="162"/>
      <c r="G105" s="163" t="str">
        <f>IFERROR(__xludf.DUMMYFUNCTION("""COMPUTED_VALUE"""),"E-205")</f>
        <v>E-205</v>
      </c>
      <c r="H105" s="163" t="str">
        <f>IFERROR(__xludf.DUMMYFUNCTION("""COMPUTED_VALUE"""),"Three Captains Law")</f>
        <v>Three Captains Law</v>
      </c>
      <c r="I105" s="163" t="str">
        <f>IFERROR(__xludf.DUMMYFUNCTION("""COMPUTED_VALUE"""),"When you capture the Treasure: Reduce the cooldown time of Skill 1 by 8%.")</f>
        <v>When you capture the Treasure: Reduce the cooldown time of Skill 1 by 8%.</v>
      </c>
      <c r="J105" s="163" t="str">
        <f>IFERROR(__xludf.DUMMYFUNCTION("""COMPUTED_VALUE"""),"Land of Wano ~ Paramecia ~ Captain ~ Worst Generation ~ Heart Pirates")</f>
        <v>Land of Wano ~ Paramecia ~ Captain ~ Worst Generation ~ Heart Pirates</v>
      </c>
      <c r="K105" s="164" t="str">
        <f>IFERROR(__xludf.DUMMYFUNCTION("""COMPUTED_VALUE"""),"https://i.postimg.cc/FHFJwvCV/205.png")</f>
        <v>https://i.postimg.cc/FHFJwvCV/205.png</v>
      </c>
      <c r="L105" s="162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</row>
    <row r="106">
      <c r="A106" s="163" t="str">
        <f>IFERROR(__xludf.DUMMYFUNCTION("""COMPUTED_VALUE"""),"G-238")</f>
        <v>G-238</v>
      </c>
      <c r="B106" s="163" t="str">
        <f>IFERROR(__xludf.DUMMYFUNCTION("""COMPUTED_VALUE"""),"Mrs. Pudding?")</f>
        <v>Mrs. Pudding?</v>
      </c>
      <c r="C106" s="163" t="str">
        <f>IFERROR(__xludf.DUMMYFUNCTION("""COMPUTED_VALUE"""),"When your allies are near the Treasure area where you are at: Boost the cooldown reduction speed of Skill 2 by 13%.")</f>
        <v>When your allies are near the Treasure area where you are at: Boost the cooldown reduction speed of Skill 2 by 13%.</v>
      </c>
      <c r="D106" s="163" t="str">
        <f>IFERROR(__xludf.DUMMYFUNCTION("""COMPUTED_VALUE"""),"Zou / Whole Cake Island ~ Big Mom Pirates ~ Paramecia ~ Cook ~ Royalty / Former Royalty ~ Charlotte Family")</f>
        <v>Zou / Whole Cake Island ~ Big Mom Pirates ~ Paramecia ~ Cook ~ Royalty / Former Royalty ~ Charlotte Family</v>
      </c>
      <c r="E106" s="164" t="str">
        <f>IFERROR(__xludf.DUMMYFUNCTION("""COMPUTED_VALUE"""),"https://i.postimg.cc/sx4jCNsg/238.png")</f>
        <v>https://i.postimg.cc/sx4jCNsg/238.png</v>
      </c>
      <c r="F106" s="162"/>
      <c r="G106" s="163" t="str">
        <f>IFERROR(__xludf.DUMMYFUNCTION("""COMPUTED_VALUE"""),"E-204")</f>
        <v>E-204</v>
      </c>
      <c r="H106" s="163" t="str">
        <f>IFERROR(__xludf.DUMMYFUNCTION("""COMPUTED_VALUE"""),"Three Captains Kid")</f>
        <v>Three Captains Kid</v>
      </c>
      <c r="I106" s="163" t="str">
        <f>IFERROR(__xludf.DUMMYFUNCTION("""COMPUTED_VALUE"""),"When Critical occurs: Recover HP by 3%.")</f>
        <v>When Critical occurs: Recover HP by 3%.</v>
      </c>
      <c r="J106" s="163" t="str">
        <f>IFERROR(__xludf.DUMMYFUNCTION("""COMPUTED_VALUE"""),"Land of Wano ~ Kid Pirates ~ Paramecia ~ Captain ~ Worst Generation")</f>
        <v>Land of Wano ~ Kid Pirates ~ Paramecia ~ Captain ~ Worst Generation</v>
      </c>
      <c r="K106" s="164" t="str">
        <f>IFERROR(__xludf.DUMMYFUNCTION("""COMPUTED_VALUE"""),"https://i.postimg.cc/wB7RTVpt/204.png")</f>
        <v>https://i.postimg.cc/wB7RTVpt/204.png</v>
      </c>
      <c r="L106" s="162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</row>
    <row r="107">
      <c r="A107" s="163" t="str">
        <f>IFERROR(__xludf.DUMMYFUNCTION("""COMPUTED_VALUE"""),"G-237")</f>
        <v>G-237</v>
      </c>
      <c r="B107" s="163" t="str">
        <f>IFERROR(__xludf.DUMMYFUNCTION("""COMPUTED_VALUE"""),"Who`s_Who")</f>
        <v>Who`s_Who</v>
      </c>
      <c r="C107" s="163" t="str">
        <f>IFERROR(__xludf.DUMMYFUNCTION("""COMPUTED_VALUE"""),"When your HP is 70% or more: Increase damage dealt by 5%.")</f>
        <v>When your HP is 70% or more: Increase damage dealt by 5%.</v>
      </c>
      <c r="D107" s="163" t="str">
        <f>IFERROR(__xludf.DUMMYFUNCTION("""COMPUTED_VALUE"""),"Land of Wano ~ Animal Kingdom Pirates ~ Zoan ~ Tobi Roppo ~ Six Powers")</f>
        <v>Land of Wano ~ Animal Kingdom Pirates ~ Zoan ~ Tobi Roppo ~ Six Powers</v>
      </c>
      <c r="E107" s="164" t="str">
        <f>IFERROR(__xludf.DUMMYFUNCTION("""COMPUTED_VALUE"""),"https://i.postimg.cc/fWcTdJmQ/237.png")</f>
        <v>https://i.postimg.cc/fWcTdJmQ/237.png</v>
      </c>
      <c r="F107" s="162"/>
      <c r="G107" s="163" t="str">
        <f>IFERROR(__xludf.DUMMYFUNCTION("""COMPUTED_VALUE"""),"E-203")</f>
        <v>E-203</v>
      </c>
      <c r="H107" s="163" t="str">
        <f>IFERROR(__xludf.DUMMYFUNCTION("""COMPUTED_VALUE"""),"Three Captains Luffy")</f>
        <v>Three Captains Luffy</v>
      </c>
      <c r="I107" s="163" t="str">
        <f>IFERROR(__xludf.DUMMYFUNCTION("""COMPUTED_VALUE"""),"When in the Treasure Area: Reduce damage recieved by 3%.")</f>
        <v>When in the Treasure Area: Reduce damage recieved by 3%.</v>
      </c>
      <c r="J107" s="163" t="str">
        <f>IFERROR(__xludf.DUMMYFUNCTION("""COMPUTED_VALUE"""),"Land of Wano ~ Straw Hat Pirates ~ Paramecia ~ Captain ~ Worst Generation ~ Blood Brothers")</f>
        <v>Land of Wano ~ Straw Hat Pirates ~ Paramecia ~ Captain ~ Worst Generation ~ Blood Brothers</v>
      </c>
      <c r="K107" s="164" t="str">
        <f>IFERROR(__xludf.DUMMYFUNCTION("""COMPUTED_VALUE"""),"https://i.postimg.cc/ncGDdr2L/203.png")</f>
        <v>https://i.postimg.cc/ncGDdr2L/203.png</v>
      </c>
      <c r="L107" s="162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</row>
    <row r="108">
      <c r="A108" s="163" t="str">
        <f>IFERROR(__xludf.DUMMYFUNCTION("""COMPUTED_VALUE"""),"G-236")</f>
        <v>G-236</v>
      </c>
      <c r="B108" s="163" t="str">
        <f>IFERROR(__xludf.DUMMYFUNCTION("""COMPUTED_VALUE"""),"Raid Jinbe")</f>
        <v>Raid Jinbe</v>
      </c>
      <c r="C108" s="163" t="str">
        <f>IFERROR(__xludf.DUMMYFUNCTION("""COMPUTED_VALUE"""),"When your HP is 70% or more: Reduce damage recieved by 5%.")</f>
        <v>When your HP is 70% or more: Reduce damage recieved by 5%.</v>
      </c>
      <c r="D108" s="163" t="str">
        <f>IFERROR(__xludf.DUMMYFUNCTION("""COMPUTED_VALUE"""),"Land of Wano ~ Straw Hat Pirates ~ Helmsman ~ Fish_Man ~ Fish_Man Karate ~ The Seven Warlords of the Sea / Former Warlords of the Sea")</f>
        <v>Land of Wano ~ Straw Hat Pirates ~ Helmsman ~ Fish_Man ~ Fish_Man Karate ~ The Seven Warlords of the Sea / Former Warlords of the Sea</v>
      </c>
      <c r="E108" s="164" t="str">
        <f>IFERROR(__xludf.DUMMYFUNCTION("""COMPUTED_VALUE"""),"https://i.postimg.cc/WbspwTwF/236.png")</f>
        <v>https://i.postimg.cc/WbspwTwF/236.png</v>
      </c>
      <c r="F108" s="162"/>
      <c r="G108" s="163" t="str">
        <f>IFERROR(__xludf.DUMMYFUNCTION("""COMPUTED_VALUE"""),"E-202")</f>
        <v>E-202</v>
      </c>
      <c r="H108" s="163" t="str">
        <f>IFERROR(__xludf.DUMMYFUNCTION("""COMPUTED_VALUE"""),"Gordon")</f>
        <v>Gordon</v>
      </c>
      <c r="I108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108" s="163" t="str">
        <f>IFERROR(__xludf.DUMMYFUNCTION("""COMPUTED_VALUE"""),"FILM RED")</f>
        <v>FILM RED</v>
      </c>
      <c r="K108" s="164" t="str">
        <f>IFERROR(__xludf.DUMMYFUNCTION("""COMPUTED_VALUE"""),"https://i.postimg.cc/gkWhq8v5/202.png")</f>
        <v>https://i.postimg.cc/gkWhq8v5/202.png</v>
      </c>
      <c r="L108" s="162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</row>
    <row r="109">
      <c r="A109" s="163" t="str">
        <f>IFERROR(__xludf.DUMMYFUNCTION("""COMPUTED_VALUE"""),"G-235")</f>
        <v>G-235</v>
      </c>
      <c r="B109" s="163" t="str">
        <f>IFERROR(__xludf.DUMMYFUNCTION("""COMPUTED_VALUE"""),"Enma")</f>
        <v>Enma</v>
      </c>
      <c r="C109" s="163" t="str">
        <f>IFERROR(__xludf.DUMMYFUNCTION("""COMPUTED_VALUE"""),"When your HP is 50% or less: Boost the cooldown reduction speed of Skill 2 by 13%.")</f>
        <v>When your HP is 50% or less: Boost the cooldown reduction speed of Skill 2 by 13%.</v>
      </c>
      <c r="D109" s="163" t="str">
        <f>IFERROR(__xludf.DUMMYFUNCTION("""COMPUTED_VALUE"""),"Land of Wano ~ Straw Hat Pirates ~ Combatant ~ Worst Generation")</f>
        <v>Land of Wano ~ Straw Hat Pirates ~ Combatant ~ Worst Generation</v>
      </c>
      <c r="E109" s="164" t="str">
        <f>IFERROR(__xludf.DUMMYFUNCTION("""COMPUTED_VALUE"""),"https://i.postimg.cc/4Nwf8qW8/235.png")</f>
        <v>https://i.postimg.cc/4Nwf8qW8/235.png</v>
      </c>
      <c r="F109" s="162"/>
      <c r="G109" s="163" t="str">
        <f>IFERROR(__xludf.DUMMYFUNCTION("""COMPUTED_VALUE"""),"E-201")</f>
        <v>E-201</v>
      </c>
      <c r="H109" s="163" t="str">
        <f>IFERROR(__xludf.DUMMYFUNCTION("""COMPUTED_VALUE"""),"Uta`s Father")</f>
        <v>Uta`s Father</v>
      </c>
      <c r="I109" s="163" t="str">
        <f>IFERROR(__xludf.DUMMYFUNCTION("""COMPUTED_VALUE"""),"When you Knockback an enemy: Reduce the cooldown time of Skill 1 by 5%.")</f>
        <v>When you Knockback an enemy: Reduce the cooldown time of Skill 1 by 5%.</v>
      </c>
      <c r="J109" s="163" t="str">
        <f>IFERROR(__xludf.DUMMYFUNCTION("""COMPUTED_VALUE"""),"FILM RED ~ Red_Haired Pirates ~ Captain ~ The Four Emperors ~ Roger Pirates / Ex_Roger Pirates")</f>
        <v>FILM RED ~ Red_Haired Pirates ~ Captain ~ The Four Emperors ~ Roger Pirates / Ex_Roger Pirates</v>
      </c>
      <c r="K109" s="164" t="str">
        <f>IFERROR(__xludf.DUMMYFUNCTION("""COMPUTED_VALUE"""),"https://i.postimg.cc/V60t4FZy/201.png")</f>
        <v>https://i.postimg.cc/V60t4FZy/201.png</v>
      </c>
      <c r="L109" s="162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</row>
    <row r="110">
      <c r="A110" s="163" t="str">
        <f>IFERROR(__xludf.DUMMYFUNCTION("""COMPUTED_VALUE"""),"G-234")</f>
        <v>G-234</v>
      </c>
      <c r="B110" s="163" t="str">
        <f>IFERROR(__xludf.DUMMYFUNCTION("""COMPUTED_VALUE"""),"Conqueror of Three Worlds Raganaraku")</f>
        <v>Conqueror of Three Worlds Raganaraku</v>
      </c>
      <c r="C110" s="163" t="str">
        <f>IFERROR(__xludf.DUMMYFUNCTION("""COMPUTED_VALUE"""),"When you capture the Treasure: Reduce the cooldown time of Skill 1 by 8%.")</f>
        <v>When you capture the Treasure: Reduce the cooldown time of Skill 1 by 8%.</v>
      </c>
      <c r="D110" s="163" t="str">
        <f>IFERROR(__xludf.DUMMYFUNCTION("""COMPUTED_VALUE"""),"Land of Wano ~ Animal Kingdom Pirates ~ Zoan ~ Captain ~ The Four Emperors ~ Former Rocks Pirates")</f>
        <v>Land of Wano ~ Animal Kingdom Pirates ~ Zoan ~ Captain ~ The Four Emperors ~ Former Rocks Pirates</v>
      </c>
      <c r="E110" s="164" t="str">
        <f>IFERROR(__xludf.DUMMYFUNCTION("""COMPUTED_VALUE"""),"https://i.postimg.cc/MpTWg54z/234.png")</f>
        <v>https://i.postimg.cc/MpTWg54z/234.png</v>
      </c>
      <c r="F110" s="162"/>
      <c r="G110" s="163" t="str">
        <f>IFERROR(__xludf.DUMMYFUNCTION("""COMPUTED_VALUE"""),"E-200")</f>
        <v>E-200</v>
      </c>
      <c r="H110" s="163" t="str">
        <f>IFERROR(__xludf.DUMMYFUNCTION("""COMPUTED_VALUE"""),"Purgatory Onigiri")</f>
        <v>Purgatory Onigiri</v>
      </c>
      <c r="I110" s="163" t="str">
        <f>IFERROR(__xludf.DUMMYFUNCTION("""COMPUTED_VALUE"""),"When Critical occurs: Reduce the cooldown time of Skill 2 by 2%.")</f>
        <v>When Critical occurs: Reduce the cooldown time of Skill 2 by 2%.</v>
      </c>
      <c r="J110" s="163" t="str">
        <f>IFERROR(__xludf.DUMMYFUNCTION("""COMPUTED_VALUE"""),"Land of Wano ~ Straw Hat Pirates ~ Combatant ~ Worst Generation")</f>
        <v>Land of Wano ~ Straw Hat Pirates ~ Combatant ~ Worst Generation</v>
      </c>
      <c r="K110" s="164" t="str">
        <f>IFERROR(__xludf.DUMMYFUNCTION("""COMPUTED_VALUE"""),"https://i.postimg.cc/2STn5yLt/200.png")</f>
        <v>https://i.postimg.cc/2STn5yLt/200.png</v>
      </c>
      <c r="L110" s="162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</row>
    <row r="111">
      <c r="A111" s="163" t="str">
        <f>IFERROR(__xludf.DUMMYFUNCTION("""COMPUTED_VALUE"""),"G-233")</f>
        <v>G-233</v>
      </c>
      <c r="B111" s="163" t="str">
        <f>IFERROR(__xludf.DUMMYFUNCTION("""COMPUTED_VALUE"""),"Olin")</f>
        <v>Olin</v>
      </c>
      <c r="C111" s="163" t="str">
        <f>IFERROR(__xludf.DUMMYFUNCTION("""COMPUTED_VALUE"""),"When attacked by an enemy inflicted with Aflame: Reduce damage recieved by 5%.")</f>
        <v>When attacked by an enemy inflicted with Aflame: Reduce damage recieved by 5%.</v>
      </c>
      <c r="D111" s="163" t="str">
        <f>IFERROR(__xludf.DUMMYFUNCTION("""COMPUTED_VALUE"""),"Land of Wano ~ Big Mom Pirates ~ Paramecia ~ Captain ~ Royalty / Former Royalty ~ The Four Emperors ~ Charlotte Family ~ Former Rocks Pirates")</f>
        <v>Land of Wano ~ Big Mom Pirates ~ Paramecia ~ Captain ~ Royalty / Former Royalty ~ The Four Emperors ~ Charlotte Family ~ Former Rocks Pirates</v>
      </c>
      <c r="E111" s="164" t="str">
        <f>IFERROR(__xludf.DUMMYFUNCTION("""COMPUTED_VALUE"""),"https://i.postimg.cc/9QnW2T5Z/233.png")</f>
        <v>https://i.postimg.cc/9QnW2T5Z/233.png</v>
      </c>
      <c r="F111" s="162"/>
      <c r="G111" s="163" t="str">
        <f>IFERROR(__xludf.DUMMYFUNCTION("""COMPUTED_VALUE"""),"E-199")</f>
        <v>E-199</v>
      </c>
      <c r="H111" s="163" t="str">
        <f>IFERROR(__xludf.DUMMYFUNCTION("""COMPUTED_VALUE"""),"Kong Gun")</f>
        <v>Kong Gun</v>
      </c>
      <c r="I111" s="163" t="str">
        <f>IFERROR(__xludf.DUMMYFUNCTION("""COMPUTED_VALUE"""),"When you capture the Treasure: Recover HP by 5%.")</f>
        <v>When you capture the Treasure: Recover HP by 5%.</v>
      </c>
      <c r="J111" s="163" t="str">
        <f>IFERROR(__xludf.DUMMYFUNCTION("""COMPUTED_VALUE"""),"Land of Wano ~ Straw Hat Pirates ~ Paramecia ~ Captain ~ Worst Generation ~ Blood Brothers")</f>
        <v>Land of Wano ~ Straw Hat Pirates ~ Paramecia ~ Captain ~ Worst Generation ~ Blood Brothers</v>
      </c>
      <c r="K111" s="164" t="str">
        <f>IFERROR(__xludf.DUMMYFUNCTION("""COMPUTED_VALUE"""),"https://i.postimg.cc/mkQHWgG8/199.png")</f>
        <v>https://i.postimg.cc/mkQHWgG8/199.png</v>
      </c>
      <c r="L111" s="162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</row>
    <row r="112">
      <c r="A112" s="163" t="str">
        <f>IFERROR(__xludf.DUMMYFUNCTION("""COMPUTED_VALUE"""),"G-232")</f>
        <v>G-232</v>
      </c>
      <c r="B112" s="163" t="str">
        <f>IFERROR(__xludf.DUMMYFUNCTION("""COMPUTED_VALUE"""),"Adio")</f>
        <v>Adio</v>
      </c>
      <c r="C112" s="163" t="str">
        <f>IFERROR(__xludf.DUMMYFUNCTION("""COMPUTED_VALUE"""),"When in the Treasure Area: Increase Normal Attack damage dealt by 5%.")</f>
        <v>When in the Treasure Area: Increase Normal Attack damage dealt by 5%.</v>
      </c>
      <c r="D112" s="163" t="str">
        <f>IFERROR(__xludf.DUMMYFUNCTION("""COMPUTED_VALUE"""),"ODYSSEY")</f>
        <v>ODYSSEY</v>
      </c>
      <c r="E112" s="164" t="str">
        <f>IFERROR(__xludf.DUMMYFUNCTION("""COMPUTED_VALUE"""),"https://i.postimg.cc/KY3m8zxV/232.png")</f>
        <v>https://i.postimg.cc/KY3m8zxV/232.png</v>
      </c>
      <c r="F112" s="162"/>
      <c r="G112" s="163" t="str">
        <f>IFERROR(__xludf.DUMMYFUNCTION("""COMPUTED_VALUE"""),"E-198")</f>
        <v>E-198</v>
      </c>
      <c r="H112" s="163" t="str">
        <f>IFERROR(__xludf.DUMMYFUNCTION("""COMPUTED_VALUE"""),"Prometheus (Land of Wano)")</f>
        <v>Prometheus (Land of Wano)</v>
      </c>
      <c r="I112" s="163" t="str">
        <f>IFERROR(__xludf.DUMMYFUNCTION("""COMPUTED_VALUE"""),"When enemies are inflicted with Aflame: Recover HP by 2%.")</f>
        <v>When enemies are inflicted with Aflame: Recover HP by 2%.</v>
      </c>
      <c r="J112" s="163" t="str">
        <f>IFERROR(__xludf.DUMMYFUNCTION("""COMPUTED_VALUE"""),"Land of Wano ~ Big Mom Pirates ~ Homies")</f>
        <v>Land of Wano ~ Big Mom Pirates ~ Homies</v>
      </c>
      <c r="K112" s="164" t="str">
        <f>IFERROR(__xludf.DUMMYFUNCTION("""COMPUTED_VALUE"""),"https://i.postimg.cc/PqRZm74z/198.png")</f>
        <v>https://i.postimg.cc/PqRZm74z/198.png</v>
      </c>
      <c r="L112" s="162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</row>
    <row r="113">
      <c r="A113" s="163" t="str">
        <f>IFERROR(__xludf.DUMMYFUNCTION("""COMPUTED_VALUE"""),"G-231")</f>
        <v>G-231</v>
      </c>
      <c r="B113" s="163" t="str">
        <f>IFERROR(__xludf.DUMMYFUNCTION("""COMPUTED_VALUE"""),"King")</f>
        <v>King</v>
      </c>
      <c r="C113" s="163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D113" s="163" t="str">
        <f>IFERROR(__xludf.DUMMYFUNCTION("""COMPUTED_VALUE"""),"Land of Wano ~ Animal Kingdom Pirates ~ Zoan ~ Lead Performer")</f>
        <v>Land of Wano ~ Animal Kingdom Pirates ~ Zoan ~ Lead Performer</v>
      </c>
      <c r="E113" s="164" t="str">
        <f>IFERROR(__xludf.DUMMYFUNCTION("""COMPUTED_VALUE"""),"https://i.postimg.cc/mDxBzsrr/231.png")</f>
        <v>https://i.postimg.cc/mDxBzsrr/231.png</v>
      </c>
      <c r="F113" s="162"/>
      <c r="G113" s="163" t="str">
        <f>IFERROR(__xludf.DUMMYFUNCTION("""COMPUTED_VALUE"""),"E-197")</f>
        <v>E-197</v>
      </c>
      <c r="H113" s="163" t="str">
        <f>IFERROR(__xludf.DUMMYFUNCTION("""COMPUTED_VALUE"""),"Hera")</f>
        <v>Hera</v>
      </c>
      <c r="I113" s="163" t="str">
        <f>IFERROR(__xludf.DUMMYFUNCTION("""COMPUTED_VALUE"""),"When you are in your team`s Treasure Area and the Trasure Gauge is 80% or more: Boost the cooldown reduction speed of Skill 1 by 13%. and Reduce damage recieved by 5%.")</f>
        <v>When you are in your team`s Treasure Area and the Trasure Gauge is 80% or more: Boost the cooldown reduction speed of Skill 1 by 13%. and Reduce damage recieved by 5%.</v>
      </c>
      <c r="J113" s="163" t="str">
        <f>IFERROR(__xludf.DUMMYFUNCTION("""COMPUTED_VALUE"""),"Land of Wano ~ Big Mom Pirates ~ Homies")</f>
        <v>Land of Wano ~ Big Mom Pirates ~ Homies</v>
      </c>
      <c r="K113" s="164" t="str">
        <f>IFERROR(__xludf.DUMMYFUNCTION("""COMPUTED_VALUE"""),"https://i.postimg.cc/MHkQLjgn/197.png")</f>
        <v>https://i.postimg.cc/MHkQLjgn/197.png</v>
      </c>
      <c r="L113" s="162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</row>
    <row r="114">
      <c r="A114" s="163" t="str">
        <f>IFERROR(__xludf.DUMMYFUNCTION("""COMPUTED_VALUE"""),"G-230")</f>
        <v>G-230</v>
      </c>
      <c r="B114" s="163" t="str">
        <f>IFERROR(__xludf.DUMMYFUNCTION("""COMPUTED_VALUE"""),"X Calibur")</f>
        <v>X Calibur</v>
      </c>
      <c r="C114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114" s="163" t="str">
        <f>IFERROR(__xludf.DUMMYFUNCTION("""COMPUTED_VALUE"""),"Land of Wano ~ Navy ~ Zoan ~ Worst Generation ~ ``Sword``")</f>
        <v>Land of Wano ~ Navy ~ Zoan ~ Worst Generation ~ ``Sword``</v>
      </c>
      <c r="E114" s="164" t="str">
        <f>IFERROR(__xludf.DUMMYFUNCTION("""COMPUTED_VALUE"""),"https://i.postimg.cc/zBn5TcLF/230.png")</f>
        <v>https://i.postimg.cc/zBn5TcLF/230.png</v>
      </c>
      <c r="F114" s="162"/>
      <c r="G114" s="163" t="str">
        <f>IFERROR(__xludf.DUMMYFUNCTION("""COMPUTED_VALUE"""),"E-196")</f>
        <v>E-196</v>
      </c>
      <c r="H114" s="163" t="str">
        <f>IFERROR(__xludf.DUMMYFUNCTION("""COMPUTED_VALUE"""),"Arlong (Sun Pirates)")</f>
        <v>Arlong (Sun Pirates)</v>
      </c>
      <c r="I114" s="163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J114" s="163" t="str">
        <f>IFERROR(__xludf.DUMMYFUNCTION("""COMPUTED_VALUE"""),"Fish_Man ~ Sun Pirates")</f>
        <v>Fish_Man ~ Sun Pirates</v>
      </c>
      <c r="K114" s="164" t="str">
        <f>IFERROR(__xludf.DUMMYFUNCTION("""COMPUTED_VALUE"""),"https://i.postimg.cc/PfZZw28Y/196.png")</f>
        <v>https://i.postimg.cc/PfZZw28Y/196.png</v>
      </c>
      <c r="L114" s="162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</row>
    <row r="115">
      <c r="A115" s="163" t="str">
        <f>IFERROR(__xludf.DUMMYFUNCTION("""COMPUTED_VALUE"""),"G-229")</f>
        <v>G-229</v>
      </c>
      <c r="B115" s="163" t="str">
        <f>IFERROR(__xludf.DUMMYFUNCTION("""COMPUTED_VALUE"""),"Hyogoro")</f>
        <v>Hyogoro</v>
      </c>
      <c r="C115" s="163" t="str">
        <f>IFERROR(__xludf.DUMMYFUNCTION("""COMPUTED_VALUE"""),"When you are Downed: Reduce the cooldown time of Skill 1 by 4%.")</f>
        <v>When you are Downed: Reduce the cooldown time of Skill 1 by 4%.</v>
      </c>
      <c r="D115" s="163" t="str">
        <f>IFERROR(__xludf.DUMMYFUNCTION("""COMPUTED_VALUE"""),"Land of Wano")</f>
        <v>Land of Wano</v>
      </c>
      <c r="E115" s="164" t="str">
        <f>IFERROR(__xludf.DUMMYFUNCTION("""COMPUTED_VALUE"""),"https://i.postimg.cc/5ybJgSLd/229.png")</f>
        <v>https://i.postimg.cc/5ybJgSLd/229.png</v>
      </c>
      <c r="F115" s="162"/>
      <c r="G115" s="163" t="str">
        <f>IFERROR(__xludf.DUMMYFUNCTION("""COMPUTED_VALUE"""),"E-195")</f>
        <v>E-195</v>
      </c>
      <c r="H115" s="163" t="str">
        <f>IFERROR(__xludf.DUMMYFUNCTION("""COMPUTED_VALUE"""),"Fisher Tiger")</f>
        <v>Fisher Tiger</v>
      </c>
      <c r="I115" s="163" t="str">
        <f>IFERROR(__xludf.DUMMYFUNCTION("""COMPUTED_VALUE"""),"When attacked by an enemy whose ATK is boosted: Reduce damage recieved by 5%.")</f>
        <v>When attacked by an enemy whose ATK is boosted: Reduce damage recieved by 5%.</v>
      </c>
      <c r="J115" s="163" t="str">
        <f>IFERROR(__xludf.DUMMYFUNCTION("""COMPUTED_VALUE"""),"Captain ~ Fish_Man ~ Sun Pirates")</f>
        <v>Captain ~ Fish_Man ~ Sun Pirates</v>
      </c>
      <c r="K115" s="164" t="str">
        <f>IFERROR(__xludf.DUMMYFUNCTION("""COMPUTED_VALUE"""),"https://i.postimg.cc/0NQDKvpy/195.png")</f>
        <v>https://i.postimg.cc/0NQDKvpy/195.png</v>
      </c>
      <c r="L115" s="162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</row>
    <row r="116">
      <c r="A116" s="163" t="str">
        <f>IFERROR(__xludf.DUMMYFUNCTION("""COMPUTED_VALUE"""),"G-228")</f>
        <v>G-228</v>
      </c>
      <c r="B116" s="163" t="str">
        <f>IFERROR(__xludf.DUMMYFUNCTION("""COMPUTED_VALUE"""),"Raizo")</f>
        <v>Raizo</v>
      </c>
      <c r="C116" s="163" t="str">
        <f>IFERROR(__xludf.DUMMYFUNCTION("""COMPUTED_VALUE"""),"When using Skill 2: SPD Boosted by 6% for 20 second(s).")</f>
        <v>When using Skill 2: SPD Boosted by 6% for 20 second(s).</v>
      </c>
      <c r="D116" s="163" t="str">
        <f>IFERROR(__xludf.DUMMYFUNCTION("""COMPUTED_VALUE"""),"Land of Wano ~ Paramecia ~ Kozuki Clan / Kozuki Clan Servant ~ Ninja")</f>
        <v>Land of Wano ~ Paramecia ~ Kozuki Clan / Kozuki Clan Servant ~ Ninja</v>
      </c>
      <c r="E116" s="164" t="str">
        <f>IFERROR(__xludf.DUMMYFUNCTION("""COMPUTED_VALUE"""),"https://i.postimg.cc/qqwT56xt/228.png")</f>
        <v>https://i.postimg.cc/qqwT56xt/228.png</v>
      </c>
      <c r="F116" s="162"/>
      <c r="G116" s="163" t="str">
        <f>IFERROR(__xludf.DUMMYFUNCTION("""COMPUTED_VALUE"""),"E-194")</f>
        <v>E-194</v>
      </c>
      <c r="H116" s="163" t="str">
        <f>IFERROR(__xludf.DUMMYFUNCTION("""COMPUTED_VALUE"""),"Ankoro")</f>
        <v>Ankoro</v>
      </c>
      <c r="I116" s="163" t="str">
        <f>IFERROR(__xludf.DUMMYFUNCTION("""COMPUTED_VALUE"""),"When in the area around your captured Treasure: Boost the cooldown reduction speed of Skill 2 by 10%.")</f>
        <v>When in the area around your captured Treasure: Boost the cooldown reduction speed of Skill 2 by 10%.</v>
      </c>
      <c r="J116" s="163" t="str">
        <f>IFERROR(__xludf.DUMMYFUNCTION("""COMPUTED_VALUE"""),"Fish_Man Island ~ Flying Pirates")</f>
        <v>Fish_Man Island ~ Flying Pirates</v>
      </c>
      <c r="K116" s="164" t="str">
        <f>IFERROR(__xludf.DUMMYFUNCTION("""COMPUTED_VALUE"""),"https://i.postimg.cc/sXWm2LjY/194.png")</f>
        <v>https://i.postimg.cc/sXWm2LjY/194.png</v>
      </c>
      <c r="L116" s="162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</row>
    <row r="117">
      <c r="A117" s="163" t="str">
        <f>IFERROR(__xludf.DUMMYFUNCTION("""COMPUTED_VALUE"""),"G-227")</f>
        <v>G-227</v>
      </c>
      <c r="B117" s="163" t="str">
        <f>IFERROR(__xludf.DUMMYFUNCTION("""COMPUTED_VALUE"""),"Shinobu")</f>
        <v>Shinobu</v>
      </c>
      <c r="C117" s="163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D117" s="163" t="str">
        <f>IFERROR(__xludf.DUMMYFUNCTION("""COMPUTED_VALUE"""),"Land of Wano ~ Paramecia ~ Kozuki Clan / Kozuki Clan Servant ~ Ninja")</f>
        <v>Land of Wano ~ Paramecia ~ Kozuki Clan / Kozuki Clan Servant ~ Ninja</v>
      </c>
      <c r="E117" s="164" t="str">
        <f>IFERROR(__xludf.DUMMYFUNCTION("""COMPUTED_VALUE"""),"https://i.postimg.cc/wxQgvnY6/227.png")</f>
        <v>https://i.postimg.cc/wxQgvnY6/227.png</v>
      </c>
      <c r="F117" s="162"/>
      <c r="G117" s="163" t="str">
        <f>IFERROR(__xludf.DUMMYFUNCTION("""COMPUTED_VALUE"""),"E-193")</f>
        <v>E-193</v>
      </c>
      <c r="H117" s="163" t="str">
        <f>IFERROR(__xludf.DUMMYFUNCTION("""COMPUTED_VALUE"""),"Wadatsumi")</f>
        <v>Wadatsumi</v>
      </c>
      <c r="I117" s="163" t="str">
        <f>IFERROR(__xludf.DUMMYFUNCTION("""COMPUTED_VALUE"""),"When attacking an enemy inflicted With Stun: Increase damage dealt by 5%.")</f>
        <v>When attacking an enemy inflicted With Stun: Increase damage dealt by 5%.</v>
      </c>
      <c r="J117" s="163" t="str">
        <f>IFERROR(__xludf.DUMMYFUNCTION("""COMPUTED_VALUE"""),"Fish_Man Island ~ Flying Pirates ~ Fish_Man")</f>
        <v>Fish_Man Island ~ Flying Pirates ~ Fish_Man</v>
      </c>
      <c r="K117" s="164" t="str">
        <f>IFERROR(__xludf.DUMMYFUNCTION("""COMPUTED_VALUE"""),"https://i.postimg.cc/mkGw1Sk0/193.png")</f>
        <v>https://i.postimg.cc/mkGw1Sk0/193.png</v>
      </c>
      <c r="L117" s="162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</row>
    <row r="118">
      <c r="A118" s="163" t="str">
        <f>IFERROR(__xludf.DUMMYFUNCTION("""COMPUTED_VALUE"""),"G-226")</f>
        <v>G-226</v>
      </c>
      <c r="B118" s="163" t="str">
        <f>IFERROR(__xludf.DUMMYFUNCTION("""COMPUTED_VALUE"""),"Trebol")</f>
        <v>Trebol</v>
      </c>
      <c r="C118" s="163" t="str">
        <f>IFERROR(__xludf.DUMMYFUNCTION("""COMPUTED_VALUE"""),"When an ally is KO`d (not including you): Recover HP by 3%.")</f>
        <v>When an ally is KO`d (not including you): Recover HP by 3%.</v>
      </c>
      <c r="D118" s="163" t="str">
        <f>IFERROR(__xludf.DUMMYFUNCTION("""COMPUTED_VALUE"""),"Dressrosa ~ Paramecia ~ Trebol Army ~ Don Quixote Family")</f>
        <v>Dressrosa ~ Paramecia ~ Trebol Army ~ Don Quixote Family</v>
      </c>
      <c r="E118" s="164" t="str">
        <f>IFERROR(__xludf.DUMMYFUNCTION("""COMPUTED_VALUE"""),"https://i.postimg.cc/c4DW7YJ2/226.png")</f>
        <v>https://i.postimg.cc/c4DW7YJ2/226.png</v>
      </c>
      <c r="F118" s="162"/>
      <c r="G118" s="163" t="str">
        <f>IFERROR(__xludf.DUMMYFUNCTION("""COMPUTED_VALUE"""),"E-192")</f>
        <v>E-192</v>
      </c>
      <c r="H118" s="163" t="str">
        <f>IFERROR(__xludf.DUMMYFUNCTION("""COMPUTED_VALUE"""),"Komachiyo")</f>
        <v>Komachiyo</v>
      </c>
      <c r="I118" s="163" t="str">
        <f>IFERROR(__xludf.DUMMYFUNCTION("""COMPUTED_VALUE"""),"When performing a Perfect Dodge: Reduce the cooldown time of Skill 2 by 4%.")</f>
        <v>When performing a Perfect Dodge: Reduce the cooldown time of Skill 2 by 4%.</v>
      </c>
      <c r="J118" s="163" t="str">
        <f>IFERROR(__xludf.DUMMYFUNCTION("""COMPUTED_VALUE"""),"Land of Wano")</f>
        <v>Land of Wano</v>
      </c>
      <c r="K118" s="164" t="str">
        <f>IFERROR(__xludf.DUMMYFUNCTION("""COMPUTED_VALUE"""),"https://i.postimg.cc/BZxN9Rws/192.png")</f>
        <v>https://i.postimg.cc/BZxN9Rws/192.png</v>
      </c>
      <c r="L118" s="162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</row>
    <row r="119">
      <c r="A119" s="163" t="str">
        <f>IFERROR(__xludf.DUMMYFUNCTION("""COMPUTED_VALUE"""),"G-225")</f>
        <v>G-225</v>
      </c>
      <c r="B119" s="163" t="str">
        <f>IFERROR(__xludf.DUMMYFUNCTION("""COMPUTED_VALUE"""),"Ripple_Ripple")</f>
        <v>Ripple_Ripple</v>
      </c>
      <c r="C119" s="163" t="str">
        <f>IFERROR(__xludf.DUMMYFUNCTION("""COMPUTED_VALUE"""),"When hit with Knockback by enemy: Recover HP by 3%.")</f>
        <v>When hit with Knockback by enemy: Recover HP by 3%.</v>
      </c>
      <c r="D119" s="163" t="str">
        <f>IFERROR(__xludf.DUMMYFUNCTION("""COMPUTED_VALUE"""),"Dressrosa ~ Paramecia ~ Diamante Army ~ Don Quixote Family")</f>
        <v>Dressrosa ~ Paramecia ~ Diamante Army ~ Don Quixote Family</v>
      </c>
      <c r="E119" s="164" t="str">
        <f>IFERROR(__xludf.DUMMYFUNCTION("""COMPUTED_VALUE"""),"https://i.postimg.cc/8PkDrwTL/225.png")</f>
        <v>https://i.postimg.cc/8PkDrwTL/225.png</v>
      </c>
      <c r="F119" s="162"/>
      <c r="G119" s="163" t="str">
        <f>IFERROR(__xludf.DUMMYFUNCTION("""COMPUTED_VALUE"""),"E-191")</f>
        <v>E-191</v>
      </c>
      <c r="H119" s="163" t="str">
        <f>IFERROR(__xludf.DUMMYFUNCTION("""COMPUTED_VALUE"""),"Lightning Blast")</f>
        <v>Lightning Blast</v>
      </c>
      <c r="I119" s="163" t="str">
        <f>IFERROR(__xludf.DUMMYFUNCTION("""COMPUTED_VALUE"""),"When enemies are inflicted with Shock: Recover HP by 3%.")</f>
        <v>When enemies are inflicted with Shock: Recover HP by 3%.</v>
      </c>
      <c r="J119" s="163" t="str">
        <f>IFERROR(__xludf.DUMMYFUNCTION("""COMPUTED_VALUE"""),"Land of Wano ~ Homies")</f>
        <v>Land of Wano ~ Homies</v>
      </c>
      <c r="K119" s="164" t="str">
        <f>IFERROR(__xludf.DUMMYFUNCTION("""COMPUTED_VALUE"""),"https://i.postimg.cc/TYf0RQZb/191.png")</f>
        <v>https://i.postimg.cc/TYf0RQZb/191.png</v>
      </c>
      <c r="L119" s="162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</row>
    <row r="120">
      <c r="A120" s="163" t="str">
        <f>IFERROR(__xludf.DUMMYFUNCTION("""COMPUTED_VALUE"""),"G-224")</f>
        <v>G-224</v>
      </c>
      <c r="B120" s="163" t="str">
        <f>IFERROR(__xludf.DUMMYFUNCTION("""COMPUTED_VALUE"""),"Boing_Boing")</f>
        <v>Boing_Boing</v>
      </c>
      <c r="C120" s="163" t="str">
        <f>IFERROR(__xludf.DUMMYFUNCTION("""COMPUTED_VALUE"""),"When your HP is 50% or less: Boost capture speed by 8%.")</f>
        <v>When your HP is 50% or less: Boost capture speed by 8%.</v>
      </c>
      <c r="D120" s="163" t="str">
        <f>IFERROR(__xludf.DUMMYFUNCTION("""COMPUTED_VALUE"""),"Dressrosa ~ Paramecia")</f>
        <v>Dressrosa ~ Paramecia</v>
      </c>
      <c r="E120" s="164" t="str">
        <f>IFERROR(__xludf.DUMMYFUNCTION("""COMPUTED_VALUE"""),"https://i.postimg.cc/K8R20zkz/224.png")</f>
        <v>https://i.postimg.cc/K8R20zkz/224.png</v>
      </c>
      <c r="F120" s="162"/>
      <c r="G120" s="163" t="str">
        <f>IFERROR(__xludf.DUMMYFUNCTION("""COMPUTED_VALUE"""),"E-190")</f>
        <v>E-190</v>
      </c>
      <c r="H120" s="163" t="str">
        <f>IFERROR(__xludf.DUMMYFUNCTION("""COMPUTED_VALUE"""),"Moomonosuke (Dragon)")</f>
        <v>Moomonosuke (Dragon)</v>
      </c>
      <c r="I120" s="163" t="str">
        <f>IFERROR(__xludf.DUMMYFUNCTION("""COMPUTED_VALUE"""),"When your HP is 70% or more: Boost capture speed by 6%.")</f>
        <v>When your HP is 70% or more: Boost capture speed by 6%.</v>
      </c>
      <c r="J120" s="163" t="str">
        <f>IFERROR(__xludf.DUMMYFUNCTION("""COMPUTED_VALUE"""),"Land of Wano ~ Zoan ~ Kozuki Clan / Kozuki Clan Servant")</f>
        <v>Land of Wano ~ Zoan ~ Kozuki Clan / Kozuki Clan Servant</v>
      </c>
      <c r="K120" s="164" t="str">
        <f>IFERROR(__xludf.DUMMYFUNCTION("""COMPUTED_VALUE"""),"https://i.postimg.cc/c4hm6wSb/190.png")</f>
        <v>https://i.postimg.cc/c4hm6wSb/190.png</v>
      </c>
      <c r="L120" s="162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</row>
    <row r="121">
      <c r="A121" s="163" t="str">
        <f>IFERROR(__xludf.DUMMYFUNCTION("""COMPUTED_VALUE"""),"G-223")</f>
        <v>G-223</v>
      </c>
      <c r="B121" s="163" t="str">
        <f>IFERROR(__xludf.DUMMYFUNCTION("""COMPUTED_VALUE"""),"Usopp (FILM RED)")</f>
        <v>Usopp (FILM RED)</v>
      </c>
      <c r="C121" s="163" t="str">
        <f>IFERROR(__xludf.DUMMYFUNCTION("""COMPUTED_VALUE"""),"When hit with Knockback by enemy: Reduce the cooldown time of Skill 1 by 5%.")</f>
        <v>When hit with Knockback by enemy: Reduce the cooldown time of Skill 1 by 5%.</v>
      </c>
      <c r="D121" s="163" t="str">
        <f>IFERROR(__xludf.DUMMYFUNCTION("""COMPUTED_VALUE"""),"FILM RED ~ Straw Hat Pirates ~ Sharp Shooter")</f>
        <v>FILM RED ~ Straw Hat Pirates ~ Sharp Shooter</v>
      </c>
      <c r="E121" s="164" t="str">
        <f>IFERROR(__xludf.DUMMYFUNCTION("""COMPUTED_VALUE"""),"https://i.postimg.cc/132Z2QwK/223.png")</f>
        <v>https://i.postimg.cc/132Z2QwK/223.png</v>
      </c>
      <c r="F121" s="162"/>
      <c r="G121" s="163" t="str">
        <f>IFERROR(__xludf.DUMMYFUNCTION("""COMPUTED_VALUE"""),"E-189")</f>
        <v>E-189</v>
      </c>
      <c r="H121" s="163" t="str">
        <f>IFERROR(__xludf.DUMMYFUNCTION("""COMPUTED_VALUE"""),"Ace (Izayoizuki)")</f>
        <v>Ace (Izayoizuki)</v>
      </c>
      <c r="I121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J121" s="163" t="str">
        <f>IFERROR(__xludf.DUMMYFUNCTION("""COMPUTED_VALUE"""),"Land of Wano ~ Logia ~ Captain ~ Blood Brothers")</f>
        <v>Land of Wano ~ Logia ~ Captain ~ Blood Brothers</v>
      </c>
      <c r="K121" s="164" t="str">
        <f>IFERROR(__xludf.DUMMYFUNCTION("""COMPUTED_VALUE"""),"https://i.postimg.cc/MHDyM2hQ/189.png")</f>
        <v>https://i.postimg.cc/MHDyM2hQ/189.png</v>
      </c>
      <c r="L121" s="162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</row>
    <row r="122">
      <c r="A122" s="163" t="str">
        <f>IFERROR(__xludf.DUMMYFUNCTION("""COMPUTED_VALUE"""),"G-222")</f>
        <v>G-222</v>
      </c>
      <c r="B122" s="163" t="str">
        <f>IFERROR(__xludf.DUMMYFUNCTION("""COMPUTED_VALUE"""),"Yasopp (FILM RED)")</f>
        <v>Yasopp (FILM RED)</v>
      </c>
      <c r="C122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122" s="163" t="str">
        <f>IFERROR(__xludf.DUMMYFUNCTION("""COMPUTED_VALUE"""),"FILM RED ~ Red_Haired Pirates ~ Sharp Shooter")</f>
        <v>FILM RED ~ Red_Haired Pirates ~ Sharp Shooter</v>
      </c>
      <c r="E122" s="164" t="str">
        <f>IFERROR(__xludf.DUMMYFUNCTION("""COMPUTED_VALUE"""),"https://i.postimg.cc/3wGHHcZQ/222.png")</f>
        <v>https://i.postimg.cc/3wGHHcZQ/222.png</v>
      </c>
      <c r="F122" s="162"/>
      <c r="G122" s="163" t="str">
        <f>IFERROR(__xludf.DUMMYFUNCTION("""COMPUTED_VALUE"""),"E-188")</f>
        <v>E-188</v>
      </c>
      <c r="H122" s="163" t="str">
        <f>IFERROR(__xludf.DUMMYFUNCTION("""COMPUTED_VALUE"""),"Baby Geezer Chopper")</f>
        <v>Baby Geezer Chopper</v>
      </c>
      <c r="I122" s="163" t="str">
        <f>IFERROR(__xludf.DUMMYFUNCTION("""COMPUTED_VALUE"""),"When you are in your Enemy`s Treasure Area and the Treasure Gauge is 50% or more: Boost capture speed by 6%.")</f>
        <v>When you are in your Enemy`s Treasure Area and the Treasure Gauge is 50% or more: Boost capture speed by 6%.</v>
      </c>
      <c r="J122" s="163" t="str">
        <f>IFERROR(__xludf.DUMMYFUNCTION("""COMPUTED_VALUE"""),"Land of Wano ~ Straw Hat Pirates ~ Zoan ~ Doctor")</f>
        <v>Land of Wano ~ Straw Hat Pirates ~ Zoan ~ Doctor</v>
      </c>
      <c r="K122" s="164" t="str">
        <f>IFERROR(__xludf.DUMMYFUNCTION("""COMPUTED_VALUE"""),"https://i.postimg.cc/sg2JWxfD/188.png")</f>
        <v>https://i.postimg.cc/sg2JWxfD/188.png</v>
      </c>
      <c r="L122" s="162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</row>
    <row r="123">
      <c r="A123" s="163" t="str">
        <f>IFERROR(__xludf.DUMMYFUNCTION("""COMPUTED_VALUE"""),"G-221")</f>
        <v>G-221</v>
      </c>
      <c r="B123" s="163" t="str">
        <f>IFERROR(__xludf.DUMMYFUNCTION("""COMPUTED_VALUE"""),"Chopper (FILM RED)")</f>
        <v>Chopper (FILM RED)</v>
      </c>
      <c r="C123" s="163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D123" s="163" t="str">
        <f>IFERROR(__xludf.DUMMYFUNCTION("""COMPUTED_VALUE"""),"FILM RED ~ Straw Hat Pirates ~ Zoan ~ Doctor")</f>
        <v>FILM RED ~ Straw Hat Pirates ~ Zoan ~ Doctor</v>
      </c>
      <c r="E123" s="164" t="str">
        <f>IFERROR(__xludf.DUMMYFUNCTION("""COMPUTED_VALUE"""),"https://i.postimg.cc/LXBKJg7y/221.png")</f>
        <v>https://i.postimg.cc/LXBKJg7y/221.png</v>
      </c>
      <c r="F123" s="162"/>
      <c r="G123" s="163" t="str">
        <f>IFERROR(__xludf.DUMMYFUNCTION("""COMPUTED_VALUE"""),"E-187")</f>
        <v>E-187</v>
      </c>
      <c r="H123" s="163" t="str">
        <f>IFERROR(__xludf.DUMMYFUNCTION("""COMPUTED_VALUE"""),"Zoro (Bandages)")</f>
        <v>Zoro (Bandages)</v>
      </c>
      <c r="I123" s="163" t="str">
        <f>IFERROR(__xludf.DUMMYFUNCTION("""COMPUTED_VALUE"""),"When attacking an enemy that is capturing Treasure: Reduce the cooldown time of Skill 2 by 3%.")</f>
        <v>When attacking an enemy that is capturing Treasure: Reduce the cooldown time of Skill 2 by 3%.</v>
      </c>
      <c r="J123" s="163" t="str">
        <f>IFERROR(__xludf.DUMMYFUNCTION("""COMPUTED_VALUE"""),"Land of Wano ~ Straw Hat Pirates ~ Combatant ~ Worst Generation")</f>
        <v>Land of Wano ~ Straw Hat Pirates ~ Combatant ~ Worst Generation</v>
      </c>
      <c r="K123" s="164" t="str">
        <f>IFERROR(__xludf.DUMMYFUNCTION("""COMPUTED_VALUE"""),"https://i.postimg.cc/fRgffsk7/187.png")</f>
        <v>https://i.postimg.cc/fRgffsk7/187.png</v>
      </c>
      <c r="L123" s="162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</row>
    <row r="124">
      <c r="A124" s="163" t="str">
        <f>IFERROR(__xludf.DUMMYFUNCTION("""COMPUTED_VALUE"""),"G-220")</f>
        <v>G-220</v>
      </c>
      <c r="B124" s="163" t="str">
        <f>IFERROR(__xludf.DUMMYFUNCTION("""COMPUTED_VALUE"""),"Nami (FILM RED)")</f>
        <v>Nami (FILM RED)</v>
      </c>
      <c r="C124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D124" s="163" t="str">
        <f>IFERROR(__xludf.DUMMYFUNCTION("""COMPUTED_VALUE"""),"FILM RED ~ Straw Hat Pirates ~ Navigator")</f>
        <v>FILM RED ~ Straw Hat Pirates ~ Navigator</v>
      </c>
      <c r="E124" s="164" t="str">
        <f>IFERROR(__xludf.DUMMYFUNCTION("""COMPUTED_VALUE"""),"https://i.postimg.cc/90J6p5cZ/220.png")</f>
        <v>https://i.postimg.cc/90J6p5cZ/220.png</v>
      </c>
      <c r="F124" s="162"/>
      <c r="G124" s="163" t="str">
        <f>IFERROR(__xludf.DUMMYFUNCTION("""COMPUTED_VALUE"""),"E-186")</f>
        <v>E-186</v>
      </c>
      <c r="H124" s="163" t="str">
        <f>IFERROR(__xludf.DUMMYFUNCTION("""COMPUTED_VALUE"""),"Strike Back")</f>
        <v>Strike Back</v>
      </c>
      <c r="I124" s="163" t="str">
        <f>IFERROR(__xludf.DUMMYFUNCTION("""COMPUTED_VALUE"""),"After reciving damage from an enemy which is more than 30% of your max HP: Recover HP by 3%.")</f>
        <v>After reciving damage from an enemy which is more than 30% of your max HP: Recover HP by 3%.</v>
      </c>
      <c r="J124" s="163" t="str">
        <f>IFERROR(__xludf.DUMMYFUNCTION("""COMPUTED_VALUE"""),"Alabasta ~ Straw Hat Pirates ~ Sharp Shooter")</f>
        <v>Alabasta ~ Straw Hat Pirates ~ Sharp Shooter</v>
      </c>
      <c r="K124" s="164" t="str">
        <f>IFERROR(__xludf.DUMMYFUNCTION("""COMPUTED_VALUE"""),"https://i.postimg.cc/tgZtrcVK/186.png")</f>
        <v>https://i.postimg.cc/tgZtrcVK/186.png</v>
      </c>
      <c r="L124" s="162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</row>
    <row r="125">
      <c r="A125" s="163" t="str">
        <f>IFERROR(__xludf.DUMMYFUNCTION("""COMPUTED_VALUE"""),"G-219")</f>
        <v>G-219</v>
      </c>
      <c r="B125" s="163" t="str">
        <f>IFERROR(__xludf.DUMMYFUNCTION("""COMPUTED_VALUE"""),"Beckman (FILM RED)")</f>
        <v>Beckman (FILM RED)</v>
      </c>
      <c r="C125" s="163" t="str">
        <f>IFERROR(__xludf.DUMMYFUNCTION("""COMPUTED_VALUE"""),"When you Knockback an enemy: Recover HP by 3%.")</f>
        <v>When you Knockback an enemy: Recover HP by 3%.</v>
      </c>
      <c r="D125" s="163" t="str">
        <f>IFERROR(__xludf.DUMMYFUNCTION("""COMPUTED_VALUE"""),"FILM RED ~ Red_Haired Pirates")</f>
        <v>FILM RED ~ Red_Haired Pirates</v>
      </c>
      <c r="E125" s="164" t="str">
        <f>IFERROR(__xludf.DUMMYFUNCTION("""COMPUTED_VALUE"""),"https://i.postimg.cc/6qWsn5xB/219.png")</f>
        <v>https://i.postimg.cc/6qWsn5xB/219.png</v>
      </c>
      <c r="F125" s="162"/>
      <c r="G125" s="163" t="str">
        <f>IFERROR(__xludf.DUMMYFUNCTION("""COMPUTED_VALUE"""),"E-185")</f>
        <v>E-185</v>
      </c>
      <c r="H125" s="163" t="str">
        <f>IFERROR(__xludf.DUMMYFUNCTION("""COMPUTED_VALUE"""),"Hajrudin")</f>
        <v>Hajrudin</v>
      </c>
      <c r="I125" s="163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J125" s="163" t="str">
        <f>IFERROR(__xludf.DUMMYFUNCTION("""COMPUTED_VALUE"""),"Dressrosa ~ Captain ~ Straw Hat Fleet")</f>
        <v>Dressrosa ~ Captain ~ Straw Hat Fleet</v>
      </c>
      <c r="K125" s="164" t="str">
        <f>IFERROR(__xludf.DUMMYFUNCTION("""COMPUTED_VALUE"""),"https://i.postimg.cc/R0k12T7N/185.png")</f>
        <v>https://i.postimg.cc/R0k12T7N/185.png</v>
      </c>
      <c r="L125" s="162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</row>
    <row r="126">
      <c r="A126" s="163" t="str">
        <f>IFERROR(__xludf.DUMMYFUNCTION("""COMPUTED_VALUE"""),"G-218")</f>
        <v>G-218</v>
      </c>
      <c r="B126" s="163" t="str">
        <f>IFERROR(__xludf.DUMMYFUNCTION("""COMPUTED_VALUE"""),"Shanks (FILM RED)")</f>
        <v>Shanks (FILM RED)</v>
      </c>
      <c r="C126" s="163" t="str">
        <f>IFERROR(__xludf.DUMMYFUNCTION("""COMPUTED_VALUE"""),"After KOing an enemy: Reduce the cooldown time of Skill 2 by 8%.")</f>
        <v>After KOing an enemy: Reduce the cooldown time of Skill 2 by 8%.</v>
      </c>
      <c r="D126" s="163" t="str">
        <f>IFERROR(__xludf.DUMMYFUNCTION("""COMPUTED_VALUE"""),"FILM RED ~ Red_Haired Pirates ~ Captain ~ The Four Emperors ~ Roger Pirates / Ex_Roger Pirates")</f>
        <v>FILM RED ~ Red_Haired Pirates ~ Captain ~ The Four Emperors ~ Roger Pirates / Ex_Roger Pirates</v>
      </c>
      <c r="E126" s="164" t="str">
        <f>IFERROR(__xludf.DUMMYFUNCTION("""COMPUTED_VALUE"""),"https://i.postimg.cc/05n1xm7j/218.png")</f>
        <v>https://i.postimg.cc/05n1xm7j/218.png</v>
      </c>
      <c r="F126" s="162"/>
      <c r="G126" s="163" t="str">
        <f>IFERROR(__xludf.DUMMYFUNCTION("""COMPUTED_VALUE"""),"E-184")</f>
        <v>E-184</v>
      </c>
      <c r="H126" s="163" t="str">
        <f>IFERROR(__xludf.DUMMYFUNCTION("""COMPUTED_VALUE"""),"Barrier_Barrier")</f>
        <v>Barrier_Barrier</v>
      </c>
      <c r="I126" s="163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J126" s="163" t="str">
        <f>IFERROR(__xludf.DUMMYFUNCTION("""COMPUTED_VALUE"""),"Dressrosa ~ Barto Club ~ Paramecia ~ Captain ~ Straw Hat Fleet")</f>
        <v>Dressrosa ~ Barto Club ~ Paramecia ~ Captain ~ Straw Hat Fleet</v>
      </c>
      <c r="K126" s="164" t="str">
        <f>IFERROR(__xludf.DUMMYFUNCTION("""COMPUTED_VALUE"""),"https://i.postimg.cc/4dpvGhPw/184.png")</f>
        <v>https://i.postimg.cc/4dpvGhPw/184.png</v>
      </c>
      <c r="L126" s="162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</row>
    <row r="127">
      <c r="A127" s="163" t="str">
        <f>IFERROR(__xludf.DUMMYFUNCTION("""COMPUTED_VALUE"""),"G-217")</f>
        <v>G-217</v>
      </c>
      <c r="B127" s="163" t="str">
        <f>IFERROR(__xludf.DUMMYFUNCTION("""COMPUTED_VALUE"""),"Luffy (FILM RED)")</f>
        <v>Luffy (FILM RED)</v>
      </c>
      <c r="C127" s="163" t="str">
        <f>IFERROR(__xludf.DUMMYFUNCTION("""COMPUTED_VALUE"""),"When Respawned: CRIT Boosted by 90% for 20 second(s).")</f>
        <v>When Respawned: CRIT Boosted by 90% for 20 second(s).</v>
      </c>
      <c r="D127" s="163" t="str">
        <f>IFERROR(__xludf.DUMMYFUNCTION("""COMPUTED_VALUE"""),"FILM RED ~ Straw Hat Pirates ~ Paramecia ~ Captain ~ Worst Generation ~ Blood Brothers")</f>
        <v>FILM RED ~ Straw Hat Pirates ~ Paramecia ~ Captain ~ Worst Generation ~ Blood Brothers</v>
      </c>
      <c r="E127" s="164" t="str">
        <f>IFERROR(__xludf.DUMMYFUNCTION("""COMPUTED_VALUE"""),"https://i.postimg.cc/MKrkfSP8/217.png")</f>
        <v>https://i.postimg.cc/MKrkfSP8/217.png</v>
      </c>
      <c r="F127" s="162"/>
      <c r="G127" s="163" t="str">
        <f>IFERROR(__xludf.DUMMYFUNCTION("""COMPUTED_VALUE"""),"E-183")</f>
        <v>E-183</v>
      </c>
      <c r="H127" s="163" t="str">
        <f>IFERROR(__xludf.DUMMYFUNCTION("""COMPUTED_VALUE"""),"Mystoms")</f>
        <v>Mystoms</v>
      </c>
      <c r="I127" s="163" t="str">
        <f>IFERROR(__xludf.DUMMYFUNCTION("""COMPUTED_VALUE"""),"When a damage_dealing Shock infliction has been nullifed: Reduce the cooldown time of Skill 1 by 6%.")</f>
        <v>When a damage_dealing Shock infliction has been nullifed: Reduce the cooldown time of Skill 1 by 6%.</v>
      </c>
      <c r="J127" s="163" t="str">
        <f>IFERROR(__xludf.DUMMYFUNCTION("""COMPUTED_VALUE"""),"Zou / Whole Cake Island ~ Big Mom Pirates ~ Zoan ~ Combatant ~ Minks")</f>
        <v>Zou / Whole Cake Island ~ Big Mom Pirates ~ Zoan ~ Combatant ~ Minks</v>
      </c>
      <c r="K127" s="164" t="str">
        <f>IFERROR(__xludf.DUMMYFUNCTION("""COMPUTED_VALUE"""),"https://i.postimg.cc/ZnZ85KDm/183.png")</f>
        <v>https://i.postimg.cc/ZnZ85KDm/183.png</v>
      </c>
      <c r="L127" s="162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</row>
    <row r="128">
      <c r="A128" s="163" t="str">
        <f>IFERROR(__xludf.DUMMYFUNCTION("""COMPUTED_VALUE"""),"G-216")</f>
        <v>G-216</v>
      </c>
      <c r="B128" s="163" t="str">
        <f>IFERROR(__xludf.DUMMYFUNCTION("""COMPUTED_VALUE"""),"Uta")</f>
        <v>Uta</v>
      </c>
      <c r="C128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28" s="163" t="str">
        <f>IFERROR(__xludf.DUMMYFUNCTION("""COMPUTED_VALUE"""),"FILM RED ~ Paramecia")</f>
        <v>FILM RED ~ Paramecia</v>
      </c>
      <c r="E128" s="164" t="str">
        <f>IFERROR(__xludf.DUMMYFUNCTION("""COMPUTED_VALUE"""),"https://i.postimg.cc/FHfMjB8k/216.png")</f>
        <v>https://i.postimg.cc/FHfMjB8k/216.png</v>
      </c>
      <c r="F128" s="162"/>
      <c r="G128" s="163" t="str">
        <f>IFERROR(__xludf.DUMMYFUNCTION("""COMPUTED_VALUE"""),"E-182")</f>
        <v>E-182</v>
      </c>
      <c r="H128" s="163" t="str">
        <f>IFERROR(__xludf.DUMMYFUNCTION("""COMPUTED_VALUE"""),"Carrot (Sulong)")</f>
        <v>Carrot (Sulong)</v>
      </c>
      <c r="I128" s="163" t="str">
        <f>IFERROR(__xludf.DUMMYFUNCTION("""COMPUTED_VALUE"""),"When enemies are inflicted with Shock: Reduce the cooldown time of Skill 1 by 6%.")</f>
        <v>When enemies are inflicted with Shock: Reduce the cooldown time of Skill 1 by 6%.</v>
      </c>
      <c r="J128" s="163" t="str">
        <f>IFERROR(__xludf.DUMMYFUNCTION("""COMPUTED_VALUE"""),"Zou / Whole Cake Island ~ Mokomo Dukedom Musketeer ~ Kingsbird ~ Minks")</f>
        <v>Zou / Whole Cake Island ~ Mokomo Dukedom Musketeer ~ Kingsbird ~ Minks</v>
      </c>
      <c r="K128" s="164" t="str">
        <f>IFERROR(__xludf.DUMMYFUNCTION("""COMPUTED_VALUE"""),"https://i.postimg.cc/pVYQ1zpL/182.png")</f>
        <v>https://i.postimg.cc/pVYQ1zpL/182.png</v>
      </c>
      <c r="L128" s="162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</row>
    <row r="129">
      <c r="A129" s="163" t="str">
        <f>IFERROR(__xludf.DUMMYFUNCTION("""COMPUTED_VALUE"""),"G-215")</f>
        <v>G-215</v>
      </c>
      <c r="B129" s="163" t="str">
        <f>IFERROR(__xludf.DUMMYFUNCTION("""COMPUTED_VALUE"""),"Zephyr")</f>
        <v>Zephyr</v>
      </c>
      <c r="C129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29" s="163" t="str">
        <f>IFERROR(__xludf.DUMMYFUNCTION("""COMPUTED_VALUE"""),"FILM Z")</f>
        <v>FILM Z</v>
      </c>
      <c r="E129" s="164" t="str">
        <f>IFERROR(__xludf.DUMMYFUNCTION("""COMPUTED_VALUE"""),"https://i.postimg.cc/8PCQC5bH/215.png")</f>
        <v>https://i.postimg.cc/8PCQC5bH/215.png</v>
      </c>
      <c r="F129" s="162"/>
      <c r="G129" s="163" t="str">
        <f>IFERROR(__xludf.DUMMYFUNCTION("""COMPUTED_VALUE"""),"E-181")</f>
        <v>E-181</v>
      </c>
      <c r="H129" s="163" t="str">
        <f>IFERROR(__xludf.DUMMYFUNCTION("""COMPUTED_VALUE"""),"Montd``or")</f>
        <v>Montd``or</v>
      </c>
      <c r="I129" s="163" t="str">
        <f>IFERROR(__xludf.DUMMYFUNCTION("""COMPUTED_VALUE"""),"When you are in your team`s Treasure Area and the Trasure Gauge is 80% or more: Boost the cooldown reduction speed of Skill 1 by 10%. and Boost the cooldown reduction speed of Skill 2 by 10%.")</f>
        <v>When you are in your team`s Treasure Area and the Trasure Gauge is 80% or more: Boost the cooldown reduction speed of Skill 1 by 10%. and Boost the cooldown reduction speed of Skill 2 by 10%.</v>
      </c>
      <c r="J129" s="163" t="str">
        <f>IFERROR(__xludf.DUMMYFUNCTION("""COMPUTED_VALUE"""),"Zou / Whole Cake Island ~ Big Mom Pirates ~ Paramecia ~ Charlotte Family")</f>
        <v>Zou / Whole Cake Island ~ Big Mom Pirates ~ Paramecia ~ Charlotte Family</v>
      </c>
      <c r="K129" s="164" t="str">
        <f>IFERROR(__xludf.DUMMYFUNCTION("""COMPUTED_VALUE"""),"https://i.postimg.cc/KvG7XjMr/181.png")</f>
        <v>https://i.postimg.cc/KvG7XjMr/181.png</v>
      </c>
      <c r="L129" s="162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</row>
    <row r="130">
      <c r="A130" s="163" t="str">
        <f>IFERROR(__xludf.DUMMYFUNCTION("""COMPUTED_VALUE"""),"G-214")</f>
        <v>G-214</v>
      </c>
      <c r="B130" s="163" t="str">
        <f>IFERROR(__xludf.DUMMYFUNCTION("""COMPUTED_VALUE"""),"Tesoro")</f>
        <v>Tesoro</v>
      </c>
      <c r="C130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D130" s="163" t="str">
        <f>IFERROR(__xludf.DUMMYFUNCTION("""COMPUTED_VALUE"""),"FILM GOLD ~ Paramecia ~ Royalty / Former Royalty")</f>
        <v>FILM GOLD ~ Paramecia ~ Royalty / Former Royalty</v>
      </c>
      <c r="E130" s="164" t="str">
        <f>IFERROR(__xludf.DUMMYFUNCTION("""COMPUTED_VALUE"""),"https://i.postimg.cc/K8ddQ5hq/214.png")</f>
        <v>https://i.postimg.cc/K8ddQ5hq/214.png</v>
      </c>
      <c r="F130" s="162"/>
      <c r="G130" s="163" t="str">
        <f>IFERROR(__xludf.DUMMYFUNCTION("""COMPUTED_VALUE"""),"E-180")</f>
        <v>E-180</v>
      </c>
      <c r="H130" s="163" t="str">
        <f>IFERROR(__xludf.DUMMYFUNCTION("""COMPUTED_VALUE"""),"Mochi_Mochi")</f>
        <v>Mochi_Mochi</v>
      </c>
      <c r="I130" s="163" t="str">
        <f>IFERROR(__xludf.DUMMYFUNCTION("""COMPUTED_VALUE"""),"When using Skill 2: Reduce the cooldown time of Skill 1 by 5%.")</f>
        <v>When using Skill 2: Reduce the cooldown time of Skill 1 by 5%.</v>
      </c>
      <c r="J130" s="163" t="str">
        <f>IFERROR(__xludf.DUMMYFUNCTION("""COMPUTED_VALUE"""),"Zou / Whole Cake Island ~ Big Mom Pirates ~ Paramecia ~ ``Sweet 3`` General ~ Charlotte Family")</f>
        <v>Zou / Whole Cake Island ~ Big Mom Pirates ~ Paramecia ~ ``Sweet 3`` General ~ Charlotte Family</v>
      </c>
      <c r="K130" s="164" t="str">
        <f>IFERROR(__xludf.DUMMYFUNCTION("""COMPUTED_VALUE"""),"https://i.postimg.cc/3JtX3hjM/180.png")</f>
        <v>https://i.postimg.cc/3JtX3hjM/180.png</v>
      </c>
      <c r="L130" s="162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</row>
    <row r="131">
      <c r="A131" s="163" t="str">
        <f>IFERROR(__xludf.DUMMYFUNCTION("""COMPUTED_VALUE"""),"G-213")</f>
        <v>G-213</v>
      </c>
      <c r="B131" s="163" t="str">
        <f>IFERROR(__xludf.DUMMYFUNCTION("""COMPUTED_VALUE"""),"Shiki")</f>
        <v>Shiki</v>
      </c>
      <c r="C131" s="163" t="str">
        <f>IFERROR(__xludf.DUMMYFUNCTION("""COMPUTED_VALUE"""),"When your HP is 70% or more: Boost capture speed by 8%.")</f>
        <v>When your HP is 70% or more: Boost capture speed by 8%.</v>
      </c>
      <c r="D131" s="163" t="str">
        <f>IFERROR(__xludf.DUMMYFUNCTION("""COMPUTED_VALUE"""),"FILM STRONG WORLD ~ Paramecia ~ Captain ~ Former Rocks Pirates")</f>
        <v>FILM STRONG WORLD ~ Paramecia ~ Captain ~ Former Rocks Pirates</v>
      </c>
      <c r="E131" s="164" t="str">
        <f>IFERROR(__xludf.DUMMYFUNCTION("""COMPUTED_VALUE"""),"https://i.postimg.cc/DzLRNb22/213.png")</f>
        <v>https://i.postimg.cc/DzLRNb22/213.png</v>
      </c>
      <c r="F131" s="162"/>
      <c r="G131" s="163" t="str">
        <f>IFERROR(__xludf.DUMMYFUNCTION("""COMPUTED_VALUE"""),"E-179")</f>
        <v>E-179</v>
      </c>
      <c r="H131" s="163" t="str">
        <f>IFERROR(__xludf.DUMMYFUNCTION("""COMPUTED_VALUE"""),"Gourmet Knight")</f>
        <v>Gourmet Knight</v>
      </c>
      <c r="I131" s="163" t="str">
        <f>IFERROR(__xludf.DUMMYFUNCTION("""COMPUTED_VALUE"""),"When your allies are not near the Treasure area where you are at: Boost the cooldown reduction speed of Skill 2 by 10%.")</f>
        <v>When your allies are not near the Treasure area where you are at: Boost the cooldown reduction speed of Skill 2 by 10%.</v>
      </c>
      <c r="J131" s="163" t="str">
        <f>IFERROR(__xludf.DUMMYFUNCTION("""COMPUTED_VALUE"""),"Zou / Whole Cake Island ~ Big Mom Pirates ~ Paramecia ~ Cook")</f>
        <v>Zou / Whole Cake Island ~ Big Mom Pirates ~ Paramecia ~ Cook</v>
      </c>
      <c r="K131" s="164" t="str">
        <f>IFERROR(__xludf.DUMMYFUNCTION("""COMPUTED_VALUE"""),"https://i.postimg.cc/JztbnFKs/179.png")</f>
        <v>https://i.postimg.cc/JztbnFKs/179.png</v>
      </c>
      <c r="L131" s="162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</row>
    <row r="132">
      <c r="A132" s="163" t="str">
        <f>IFERROR(__xludf.DUMMYFUNCTION("""COMPUTED_VALUE"""),"G-212")</f>
        <v>G-212</v>
      </c>
      <c r="B132" s="163" t="str">
        <f>IFERROR(__xludf.DUMMYFUNCTION("""COMPUTED_VALUE"""),"Hancock (STAMPEDE)")</f>
        <v>Hancock (STAMPEDE)</v>
      </c>
      <c r="C132" s="163" t="str">
        <f>IFERROR(__xludf.DUMMYFUNCTION("""COMPUTED_VALUE"""),"When you capture the Treasure: SPD Boosted by 6% for 20 second(s).")</f>
        <v>When you capture the Treasure: SPD Boosted by 6% for 20 second(s).</v>
      </c>
      <c r="D132" s="163" t="str">
        <f>IFERROR(__xludf.DUMMYFUNCTION("""COMPUTED_VALUE"""),"STAMPEDE ~ The Seven Warlords of the Sea / Former Warlords of the Sea ~ Kuja Pirates ~ Paramecia ~ Captain ~ Gorgon Sisters")</f>
        <v>STAMPEDE ~ The Seven Warlords of the Sea / Former Warlords of the Sea ~ Kuja Pirates ~ Paramecia ~ Captain ~ Gorgon Sisters</v>
      </c>
      <c r="E132" s="164" t="str">
        <f>IFERROR(__xludf.DUMMYFUNCTION("""COMPUTED_VALUE"""),"https://i.postimg.cc/1tSb15tD/212.png")</f>
        <v>https://i.postimg.cc/1tSb15tD/212.png</v>
      </c>
      <c r="F132" s="162"/>
      <c r="G132" s="163" t="str">
        <f>IFERROR(__xludf.DUMMYFUNCTION("""COMPUTED_VALUE"""),"E-178")</f>
        <v>E-178</v>
      </c>
      <c r="H132" s="163" t="str">
        <f>IFERROR(__xludf.DUMMYFUNCTION("""COMPUTED_VALUE"""),"Lucky Fellow?")</f>
        <v>Lucky Fellow?</v>
      </c>
      <c r="I132" s="163" t="str">
        <f>IFERROR(__xludf.DUMMYFUNCTION("""COMPUTED_VALUE"""),"When your allies are near the Treasure area where you are at: Boost the cooldown reduction speed of Skill 1 by 13%.")</f>
        <v>When your allies are near the Treasure area where you are at: Boost the cooldown reduction speed of Skill 1 by 13%.</v>
      </c>
      <c r="J132" s="163" t="str">
        <f>IFERROR(__xludf.DUMMYFUNCTION("""COMPUTED_VALUE"""),"Zou / Whole Cake Island ~ Straw Hat Pirates ~ Cook")</f>
        <v>Zou / Whole Cake Island ~ Straw Hat Pirates ~ Cook</v>
      </c>
      <c r="K132" s="164" t="str">
        <f>IFERROR(__xludf.DUMMYFUNCTION("""COMPUTED_VALUE"""),"https://i.postimg.cc/0y37JCHc/178.png")</f>
        <v>https://i.postimg.cc/0y37JCHc/178.png</v>
      </c>
      <c r="L132" s="162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</row>
    <row r="133">
      <c r="A133" s="163" t="str">
        <f>IFERROR(__xludf.DUMMYFUNCTION("""COMPUTED_VALUE"""),"G-211")</f>
        <v>G-211</v>
      </c>
      <c r="B133" s="163" t="str">
        <f>IFERROR(__xludf.DUMMYFUNCTION("""COMPUTED_VALUE"""),"Phoenix Brand")</f>
        <v>Phoenix Brand</v>
      </c>
      <c r="C133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133" s="163" t="str">
        <f>IFERROR(__xludf.DUMMYFUNCTION("""COMPUTED_VALUE"""),"Land of Wano ~ Whitebeard Pirates ~ Zoan ~ Doctor ~ Whitebeard Pirates Commander")</f>
        <v>Land of Wano ~ Whitebeard Pirates ~ Zoan ~ Doctor ~ Whitebeard Pirates Commander</v>
      </c>
      <c r="E133" s="164" t="str">
        <f>IFERROR(__xludf.DUMMYFUNCTION("""COMPUTED_VALUE"""),"https://i.postimg.cc/RFTyS56y/211.png")</f>
        <v>https://i.postimg.cc/RFTyS56y/211.png</v>
      </c>
      <c r="F133" s="162"/>
      <c r="G133" s="163" t="str">
        <f>IFERROR(__xludf.DUMMYFUNCTION("""COMPUTED_VALUE"""),"E-177")</f>
        <v>E-177</v>
      </c>
      <c r="H133" s="163" t="str">
        <f>IFERROR(__xludf.DUMMYFUNCTION("""COMPUTED_VALUE"""),"Rostisserie Strike")</f>
        <v>Rostisserie Strike</v>
      </c>
      <c r="I133" s="163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J133" s="163" t="str">
        <f>IFERROR(__xludf.DUMMYFUNCTION("""COMPUTED_VALUE"""),"Land of Wano ~ Straw Hat Pirates ~ Cook")</f>
        <v>Land of Wano ~ Straw Hat Pirates ~ Cook</v>
      </c>
      <c r="K133" s="164" t="str">
        <f>IFERROR(__xludf.DUMMYFUNCTION("""COMPUTED_VALUE"""),"https://i.postimg.cc/tTGPB4b6/177.png")</f>
        <v>https://i.postimg.cc/tTGPB4b6/177.png</v>
      </c>
      <c r="L133" s="162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</row>
    <row r="134">
      <c r="A134" s="163" t="str">
        <f>IFERROR(__xludf.DUMMYFUNCTION("""COMPUTED_VALUE"""),"G-210")</f>
        <v>G-210</v>
      </c>
      <c r="B134" s="163" t="str">
        <f>IFERROR(__xludf.DUMMYFUNCTION("""COMPUTED_VALUE"""),"Perospero")</f>
        <v>Perospero</v>
      </c>
      <c r="C134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134" s="163" t="str">
        <f>IFERROR(__xludf.DUMMYFUNCTION("""COMPUTED_VALUE"""),"Land of Wano ~ Big Mom Pirates ~ Paramecia ~ Royalty / Former Royalty ~ Charlotte Family")</f>
        <v>Land of Wano ~ Big Mom Pirates ~ Paramecia ~ Royalty / Former Royalty ~ Charlotte Family</v>
      </c>
      <c r="E134" s="164" t="str">
        <f>IFERROR(__xludf.DUMMYFUNCTION("""COMPUTED_VALUE"""),"https://i.postimg.cc/Y0qVjnQ9/210.png")</f>
        <v>https://i.postimg.cc/Y0qVjnQ9/210.png</v>
      </c>
      <c r="F134" s="162"/>
      <c r="G134" s="163" t="str">
        <f>IFERROR(__xludf.DUMMYFUNCTION("""COMPUTED_VALUE"""),"E-176")</f>
        <v>E-176</v>
      </c>
      <c r="H134" s="163" t="str">
        <f>IFERROR(__xludf.DUMMYFUNCTION("""COMPUTED_VALUE"""),"Red Roc")</f>
        <v>Red Roc</v>
      </c>
      <c r="I134" s="163" t="str">
        <f>IFERROR(__xludf.DUMMYFUNCTION("""COMPUTED_VALUE"""),"When attacking an enemy with the Element you are strong against: Increase damage dealt by 5%.")</f>
        <v>When attacking an enemy with the Element you are strong against: Increase damage dealt by 5%.</v>
      </c>
      <c r="J134" s="163" t="str">
        <f>IFERROR(__xludf.DUMMYFUNCTION("""COMPUTED_VALUE"""),"Land of Wano ~ Straw Hat Pirates ~ Paramecia ~ Captain ~ Worst Generation ~ Blood Brothers")</f>
        <v>Land of Wano ~ Straw Hat Pirates ~ Paramecia ~ Captain ~ Worst Generation ~ Blood Brothers</v>
      </c>
      <c r="K134" s="164" t="str">
        <f>IFERROR(__xludf.DUMMYFUNCTION("""COMPUTED_VALUE"""),"https://i.postimg.cc/YSWYNm5k/176.png")</f>
        <v>https://i.postimg.cc/YSWYNm5k/176.png</v>
      </c>
      <c r="L134" s="162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</row>
    <row r="135">
      <c r="A135" s="163" t="str">
        <f>IFERROR(__xludf.DUMMYFUNCTION("""COMPUTED_VALUE"""),"G-209")</f>
        <v>G-209</v>
      </c>
      <c r="B135" s="163" t="str">
        <f>IFERROR(__xludf.DUMMYFUNCTION("""COMPUTED_VALUE"""),"Spinosaurus")</f>
        <v>Spinosaurus</v>
      </c>
      <c r="C135" s="163" t="str">
        <f>IFERROR(__xludf.DUMMYFUNCTION("""COMPUTED_VALUE"""),"When your HP is 70% or more: Reduce damage recieved by 5%.")</f>
        <v>When your HP is 70% or more: Reduce damage recieved by 5%.</v>
      </c>
      <c r="D135" s="163" t="str">
        <f>IFERROR(__xludf.DUMMYFUNCTION("""COMPUTED_VALUE"""),"Land of Wano ~ Animal Kingdom Pirates ~ Zoan ~ Tobi Roppo")</f>
        <v>Land of Wano ~ Animal Kingdom Pirates ~ Zoan ~ Tobi Roppo</v>
      </c>
      <c r="E135" s="164" t="str">
        <f>IFERROR(__xludf.DUMMYFUNCTION("""COMPUTED_VALUE"""),"https://i.postimg.cc/0jW4SYCC/209.png")</f>
        <v>https://i.postimg.cc/0jW4SYCC/209.png</v>
      </c>
      <c r="F135" s="162"/>
      <c r="G135" s="163" t="str">
        <f>IFERROR(__xludf.DUMMYFUNCTION("""COMPUTED_VALUE"""),"E-175")</f>
        <v>E-175</v>
      </c>
      <c r="H135" s="163" t="str">
        <f>IFERROR(__xludf.DUMMYFUNCTION("""COMPUTED_VALUE"""),"Perospero (Pirate Alliance)")</f>
        <v>Perospero (Pirate Alliance)</v>
      </c>
      <c r="I135" s="163" t="str">
        <f>IFERROR(__xludf.DUMMYFUNCTION("""COMPUTED_VALUE"""),"When you are in your team`s Treasure Area and the Trasure Gauge is 80% or more: Increase damage dealt by 3%. and Reduce damage recieved by 3%.")</f>
        <v>When you are in your team`s Treasure Area and the Trasure Gauge is 80% or more: Increase damage dealt by 3%. and Reduce damage recieved by 3%.</v>
      </c>
      <c r="J135" s="163" t="str">
        <f>IFERROR(__xludf.DUMMYFUNCTION("""COMPUTED_VALUE"""),"Land of Wano ~ Big Mom Pirates ~ Paramecia ~ Charlotte Family")</f>
        <v>Land of Wano ~ Big Mom Pirates ~ Paramecia ~ Charlotte Family</v>
      </c>
      <c r="K135" s="164" t="str">
        <f>IFERROR(__xludf.DUMMYFUNCTION("""COMPUTED_VALUE"""),"https://i.postimg.cc/B65FkfZV/175.png")</f>
        <v>https://i.postimg.cc/B65FkfZV/175.png</v>
      </c>
      <c r="L135" s="162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</row>
    <row r="136">
      <c r="A136" s="163" t="str">
        <f>IFERROR(__xludf.DUMMYFUNCTION("""COMPUTED_VALUE"""),"G-208")</f>
        <v>G-208</v>
      </c>
      <c r="B136" s="163" t="str">
        <f>IFERROR(__xludf.DUMMYFUNCTION("""COMPUTED_VALUE"""),"Pachycephalosaurus")</f>
        <v>Pachycephalosaurus</v>
      </c>
      <c r="C136" s="163" t="str">
        <f>IFERROR(__xludf.DUMMYFUNCTION("""COMPUTED_VALUE"""),"When you are Downed: Reduce the cooldown time of Skill 2 by 4%.")</f>
        <v>When you are Downed: Reduce the cooldown time of Skill 2 by 4%.</v>
      </c>
      <c r="D136" s="163" t="str">
        <f>IFERROR(__xludf.DUMMYFUNCTION("""COMPUTED_VALUE"""),"Land of Wano ~ Animal Kingdom Pirates ~ Zoan ~ Tobi Roppo")</f>
        <v>Land of Wano ~ Animal Kingdom Pirates ~ Zoan ~ Tobi Roppo</v>
      </c>
      <c r="E136" s="164" t="str">
        <f>IFERROR(__xludf.DUMMYFUNCTION("""COMPUTED_VALUE"""),"https://i.postimg.cc/jqZmBTrJ/208.png")</f>
        <v>https://i.postimg.cc/jqZmBTrJ/208.png</v>
      </c>
      <c r="F136" s="162"/>
      <c r="G136" s="163" t="str">
        <f>IFERROR(__xludf.DUMMYFUNCTION("""COMPUTED_VALUE"""),"E-174")</f>
        <v>E-174</v>
      </c>
      <c r="H136" s="163" t="str">
        <f>IFERROR(__xludf.DUMMYFUNCTION("""COMPUTED_VALUE"""),"Smoothie (Pirate Alliance)")</f>
        <v>Smoothie (Pirate Alliance)</v>
      </c>
      <c r="I136" s="163" t="str">
        <f>IFERROR(__xludf.DUMMYFUNCTION("""COMPUTED_VALUE"""),"When enemies are inflicted with Aflame: Recover HP by 3%.")</f>
        <v>When enemies are inflicted with Aflame: Recover HP by 3%.</v>
      </c>
      <c r="J136" s="163" t="str">
        <f>IFERROR(__xludf.DUMMYFUNCTION("""COMPUTED_VALUE"""),"Land of Wano ~ Big Mom Pirates ~ Paramecia ~ ``Sweet 3`` General ~ Charlotte Family")</f>
        <v>Land of Wano ~ Big Mom Pirates ~ Paramecia ~ ``Sweet 3`` General ~ Charlotte Family</v>
      </c>
      <c r="K136" s="164" t="str">
        <f>IFERROR(__xludf.DUMMYFUNCTION("""COMPUTED_VALUE"""),"https://i.postimg.cc/HnpMCvVs/174.png")</f>
        <v>https://i.postimg.cc/HnpMCvVs/174.png</v>
      </c>
      <c r="L136" s="162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</row>
    <row r="137">
      <c r="A137" s="163" t="str">
        <f>IFERROR(__xludf.DUMMYFUNCTION("""COMPUTED_VALUE"""),"G-207")</f>
        <v>G-207</v>
      </c>
      <c r="B137" s="163" t="str">
        <f>IFERROR(__xludf.DUMMYFUNCTION("""COMPUTED_VALUE"""),"Wyper")</f>
        <v>Wyper</v>
      </c>
      <c r="C137" s="163" t="str">
        <f>IFERROR(__xludf.DUMMYFUNCTION("""COMPUTED_VALUE"""),"When your HP is 70% or more: Increase damage dealt by 3%.")</f>
        <v>When your HP is 70% or more: Increase damage dealt by 3%.</v>
      </c>
      <c r="D137" s="163" t="str">
        <f>IFERROR(__xludf.DUMMYFUNCTION("""COMPUTED_VALUE"""),"Sky Island / LRLL")</f>
        <v>Sky Island / LRLL</v>
      </c>
      <c r="E137" s="164" t="str">
        <f>IFERROR(__xludf.DUMMYFUNCTION("""COMPUTED_VALUE"""),"https://i.postimg.cc/QxzPxqC8/207.png")</f>
        <v>https://i.postimg.cc/QxzPxqC8/207.png</v>
      </c>
      <c r="F137" s="162"/>
      <c r="G137" s="163" t="str">
        <f>IFERROR(__xludf.DUMMYFUNCTION("""COMPUTED_VALUE"""),"E-173")</f>
        <v>E-173</v>
      </c>
      <c r="H137" s="163" t="str">
        <f>IFERROR(__xludf.DUMMYFUNCTION("""COMPUTED_VALUE"""),"Sasaki")</f>
        <v>Sasaki</v>
      </c>
      <c r="I137" s="163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J137" s="163" t="str">
        <f>IFERROR(__xludf.DUMMYFUNCTION("""COMPUTED_VALUE"""),"Land of Wano ~ Animal Kingdom Pirates ~ Zoan ~ Tobi Roppo")</f>
        <v>Land of Wano ~ Animal Kingdom Pirates ~ Zoan ~ Tobi Roppo</v>
      </c>
      <c r="K137" s="164" t="str">
        <f>IFERROR(__xludf.DUMMYFUNCTION("""COMPUTED_VALUE"""),"https://i.postimg.cc/mk8HZ3H3/173.png")</f>
        <v>https://i.postimg.cc/mk8HZ3H3/173.png</v>
      </c>
      <c r="L137" s="162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</row>
    <row r="138">
      <c r="A138" s="163" t="str">
        <f>IFERROR(__xludf.DUMMYFUNCTION("""COMPUTED_VALUE"""),"G-206")</f>
        <v>G-206</v>
      </c>
      <c r="B138" s="163" t="str">
        <f>IFERROR(__xludf.DUMMYFUNCTION("""COMPUTED_VALUE"""),"Franosuke")</f>
        <v>Franosuke</v>
      </c>
      <c r="C138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138" s="163" t="str">
        <f>IFERROR(__xludf.DUMMYFUNCTION("""COMPUTED_VALUE"""),"Land of Wano ~ Straw Hat Pirates ~ Ship Carpenter")</f>
        <v>Land of Wano ~ Straw Hat Pirates ~ Ship Carpenter</v>
      </c>
      <c r="E138" s="164" t="str">
        <f>IFERROR(__xludf.DUMMYFUNCTION("""COMPUTED_VALUE"""),"https://i.postimg.cc/HsnRgNpv/206.png")</f>
        <v>https://i.postimg.cc/HsnRgNpv/206.png</v>
      </c>
      <c r="F138" s="162"/>
      <c r="G138" s="163" t="str">
        <f>IFERROR(__xludf.DUMMYFUNCTION("""COMPUTED_VALUE"""),"E-172")</f>
        <v>E-172</v>
      </c>
      <c r="H138" s="163" t="str">
        <f>IFERROR(__xludf.DUMMYFUNCTION("""COMPUTED_VALUE"""),"Eleph_Eleph")</f>
        <v>Eleph_Eleph</v>
      </c>
      <c r="I138" s="163" t="str">
        <f>IFERROR(__xludf.DUMMYFUNCTION("""COMPUTED_VALUE"""),"When you capture the Treasure: Recover HP by 5%.")</f>
        <v>When you capture the Treasure: Recover HP by 5%.</v>
      </c>
      <c r="J138" s="163" t="str">
        <f>IFERROR(__xludf.DUMMYFUNCTION("""COMPUTED_VALUE"""),"Land of Wano ~ Animal Kingdom Pirates ~ Zoan ~ Lead Performer ~ Fish_Man")</f>
        <v>Land of Wano ~ Animal Kingdom Pirates ~ Zoan ~ Lead Performer ~ Fish_Man</v>
      </c>
      <c r="K138" s="164" t="str">
        <f>IFERROR(__xludf.DUMMYFUNCTION("""COMPUTED_VALUE"""),"https://i.postimg.cc/L4TfVSbq/172.png")</f>
        <v>https://i.postimg.cc/L4TfVSbq/172.png</v>
      </c>
      <c r="L138" s="162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</row>
    <row r="139">
      <c r="A139" s="163" t="str">
        <f>IFERROR(__xludf.DUMMYFUNCTION("""COMPUTED_VALUE"""),"G-205")</f>
        <v>G-205</v>
      </c>
      <c r="B139" s="163" t="str">
        <f>IFERROR(__xludf.DUMMYFUNCTION("""COMPUTED_VALUE"""),"Usohachi")</f>
        <v>Usohachi</v>
      </c>
      <c r="C139" s="163" t="str">
        <f>IFERROR(__xludf.DUMMYFUNCTION("""COMPUTED_VALUE"""),"When you Knockback an enemy: Recover HP by 3%.")</f>
        <v>When you Knockback an enemy: Recover HP by 3%.</v>
      </c>
      <c r="D139" s="163" t="str">
        <f>IFERROR(__xludf.DUMMYFUNCTION("""COMPUTED_VALUE"""),"Land of Wano ~ Straw Hat Pirates ~ Sharp Shooter")</f>
        <v>Land of Wano ~ Straw Hat Pirates ~ Sharp Shooter</v>
      </c>
      <c r="E139" s="164" t="str">
        <f>IFERROR(__xludf.DUMMYFUNCTION("""COMPUTED_VALUE"""),"https://i.postimg.cc/pdb6KXK3/205.png")</f>
        <v>https://i.postimg.cc/pdb6KXK3/205.png</v>
      </c>
      <c r="F139" s="162"/>
      <c r="G139" s="163" t="str">
        <f>IFERROR(__xludf.DUMMYFUNCTION("""COMPUTED_VALUE"""),"E-171")</f>
        <v>E-171</v>
      </c>
      <c r="H139" s="163" t="str">
        <f>IFERROR(__xludf.DUMMYFUNCTION("""COMPUTED_VALUE"""),"Dry Penguin")</f>
        <v>Dry Penguin</v>
      </c>
      <c r="I139" s="163" t="str">
        <f>IFERROR(__xludf.DUMMYFUNCTION("""COMPUTED_VALUE"""),"When your HP is 50% or more: Increase Normal Attack damage dealt by 3%.")</f>
        <v>When your HP is 50% or more: Increase Normal Attack damage dealt by 3%.</v>
      </c>
      <c r="J139" s="163" t="str">
        <f>IFERROR(__xludf.DUMMYFUNCTION("""COMPUTED_VALUE"""),"ODYSSEY")</f>
        <v>ODYSSEY</v>
      </c>
      <c r="K139" s="164" t="str">
        <f>IFERROR(__xludf.DUMMYFUNCTION("""COMPUTED_VALUE"""),"https://i.postimg.cc/kXgS1H0T/171.png")</f>
        <v>https://i.postimg.cc/kXgS1H0T/171.png</v>
      </c>
      <c r="L139" s="162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</row>
    <row r="140">
      <c r="A140" s="163" t="str">
        <f>IFERROR(__xludf.DUMMYFUNCTION("""COMPUTED_VALUE"""),"G-204")</f>
        <v>G-204</v>
      </c>
      <c r="B140" s="163" t="str">
        <f>IFERROR(__xludf.DUMMYFUNCTION("""COMPUTED_VALUE"""),"Shiryu")</f>
        <v>Shiryu</v>
      </c>
      <c r="C140" s="163" t="str">
        <f>IFERROR(__xludf.DUMMYFUNCTION("""COMPUTED_VALUE"""),"After KOing an enemy: Reduce the cooldown time of Skill 1 by 8%.")</f>
        <v>After KOing an enemy: Reduce the cooldown time of Skill 1 by 8%.</v>
      </c>
      <c r="D140" s="163" t="str">
        <f>IFERROR(__xludf.DUMMYFUNCTION("""COMPUTED_VALUE"""),"The Paramount War at Marineford ~ Blackbeard Pirates")</f>
        <v>The Paramount War at Marineford ~ Blackbeard Pirates</v>
      </c>
      <c r="E140" s="164" t="str">
        <f>IFERROR(__xludf.DUMMYFUNCTION("""COMPUTED_VALUE"""),"https://i.postimg.cc/d02S6PB3/204.png")</f>
        <v>https://i.postimg.cc/d02S6PB3/204.png</v>
      </c>
      <c r="F140" s="162"/>
      <c r="G140" s="163" t="str">
        <f>IFERROR(__xludf.DUMMYFUNCTION("""COMPUTED_VALUE"""),"E-170")</f>
        <v>E-170</v>
      </c>
      <c r="H140" s="163" t="str">
        <f>IFERROR(__xludf.DUMMYFUNCTION("""COMPUTED_VALUE"""),"Lim")</f>
        <v>Lim</v>
      </c>
      <c r="I140" s="163" t="str">
        <f>IFERROR(__xludf.DUMMYFUNCTION("""COMPUTED_VALUE"""),"When attacking an enemy with a Normal Attack: 30% chance to, Reduce the cooldown time of Skill 2 by 3%.")</f>
        <v>When attacking an enemy with a Normal Attack: 30% chance to, Reduce the cooldown time of Skill 2 by 3%.</v>
      </c>
      <c r="J140" s="163" t="str">
        <f>IFERROR(__xludf.DUMMYFUNCTION("""COMPUTED_VALUE"""),"ODYSSEY")</f>
        <v>ODYSSEY</v>
      </c>
      <c r="K140" s="164" t="str">
        <f>IFERROR(__xludf.DUMMYFUNCTION("""COMPUTED_VALUE"""),"https://i.postimg.cc/X71CT834/170.png")</f>
        <v>https://i.postimg.cc/X71CT834/170.png</v>
      </c>
      <c r="L140" s="162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</row>
    <row r="141">
      <c r="A141" s="163" t="str">
        <f>IFERROR(__xludf.DUMMYFUNCTION("""COMPUTED_VALUE"""),"G-203")</f>
        <v>G-203</v>
      </c>
      <c r="B141" s="163" t="str">
        <f>IFERROR(__xludf.DUMMYFUNCTION("""COMPUTED_VALUE"""),"Jozu")</f>
        <v>Jozu</v>
      </c>
      <c r="C141" s="163" t="str">
        <f>IFERROR(__xludf.DUMMYFUNCTION("""COMPUTED_VALUE"""),"When your HP is 70% or more: Reduce damage recieved by 5%.")</f>
        <v>When your HP is 70% or more: Reduce damage recieved by 5%.</v>
      </c>
      <c r="D141" s="163" t="str">
        <f>IFERROR(__xludf.DUMMYFUNCTION("""COMPUTED_VALUE"""),"The Paramount War at Marineford ~ Whitebeard Pirates ~ Paramecia ~ Whitebeard Pirates Commander")</f>
        <v>The Paramount War at Marineford ~ Whitebeard Pirates ~ Paramecia ~ Whitebeard Pirates Commander</v>
      </c>
      <c r="E141" s="164" t="str">
        <f>IFERROR(__xludf.DUMMYFUNCTION("""COMPUTED_VALUE"""),"https://i.postimg.cc/PxdVF334/203.png")</f>
        <v>https://i.postimg.cc/PxdVF334/203.png</v>
      </c>
      <c r="F141" s="162"/>
      <c r="G141" s="163" t="str">
        <f>IFERROR(__xludf.DUMMYFUNCTION("""COMPUTED_VALUE"""),"E-169")</f>
        <v>E-169</v>
      </c>
      <c r="H141" s="163" t="str">
        <f>IFERROR(__xludf.DUMMYFUNCTION("""COMPUTED_VALUE"""),"Helmeppo (``Sword``)")</f>
        <v>Helmeppo (``Sword``)</v>
      </c>
      <c r="I141" s="163" t="str">
        <f>IFERROR(__xludf.DUMMYFUNCTION("""COMPUTED_VALUE"""),"When in the area around your enemy`s Treasure: Boost the cooldown reduction speed of Skill 2 by 10%.")</f>
        <v>When in the area around your enemy`s Treasure: Boost the cooldown reduction speed of Skill 2 by 10%.</v>
      </c>
      <c r="J141" s="163" t="str">
        <f>IFERROR(__xludf.DUMMYFUNCTION("""COMPUTED_VALUE"""),"Navy ~ ``Sword``")</f>
        <v>Navy ~ ``Sword``</v>
      </c>
      <c r="K141" s="164" t="str">
        <f>IFERROR(__xludf.DUMMYFUNCTION("""COMPUTED_VALUE"""),"https://i.postimg.cc/2SqZmZ8v/169.png")</f>
        <v>https://i.postimg.cc/2SqZmZ8v/169.png</v>
      </c>
      <c r="L141" s="162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</row>
    <row r="142">
      <c r="A142" s="163" t="str">
        <f>IFERROR(__xludf.DUMMYFUNCTION("""COMPUTED_VALUE"""),"G-202")</f>
        <v>G-202</v>
      </c>
      <c r="B142" s="163" t="str">
        <f>IFERROR(__xludf.DUMMYFUNCTION("""COMPUTED_VALUE"""),"Vista")</f>
        <v>Vista</v>
      </c>
      <c r="C142" s="163" t="str">
        <f>IFERROR(__xludf.DUMMYFUNCTION("""COMPUTED_VALUE"""),"When your HP is 70% or more: Boost capture speed by 8%.")</f>
        <v>When your HP is 70% or more: Boost capture speed by 8%.</v>
      </c>
      <c r="D142" s="163" t="str">
        <f>IFERROR(__xludf.DUMMYFUNCTION("""COMPUTED_VALUE"""),"The Paramount War at Marineford ~ Whitebeard Pirates ~ Whitebeard Pirates Commander")</f>
        <v>The Paramount War at Marineford ~ Whitebeard Pirates ~ Whitebeard Pirates Commander</v>
      </c>
      <c r="E142" s="164" t="str">
        <f>IFERROR(__xludf.DUMMYFUNCTION("""COMPUTED_VALUE"""),"https://i.postimg.cc/fL5q4c1h/202.png")</f>
        <v>https://i.postimg.cc/fL5q4c1h/202.png</v>
      </c>
      <c r="F142" s="162"/>
      <c r="G142" s="163" t="str">
        <f>IFERROR(__xludf.DUMMYFUNCTION("""COMPUTED_VALUE"""),"E-168")</f>
        <v>E-168</v>
      </c>
      <c r="H142" s="163" t="str">
        <f>IFERROR(__xludf.DUMMYFUNCTION("""COMPUTED_VALUE"""),"Koby (``Sword``)")</f>
        <v>Koby (``Sword``)</v>
      </c>
      <c r="I142" s="163" t="str">
        <f>IFERROR(__xludf.DUMMYFUNCTION("""COMPUTED_VALUE"""),"When you Down an enemy: Reduce the cooldown time of Skill 2 by 4%.")</f>
        <v>When you Down an enemy: Reduce the cooldown time of Skill 2 by 4%.</v>
      </c>
      <c r="J142" s="163" t="str">
        <f>IFERROR(__xludf.DUMMYFUNCTION("""COMPUTED_VALUE"""),"Navy ~ Navy Captain ~ ``Sword``")</f>
        <v>Navy ~ Navy Captain ~ ``Sword``</v>
      </c>
      <c r="K142" s="164" t="str">
        <f>IFERROR(__xludf.DUMMYFUNCTION("""COMPUTED_VALUE"""),"https://i.postimg.cc/YCJmSChP/168.png")</f>
        <v>https://i.postimg.cc/YCJmSChP/168.png</v>
      </c>
      <c r="L142" s="162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</row>
    <row r="143">
      <c r="A143" s="163" t="str">
        <f>IFERROR(__xludf.DUMMYFUNCTION("""COMPUTED_VALUE"""),"G-201")</f>
        <v>G-201</v>
      </c>
      <c r="B143" s="163" t="str">
        <f>IFERROR(__xludf.DUMMYFUNCTION("""COMPUTED_VALUE"""),"Burgess")</f>
        <v>Burgess</v>
      </c>
      <c r="C143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D143" s="163" t="str">
        <f>IFERROR(__xludf.DUMMYFUNCTION("""COMPUTED_VALUE"""),"The Paramount War at Marineford ~ Helmsman ~ Blackbeard Pirates")</f>
        <v>The Paramount War at Marineford ~ Helmsman ~ Blackbeard Pirates</v>
      </c>
      <c r="E143" s="164" t="str">
        <f>IFERROR(__xludf.DUMMYFUNCTION("""COMPUTED_VALUE"""),"https://i.postimg.cc/T1w7TyX5/201.png")</f>
        <v>https://i.postimg.cc/T1w7TyX5/201.png</v>
      </c>
      <c r="F143" s="162"/>
      <c r="G143" s="163" t="str">
        <f>IFERROR(__xludf.DUMMYFUNCTION("""COMPUTED_VALUE"""),"E-167")</f>
        <v>E-167</v>
      </c>
      <c r="H143" s="163" t="str">
        <f>IFERROR(__xludf.DUMMYFUNCTION("""COMPUTED_VALUE"""),"Denjiro (The Akazaya Nine)")</f>
        <v>Denjiro (The Akazaya Nine)</v>
      </c>
      <c r="I143" s="163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J143" s="163" t="str">
        <f>IFERROR(__xludf.DUMMYFUNCTION("""COMPUTED_VALUE"""),"Land of Wano ~ Kozuki Clan / Kozuki Clan Servant")</f>
        <v>Land of Wano ~ Kozuki Clan / Kozuki Clan Servant</v>
      </c>
      <c r="K143" s="164" t="str">
        <f>IFERROR(__xludf.DUMMYFUNCTION("""COMPUTED_VALUE"""),"https://i.postimg.cc/zfKHHYhG/167.png")</f>
        <v>https://i.postimg.cc/zfKHHYhG/167.png</v>
      </c>
      <c r="L143" s="162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</row>
    <row r="144">
      <c r="A144" s="163" t="str">
        <f>IFERROR(__xludf.DUMMYFUNCTION("""COMPUTED_VALUE"""),"G-200")</f>
        <v>G-200</v>
      </c>
      <c r="B144" s="163" t="str">
        <f>IFERROR(__xludf.DUMMYFUNCTION("""COMPUTED_VALUE"""),"Soba Mask")</f>
        <v>Soba Mask</v>
      </c>
      <c r="C144" s="163" t="str">
        <f>IFERROR(__xludf.DUMMYFUNCTION("""COMPUTED_VALUE"""),"When you capture the Treasure: Reduce the cooldown time of Skill 1 by 8%.")</f>
        <v>When you capture the Treasure: Reduce the cooldown time of Skill 1 by 8%.</v>
      </c>
      <c r="D144" s="163" t="str">
        <f>IFERROR(__xludf.DUMMYFUNCTION("""COMPUTED_VALUE"""),"Land of Wano ~ Straw Hat Pirates ~ Cook ~ Royalty / Former Royalty ~ Germa 66")</f>
        <v>Land of Wano ~ Straw Hat Pirates ~ Cook ~ Royalty / Former Royalty ~ Germa 66</v>
      </c>
      <c r="E144" s="164" t="str">
        <f>IFERROR(__xludf.DUMMYFUNCTION("""COMPUTED_VALUE"""),"https://i.postimg.cc/qq5mqkkb/200.png")</f>
        <v>https://i.postimg.cc/qq5mqkkb/200.png</v>
      </c>
      <c r="F144" s="162"/>
      <c r="G144" s="163" t="str">
        <f>IFERROR(__xludf.DUMMYFUNCTION("""COMPUTED_VALUE"""),"E-166")</f>
        <v>E-166</v>
      </c>
      <c r="H144" s="163" t="str">
        <f>IFERROR(__xludf.DUMMYFUNCTION("""COMPUTED_VALUE"""),"Kin``emon (The Akazaya Nine)")</f>
        <v>Kin``emon (The Akazaya Nine)</v>
      </c>
      <c r="I144" s="163" t="str">
        <f>IFERROR(__xludf.DUMMYFUNCTION("""COMPUTED_VALUE"""),"When you or an ally captures Treasure: Recover HP by 3%.")</f>
        <v>When you or an ally captures Treasure: Recover HP by 3%.</v>
      </c>
      <c r="J144" s="163" t="str">
        <f>IFERROR(__xludf.DUMMYFUNCTION("""COMPUTED_VALUE"""),"Land of Wano ~ Kozuki Clan / Kozuki Clan Servant")</f>
        <v>Land of Wano ~ Kozuki Clan / Kozuki Clan Servant</v>
      </c>
      <c r="K144" s="164" t="str">
        <f>IFERROR(__xludf.DUMMYFUNCTION("""COMPUTED_VALUE"""),"https://i.postimg.cc/ydKgFphX/166.png")</f>
        <v>https://i.postimg.cc/ydKgFphX/166.png</v>
      </c>
      <c r="L144" s="162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</row>
    <row r="145">
      <c r="A145" s="163" t="str">
        <f>IFERROR(__xludf.DUMMYFUNCTION("""COMPUTED_VALUE"""),"G-199")</f>
        <v>G-199</v>
      </c>
      <c r="B145" s="163" t="str">
        <f>IFERROR(__xludf.DUMMYFUNCTION("""COMPUTED_VALUE"""),"Judge")</f>
        <v>Judge</v>
      </c>
      <c r="C145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45" s="163" t="str">
        <f>IFERROR(__xludf.DUMMYFUNCTION("""COMPUTED_VALUE"""),"Zou / Whole Cake Island ~ Royalty / Former Royalty ~ Germa 66")</f>
        <v>Zou / Whole Cake Island ~ Royalty / Former Royalty ~ Germa 66</v>
      </c>
      <c r="E145" s="164" t="str">
        <f>IFERROR(__xludf.DUMMYFUNCTION("""COMPUTED_VALUE"""),"https://i.postimg.cc/SQT1DGW6/199.png")</f>
        <v>https://i.postimg.cc/SQT1DGW6/199.png</v>
      </c>
      <c r="F145" s="162"/>
      <c r="G145" s="163" t="str">
        <f>IFERROR(__xludf.DUMMYFUNCTION("""COMPUTED_VALUE"""),"E-165")</f>
        <v>E-165</v>
      </c>
      <c r="H145" s="163" t="str">
        <f>IFERROR(__xludf.DUMMYFUNCTION("""COMPUTED_VALUE"""),"Ton_Ton")</f>
        <v>Ton_Ton</v>
      </c>
      <c r="I145" s="163" t="str">
        <f>IFERROR(__xludf.DUMMYFUNCTION("""COMPUTED_VALUE"""),"When attacking an enemy whose ATK are boosted: Increase damage dealt by 3%.")</f>
        <v>When attacking an enemy whose ATK are boosted: Increase damage dealt by 3%.</v>
      </c>
      <c r="J145" s="163" t="str">
        <f>IFERROR(__xludf.DUMMYFUNCTION("""COMPUTED_VALUE"""),"Dressrosa ~ Paramecia ~ Diamante Army ~ Don Quixote Family")</f>
        <v>Dressrosa ~ Paramecia ~ Diamante Army ~ Don Quixote Family</v>
      </c>
      <c r="K145" s="164" t="str">
        <f>IFERROR(__xludf.DUMMYFUNCTION("""COMPUTED_VALUE"""),"https://i.postimg.cc/BbQjz8Vj/165.png")</f>
        <v>https://i.postimg.cc/BbQjz8Vj/165.png</v>
      </c>
      <c r="L145" s="162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</row>
    <row r="146">
      <c r="A146" s="163" t="str">
        <f>IFERROR(__xludf.DUMMYFUNCTION("""COMPUTED_VALUE"""),"G-198")</f>
        <v>G-198</v>
      </c>
      <c r="B146" s="163" t="str">
        <f>IFERROR(__xludf.DUMMYFUNCTION("""COMPUTED_VALUE"""),"Straw Hat")</f>
        <v>Straw Hat</v>
      </c>
      <c r="C146" s="163" t="str">
        <f>IFERROR(__xludf.DUMMYFUNCTION("""COMPUTED_VALUE"""),"After KOing an enemy: Recover HP by 5%.")</f>
        <v>After KOing an enemy: Recover HP by 5%.</v>
      </c>
      <c r="D146" s="163" t="str">
        <f>IFERROR(__xludf.DUMMYFUNCTION("""COMPUTED_VALUE"""),"Straw Hat Pirates ~ Paramecia ~ Captain ~ Worst Generation ~ Blood Brothers")</f>
        <v>Straw Hat Pirates ~ Paramecia ~ Captain ~ Worst Generation ~ Blood Brothers</v>
      </c>
      <c r="E146" s="164" t="str">
        <f>IFERROR(__xludf.DUMMYFUNCTION("""COMPUTED_VALUE"""),"https://i.postimg.cc/L6JC7ZTr/198.png")</f>
        <v>https://i.postimg.cc/L6JC7ZTr/198.png</v>
      </c>
      <c r="F146" s="162"/>
      <c r="G146" s="163" t="str">
        <f>IFERROR(__xludf.DUMMYFUNCTION("""COMPUTED_VALUE"""),"E-164")</f>
        <v>E-164</v>
      </c>
      <c r="H146" s="163" t="str">
        <f>IFERROR(__xludf.DUMMYFUNCTION("""COMPUTED_VALUE"""),"Glare_Glare")</f>
        <v>Glare_Glare</v>
      </c>
      <c r="I146" s="163" t="str">
        <f>IFERROR(__xludf.DUMMYFUNCTION("""COMPUTED_VALUE"""),"When attacked by an enemy whose ATK is boosted: Reduce damage recieved by 5%.")</f>
        <v>When attacked by an enemy whose ATK is boosted: Reduce damage recieved by 5%.</v>
      </c>
      <c r="J146" s="163" t="str">
        <f>IFERROR(__xludf.DUMMYFUNCTION("""COMPUTED_VALUE"""),"Dressrosa ~ Paramecia ~ Trebol Army ~ Don Quixote Family")</f>
        <v>Dressrosa ~ Paramecia ~ Trebol Army ~ Don Quixote Family</v>
      </c>
      <c r="K146" s="164" t="str">
        <f>IFERROR(__xludf.DUMMYFUNCTION("""COMPUTED_VALUE"""),"https://i.postimg.cc/T17KvRzC/164.png")</f>
        <v>https://i.postimg.cc/T17KvRzC/164.png</v>
      </c>
      <c r="L146" s="162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</row>
    <row r="147">
      <c r="A147" s="163" t="str">
        <f>IFERROR(__xludf.DUMMYFUNCTION("""COMPUTED_VALUE"""),"G-197")</f>
        <v>G-197</v>
      </c>
      <c r="B147" s="163" t="str">
        <f>IFERROR(__xludf.DUMMYFUNCTION("""COMPUTED_VALUE"""),"Blast Breath")</f>
        <v>Blast Breath</v>
      </c>
      <c r="C147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D147" s="163" t="str">
        <f>IFERROR(__xludf.DUMMYFUNCTION("""COMPUTED_VALUE"""),"Land of Wano ~ Animal Kingdom Pirates ~ Zoan ~ Captain ~ The Four Emperors ~ Former Rocks Pirates")</f>
        <v>Land of Wano ~ Animal Kingdom Pirates ~ Zoan ~ Captain ~ The Four Emperors ~ Former Rocks Pirates</v>
      </c>
      <c r="E147" s="164" t="str">
        <f>IFERROR(__xludf.DUMMYFUNCTION("""COMPUTED_VALUE"""),"https://i.postimg.cc/RV2szVpq/197.png")</f>
        <v>https://i.postimg.cc/RV2szVpq/197.png</v>
      </c>
      <c r="F147" s="162"/>
      <c r="G147" s="163" t="str">
        <f>IFERROR(__xludf.DUMMYFUNCTION("""COMPUTED_VALUE"""),"E-163")</f>
        <v>E-163</v>
      </c>
      <c r="H147" s="163" t="str">
        <f>IFERROR(__xludf.DUMMYFUNCTION("""COMPUTED_VALUE"""),"Art_Art")</f>
        <v>Art_Art</v>
      </c>
      <c r="I147" s="163" t="str">
        <f>IFERROR(__xludf.DUMMYFUNCTION("""COMPUTED_VALUE"""),"When your team has more Treasure secured: Reduce damage recieved by 3%.")</f>
        <v>When your team has more Treasure secured: Reduce damage recieved by 3%.</v>
      </c>
      <c r="J147" s="163" t="str">
        <f>IFERROR(__xludf.DUMMYFUNCTION("""COMPUTED_VALUE"""),"Dressrosa ~ Paramecia ~ Trebol Army ~ Don Quixote Family")</f>
        <v>Dressrosa ~ Paramecia ~ Trebol Army ~ Don Quixote Family</v>
      </c>
      <c r="K147" s="164" t="str">
        <f>IFERROR(__xludf.DUMMYFUNCTION("""COMPUTED_VALUE"""),"https://i.postimg.cc/CL5ZHq8t/163.png")</f>
        <v>https://i.postimg.cc/CL5ZHq8t/163.png</v>
      </c>
      <c r="L147" s="162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</row>
    <row r="148">
      <c r="A148" s="163" t="str">
        <f>IFERROR(__xludf.DUMMYFUNCTION("""COMPUTED_VALUE"""),"G-196")</f>
        <v>G-196</v>
      </c>
      <c r="B148" s="163" t="str">
        <f>IFERROR(__xludf.DUMMYFUNCTION("""COMPUTED_VALUE"""),"Queen")</f>
        <v>Queen</v>
      </c>
      <c r="C148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148" s="163" t="str">
        <f>IFERROR(__xludf.DUMMYFUNCTION("""COMPUTED_VALUE"""),"Land of Wano ~ Animal Kingdom Pirates ~ Zoan ~ Lead Performer")</f>
        <v>Land of Wano ~ Animal Kingdom Pirates ~ Zoan ~ Lead Performer</v>
      </c>
      <c r="E148" s="164" t="str">
        <f>IFERROR(__xludf.DUMMYFUNCTION("""COMPUTED_VALUE"""),"https://i.postimg.cc/7Z7BP8j9/196.png")</f>
        <v>https://i.postimg.cc/7Z7BP8j9/196.png</v>
      </c>
      <c r="F148" s="162"/>
      <c r="G148" s="163" t="str">
        <f>IFERROR(__xludf.DUMMYFUNCTION("""COMPUTED_VALUE"""),"E-162")</f>
        <v>E-162</v>
      </c>
      <c r="H148" s="163" t="str">
        <f>IFERROR(__xludf.DUMMYFUNCTION("""COMPUTED_VALUE"""),"Pop_Pop")</f>
        <v>Pop_Pop</v>
      </c>
      <c r="I148" s="163" t="str">
        <f>IFERROR(__xludf.DUMMYFUNCTION("""COMPUTED_VALUE"""),"When your team loses the Treasure: Reduce the cooldown time of Skill 1 by 8%.")</f>
        <v>When your team loses the Treasure: Reduce the cooldown time of Skill 1 by 8%.</v>
      </c>
      <c r="J148" s="163" t="str">
        <f>IFERROR(__xludf.DUMMYFUNCTION("""COMPUTED_VALUE"""),"Dressrosa ~ Paramecia ~ Pica Army ~ Don Quixote Family")</f>
        <v>Dressrosa ~ Paramecia ~ Pica Army ~ Don Quixote Family</v>
      </c>
      <c r="K148" s="164" t="str">
        <f>IFERROR(__xludf.DUMMYFUNCTION("""COMPUTED_VALUE"""),"https://i.postimg.cc/vHK4PZLm/162.png")</f>
        <v>https://i.postimg.cc/vHK4PZLm/162.png</v>
      </c>
      <c r="L148" s="162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</row>
    <row r="149">
      <c r="A149" s="163" t="str">
        <f>IFERROR(__xludf.DUMMYFUNCTION("""COMPUTED_VALUE"""),"G-195")</f>
        <v>G-195</v>
      </c>
      <c r="B149" s="163" t="str">
        <f>IFERROR(__xludf.DUMMYFUNCTION("""COMPUTED_VALUE"""),"Jack")</f>
        <v>Jack</v>
      </c>
      <c r="C149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D149" s="163" t="str">
        <f>IFERROR(__xludf.DUMMYFUNCTION("""COMPUTED_VALUE"""),"Land of Wano ~ Animal Kingdom Pirates ~ Zoan ~ Fish_Man ~ Lead Performer")</f>
        <v>Land of Wano ~ Animal Kingdom Pirates ~ Zoan ~ Fish_Man ~ Lead Performer</v>
      </c>
      <c r="E149" s="164" t="str">
        <f>IFERROR(__xludf.DUMMYFUNCTION("""COMPUTED_VALUE"""),"https://i.postimg.cc/PqjSPVjj/195.png")</f>
        <v>https://i.postimg.cc/PqjSPVjj/195.png</v>
      </c>
      <c r="F149" s="162"/>
      <c r="G149" s="163" t="str">
        <f>IFERROR(__xludf.DUMMYFUNCTION("""COMPUTED_VALUE"""),"E-161")</f>
        <v>E-161</v>
      </c>
      <c r="H149" s="163" t="str">
        <f>IFERROR(__xludf.DUMMYFUNCTION("""COMPUTED_VALUE"""),"Rockstar (FILM RED)")</f>
        <v>Rockstar (FILM RED)</v>
      </c>
      <c r="I149" s="163" t="str">
        <f>IFERROR(__xludf.DUMMYFUNCTION("""COMPUTED_VALUE"""),"When performing a Perfect Dodge: Reduce the cooldown time of Skill 2 by 4%.")</f>
        <v>When performing a Perfect Dodge: Reduce the cooldown time of Skill 2 by 4%.</v>
      </c>
      <c r="J149" s="163" t="str">
        <f>IFERROR(__xludf.DUMMYFUNCTION("""COMPUTED_VALUE"""),"FILM RED ~ Red_Haired Pirates")</f>
        <v>FILM RED ~ Red_Haired Pirates</v>
      </c>
      <c r="K149" s="164" t="str">
        <f>IFERROR(__xludf.DUMMYFUNCTION("""COMPUTED_VALUE"""),"https://i.postimg.cc/ht7fNRp1/161.png")</f>
        <v>https://i.postimg.cc/ht7fNRp1/161.png</v>
      </c>
      <c r="L149" s="162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</row>
    <row r="150">
      <c r="A150" s="163" t="str">
        <f>IFERROR(__xludf.DUMMYFUNCTION("""COMPUTED_VALUE"""),"G-194")</f>
        <v>G-194</v>
      </c>
      <c r="B150" s="163" t="str">
        <f>IFERROR(__xludf.DUMMYFUNCTION("""COMPUTED_VALUE"""),"Kaido`s Son")</f>
        <v>Kaido`s Son</v>
      </c>
      <c r="C150" s="163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D150" s="163" t="str">
        <f>IFERROR(__xludf.DUMMYFUNCTION("""COMPUTED_VALUE"""),"Land of Wano ~ Zoan")</f>
        <v>Land of Wano ~ Zoan</v>
      </c>
      <c r="E150" s="164" t="str">
        <f>IFERROR(__xludf.DUMMYFUNCTION("""COMPUTED_VALUE"""),"https://i.postimg.cc/7Lnm71HT/194.png")</f>
        <v>https://i.postimg.cc/7Lnm71HT/194.png</v>
      </c>
      <c r="F150" s="162"/>
      <c r="G150" s="163" t="str">
        <f>IFERROR(__xludf.DUMMYFUNCTION("""COMPUTED_VALUE"""),"E-160")</f>
        <v>E-160</v>
      </c>
      <c r="H150" s="163" t="str">
        <f>IFERROR(__xludf.DUMMYFUNCTION("""COMPUTED_VALUE"""),"Sunny_Kun (FILM RED)")</f>
        <v>Sunny_Kun (FILM RED)</v>
      </c>
      <c r="I150" s="163" t="str">
        <f>IFERROR(__xludf.DUMMYFUNCTION("""COMPUTED_VALUE"""),"When the equipped character is character type ``Straw Hat Pirates``: Increase Normal Attack damage dealt by 5%.")</f>
        <v>When the equipped character is character type ``Straw Hat Pirates``: Increase Normal Attack damage dealt by 5%.</v>
      </c>
      <c r="J150" s="163" t="str">
        <f>IFERROR(__xludf.DUMMYFUNCTION("""COMPUTED_VALUE"""),"FILM RED")</f>
        <v>FILM RED</v>
      </c>
      <c r="K150" s="164" t="str">
        <f>IFERROR(__xludf.DUMMYFUNCTION("""COMPUTED_VALUE"""),"https://i.postimg.cc/25RVD9tR/160.png")</f>
        <v>https://i.postimg.cc/25RVD9tR/160.png</v>
      </c>
      <c r="L150" s="162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</row>
    <row r="151">
      <c r="A151" s="163" t="str">
        <f>IFERROR(__xludf.DUMMYFUNCTION("""COMPUTED_VALUE"""),"G-193")</f>
        <v>G-193</v>
      </c>
      <c r="B151" s="163" t="str">
        <f>IFERROR(__xludf.DUMMYFUNCTION("""COMPUTED_VALUE"""),"Izo")</f>
        <v>Izo</v>
      </c>
      <c r="C151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51" s="163" t="str">
        <f>IFERROR(__xludf.DUMMYFUNCTION("""COMPUTED_VALUE"""),"Land of Wano ~ Whitebeard Pirates ~ Kozuki Clan / Kozuki Clan Servant ~ Whitebeard Pirates Commander")</f>
        <v>Land of Wano ~ Whitebeard Pirates ~ Kozuki Clan / Kozuki Clan Servant ~ Whitebeard Pirates Commander</v>
      </c>
      <c r="E151" s="164" t="str">
        <f>IFERROR(__xludf.DUMMYFUNCTION("""COMPUTED_VALUE"""),"https://i.postimg.cc/V6s4FSvZ/193.png")</f>
        <v>https://i.postimg.cc/V6s4FSvZ/193.png</v>
      </c>
      <c r="F151" s="162"/>
      <c r="G151" s="163" t="str">
        <f>IFERROR(__xludf.DUMMYFUNCTION("""COMPUTED_VALUE"""),"E-159")</f>
        <v>E-159</v>
      </c>
      <c r="H151" s="163" t="str">
        <f>IFERROR(__xludf.DUMMYFUNCTION("""COMPUTED_VALUE"""),"Brook (FILM RED)")</f>
        <v>Brook (FILM RED)</v>
      </c>
      <c r="I151" s="163" t="str">
        <f>IFERROR(__xludf.DUMMYFUNCTION("""COMPUTED_VALUE"""),"When your allies are near the Treasure area where you are at: Boost the cooldown reduction speed of Skill 2 by 10%.")</f>
        <v>When your allies are near the Treasure area where you are at: Boost the cooldown reduction speed of Skill 2 by 10%.</v>
      </c>
      <c r="J151" s="163" t="str">
        <f>IFERROR(__xludf.DUMMYFUNCTION("""COMPUTED_VALUE"""),"FILM RED ~ Straw Hat Pirates ~ Paramecia ~ Musician")</f>
        <v>FILM RED ~ Straw Hat Pirates ~ Paramecia ~ Musician</v>
      </c>
      <c r="K151" s="164" t="str">
        <f>IFERROR(__xludf.DUMMYFUNCTION("""COMPUTED_VALUE"""),"https://i.postimg.cc/25Q38Fpq/159.png")</f>
        <v>https://i.postimg.cc/25Q38Fpq/159.png</v>
      </c>
      <c r="L151" s="162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</row>
    <row r="152">
      <c r="A152" s="163" t="str">
        <f>IFERROR(__xludf.DUMMYFUNCTION("""COMPUTED_VALUE"""),"G-192")</f>
        <v>G-192</v>
      </c>
      <c r="B152" s="163" t="str">
        <f>IFERROR(__xludf.DUMMYFUNCTION("""COMPUTED_VALUE"""),"Kanjuro")</f>
        <v>Kanjuro</v>
      </c>
      <c r="C152" s="163" t="str">
        <f>IFERROR(__xludf.DUMMYFUNCTION("""COMPUTED_VALUE"""),"When you capture the Treasure: Recover HP by 5%.")</f>
        <v>When you capture the Treasure: Recover HP by 5%.</v>
      </c>
      <c r="D152" s="163" t="str">
        <f>IFERROR(__xludf.DUMMYFUNCTION("""COMPUTED_VALUE"""),"Land of Wano ~ Paramecia")</f>
        <v>Land of Wano ~ Paramecia</v>
      </c>
      <c r="E152" s="164" t="str">
        <f>IFERROR(__xludf.DUMMYFUNCTION("""COMPUTED_VALUE"""),"https://i.postimg.cc/sXnmHVZj/192.png")</f>
        <v>https://i.postimg.cc/sXnmHVZj/192.png</v>
      </c>
      <c r="F152" s="162"/>
      <c r="G152" s="163" t="str">
        <f>IFERROR(__xludf.DUMMYFUNCTION("""COMPUTED_VALUE"""),"E-158")</f>
        <v>E-158</v>
      </c>
      <c r="H152" s="163" t="str">
        <f>IFERROR(__xludf.DUMMYFUNCTION("""COMPUTED_VALUE"""),"Franky (FILM RED)")</f>
        <v>Franky (FILM RED)</v>
      </c>
      <c r="I152" s="163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J152" s="163" t="str">
        <f>IFERROR(__xludf.DUMMYFUNCTION("""COMPUTED_VALUE"""),"FILM RED ~ Straw Hat Pirates ~ Ship Carpenter")</f>
        <v>FILM RED ~ Straw Hat Pirates ~ Ship Carpenter</v>
      </c>
      <c r="K152" s="164" t="str">
        <f>IFERROR(__xludf.DUMMYFUNCTION("""COMPUTED_VALUE"""),"https://i.postimg.cc/mDTkczRm/158.png")</f>
        <v>https://i.postimg.cc/mDTkczRm/158.png</v>
      </c>
      <c r="L152" s="162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</row>
    <row r="153">
      <c r="A153" s="163" t="str">
        <f>IFERROR(__xludf.DUMMYFUNCTION("""COMPUTED_VALUE"""),"G-191")</f>
        <v>G-191</v>
      </c>
      <c r="B153" s="163" t="str">
        <f>IFERROR(__xludf.DUMMYFUNCTION("""COMPUTED_VALUE"""),"The Dark King")</f>
        <v>The Dark King</v>
      </c>
      <c r="C153" s="163" t="str">
        <f>IFERROR(__xludf.DUMMYFUNCTION("""COMPUTED_VALUE"""),"When you Knockback an enemy: Recover HP by 3%.")</f>
        <v>When you Knockback an enemy: Recover HP by 3%.</v>
      </c>
      <c r="D153" s="163" t="str">
        <f>IFERROR(__xludf.DUMMYFUNCTION("""COMPUTED_VALUE"""),"Roger Pirates / Ex_Roger Pirates")</f>
        <v>Roger Pirates / Ex_Roger Pirates</v>
      </c>
      <c r="E153" s="164" t="str">
        <f>IFERROR(__xludf.DUMMYFUNCTION("""COMPUTED_VALUE"""),"https://i.postimg.cc/BbXgddxx/191.png")</f>
        <v>https://i.postimg.cc/BbXgddxx/191.png</v>
      </c>
      <c r="F153" s="162"/>
      <c r="G153" s="163" t="str">
        <f>IFERROR(__xludf.DUMMYFUNCTION("""COMPUTED_VALUE"""),"E-157")</f>
        <v>E-157</v>
      </c>
      <c r="H153" s="163" t="str">
        <f>IFERROR(__xludf.DUMMYFUNCTION("""COMPUTED_VALUE"""),"Limejuice (FILM RED)")</f>
        <v>Limejuice (FILM RED)</v>
      </c>
      <c r="I153" s="163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J153" s="163" t="str">
        <f>IFERROR(__xludf.DUMMYFUNCTION("""COMPUTED_VALUE"""),"FILM RED ~ Red_Haired Pirates")</f>
        <v>FILM RED ~ Red_Haired Pirates</v>
      </c>
      <c r="K153" s="164" t="str">
        <f>IFERROR(__xludf.DUMMYFUNCTION("""COMPUTED_VALUE"""),"https://i.postimg.cc/26T6nkSr/157.png")</f>
        <v>https://i.postimg.cc/26T6nkSr/157.png</v>
      </c>
      <c r="L153" s="162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</row>
    <row r="154">
      <c r="A154" s="163" t="str">
        <f>IFERROR(__xludf.DUMMYFUNCTION("""COMPUTED_VALUE"""),"G-190")</f>
        <v>G-190</v>
      </c>
      <c r="B154" s="163" t="str">
        <f>IFERROR(__xludf.DUMMYFUNCTION("""COMPUTED_VALUE"""),"Boss")</f>
        <v>Boss</v>
      </c>
      <c r="C154" s="163" t="str">
        <f>IFERROR(__xludf.DUMMYFUNCTION("""COMPUTED_VALUE"""),"When using Skill 2: Reduce the cooldown time of Skill 1 by 5%.")</f>
        <v>When using Skill 2: Reduce the cooldown time of Skill 1 by 5%.</v>
      </c>
      <c r="D154" s="163" t="str">
        <f>IFERROR(__xludf.DUMMYFUNCTION("""COMPUTED_VALUE"""),"Zou / Whole Cake Island ~ Captain ~ Fish_Man ~ Fish_Man Karate ~ The Seven Warlords of the Sea / Former Warlords of the Sea ~ Sun Pirates")</f>
        <v>Zou / Whole Cake Island ~ Captain ~ Fish_Man ~ Fish_Man Karate ~ The Seven Warlords of the Sea / Former Warlords of the Sea ~ Sun Pirates</v>
      </c>
      <c r="E154" s="164" t="str">
        <f>IFERROR(__xludf.DUMMYFUNCTION("""COMPUTED_VALUE"""),"https://i.postimg.cc/BbkgsMgR/190.png")</f>
        <v>https://i.postimg.cc/BbkgsMgR/190.png</v>
      </c>
      <c r="F154" s="162"/>
      <c r="G154" s="163" t="str">
        <f>IFERROR(__xludf.DUMMYFUNCTION("""COMPUTED_VALUE"""),"E-156")</f>
        <v>E-156</v>
      </c>
      <c r="H154" s="163" t="str">
        <f>IFERROR(__xludf.DUMMYFUNCTION("""COMPUTED_VALUE"""),"Lucky Roux (FILM RED)")</f>
        <v>Lucky Roux (FILM RED)</v>
      </c>
      <c r="I154" s="163" t="str">
        <f>IFERROR(__xludf.DUMMYFUNCTION("""COMPUTED_VALUE"""),"After KOing an enemy: Recover HP by 5%.")</f>
        <v>After KOing an enemy: Recover HP by 5%.</v>
      </c>
      <c r="J154" s="163" t="str">
        <f>IFERROR(__xludf.DUMMYFUNCTION("""COMPUTED_VALUE"""),"FILM RED ~ Red_Haired Pirates")</f>
        <v>FILM RED ~ Red_Haired Pirates</v>
      </c>
      <c r="K154" s="164" t="str">
        <f>IFERROR(__xludf.DUMMYFUNCTION("""COMPUTED_VALUE"""),"https://i.postimg.cc/Gt2pQW4Y/156.png")</f>
        <v>https://i.postimg.cc/Gt2pQW4Y/156.png</v>
      </c>
      <c r="L154" s="162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</row>
    <row r="155">
      <c r="A155" s="163" t="str">
        <f>IFERROR(__xludf.DUMMYFUNCTION("""COMPUTED_VALUE"""),"G-189")</f>
        <v>G-189</v>
      </c>
      <c r="B155" s="163" t="str">
        <f>IFERROR(__xludf.DUMMYFUNCTION("""COMPUTED_VALUE"""),"Pudding")</f>
        <v>Pudding</v>
      </c>
      <c r="C155" s="163" t="str">
        <f>IFERROR(__xludf.DUMMYFUNCTION("""COMPUTED_VALUE"""),"When you are Downed: Reduce the cooldown time of Skill 2 by 4%.")</f>
        <v>When you are Downed: Reduce the cooldown time of Skill 2 by 4%.</v>
      </c>
      <c r="D155" s="163" t="str">
        <f>IFERROR(__xludf.DUMMYFUNCTION("""COMPUTED_VALUE"""),"Zou / Whole Cake Island ~ Big Mom Pirates ~ Paramecia ~ Royalty / Former Royalty ~ Charlotte Family")</f>
        <v>Zou / Whole Cake Island ~ Big Mom Pirates ~ Paramecia ~ Royalty / Former Royalty ~ Charlotte Family</v>
      </c>
      <c r="E155" s="164" t="str">
        <f>IFERROR(__xludf.DUMMYFUNCTION("""COMPUTED_VALUE"""),"https://i.postimg.cc/2SpwK93Z/189.png")</f>
        <v>https://i.postimg.cc/2SpwK93Z/189.png</v>
      </c>
      <c r="F155" s="162"/>
      <c r="G155" s="163" t="str">
        <f>IFERROR(__xludf.DUMMYFUNCTION("""COMPUTED_VALUE"""),"E-155")</f>
        <v>E-155</v>
      </c>
      <c r="H155" s="163" t="str">
        <f>IFERROR(__xludf.DUMMYFUNCTION("""COMPUTED_VALUE"""),"Robin (FILM RED)")</f>
        <v>Robin (FILM RED)</v>
      </c>
      <c r="I155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J155" s="163" t="str">
        <f>IFERROR(__xludf.DUMMYFUNCTION("""COMPUTED_VALUE"""),"FILM RED ~ Straw Hat Pirates ~ Paramecia ~ Archaeologist")</f>
        <v>FILM RED ~ Straw Hat Pirates ~ Paramecia ~ Archaeologist</v>
      </c>
      <c r="K155" s="164" t="str">
        <f>IFERROR(__xludf.DUMMYFUNCTION("""COMPUTED_VALUE"""),"https://i.postimg.cc/Gt5mSXDf/155.png")</f>
        <v>https://i.postimg.cc/Gt5mSXDf/155.png</v>
      </c>
      <c r="L155" s="162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</row>
    <row r="156">
      <c r="A156" s="163" t="str">
        <f>IFERROR(__xludf.DUMMYFUNCTION("""COMPUTED_VALUE"""),"G-188")</f>
        <v>G-188</v>
      </c>
      <c r="B156" s="163" t="str">
        <f>IFERROR(__xludf.DUMMYFUNCTION("""COMPUTED_VALUE"""),"Soul King")</f>
        <v>Soul King</v>
      </c>
      <c r="C156" s="163" t="str">
        <f>IFERROR(__xludf.DUMMYFUNCTION("""COMPUTED_VALUE"""),"When you capture the Treasure: Reduce the cooldown time of Skill 2 by 8%.")</f>
        <v>When you capture the Treasure: Reduce the cooldown time of Skill 2 by 8%.</v>
      </c>
      <c r="D156" s="163" t="str">
        <f>IFERROR(__xludf.DUMMYFUNCTION("""COMPUTED_VALUE"""),"Zou / Whole Cake Island ~ Straw Hat Pirates ~ Paramecia ~ Musician")</f>
        <v>Zou / Whole Cake Island ~ Straw Hat Pirates ~ Paramecia ~ Musician</v>
      </c>
      <c r="E156" s="164" t="str">
        <f>IFERROR(__xludf.DUMMYFUNCTION("""COMPUTED_VALUE"""),"https://i.postimg.cc/nhvkbKQw/188.png")</f>
        <v>https://i.postimg.cc/nhvkbKQw/188.png</v>
      </c>
      <c r="F156" s="162"/>
      <c r="G156" s="163" t="str">
        <f>IFERROR(__xludf.DUMMYFUNCTION("""COMPUTED_VALUE"""),"E-154")</f>
        <v>E-154</v>
      </c>
      <c r="H156" s="163" t="str">
        <f>IFERROR(__xludf.DUMMYFUNCTION("""COMPUTED_VALUE"""),"Jinbe (FILM RED)")</f>
        <v>Jinbe (FILM RED)</v>
      </c>
      <c r="I156" s="163" t="str">
        <f>IFERROR(__xludf.DUMMYFUNCTION("""COMPUTED_VALUE"""),"When Critical occurs: Reduce the cooldown time of Skill 1 by 3%.")</f>
        <v>When Critical occurs: Reduce the cooldown time of Skill 1 by 3%.</v>
      </c>
      <c r="J156" s="163" t="str">
        <f>IFERROR(__xludf.DUMMYFUNCTION("""COMPUTED_VALUE"""),"FILM RED ~ Straw Hat Pirates ~ Helmsman ~ Fish_Man ~ Fish_Man Karate")</f>
        <v>FILM RED ~ Straw Hat Pirates ~ Helmsman ~ Fish_Man ~ Fish_Man Karate</v>
      </c>
      <c r="K156" s="164" t="str">
        <f>IFERROR(__xludf.DUMMYFUNCTION("""COMPUTED_VALUE"""),"https://i.postimg.cc/RCshFZYT/154.png")</f>
        <v>https://i.postimg.cc/RCshFZYT/154.png</v>
      </c>
      <c r="L156" s="162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</row>
    <row r="157">
      <c r="A157" s="163" t="str">
        <f>IFERROR(__xludf.DUMMYFUNCTION("""COMPUTED_VALUE"""),"G-187")</f>
        <v>G-187</v>
      </c>
      <c r="B157" s="163" t="str">
        <f>IFERROR(__xludf.DUMMYFUNCTION("""COMPUTED_VALUE"""),"Sorcery Climate Baton")</f>
        <v>Sorcery Climate Baton</v>
      </c>
      <c r="C157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57" s="163" t="str">
        <f>IFERROR(__xludf.DUMMYFUNCTION("""COMPUTED_VALUE"""),"Zou / Whole Cake Island ~ Straw Hat Pirates ~ Navigator")</f>
        <v>Zou / Whole Cake Island ~ Straw Hat Pirates ~ Navigator</v>
      </c>
      <c r="E157" s="164" t="str">
        <f>IFERROR(__xludf.DUMMYFUNCTION("""COMPUTED_VALUE"""),"https://i.postimg.cc/rmpCrvZv/187.png")</f>
        <v>https://i.postimg.cc/rmpCrvZv/187.png</v>
      </c>
      <c r="F157" s="162"/>
      <c r="G157" s="163" t="str">
        <f>IFERROR(__xludf.DUMMYFUNCTION("""COMPUTED_VALUE"""),"E-153")</f>
        <v>E-153</v>
      </c>
      <c r="H157" s="163" t="str">
        <f>IFERROR(__xludf.DUMMYFUNCTION("""COMPUTED_VALUE"""),"Chopper (FILM Z)")</f>
        <v>Chopper (FILM Z)</v>
      </c>
      <c r="I157" s="163" t="str">
        <f>IFERROR(__xludf.DUMMYFUNCTION("""COMPUTED_VALUE"""),"When your allies are not near the Treasure area where you are at: Boost the cooldown reduction speed of Skill 1 by 10%.")</f>
        <v>When your allies are not near the Treasure area where you are at: Boost the cooldown reduction speed of Skill 1 by 10%.</v>
      </c>
      <c r="J157" s="163" t="str">
        <f>IFERROR(__xludf.DUMMYFUNCTION("""COMPUTED_VALUE"""),"FILM Z ~ Straw Hat Pirates ~ Zoan ~ Doctor")</f>
        <v>FILM Z ~ Straw Hat Pirates ~ Zoan ~ Doctor</v>
      </c>
      <c r="K157" s="164" t="str">
        <f>IFERROR(__xludf.DUMMYFUNCTION("""COMPUTED_VALUE"""),"https://i.postimg.cc/BQj61G9f/153.png")</f>
        <v>https://i.postimg.cc/BQj61G9f/153.png</v>
      </c>
      <c r="L157" s="162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</row>
    <row r="158">
      <c r="A158" s="163" t="str">
        <f>IFERROR(__xludf.DUMMYFUNCTION("""COMPUTED_VALUE"""),"G-186")</f>
        <v>G-186</v>
      </c>
      <c r="B158" s="163" t="str">
        <f>IFERROR(__xludf.DUMMYFUNCTION("""COMPUTED_VALUE"""),"Monet")</f>
        <v>Monet</v>
      </c>
      <c r="C158" s="163" t="str">
        <f>IFERROR(__xludf.DUMMYFUNCTION("""COMPUTED_VALUE"""),"When attacked by an enemy: Reduce the cooldown time of Skill 1 by 2%.")</f>
        <v>When attacked by an enemy: Reduce the cooldown time of Skill 1 by 2%.</v>
      </c>
      <c r="D158" s="163" t="str">
        <f>IFERROR(__xludf.DUMMYFUNCTION("""COMPUTED_VALUE"""),"Punk Hazard ~ Logia ~ Don Quixote Family")</f>
        <v>Punk Hazard ~ Logia ~ Don Quixote Family</v>
      </c>
      <c r="E158" s="164" t="str">
        <f>IFERROR(__xludf.DUMMYFUNCTION("""COMPUTED_VALUE"""),"https://i.postimg.cc/W48wt28G/186.png")</f>
        <v>https://i.postimg.cc/W48wt28G/186.png</v>
      </c>
      <c r="F158" s="162"/>
      <c r="G158" s="163" t="str">
        <f>IFERROR(__xludf.DUMMYFUNCTION("""COMPUTED_VALUE"""),"E-152")</f>
        <v>E-152</v>
      </c>
      <c r="H158" s="163" t="str">
        <f>IFERROR(__xludf.DUMMYFUNCTION("""COMPUTED_VALUE"""),"Zoro (FILM Z)")</f>
        <v>Zoro (FILM Z)</v>
      </c>
      <c r="I158" s="163" t="str">
        <f>IFERROR(__xludf.DUMMYFUNCTION("""COMPUTED_VALUE"""),"When you Knockback an enemy: Reduce the cooldown time of Skill 1 by 5%.")</f>
        <v>When you Knockback an enemy: Reduce the cooldown time of Skill 1 by 5%.</v>
      </c>
      <c r="J158" s="163" t="str">
        <f>IFERROR(__xludf.DUMMYFUNCTION("""COMPUTED_VALUE"""),"FILM Z ~ Straw Hat Pirates ~ Combatant ~ Worst Generation")</f>
        <v>FILM Z ~ Straw Hat Pirates ~ Combatant ~ Worst Generation</v>
      </c>
      <c r="K158" s="164" t="str">
        <f>IFERROR(__xludf.DUMMYFUNCTION("""COMPUTED_VALUE"""),"https://i.postimg.cc/fT1bcgDt/152.png")</f>
        <v>https://i.postimg.cc/fT1bcgDt/152.png</v>
      </c>
      <c r="L158" s="162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</row>
    <row r="159">
      <c r="A159" s="163" t="str">
        <f>IFERROR(__xludf.DUMMYFUNCTION("""COMPUTED_VALUE"""),"G-185")</f>
        <v>G-185</v>
      </c>
      <c r="B159" s="163" t="str">
        <f>IFERROR(__xludf.DUMMYFUNCTION("""COMPUTED_VALUE"""),"Bamboo Demon")</f>
        <v>Bamboo Demon</v>
      </c>
      <c r="C159" s="163" t="str">
        <f>IFERROR(__xludf.DUMMYFUNCTION("""COMPUTED_VALUE"""),"When attacking a character type ``Logia`` enemy: Increase damage dealt by 5%.")</f>
        <v>When attacking a character type ``Logia`` enemy: Increase damage dealt by 5%.</v>
      </c>
      <c r="D159" s="163" t="str">
        <f>IFERROR(__xludf.DUMMYFUNCTION("""COMPUTED_VALUE"""),"Punk Hazard ~ Navy ~ Vice Admiral ~ Don Quixote Family")</f>
        <v>Punk Hazard ~ Navy ~ Vice Admiral ~ Don Quixote Family</v>
      </c>
      <c r="E159" s="164" t="str">
        <f>IFERROR(__xludf.DUMMYFUNCTION("""COMPUTED_VALUE"""),"https://i.postimg.cc/LX0kBNrh/185.png")</f>
        <v>https://i.postimg.cc/LX0kBNrh/185.png</v>
      </c>
      <c r="F159" s="162"/>
      <c r="G159" s="163" t="str">
        <f>IFERROR(__xludf.DUMMYFUNCTION("""COMPUTED_VALUE"""),"E-151")</f>
        <v>E-151</v>
      </c>
      <c r="H159" s="163" t="str">
        <f>IFERROR(__xludf.DUMMYFUNCTION("""COMPUTED_VALUE"""),"Sanji (FILM GOLD)")</f>
        <v>Sanji (FILM GOLD)</v>
      </c>
      <c r="I159" s="163" t="str">
        <f>IFERROR(__xludf.DUMMYFUNCTION("""COMPUTED_VALUE"""),"When attacking an enemy that is capturing Treasure: Reduce the cooldown time of Skill 1 by 3%.")</f>
        <v>When attacking an enemy that is capturing Treasure: Reduce the cooldown time of Skill 1 by 3%.</v>
      </c>
      <c r="J159" s="163" t="str">
        <f>IFERROR(__xludf.DUMMYFUNCTION("""COMPUTED_VALUE"""),"FILM GOLD ~ Straw Hat Pirates ~ Cook")</f>
        <v>FILM GOLD ~ Straw Hat Pirates ~ Cook</v>
      </c>
      <c r="K159" s="164" t="str">
        <f>IFERROR(__xludf.DUMMYFUNCTION("""COMPUTED_VALUE"""),"https://i.postimg.cc/kg8gfFgj/151.png")</f>
        <v>https://i.postimg.cc/kg8gfFgj/151.png</v>
      </c>
      <c r="L159" s="162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</row>
    <row r="160">
      <c r="A160" s="163" t="str">
        <f>IFERROR(__xludf.DUMMYFUNCTION("""COMPUTED_VALUE"""),"G-184")</f>
        <v>G-184</v>
      </c>
      <c r="B160" s="163" t="str">
        <f>IFERROR(__xludf.DUMMYFUNCTION("""COMPUTED_VALUE"""),"Sugar")</f>
        <v>Sugar</v>
      </c>
      <c r="C160" s="163" t="str">
        <f>IFERROR(__xludf.DUMMYFUNCTION("""COMPUTED_VALUE"""),"When you Knockback an enemy: Recover HP by 3%.")</f>
        <v>When you Knockback an enemy: Recover HP by 3%.</v>
      </c>
      <c r="D160" s="163" t="str">
        <f>IFERROR(__xludf.DUMMYFUNCTION("""COMPUTED_VALUE"""),"Dressrosa ~ Paramecia ~ Trebol Army ~ Don Quixote Family")</f>
        <v>Dressrosa ~ Paramecia ~ Trebol Army ~ Don Quixote Family</v>
      </c>
      <c r="E160" s="164" t="str">
        <f>IFERROR(__xludf.DUMMYFUNCTION("""COMPUTED_VALUE"""),"https://i.postimg.cc/4y768pgP/184.png")</f>
        <v>https://i.postimg.cc/4y768pgP/184.png</v>
      </c>
      <c r="F160" s="162"/>
      <c r="G160" s="163" t="str">
        <f>IFERROR(__xludf.DUMMYFUNCTION("""COMPUTED_VALUE"""),"E-150")</f>
        <v>E-150</v>
      </c>
      <c r="H160" s="163" t="str">
        <f>IFERROR(__xludf.DUMMYFUNCTION("""COMPUTED_VALUE"""),"Usopp (FILM GOLD)")</f>
        <v>Usopp (FILM GOLD)</v>
      </c>
      <c r="I160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160" s="163" t="str">
        <f>IFERROR(__xludf.DUMMYFUNCTION("""COMPUTED_VALUE"""),"FILM GOLD ~ Straw Hat Pirates ~ Sharp Shooter")</f>
        <v>FILM GOLD ~ Straw Hat Pirates ~ Sharp Shooter</v>
      </c>
      <c r="K160" s="164" t="str">
        <f>IFERROR(__xludf.DUMMYFUNCTION("""COMPUTED_VALUE"""),"https://i.postimg.cc/5tVNGYHf/150.png")</f>
        <v>https://i.postimg.cc/5tVNGYHf/150.png</v>
      </c>
      <c r="L160" s="162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</row>
    <row r="161">
      <c r="A161" s="163" t="str">
        <f>IFERROR(__xludf.DUMMYFUNCTION("""COMPUTED_VALUE"""),"G-183")</f>
        <v>G-183</v>
      </c>
      <c r="B161" s="163" t="str">
        <f>IFERROR(__xludf.DUMMYFUNCTION("""COMPUTED_VALUE"""),"Young Master")</f>
        <v>Young Master</v>
      </c>
      <c r="C161" s="163" t="str">
        <f>IFERROR(__xludf.DUMMYFUNCTION("""COMPUTED_VALUE"""),"When your HP is 50% or less: Increase damage dealt by 5%.")</f>
        <v>When your HP is 50% or less: Increase damage dealt by 5%.</v>
      </c>
      <c r="D161" s="163" t="str">
        <f>IFERROR(__xludf.DUMMYFUNCTION("""COMPUTED_VALUE"""),"Paramecia ~ Captain ~ Don Quixote Family")</f>
        <v>Paramecia ~ Captain ~ Don Quixote Family</v>
      </c>
      <c r="E161" s="164" t="str">
        <f>IFERROR(__xludf.DUMMYFUNCTION("""COMPUTED_VALUE"""),"https://i.postimg.cc/PJgm0Nfj/183.png")</f>
        <v>https://i.postimg.cc/PJgm0Nfj/183.png</v>
      </c>
      <c r="F161" s="162"/>
      <c r="G161" s="163" t="str">
        <f>IFERROR(__xludf.DUMMYFUNCTION("""COMPUTED_VALUE"""),"E-149")</f>
        <v>E-149</v>
      </c>
      <c r="H161" s="163" t="str">
        <f>IFERROR(__xludf.DUMMYFUNCTION("""COMPUTED_VALUE"""),"Nami (FILM STRONG WORLD)")</f>
        <v>Nami (FILM STRONG WORLD)</v>
      </c>
      <c r="I161" s="163" t="str">
        <f>IFERROR(__xludf.DUMMYFUNCTION("""COMPUTED_VALUE"""),"When you capture the Treasure: Reduce the cooldown time of Skill 1 by 6%.")</f>
        <v>When you capture the Treasure: Reduce the cooldown time of Skill 1 by 6%.</v>
      </c>
      <c r="J161" s="163" t="str">
        <f>IFERROR(__xludf.DUMMYFUNCTION("""COMPUTED_VALUE"""),"FILM STRONG WORLD ~ Straw Hat Pirates ~ Navigator")</f>
        <v>FILM STRONG WORLD ~ Straw Hat Pirates ~ Navigator</v>
      </c>
      <c r="K161" s="164" t="str">
        <f>IFERROR(__xludf.DUMMYFUNCTION("""COMPUTED_VALUE"""),"https://i.postimg.cc/Xvk70jFd/149.png")</f>
        <v>https://i.postimg.cc/Xvk70jFd/149.png</v>
      </c>
      <c r="L161" s="162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</row>
    <row r="162">
      <c r="A162" s="163" t="str">
        <f>IFERROR(__xludf.DUMMYFUNCTION("""COMPUTED_VALUE"""),"G-182")</f>
        <v>G-182</v>
      </c>
      <c r="B162" s="163" t="str">
        <f>IFERROR(__xludf.DUMMYFUNCTION("""COMPUTED_VALUE"""),"Hard_Boiled")</f>
        <v>Hard_Boiled</v>
      </c>
      <c r="C162" s="163" t="str">
        <f>IFERROR(__xludf.DUMMYFUNCTION("""COMPUTED_VALUE"""),"When you capture the Treasure: Recover HP by 5%.")</f>
        <v>When you capture the Treasure: Recover HP by 5%.</v>
      </c>
      <c r="D162" s="163" t="str">
        <f>IFERROR(__xludf.DUMMYFUNCTION("""COMPUTED_VALUE"""),"Dressrosa ~ Paramecia ~ Diamante Army ~ Don Quixote Family")</f>
        <v>Dressrosa ~ Paramecia ~ Diamante Army ~ Don Quixote Family</v>
      </c>
      <c r="E162" s="164" t="str">
        <f>IFERROR(__xludf.DUMMYFUNCTION("""COMPUTED_VALUE"""),"https://i.postimg.cc/WpC6dYGH/182.png")</f>
        <v>https://i.postimg.cc/WpC6dYGH/182.png</v>
      </c>
      <c r="F162" s="162"/>
      <c r="G162" s="163" t="str">
        <f>IFERROR(__xludf.DUMMYFUNCTION("""COMPUTED_VALUE"""),"E-148")</f>
        <v>E-148</v>
      </c>
      <c r="H162" s="163" t="str">
        <f>IFERROR(__xludf.DUMMYFUNCTION("""COMPUTED_VALUE"""),"Luffy (FILM STRONG WORLD)")</f>
        <v>Luffy (FILM STRONG WORLD)</v>
      </c>
      <c r="I162" s="163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J162" s="163" t="str">
        <f>IFERROR(__xludf.DUMMYFUNCTION("""COMPUTED_VALUE"""),"FILM STRONG WORLD ~ Straw Hat Pirates ~ Paramecia ~ Captain ~ Worst Generation ~ Blood Brothers")</f>
        <v>FILM STRONG WORLD ~ Straw Hat Pirates ~ Paramecia ~ Captain ~ Worst Generation ~ Blood Brothers</v>
      </c>
      <c r="K162" s="164" t="str">
        <f>IFERROR(__xludf.DUMMYFUNCTION("""COMPUTED_VALUE"""),"https://i.postimg.cc/bJYYy7HM/148.png")</f>
        <v>https://i.postimg.cc/bJYYy7HM/148.png</v>
      </c>
      <c r="L162" s="162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</row>
    <row r="163">
      <c r="A163" s="163" t="str">
        <f>IFERROR(__xludf.DUMMYFUNCTION("""COMPUTED_VALUE"""),"G-181")</f>
        <v>G-181</v>
      </c>
      <c r="B163" s="163" t="str">
        <f>IFERROR(__xludf.DUMMYFUNCTION("""COMPUTED_VALUE"""),"Baby 5")</f>
        <v>Baby 5</v>
      </c>
      <c r="C163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63" s="163" t="str">
        <f>IFERROR(__xludf.DUMMYFUNCTION("""COMPUTED_VALUE"""),"Dressrosa ~ Paramecia ~ Pica Army ~ Don Quixote Family")</f>
        <v>Dressrosa ~ Paramecia ~ Pica Army ~ Don Quixote Family</v>
      </c>
      <c r="E163" s="164" t="str">
        <f>IFERROR(__xludf.DUMMYFUNCTION("""COMPUTED_VALUE"""),"https://i.postimg.cc/SKScBB4J/181.png")</f>
        <v>https://i.postimg.cc/SKScBB4J/181.png</v>
      </c>
      <c r="F163" s="162"/>
      <c r="G163" s="163" t="str">
        <f>IFERROR(__xludf.DUMMYFUNCTION("""COMPUTED_VALUE"""),"E-147")</f>
        <v>E-147</v>
      </c>
      <c r="H163" s="163" t="str">
        <f>IFERROR(__xludf.DUMMYFUNCTION("""COMPUTED_VALUE"""),"Flampe (Land of Wano)")</f>
        <v>Flampe (Land of Wano)</v>
      </c>
      <c r="I163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J163" s="163" t="str">
        <f>IFERROR(__xludf.DUMMYFUNCTION("""COMPUTED_VALUE"""),"Land of Wano ~ Big Mom Pirates ~ Charlotte Family")</f>
        <v>Land of Wano ~ Big Mom Pirates ~ Charlotte Family</v>
      </c>
      <c r="K163" s="164" t="str">
        <f>IFERROR(__xludf.DUMMYFUNCTION("""COMPUTED_VALUE"""),"https://i.postimg.cc/cHDxrFFJ/147.png")</f>
        <v>https://i.postimg.cc/cHDxrFFJ/147.png</v>
      </c>
      <c r="L163" s="162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</row>
    <row r="164">
      <c r="A164" s="163" t="str">
        <f>IFERROR(__xludf.DUMMYFUNCTION("""COMPUTED_VALUE"""),"G-180")</f>
        <v>G-180</v>
      </c>
      <c r="B164" s="163" t="str">
        <f>IFERROR(__xludf.DUMMYFUNCTION("""COMPUTED_VALUE"""),"Sentomaru")</f>
        <v>Sentomaru</v>
      </c>
      <c r="C164" s="163" t="str">
        <f>IFERROR(__xludf.DUMMYFUNCTION("""COMPUTED_VALUE"""),"When you Knockback an enemy: Recover HP by 3%.")</f>
        <v>When you Knockback an enemy: Recover HP by 3%.</v>
      </c>
      <c r="D164" s="163" t="str">
        <f>IFERROR(__xludf.DUMMYFUNCTION("""COMPUTED_VALUE"""),"Sabaody Archipelago / Island of Women ~ Navy")</f>
        <v>Sabaody Archipelago / Island of Women ~ Navy</v>
      </c>
      <c r="E164" s="164" t="str">
        <f>IFERROR(__xludf.DUMMYFUNCTION("""COMPUTED_VALUE"""),"https://i.postimg.cc/VkBjHY3x/180.png")</f>
        <v>https://i.postimg.cc/VkBjHY3x/180.png</v>
      </c>
      <c r="F164" s="162"/>
      <c r="G164" s="163" t="str">
        <f>IFERROR(__xludf.DUMMYFUNCTION("""COMPUTED_VALUE"""),"E-146")</f>
        <v>E-146</v>
      </c>
      <c r="H164" s="163" t="str">
        <f>IFERROR(__xludf.DUMMYFUNCTION("""COMPUTED_VALUE"""),"Daifuku (Land of Wano)")</f>
        <v>Daifuku (Land of Wano)</v>
      </c>
      <c r="I164" s="163" t="str">
        <f>IFERROR(__xludf.DUMMYFUNCTION("""COMPUTED_VALUE"""),"When you Down an enemy: Reduce the cooldown time of Skill 1 by 4%.")</f>
        <v>When you Down an enemy: Reduce the cooldown time of Skill 1 by 4%.</v>
      </c>
      <c r="J164" s="163" t="str">
        <f>IFERROR(__xludf.DUMMYFUNCTION("""COMPUTED_VALUE"""),"Land of Wano ~ Big Mom Pirates ~ Paramecia ~ Charlotte Family")</f>
        <v>Land of Wano ~ Big Mom Pirates ~ Paramecia ~ Charlotte Family</v>
      </c>
      <c r="K164" s="164" t="str">
        <f>IFERROR(__xludf.DUMMYFUNCTION("""COMPUTED_VALUE"""),"https://i.postimg.cc/rsK8W5HN/146.png")</f>
        <v>https://i.postimg.cc/rsK8W5HN/146.png</v>
      </c>
      <c r="L164" s="162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</row>
    <row r="165">
      <c r="A165" s="163" t="str">
        <f>IFERROR(__xludf.DUMMYFUNCTION("""COMPUTED_VALUE"""),"G-179")</f>
        <v>G-179</v>
      </c>
      <c r="B165" s="163" t="str">
        <f>IFERROR(__xludf.DUMMYFUNCTION("""COMPUTED_VALUE"""),"Koby (Paramount War)")</f>
        <v>Koby (Paramount War)</v>
      </c>
      <c r="C165" s="163" t="str">
        <f>IFERROR(__xludf.DUMMYFUNCTION("""COMPUTED_VALUE"""),"When an ally is KO`d (not including you): Reduce the cooldown time of Skill 2 by 6%.")</f>
        <v>When an ally is KO`d (not including you): Reduce the cooldown time of Skill 2 by 6%.</v>
      </c>
      <c r="D165" s="163" t="str">
        <f>IFERROR(__xludf.DUMMYFUNCTION("""COMPUTED_VALUE"""),"The Paramount War at Marineford ~ Navy ~ Master Chief Petty Officer")</f>
        <v>The Paramount War at Marineford ~ Navy ~ Master Chief Petty Officer</v>
      </c>
      <c r="E165" s="164" t="str">
        <f>IFERROR(__xludf.DUMMYFUNCTION("""COMPUTED_VALUE"""),"https://i.postimg.cc/YCw634yN/179.png")</f>
        <v>https://i.postimg.cc/YCw634yN/179.png</v>
      </c>
      <c r="F165" s="162"/>
      <c r="G165" s="163" t="str">
        <f>IFERROR(__xludf.DUMMYFUNCTION("""COMPUTED_VALUE"""),"E-145")</f>
        <v>E-145</v>
      </c>
      <c r="H165" s="163" t="str">
        <f>IFERROR(__xludf.DUMMYFUNCTION("""COMPUTED_VALUE"""),"Triceratops")</f>
        <v>Triceratops</v>
      </c>
      <c r="I165" s="163" t="str">
        <f>IFERROR(__xludf.DUMMYFUNCTION("""COMPUTED_VALUE"""),"When performing a Perfect Dodge: Reduce the cooldown time of Skill 1 by 4%.")</f>
        <v>When performing a Perfect Dodge: Reduce the cooldown time of Skill 1 by 4%.</v>
      </c>
      <c r="J165" s="163" t="str">
        <f>IFERROR(__xludf.DUMMYFUNCTION("""COMPUTED_VALUE"""),"Land of Wano ~ Animal Kingdom Pirates ~ Zoan ~ Tobi Roppo")</f>
        <v>Land of Wano ~ Animal Kingdom Pirates ~ Zoan ~ Tobi Roppo</v>
      </c>
      <c r="K165" s="164" t="str">
        <f>IFERROR(__xludf.DUMMYFUNCTION("""COMPUTED_VALUE"""),"https://i.postimg.cc/vTkGvcFF/145.png")</f>
        <v>https://i.postimg.cc/vTkGvcFF/145.png</v>
      </c>
      <c r="L165" s="162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</row>
    <row r="166">
      <c r="A166" s="163" t="str">
        <f>IFERROR(__xludf.DUMMYFUNCTION("""COMPUTED_VALUE"""),"G-178")</f>
        <v>G-178</v>
      </c>
      <c r="B166" s="163" t="str">
        <f>IFERROR(__xludf.DUMMYFUNCTION("""COMPUTED_VALUE"""),"Fleet Admiral Akainu")</f>
        <v>Fleet Admiral Akainu</v>
      </c>
      <c r="C166" s="163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D166" s="163" t="str">
        <f>IFERROR(__xludf.DUMMYFUNCTION("""COMPUTED_VALUE"""),"Navy ~ Logia ~ Fleet Admiral ~ Navy Admiral / Former Navy Admiral")</f>
        <v>Navy ~ Logia ~ Fleet Admiral ~ Navy Admiral / Former Navy Admiral</v>
      </c>
      <c r="E166" s="164" t="str">
        <f>IFERROR(__xludf.DUMMYFUNCTION("""COMPUTED_VALUE"""),"https://i.postimg.cc/VNKXmKs4/178.png")</f>
        <v>https://i.postimg.cc/VNKXmKs4/178.png</v>
      </c>
      <c r="F166" s="162"/>
      <c r="G166" s="163" t="str">
        <f>IFERROR(__xludf.DUMMYFUNCTION("""COMPUTED_VALUE"""),"E-144")</f>
        <v>E-144</v>
      </c>
      <c r="H166" s="163" t="str">
        <f>IFERROR(__xludf.DUMMYFUNCTION("""COMPUTED_VALUE"""),"Saber_Toothed Tiger")</f>
        <v>Saber_Toothed Tiger</v>
      </c>
      <c r="I166" s="163" t="str">
        <f>IFERROR(__xludf.DUMMYFUNCTION("""COMPUTED_VALUE"""),"When using Skill 1: Reduce the cooldown time of Skill 2 by 5%.")</f>
        <v>When using Skill 1: Reduce the cooldown time of Skill 2 by 5%.</v>
      </c>
      <c r="J166" s="163" t="str">
        <f>IFERROR(__xludf.DUMMYFUNCTION("""COMPUTED_VALUE"""),"Land of Wano ~ Animal Kingdom Pirates ~ Zoan ~ Tobi Roppo")</f>
        <v>Land of Wano ~ Animal Kingdom Pirates ~ Zoan ~ Tobi Roppo</v>
      </c>
      <c r="K166" s="164" t="str">
        <f>IFERROR(__xludf.DUMMYFUNCTION("""COMPUTED_VALUE"""),"https://i.postimg.cc/CMQM06ZP/144.png")</f>
        <v>https://i.postimg.cc/CMQM06ZP/144.png</v>
      </c>
      <c r="L166" s="162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</row>
    <row r="167">
      <c r="A167" s="163" t="str">
        <f>IFERROR(__xludf.DUMMYFUNCTION("""COMPUTED_VALUE"""),"G-177")</f>
        <v>G-177</v>
      </c>
      <c r="B167" s="163" t="str">
        <f>IFERROR(__xludf.DUMMYFUNCTION("""COMPUTED_VALUE"""),"Ice_Burn")</f>
        <v>Ice_Burn</v>
      </c>
      <c r="C167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67" s="163" t="str">
        <f>IFERROR(__xludf.DUMMYFUNCTION("""COMPUTED_VALUE"""),"Land of Wano ~ Straw Hat Pirates ~ Paramecia ~ Musician")</f>
        <v>Land of Wano ~ Straw Hat Pirates ~ Paramecia ~ Musician</v>
      </c>
      <c r="E167" s="164" t="str">
        <f>IFERROR(__xludf.DUMMYFUNCTION("""COMPUTED_VALUE"""),"https://i.postimg.cc/RFqKFwNm/177.png")</f>
        <v>https://i.postimg.cc/RFqKFwNm/177.png</v>
      </c>
      <c r="F167" s="162"/>
      <c r="G167" s="163" t="str">
        <f>IFERROR(__xludf.DUMMYFUNCTION("""COMPUTED_VALUE"""),"E-143")</f>
        <v>E-143</v>
      </c>
      <c r="H167" s="163" t="str">
        <f>IFERROR(__xludf.DUMMYFUNCTION("""COMPUTED_VALUE"""),"Kalgara")</f>
        <v>Kalgara</v>
      </c>
      <c r="I167" s="163" t="str">
        <f>IFERROR(__xludf.DUMMYFUNCTION("""COMPUTED_VALUE"""),"When inflicted with Shock by enemies: Reduce the cooldown time of Skill 1 by 6%.")</f>
        <v>When inflicted with Shock by enemies: Reduce the cooldown time of Skill 1 by 6%.</v>
      </c>
      <c r="J167" s="163" t="str">
        <f>IFERROR(__xludf.DUMMYFUNCTION("""COMPUTED_VALUE"""),"Sky Island / LRLL")</f>
        <v>Sky Island / LRLL</v>
      </c>
      <c r="K167" s="164" t="str">
        <f>IFERROR(__xludf.DUMMYFUNCTION("""COMPUTED_VALUE"""),"https://i.postimg.cc/L8dHYY3j/143.png")</f>
        <v>https://i.postimg.cc/L8dHYY3j/143.png</v>
      </c>
      <c r="L167" s="162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</row>
    <row r="168">
      <c r="A168" s="163" t="str">
        <f>IFERROR(__xludf.DUMMYFUNCTION("""COMPUTED_VALUE"""),"G-176")</f>
        <v>G-176</v>
      </c>
      <c r="B168" s="163" t="str">
        <f>IFERROR(__xludf.DUMMYFUNCTION("""COMPUTED_VALUE"""),"Delphinium")</f>
        <v>Delphinium</v>
      </c>
      <c r="C168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D168" s="163" t="str">
        <f>IFERROR(__xludf.DUMMYFUNCTION("""COMPUTED_VALUE"""),"Land of Wano ~ Straw Hat Pirates ~ Paramecia ~ Archaeologist")</f>
        <v>Land of Wano ~ Straw Hat Pirates ~ Paramecia ~ Archaeologist</v>
      </c>
      <c r="E168" s="164" t="str">
        <f>IFERROR(__xludf.DUMMYFUNCTION("""COMPUTED_VALUE"""),"https://i.postimg.cc/W3KrJtkk/176.png")</f>
        <v>https://i.postimg.cc/W3KrJtkk/176.png</v>
      </c>
      <c r="F168" s="162"/>
      <c r="G168" s="163" t="str">
        <f>IFERROR(__xludf.DUMMYFUNCTION("""COMPUTED_VALUE"""),"E-142")</f>
        <v>E-142</v>
      </c>
      <c r="H168" s="163" t="str">
        <f>IFERROR(__xludf.DUMMYFUNCTION("""COMPUTED_VALUE"""),"Noland")</f>
        <v>Noland</v>
      </c>
      <c r="I168" s="163" t="str">
        <f>IFERROR(__xludf.DUMMYFUNCTION("""COMPUTED_VALUE"""),"When inflicted with Shock by enemies: Recover HP by 3%.")</f>
        <v>When inflicted with Shock by enemies: Recover HP by 3%.</v>
      </c>
      <c r="J168" s="163" t="str">
        <f>IFERROR(__xludf.DUMMYFUNCTION("""COMPUTED_VALUE"""),"Sky Island / LRLL")</f>
        <v>Sky Island / LRLL</v>
      </c>
      <c r="K168" s="164" t="str">
        <f>IFERROR(__xludf.DUMMYFUNCTION("""COMPUTED_VALUE"""),"https://i.postimg.cc/FHjhjrT8/142.png")</f>
        <v>https://i.postimg.cc/FHjhjrT8/142.png</v>
      </c>
      <c r="L168" s="162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</row>
    <row r="169">
      <c r="A169" s="163" t="str">
        <f>IFERROR(__xludf.DUMMYFUNCTION("""COMPUTED_VALUE"""),"G-175")</f>
        <v>G-175</v>
      </c>
      <c r="B169" s="163" t="str">
        <f>IFERROR(__xludf.DUMMYFUNCTION("""COMPUTED_VALUE"""),"Vivi &amp; Karoo")</f>
        <v>Vivi &amp; Karoo</v>
      </c>
      <c r="C169" s="163" t="str">
        <f>IFERROR(__xludf.DUMMYFUNCTION("""COMPUTED_VALUE"""),"When you capture the Treasure: Recover HP by 5%.")</f>
        <v>When you capture the Treasure: Recover HP by 5%.</v>
      </c>
      <c r="D169" s="163" t="str">
        <f>IFERROR(__xludf.DUMMYFUNCTION("""COMPUTED_VALUE"""),"Alabasta ~ Straw Hat Pirates ~ Royalty / Former Royalty ~ Alabasta Kingdom")</f>
        <v>Alabasta ~ Straw Hat Pirates ~ Royalty / Former Royalty ~ Alabasta Kingdom</v>
      </c>
      <c r="E169" s="164" t="str">
        <f>IFERROR(__xludf.DUMMYFUNCTION("""COMPUTED_VALUE"""),"https://i.postimg.cc/1XqF0PGY/175.png")</f>
        <v>https://i.postimg.cc/1XqF0PGY/175.png</v>
      </c>
      <c r="F169" s="162"/>
      <c r="G169" s="163" t="str">
        <f>IFERROR(__xludf.DUMMYFUNCTION("""COMPUTED_VALUE"""),"E-141")</f>
        <v>E-141</v>
      </c>
      <c r="H169" s="163" t="str">
        <f>IFERROR(__xludf.DUMMYFUNCTION("""COMPUTED_VALUE"""),"Kami")</f>
        <v>Kami</v>
      </c>
      <c r="I169" s="163" t="str">
        <f>IFERROR(__xludf.DUMMYFUNCTION("""COMPUTED_VALUE"""),"When your allies are not near the Treasure area where you are at: Reduce damage recieved by 5%.")</f>
        <v>When your allies are not near the Treasure area where you are at: Reduce damage recieved by 5%.</v>
      </c>
      <c r="J169" s="163" t="str">
        <f>IFERROR(__xludf.DUMMYFUNCTION("""COMPUTED_VALUE"""),"Sky Island / LRLL ~ God`s Army ~ Logia ~ Mantra")</f>
        <v>Sky Island / LRLL ~ God`s Army ~ Logia ~ Mantra</v>
      </c>
      <c r="K169" s="164" t="str">
        <f>IFERROR(__xludf.DUMMYFUNCTION("""COMPUTED_VALUE"""),"https://i.postimg.cc/cJ00hpjH/141.png")</f>
        <v>https://i.postimg.cc/cJ00hpjH/141.png</v>
      </c>
      <c r="L169" s="162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</row>
    <row r="170">
      <c r="A170" s="163" t="str">
        <f>IFERROR(__xludf.DUMMYFUNCTION("""COMPUTED_VALUE"""),"G-174")</f>
        <v>G-174</v>
      </c>
      <c r="B170" s="163" t="str">
        <f>IFERROR(__xludf.DUMMYFUNCTION("""COMPUTED_VALUE"""),"Pell")</f>
        <v>Pell</v>
      </c>
      <c r="C170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70" s="163" t="str">
        <f>IFERROR(__xludf.DUMMYFUNCTION("""COMPUTED_VALUE"""),"Alabasta ~ Zoan ~ Alabasta Kingdom")</f>
        <v>Alabasta ~ Zoan ~ Alabasta Kingdom</v>
      </c>
      <c r="E170" s="164" t="str">
        <f>IFERROR(__xludf.DUMMYFUNCTION("""COMPUTED_VALUE"""),"https://i.postimg.cc/7br2mcXP/174.png")</f>
        <v>https://i.postimg.cc/7br2mcXP/174.png</v>
      </c>
      <c r="F170" s="162"/>
      <c r="G170" s="163" t="str">
        <f>IFERROR(__xludf.DUMMYFUNCTION("""COMPUTED_VALUE"""),"E-140")</f>
        <v>E-140</v>
      </c>
      <c r="H170" s="163" t="str">
        <f>IFERROR(__xludf.DUMMYFUNCTION("""COMPUTED_VALUE"""),"Savior")</f>
        <v>Savior</v>
      </c>
      <c r="I170" s="163" t="str">
        <f>IFERROR(__xludf.DUMMYFUNCTION("""COMPUTED_VALUE"""),"When the equipped character is character type ``Long_Range Normal Attacks``: Increase Normal Attack damage dealt by 5%.")</f>
        <v>When the equipped character is character type ``Long_Range Normal Attacks``: Increase Normal Attack damage dealt by 5%.</v>
      </c>
      <c r="J170" s="163" t="str">
        <f>IFERROR(__xludf.DUMMYFUNCTION("""COMPUTED_VALUE"""),"Dressrosa ~ Straw Hat Pirates ~ Sharp Shooter")</f>
        <v>Dressrosa ~ Straw Hat Pirates ~ Sharp Shooter</v>
      </c>
      <c r="K170" s="164" t="str">
        <f>IFERROR(__xludf.DUMMYFUNCTION("""COMPUTED_VALUE"""),"https://i.postimg.cc/Jhxm2TVQ/140.png")</f>
        <v>https://i.postimg.cc/Jhxm2TVQ/140.png</v>
      </c>
      <c r="L170" s="162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</row>
    <row r="171">
      <c r="A171" s="163" t="str">
        <f>IFERROR(__xludf.DUMMYFUNCTION("""COMPUTED_VALUE"""),"G-173")</f>
        <v>G-173</v>
      </c>
      <c r="B171" s="163" t="str">
        <f>IFERROR(__xludf.DUMMYFUNCTION("""COMPUTED_VALUE"""),"Ms. Goldenweek")</f>
        <v>Ms. Goldenweek</v>
      </c>
      <c r="C171" s="163" t="str">
        <f>IFERROR(__xludf.DUMMYFUNCTION("""COMPUTED_VALUE"""),"When your HP is 70% or more: Boost capture speed by 8%.")</f>
        <v>When your HP is 70% or more: Boost capture speed by 8%.</v>
      </c>
      <c r="D171" s="163" t="str">
        <f>IFERROR(__xludf.DUMMYFUNCTION("""COMPUTED_VALUE"""),"The Grand Line ~ Baroque Works ~ Officer Agent")</f>
        <v>The Grand Line ~ Baroque Works ~ Officer Agent</v>
      </c>
      <c r="E171" s="164" t="str">
        <f>IFERROR(__xludf.DUMMYFUNCTION("""COMPUTED_VALUE"""),"https://i.postimg.cc/zDVkP9wx/173.png")</f>
        <v>https://i.postimg.cc/zDVkP9wx/173.png</v>
      </c>
      <c r="F171" s="162"/>
      <c r="G171" s="163" t="str">
        <f>IFERROR(__xludf.DUMMYFUNCTION("""COMPUTED_VALUE"""),"E-139")</f>
        <v>E-139</v>
      </c>
      <c r="H171" s="163" t="str">
        <f>IFERROR(__xludf.DUMMYFUNCTION("""COMPUTED_VALUE"""),"Haruta")</f>
        <v>Haruta</v>
      </c>
      <c r="I171" s="163" t="str">
        <f>IFERROR(__xludf.DUMMYFUNCTION("""COMPUTED_VALUE"""),"When Critical occurs: Recover HP by 2%.")</f>
        <v>When Critical occurs: Recover HP by 2%.</v>
      </c>
      <c r="J171" s="163" t="str">
        <f>IFERROR(__xludf.DUMMYFUNCTION("""COMPUTED_VALUE"""),"The Paramount War at Marineford ~ Whitebeard Pirates ~ Whitebeard Pirates Commander")</f>
        <v>The Paramount War at Marineford ~ Whitebeard Pirates ~ Whitebeard Pirates Commander</v>
      </c>
      <c r="K171" s="164" t="str">
        <f>IFERROR(__xludf.DUMMYFUNCTION("""COMPUTED_VALUE"""),"https://i.postimg.cc/sX2ydp3C/139.png")</f>
        <v>https://i.postimg.cc/sX2ydp3C/139.png</v>
      </c>
      <c r="L171" s="162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</row>
    <row r="172">
      <c r="A172" s="163" t="str">
        <f>IFERROR(__xludf.DUMMYFUNCTION("""COMPUTED_VALUE"""),"G-172")</f>
        <v>G-172</v>
      </c>
      <c r="B172" s="163" t="str">
        <f>IFERROR(__xludf.DUMMYFUNCTION("""COMPUTED_VALUE"""),"Galdino")</f>
        <v>Galdino</v>
      </c>
      <c r="C172" s="163" t="str">
        <f>IFERROR(__xludf.DUMMYFUNCTION("""COMPUTED_VALUE"""),"When using Skill 1: Reduce the cooldown time of Skill 2 by 5%.")</f>
        <v>When using Skill 1: Reduce the cooldown time of Skill 2 by 5%.</v>
      </c>
      <c r="D172" s="163" t="str">
        <f>IFERROR(__xludf.DUMMYFUNCTION("""COMPUTED_VALUE"""),"The Grand Line ~ Baroque Works ~ Paramecia ~ Officer Agent")</f>
        <v>The Grand Line ~ Baroque Works ~ Paramecia ~ Officer Agent</v>
      </c>
      <c r="E172" s="164" t="str">
        <f>IFERROR(__xludf.DUMMYFUNCTION("""COMPUTED_VALUE"""),"https://i.postimg.cc/3JGF3mcp/172.png")</f>
        <v>https://i.postimg.cc/3JGF3mcp/172.png</v>
      </c>
      <c r="F172" s="162"/>
      <c r="G172" s="163" t="str">
        <f>IFERROR(__xludf.DUMMYFUNCTION("""COMPUTED_VALUE"""),"E-138")</f>
        <v>E-138</v>
      </c>
      <c r="H172" s="163" t="str">
        <f>IFERROR(__xludf.DUMMYFUNCTION("""COMPUTED_VALUE"""),"The Strongest Man in the World")</f>
        <v>The Strongest Man in the World</v>
      </c>
      <c r="I172" s="163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J172" s="163" t="str">
        <f>IFERROR(__xludf.DUMMYFUNCTION("""COMPUTED_VALUE"""),"The Paramount War at Marineford ~ Whitebeard Pirates ~ Paramecia ~ Captain ~ The Four Emperors")</f>
        <v>The Paramount War at Marineford ~ Whitebeard Pirates ~ Paramecia ~ Captain ~ The Four Emperors</v>
      </c>
      <c r="K172" s="164" t="str">
        <f>IFERROR(__xludf.DUMMYFUNCTION("""COMPUTED_VALUE"""),"https://i.postimg.cc/pT1v2pdh/138.png")</f>
        <v>https://i.postimg.cc/pT1v2pdh/138.png</v>
      </c>
      <c r="L172" s="162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</row>
    <row r="173">
      <c r="A173" s="163" t="str">
        <f>IFERROR(__xludf.DUMMYFUNCTION("""COMPUTED_VALUE"""),"G-171")</f>
        <v>G-171</v>
      </c>
      <c r="B173" s="163" t="str">
        <f>IFERROR(__xludf.DUMMYFUNCTION("""COMPUTED_VALUE"""),"Raid Law")</f>
        <v>Raid Law</v>
      </c>
      <c r="C173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173" s="163" t="str">
        <f>IFERROR(__xludf.DUMMYFUNCTION("""COMPUTED_VALUE"""),"Land of Wano ~ Paramecia ~ Captain ~ The Seven Warlords of the Sea / Former Warlords of the Sea ~ Worst Generation ~ Heart Pirates")</f>
        <v>Land of Wano ~ Paramecia ~ Captain ~ The Seven Warlords of the Sea / Former Warlords of the Sea ~ Worst Generation ~ Heart Pirates</v>
      </c>
      <c r="E173" s="164" t="str">
        <f>IFERROR(__xludf.DUMMYFUNCTION("""COMPUTED_VALUE"""),"https://i.postimg.cc/y6tTqvvs/171.png")</f>
        <v>https://i.postimg.cc/y6tTqvvs/171.png</v>
      </c>
      <c r="F173" s="162"/>
      <c r="G173" s="163" t="str">
        <f>IFERROR(__xludf.DUMMYFUNCTION("""COMPUTED_VALUE"""),"E-137")</f>
        <v>E-137</v>
      </c>
      <c r="H173" s="163" t="str">
        <f>IFERROR(__xludf.DUMMYFUNCTION("""COMPUTED_VALUE"""),"Doc Q")</f>
        <v>Doc Q</v>
      </c>
      <c r="I173" s="163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J173" s="163" t="str">
        <f>IFERROR(__xludf.DUMMYFUNCTION("""COMPUTED_VALUE"""),"The Paramount War at Marineford ~ Doctor ~ Blackbeard Pirates")</f>
        <v>The Paramount War at Marineford ~ Doctor ~ Blackbeard Pirates</v>
      </c>
      <c r="K173" s="164" t="str">
        <f>IFERROR(__xludf.DUMMYFUNCTION("""COMPUTED_VALUE"""),"https://i.postimg.cc/3N4TWYyL/137.png")</f>
        <v>https://i.postimg.cc/3N4TWYyL/137.png</v>
      </c>
      <c r="L173" s="162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</row>
    <row r="174">
      <c r="A174" s="163" t="str">
        <f>IFERROR(__xludf.DUMMYFUNCTION("""COMPUTED_VALUE"""),"G-170")</f>
        <v>G-170</v>
      </c>
      <c r="B174" s="163" t="str">
        <f>IFERROR(__xludf.DUMMYFUNCTION("""COMPUTED_VALUE"""),"Raid Kid")</f>
        <v>Raid Kid</v>
      </c>
      <c r="C174" s="163" t="str">
        <f>IFERROR(__xludf.DUMMYFUNCTION("""COMPUTED_VALUE"""),"When hit with Knockback by enemy: Recover HP by 3%.")</f>
        <v>When hit with Knockback by enemy: Recover HP by 3%.</v>
      </c>
      <c r="D174" s="163" t="str">
        <f>IFERROR(__xludf.DUMMYFUNCTION("""COMPUTED_VALUE"""),"Land of Wano ~ Kid Pirates ~ Paramecia ~ Captain ~ Worst Generation")</f>
        <v>Land of Wano ~ Kid Pirates ~ Paramecia ~ Captain ~ Worst Generation</v>
      </c>
      <c r="E174" s="164" t="str">
        <f>IFERROR(__xludf.DUMMYFUNCTION("""COMPUTED_VALUE"""),"https://i.postimg.cc/vZdLTTJK/170.png")</f>
        <v>https://i.postimg.cc/vZdLTTJK/170.png</v>
      </c>
      <c r="F174" s="162"/>
      <c r="G174" s="163" t="str">
        <f>IFERROR(__xludf.DUMMYFUNCTION("""COMPUTED_VALUE"""),"E-136")</f>
        <v>E-136</v>
      </c>
      <c r="H174" s="163" t="str">
        <f>IFERROR(__xludf.DUMMYFUNCTION("""COMPUTED_VALUE"""),"Van Ogre")</f>
        <v>Van Ogre</v>
      </c>
      <c r="I174" s="163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J174" s="163" t="str">
        <f>IFERROR(__xludf.DUMMYFUNCTION("""COMPUTED_VALUE"""),"The Paramount War at Marineford ~ Sharp Shooter ~ Blackbeard Pirates")</f>
        <v>The Paramount War at Marineford ~ Sharp Shooter ~ Blackbeard Pirates</v>
      </c>
      <c r="K174" s="164" t="str">
        <f>IFERROR(__xludf.DUMMYFUNCTION("""COMPUTED_VALUE"""),"https://i.postimg.cc/BbrGKkHJ/136.png")</f>
        <v>https://i.postimg.cc/BbrGKkHJ/136.png</v>
      </c>
      <c r="L174" s="162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</row>
    <row r="175">
      <c r="A175" s="163" t="str">
        <f>IFERROR(__xludf.DUMMYFUNCTION("""COMPUTED_VALUE"""),"G-169")</f>
        <v>G-169</v>
      </c>
      <c r="B175" s="163" t="str">
        <f>IFERROR(__xludf.DUMMYFUNCTION("""COMPUTED_VALUE"""),"Memoir of that Summer Day")</f>
        <v>Memoir of that Summer Day</v>
      </c>
      <c r="C175" s="163" t="str">
        <f>IFERROR(__xludf.DUMMYFUNCTION("""COMPUTED_VALUE"""),"When your HP is 70% or more: Boost capture speed by 8%.")</f>
        <v>When your HP is 70% or more: Boost capture speed by 8%.</v>
      </c>
      <c r="D175" s="163" t="str">
        <f>IFERROR(__xludf.DUMMYFUNCTION("""COMPUTED_VALUE"""),"Impel Down ~ Paramecia ~ New Kama")</f>
        <v>Impel Down ~ Paramecia ~ New Kama</v>
      </c>
      <c r="E175" s="164" t="str">
        <f>IFERROR(__xludf.DUMMYFUNCTION("""COMPUTED_VALUE"""),"https://i.postimg.cc/Mpb0Qxxp/169.png")</f>
        <v>https://i.postimg.cc/Mpb0Qxxp/169.png</v>
      </c>
      <c r="F175" s="162"/>
      <c r="G175" s="163" t="str">
        <f>IFERROR(__xludf.DUMMYFUNCTION("""COMPUTED_VALUE"""),"E-135")</f>
        <v>E-135</v>
      </c>
      <c r="H175" s="163" t="str">
        <f>IFERROR(__xludf.DUMMYFUNCTION("""COMPUTED_VALUE"""),"Sanji (Child)")</f>
        <v>Sanji (Child)</v>
      </c>
      <c r="I175" s="163" t="str">
        <f>IFERROR(__xludf.DUMMYFUNCTION("""COMPUTED_VALUE"""),"When your HP is 70% or more: Reduce damage recieved by 3%.")</f>
        <v>When your HP is 70% or more: Reduce damage recieved by 3%.</v>
      </c>
      <c r="J175" s="163" t="str">
        <f>IFERROR(__xludf.DUMMYFUNCTION("""COMPUTED_VALUE"""),"Royalty / Former Royalty ~ Germa 66 ~ Child")</f>
        <v>Royalty / Former Royalty ~ Germa 66 ~ Child</v>
      </c>
      <c r="K175" s="164" t="str">
        <f>IFERROR(__xludf.DUMMYFUNCTION("""COMPUTED_VALUE"""),"https://i.postimg.cc/L4wSwY7G/135.png")</f>
        <v>https://i.postimg.cc/L4wSwY7G/135.png</v>
      </c>
      <c r="L175" s="162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</row>
    <row r="176">
      <c r="A176" s="163" t="str">
        <f>IFERROR(__xludf.DUMMYFUNCTION("""COMPUTED_VALUE"""),"G-168")</f>
        <v>G-168</v>
      </c>
      <c r="B176" s="163" t="str">
        <f>IFERROR(__xludf.DUMMYFUNCTION("""COMPUTED_VALUE"""),"Raid Luffy")</f>
        <v>Raid Luffy</v>
      </c>
      <c r="C176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76" s="163" t="str">
        <f>IFERROR(__xludf.DUMMYFUNCTION("""COMPUTED_VALUE"""),"Land of Wano ~ Straw Hat Pirates ~ Paramecia ~ Captain ~ Worst Generation ~ Blood Brothers")</f>
        <v>Land of Wano ~ Straw Hat Pirates ~ Paramecia ~ Captain ~ Worst Generation ~ Blood Brothers</v>
      </c>
      <c r="E176" s="164" t="str">
        <f>IFERROR(__xludf.DUMMYFUNCTION("""COMPUTED_VALUE"""),"https://i.postimg.cc/q7JscYMX/168.png")</f>
        <v>https://i.postimg.cc/q7JscYMX/168.png</v>
      </c>
      <c r="F176" s="162"/>
      <c r="G176" s="163" t="str">
        <f>IFERROR(__xludf.DUMMYFUNCTION("""COMPUTED_VALUE"""),"E-134")</f>
        <v>E-134</v>
      </c>
      <c r="H176" s="163" t="str">
        <f>IFERROR(__xludf.DUMMYFUNCTION("""COMPUTED_VALUE"""),"Reiju (Child)")</f>
        <v>Reiju (Child)</v>
      </c>
      <c r="I176" s="163" t="str">
        <f>IFERROR(__xludf.DUMMYFUNCTION("""COMPUTED_VALUE"""),"When your team has less Treasure secured: Boost capture speed by 8%.")</f>
        <v>When your team has less Treasure secured: Boost capture speed by 8%.</v>
      </c>
      <c r="J176" s="163" t="str">
        <f>IFERROR(__xludf.DUMMYFUNCTION("""COMPUTED_VALUE"""),"Royalty / Former Royalty ~ Germa 66 ~ Child")</f>
        <v>Royalty / Former Royalty ~ Germa 66 ~ Child</v>
      </c>
      <c r="K176" s="164" t="str">
        <f>IFERROR(__xludf.DUMMYFUNCTION("""COMPUTED_VALUE"""),"https://i.postimg.cc/9F92hXH0/134.png")</f>
        <v>https://i.postimg.cc/9F92hXH0/134.png</v>
      </c>
      <c r="L176" s="162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</row>
    <row r="177">
      <c r="A177" s="163" t="str">
        <f>IFERROR(__xludf.DUMMYFUNCTION("""COMPUTED_VALUE"""),"G-167")</f>
        <v>G-167</v>
      </c>
      <c r="B177" s="163" t="str">
        <f>IFERROR(__xludf.DUMMYFUNCTION("""COMPUTED_VALUE"""),"Candula")</f>
        <v>Candula</v>
      </c>
      <c r="C177" s="163" t="str">
        <f>IFERROR(__xludf.DUMMYFUNCTION("""COMPUTED_VALUE"""),"When attacked by an enemy: Reduce the cooldown time of Skill 1 by 2%.")</f>
        <v>When attacked by an enemy: Reduce the cooldown time of Skill 1 by 2%.</v>
      </c>
      <c r="D177" s="163" t="str">
        <f>IFERROR(__xludf.DUMMYFUNCTION("""COMPUTED_VALUE"""),"Water 7 / Enies Lobby ~ Straw Hat Pirates ~ Paramecia ~ Archaeologist")</f>
        <v>Water 7 / Enies Lobby ~ Straw Hat Pirates ~ Paramecia ~ Archaeologist</v>
      </c>
      <c r="E177" s="164" t="str">
        <f>IFERROR(__xludf.DUMMYFUNCTION("""COMPUTED_VALUE"""),"https://i.postimg.cc/mDh7JH9P/167.png")</f>
        <v>https://i.postimg.cc/mDh7JH9P/167.png</v>
      </c>
      <c r="F177" s="162"/>
      <c r="G177" s="163" t="str">
        <f>IFERROR(__xludf.DUMMYFUNCTION("""COMPUTED_VALUE"""),"E-133")</f>
        <v>E-133</v>
      </c>
      <c r="H177" s="163" t="str">
        <f>IFERROR(__xludf.DUMMYFUNCTION("""COMPUTED_VALUE"""),"Cat Burglar")</f>
        <v>Cat Burglar</v>
      </c>
      <c r="I177" s="163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J177" s="163" t="str">
        <f>IFERROR(__xludf.DUMMYFUNCTION("""COMPUTED_VALUE"""),"Straw Hat Pirates ~ Navigator")</f>
        <v>Straw Hat Pirates ~ Navigator</v>
      </c>
      <c r="K177" s="164" t="str">
        <f>IFERROR(__xludf.DUMMYFUNCTION("""COMPUTED_VALUE"""),"https://i.postimg.cc/L8Mp6dmT/133.png")</f>
        <v>https://i.postimg.cc/L8Mp6dmT/133.png</v>
      </c>
      <c r="L177" s="162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</row>
    <row r="178">
      <c r="A178" s="163" t="str">
        <f>IFERROR(__xludf.DUMMYFUNCTION("""COMPUTED_VALUE"""),"G-166")</f>
        <v>G-166</v>
      </c>
      <c r="B178" s="163" t="str">
        <f>IFERROR(__xludf.DUMMYFUNCTION("""COMPUTED_VALUE"""),"Palm")</f>
        <v>Palm</v>
      </c>
      <c r="C178" s="163" t="str">
        <f>IFERROR(__xludf.DUMMYFUNCTION("""COMPUTED_VALUE"""),"When using Skill 2: Reduce the cooldown time of Skill 1 by 5%.")</f>
        <v>When using Skill 2: Reduce the cooldown time of Skill 1 by 5%.</v>
      </c>
      <c r="D178" s="163" t="str">
        <f>IFERROR(__xludf.DUMMYFUNCTION("""COMPUTED_VALUE"""),"Fish_Man Island ~ Straw Hat Pirates ~ Zoan ~ Doctor")</f>
        <v>Fish_Man Island ~ Straw Hat Pirates ~ Zoan ~ Doctor</v>
      </c>
      <c r="E178" s="164" t="str">
        <f>IFERROR(__xludf.DUMMYFUNCTION("""COMPUTED_VALUE"""),"https://i.postimg.cc/0Q37syGc/166.png")</f>
        <v>https://i.postimg.cc/0Q37syGc/166.png</v>
      </c>
      <c r="F178" s="162"/>
      <c r="G178" s="163" t="str">
        <f>IFERROR(__xludf.DUMMYFUNCTION("""COMPUTED_VALUE"""),"E-132")</f>
        <v>E-132</v>
      </c>
      <c r="H178" s="163" t="str">
        <f>IFERROR(__xludf.DUMMYFUNCTION("""COMPUTED_VALUE"""),"Pirate Hunter")</f>
        <v>Pirate Hunter</v>
      </c>
      <c r="I178" s="163" t="str">
        <f>IFERROR(__xludf.DUMMYFUNCTION("""COMPUTED_VALUE"""),"When your team loses the Treasure: Reduce the cooldown time of Skill 1 by 8%.")</f>
        <v>When your team loses the Treasure: Reduce the cooldown time of Skill 1 by 8%.</v>
      </c>
      <c r="J178" s="163" t="str">
        <f>IFERROR(__xludf.DUMMYFUNCTION("""COMPUTED_VALUE"""),"Straw Hat Pirates ~ Combatant ~ Worst Generation")</f>
        <v>Straw Hat Pirates ~ Combatant ~ Worst Generation</v>
      </c>
      <c r="K178" s="164" t="str">
        <f>IFERROR(__xludf.DUMMYFUNCTION("""COMPUTED_VALUE"""),"https://i.postimg.cc/wjcd1Wvd/132.png")</f>
        <v>https://i.postimg.cc/wjcd1Wvd/132.png</v>
      </c>
      <c r="L178" s="162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</row>
    <row r="179">
      <c r="A179" s="163" t="str">
        <f>IFERROR(__xludf.DUMMYFUNCTION("""COMPUTED_VALUE"""),"G-165")</f>
        <v>G-165</v>
      </c>
      <c r="B179" s="163" t="str">
        <f>IFERROR(__xludf.DUMMYFUNCTION("""COMPUTED_VALUE"""),"Cat Viper")</f>
        <v>Cat Viper</v>
      </c>
      <c r="C179" s="163" t="str">
        <f>IFERROR(__xludf.DUMMYFUNCTION("""COMPUTED_VALUE"""),"When there are 90 seconds or less remaining: Reduce damage recieved by 3%.")</f>
        <v>When there are 90 seconds or less remaining: Reduce damage recieved by 3%.</v>
      </c>
      <c r="D179" s="163" t="str">
        <f>IFERROR(__xludf.DUMMYFUNCTION("""COMPUTED_VALUE"""),"Land of Wano ~ Kozuki Clan / Kozuki Clan Servant ~ Royalty / Former Royalty ~ Minks")</f>
        <v>Land of Wano ~ Kozuki Clan / Kozuki Clan Servant ~ Royalty / Former Royalty ~ Minks</v>
      </c>
      <c r="E179" s="164" t="str">
        <f>IFERROR(__xludf.DUMMYFUNCTION("""COMPUTED_VALUE"""),"https://i.postimg.cc/XqCd76Q3/165.png")</f>
        <v>https://i.postimg.cc/XqCd76Q3/165.png</v>
      </c>
      <c r="F179" s="162"/>
      <c r="G179" s="163" t="str">
        <f>IFERROR(__xludf.DUMMYFUNCTION("""COMPUTED_VALUE"""),"E-131")</f>
        <v>E-131</v>
      </c>
      <c r="H179" s="163" t="str">
        <f>IFERROR(__xludf.DUMMYFUNCTION("""COMPUTED_VALUE"""),"Black Maria")</f>
        <v>Black Maria</v>
      </c>
      <c r="I179" s="163" t="str">
        <f>IFERROR(__xludf.DUMMYFUNCTION("""COMPUTED_VALUE"""),"When in the area around your captured Treasure: Boost the cooldown reduction speed of Skill 1 by 10%.")</f>
        <v>When in the area around your captured Treasure: Boost the cooldown reduction speed of Skill 1 by 10%.</v>
      </c>
      <c r="J179" s="163" t="str">
        <f>IFERROR(__xludf.DUMMYFUNCTION("""COMPUTED_VALUE"""),"Land of Wano ~ Animal Kingdom Pirates ~ Zoan ~ Tobi Roppo")</f>
        <v>Land of Wano ~ Animal Kingdom Pirates ~ Zoan ~ Tobi Roppo</v>
      </c>
      <c r="K179" s="164" t="str">
        <f>IFERROR(__xludf.DUMMYFUNCTION("""COMPUTED_VALUE"""),"https://i.postimg.cc/N0svm192/131.png")</f>
        <v>https://i.postimg.cc/N0svm192/131.png</v>
      </c>
      <c r="L179" s="162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</row>
    <row r="180">
      <c r="A180" s="163" t="str">
        <f>IFERROR(__xludf.DUMMYFUNCTION("""COMPUTED_VALUE"""),"G-164")</f>
        <v>G-164</v>
      </c>
      <c r="B180" s="163" t="str">
        <f>IFERROR(__xludf.DUMMYFUNCTION("""COMPUTED_VALUE"""),"Duke Dogstorm")</f>
        <v>Duke Dogstorm</v>
      </c>
      <c r="C180" s="163" t="str">
        <f>IFERROR(__xludf.DUMMYFUNCTION("""COMPUTED_VALUE"""),"For 90 seconds after the battle has started: Increase damage dealt by 3%.")</f>
        <v>For 90 seconds after the battle has started: Increase damage dealt by 3%.</v>
      </c>
      <c r="D180" s="163" t="str">
        <f>IFERROR(__xludf.DUMMYFUNCTION("""COMPUTED_VALUE"""),"Land of Wano ~ Kozuki Clan / Kozuki Clan Servant ~ Royalty / Former Royalty ~ Minks")</f>
        <v>Land of Wano ~ Kozuki Clan / Kozuki Clan Servant ~ Royalty / Former Royalty ~ Minks</v>
      </c>
      <c r="E180" s="164" t="str">
        <f>IFERROR(__xludf.DUMMYFUNCTION("""COMPUTED_VALUE"""),"https://i.postimg.cc/44Dp2nx3/164.png")</f>
        <v>https://i.postimg.cc/44Dp2nx3/164.png</v>
      </c>
      <c r="F180" s="162"/>
      <c r="G180" s="163" t="str">
        <f>IFERROR(__xludf.DUMMYFUNCTION("""COMPUTED_VALUE"""),"E-130")</f>
        <v>E-130</v>
      </c>
      <c r="H180" s="163" t="str">
        <f>IFERROR(__xludf.DUMMYFUNCTION("""COMPUTED_VALUE"""),"Wildfire")</f>
        <v>Wildfire</v>
      </c>
      <c r="I180" s="163" t="str">
        <f>IFERROR(__xludf.DUMMYFUNCTION("""COMPUTED_VALUE"""),"When attacked by an enemy: Reduce the cooldown time of Skill 1 by 2%.")</f>
        <v>When attacked by an enemy: Reduce the cooldown time of Skill 1 by 2%.</v>
      </c>
      <c r="J180" s="163" t="str">
        <f>IFERROR(__xludf.DUMMYFUNCTION("""COMPUTED_VALUE"""),"Land of Wano ~ Animal Kingdom Pirates ~ Zoan ~ Lead Performer")</f>
        <v>Land of Wano ~ Animal Kingdom Pirates ~ Zoan ~ Lead Performer</v>
      </c>
      <c r="K180" s="164" t="str">
        <f>IFERROR(__xludf.DUMMYFUNCTION("""COMPUTED_VALUE"""),"https://i.postimg.cc/6QMJ0ynj/130.png")</f>
        <v>https://i.postimg.cc/6QMJ0ynj/130.png</v>
      </c>
      <c r="L180" s="162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</row>
    <row r="181">
      <c r="A181" s="163" t="str">
        <f>IFERROR(__xludf.DUMMYFUNCTION("""COMPUTED_VALUE"""),"G-163")</f>
        <v>G-163</v>
      </c>
      <c r="B181" s="163" t="str">
        <f>IFERROR(__xludf.DUMMYFUNCTION("""COMPUTED_VALUE"""),"Gaimon")</f>
        <v>Gaimon</v>
      </c>
      <c r="C181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D181" s="163" t="str">
        <f>IFERROR(__xludf.DUMMYFUNCTION("""COMPUTED_VALUE"""),"East Blue")</f>
        <v>East Blue</v>
      </c>
      <c r="E181" s="164" t="str">
        <f>IFERROR(__xludf.DUMMYFUNCTION("""COMPUTED_VALUE"""),"https://i.postimg.cc/x1RHdRyk/163.png")</f>
        <v>https://i.postimg.cc/x1RHdRyk/163.png</v>
      </c>
      <c r="F181" s="162"/>
      <c r="G181" s="163" t="str">
        <f>IFERROR(__xludf.DUMMYFUNCTION("""COMPUTED_VALUE"""),"E-129")</f>
        <v>E-129</v>
      </c>
      <c r="H181" s="163" t="str">
        <f>IFERROR(__xludf.DUMMYFUNCTION("""COMPUTED_VALUE"""),"Page One")</f>
        <v>Page One</v>
      </c>
      <c r="I181" s="163" t="str">
        <f>IFERROR(__xludf.DUMMYFUNCTION("""COMPUTED_VALUE"""),"When Treasure Gauge is recovered to 100%: Reduce the cooldown time of Skill 1 by 6%.")</f>
        <v>When Treasure Gauge is recovered to 100%: Reduce the cooldown time of Skill 1 by 6%.</v>
      </c>
      <c r="J181" s="163" t="str">
        <f>IFERROR(__xludf.DUMMYFUNCTION("""COMPUTED_VALUE"""),"Land of Wano ~ Animal Kingdom Pirates ~ Zoan ~ Tobi Roppo")</f>
        <v>Land of Wano ~ Animal Kingdom Pirates ~ Zoan ~ Tobi Roppo</v>
      </c>
      <c r="K181" s="164" t="str">
        <f>IFERROR(__xludf.DUMMYFUNCTION("""COMPUTED_VALUE"""),"https://i.postimg.cc/3RWMbYZK/129.png")</f>
        <v>https://i.postimg.cc/3RWMbYZK/129.png</v>
      </c>
      <c r="L181" s="162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</row>
    <row r="182">
      <c r="A182" s="163" t="str">
        <f>IFERROR(__xludf.DUMMYFUNCTION("""COMPUTED_VALUE"""),"G-162")</f>
        <v>G-162</v>
      </c>
      <c r="B182" s="163" t="str">
        <f>IFERROR(__xludf.DUMMYFUNCTION("""COMPUTED_VALUE"""),"General Franky")</f>
        <v>General Franky</v>
      </c>
      <c r="C182" s="163" t="str">
        <f>IFERROR(__xludf.DUMMYFUNCTION("""COMPUTED_VALUE"""),"When you are Downed: Reduce the cooldown time of Skill 1 by 4%.")</f>
        <v>When you are Downed: Reduce the cooldown time of Skill 1 by 4%.</v>
      </c>
      <c r="D182" s="163" t="str">
        <f>IFERROR(__xludf.DUMMYFUNCTION("""COMPUTED_VALUE"""),"Punk Hazard ~ Straw Hat Pirates ~ Ship Carpenter")</f>
        <v>Punk Hazard ~ Straw Hat Pirates ~ Ship Carpenter</v>
      </c>
      <c r="E182" s="164" t="str">
        <f>IFERROR(__xludf.DUMMYFUNCTION("""COMPUTED_VALUE"""),"https://i.postimg.cc/CxYkYtDT/162.png")</f>
        <v>https://i.postimg.cc/CxYkYtDT/162.png</v>
      </c>
      <c r="F182" s="162"/>
      <c r="G182" s="163" t="str">
        <f>IFERROR(__xludf.DUMMYFUNCTION("""COMPUTED_VALUE"""),"E-128")</f>
        <v>E-128</v>
      </c>
      <c r="H182" s="163" t="str">
        <f>IFERROR(__xludf.DUMMYFUNCTION("""COMPUTED_VALUE"""),"Ulti")</f>
        <v>Ulti</v>
      </c>
      <c r="I182" s="163" t="str">
        <f>IFERROR(__xludf.DUMMYFUNCTION("""COMPUTED_VALUE"""),"When you Knockback an enemy: Reduce the cooldown time of Skill 1 by 5%.")</f>
        <v>When you Knockback an enemy: Reduce the cooldown time of Skill 1 by 5%.</v>
      </c>
      <c r="J182" s="163" t="str">
        <f>IFERROR(__xludf.DUMMYFUNCTION("""COMPUTED_VALUE"""),"Land of Wano ~ Animal Kingdom Pirates ~ Zoan ~ Tobi Roppo")</f>
        <v>Land of Wano ~ Animal Kingdom Pirates ~ Zoan ~ Tobi Roppo</v>
      </c>
      <c r="K182" s="164" t="str">
        <f>IFERROR(__xludf.DUMMYFUNCTION("""COMPUTED_VALUE"""),"https://i.postimg.cc/nzWyygdq/128.png")</f>
        <v>https://i.postimg.cc/nzWyygdq/128.png</v>
      </c>
      <c r="L182" s="162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</row>
    <row r="183">
      <c r="A183" s="163" t="str">
        <f>IFERROR(__xludf.DUMMYFUNCTION("""COMPUTED_VALUE"""),"G-161")</f>
        <v>G-161</v>
      </c>
      <c r="B183" s="163" t="str">
        <f>IFERROR(__xludf.DUMMYFUNCTION("""COMPUTED_VALUE"""),"God Usopp")</f>
        <v>God Usopp</v>
      </c>
      <c r="C183" s="163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D183" s="163" t="str">
        <f>IFERROR(__xludf.DUMMYFUNCTION("""COMPUTED_VALUE"""),"Dressrosa ~ Straw Hat Pirates ~ Sharp Shooter")</f>
        <v>Dressrosa ~ Straw Hat Pirates ~ Sharp Shooter</v>
      </c>
      <c r="E183" s="164" t="str">
        <f>IFERROR(__xludf.DUMMYFUNCTION("""COMPUTED_VALUE"""),"https://i.postimg.cc/qBh8G20Y/161.png")</f>
        <v>https://i.postimg.cc/qBh8G20Y/161.png</v>
      </c>
      <c r="F183" s="162"/>
      <c r="G183" s="163" t="str">
        <f>IFERROR(__xludf.DUMMYFUNCTION("""COMPUTED_VALUE"""),"E-127")</f>
        <v>E-127</v>
      </c>
      <c r="H183" s="163" t="str">
        <f>IFERROR(__xludf.DUMMYFUNCTION("""COMPUTED_VALUE"""),"Otama")</f>
        <v>Otama</v>
      </c>
      <c r="I183" s="163" t="str">
        <f>IFERROR(__xludf.DUMMYFUNCTION("""COMPUTED_VALUE"""),"When an ally is KO`d (not including you): Recover HP by 2%.")</f>
        <v>When an ally is KO`d (not including you): Recover HP by 2%.</v>
      </c>
      <c r="J183" s="163" t="str">
        <f>IFERROR(__xludf.DUMMYFUNCTION("""COMPUTED_VALUE"""),"Land of Wano ~ Paramecia")</f>
        <v>Land of Wano ~ Paramecia</v>
      </c>
      <c r="K183" s="164" t="str">
        <f>IFERROR(__xludf.DUMMYFUNCTION("""COMPUTED_VALUE"""),"https://i.postimg.cc/QVGRt5Zt/127.png")</f>
        <v>https://i.postimg.cc/QVGRt5Zt/127.png</v>
      </c>
      <c r="L183" s="162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</row>
    <row r="184">
      <c r="A184" s="163" t="str">
        <f>IFERROR(__xludf.DUMMYFUNCTION("""COMPUTED_VALUE"""),"G-160")</f>
        <v>G-160</v>
      </c>
      <c r="B184" s="163" t="str">
        <f>IFERROR(__xludf.DUMMYFUNCTION("""COMPUTED_VALUE"""),"Assistant Fish_Man Karate Master")</f>
        <v>Assistant Fish_Man Karate Master</v>
      </c>
      <c r="C184" s="163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D184" s="163" t="str">
        <f>IFERROR(__xludf.DUMMYFUNCTION("""COMPUTED_VALUE"""),"Dressrosa ~ Revolutionary Army ~ Fish_Man Karate")</f>
        <v>Dressrosa ~ Revolutionary Army ~ Fish_Man Karate</v>
      </c>
      <c r="E184" s="164" t="str">
        <f>IFERROR(__xludf.DUMMYFUNCTION("""COMPUTED_VALUE"""),"https://i.postimg.cc/hPVTkgX1/160.png")</f>
        <v>https://i.postimg.cc/hPVTkgX1/160.png</v>
      </c>
      <c r="F184" s="162"/>
      <c r="G184" s="163" t="str">
        <f>IFERROR(__xludf.DUMMYFUNCTION("""COMPUTED_VALUE"""),"E-126")</f>
        <v>E-126</v>
      </c>
      <c r="H184" s="163" t="str">
        <f>IFERROR(__xludf.DUMMYFUNCTION("""COMPUTED_VALUE"""),"Ace (Land of Wano)")</f>
        <v>Ace (Land of Wano)</v>
      </c>
      <c r="I184" s="163" t="str">
        <f>IFERROR(__xludf.DUMMYFUNCTION("""COMPUTED_VALUE"""),"When your HP is 50% or less: Boost the cooldown reduction speed of Skill 1 by 13%.")</f>
        <v>When your HP is 50% or less: Boost the cooldown reduction speed of Skill 1 by 13%.</v>
      </c>
      <c r="J184" s="163" t="str">
        <f>IFERROR(__xludf.DUMMYFUNCTION("""COMPUTED_VALUE"""),"Land of Wano ~ Logia ~ Captain ~ Blood Brothers")</f>
        <v>Land of Wano ~ Logia ~ Captain ~ Blood Brothers</v>
      </c>
      <c r="K184" s="164" t="str">
        <f>IFERROR(__xludf.DUMMYFUNCTION("""COMPUTED_VALUE"""),"https://i.postimg.cc/pVhrmHtb/126.png")</f>
        <v>https://i.postimg.cc/pVhrmHtb/126.png</v>
      </c>
      <c r="L184" s="162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</row>
    <row r="185">
      <c r="A185" s="163" t="str">
        <f>IFERROR(__xludf.DUMMYFUNCTION("""COMPUTED_VALUE"""),"G-159")</f>
        <v>G-159</v>
      </c>
      <c r="B185" s="163" t="str">
        <f>IFERROR(__xludf.DUMMYFUNCTION("""COMPUTED_VALUE"""),"Carrot")</f>
        <v>Carrot</v>
      </c>
      <c r="C185" s="163" t="str">
        <f>IFERROR(__xludf.DUMMYFUNCTION("""COMPUTED_VALUE"""),"When your HP is 70% or more: Boost capture speed by 8%.")</f>
        <v>When your HP is 70% or more: Boost capture speed by 8%.</v>
      </c>
      <c r="D185" s="163" t="str">
        <f>IFERROR(__xludf.DUMMYFUNCTION("""COMPUTED_VALUE"""),"Zou / Whole Cake Island ~ Mokomo Dukedom Musketeer ~ Kingsbird ~ Minks")</f>
        <v>Zou / Whole Cake Island ~ Mokomo Dukedom Musketeer ~ Kingsbird ~ Minks</v>
      </c>
      <c r="E185" s="164" t="str">
        <f>IFERROR(__xludf.DUMMYFUNCTION("""COMPUTED_VALUE"""),"https://i.postimg.cc/GpmDTyqX/159.png")</f>
        <v>https://i.postimg.cc/GpmDTyqX/159.png</v>
      </c>
      <c r="F185" s="162"/>
      <c r="G185" s="163" t="str">
        <f>IFERROR(__xludf.DUMMYFUNCTION("""COMPUTED_VALUE"""),"E-125")</f>
        <v>E-125</v>
      </c>
      <c r="H185" s="163" t="str">
        <f>IFERROR(__xludf.DUMMYFUNCTION("""COMPUTED_VALUE"""),"Kikunojo (Child)")</f>
        <v>Kikunojo (Child)</v>
      </c>
      <c r="I185" s="163" t="str">
        <f>IFERROR(__xludf.DUMMYFUNCTION("""COMPUTED_VALUE"""),"When Critical occurs: Recover HP by 2%.")</f>
        <v>When Critical occurs: Recover HP by 2%.</v>
      </c>
      <c r="J185" s="163" t="str">
        <f>IFERROR(__xludf.DUMMYFUNCTION("""COMPUTED_VALUE"""),"Land of Wano ~ Kozuki Clan / Kozuki Clan Servant ~ Child")</f>
        <v>Land of Wano ~ Kozuki Clan / Kozuki Clan Servant ~ Child</v>
      </c>
      <c r="K185" s="164" t="str">
        <f>IFERROR(__xludf.DUMMYFUNCTION("""COMPUTED_VALUE"""),"https://i.postimg.cc/9X6MTnW4/125.png")</f>
        <v>https://i.postimg.cc/9X6MTnW4/125.png</v>
      </c>
      <c r="L185" s="162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</row>
    <row r="186">
      <c r="A186" s="163" t="str">
        <f>IFERROR(__xludf.DUMMYFUNCTION("""COMPUTED_VALUE"""),"G-158")</f>
        <v>G-158</v>
      </c>
      <c r="B186" s="163" t="str">
        <f>IFERROR(__xludf.DUMMYFUNCTION("""COMPUTED_VALUE"""),"Tremor_Tremor")</f>
        <v>Tremor_Tremor</v>
      </c>
      <c r="C186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86" s="163" t="str">
        <f>IFERROR(__xludf.DUMMYFUNCTION("""COMPUTED_VALUE"""),"Whitebeard Pirates ~ Paramecia ~ Captain ~ Former Rocks Pirates")</f>
        <v>Whitebeard Pirates ~ Paramecia ~ Captain ~ Former Rocks Pirates</v>
      </c>
      <c r="E186" s="164" t="str">
        <f>IFERROR(__xludf.DUMMYFUNCTION("""COMPUTED_VALUE"""),"https://i.postimg.cc/tgvx34cp/158.png")</f>
        <v>https://i.postimg.cc/tgvx34cp/158.png</v>
      </c>
      <c r="F186" s="162"/>
      <c r="G186" s="163" t="str">
        <f>IFERROR(__xludf.DUMMYFUNCTION("""COMPUTED_VALUE"""),"E-124")</f>
        <v>E-124</v>
      </c>
      <c r="H186" s="163" t="str">
        <f>IFERROR(__xludf.DUMMYFUNCTION("""COMPUTED_VALUE"""),"Izo (Child)")</f>
        <v>Izo (Child)</v>
      </c>
      <c r="I186" s="163" t="str">
        <f>IFERROR(__xludf.DUMMYFUNCTION("""COMPUTED_VALUE"""),"When Critical occurs: Reduce the cooldown time of Skill 1 by 3%.")</f>
        <v>When Critical occurs: Reduce the cooldown time of Skill 1 by 3%.</v>
      </c>
      <c r="J186" s="163" t="str">
        <f>IFERROR(__xludf.DUMMYFUNCTION("""COMPUTED_VALUE"""),"Land of Wano ~ Kozuki Clan / Kozuki Clan Servant ~ Child")</f>
        <v>Land of Wano ~ Kozuki Clan / Kozuki Clan Servant ~ Child</v>
      </c>
      <c r="K186" s="164" t="str">
        <f>IFERROR(__xludf.DUMMYFUNCTION("""COMPUTED_VALUE"""),"https://i.postimg.cc/4Np31QdW/124.png")</f>
        <v>https://i.postimg.cc/4Np31QdW/124.png</v>
      </c>
      <c r="L186" s="162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</row>
    <row r="187">
      <c r="A187" s="163" t="str">
        <f>IFERROR(__xludf.DUMMYFUNCTION("""COMPUTED_VALUE"""),"G-157")</f>
        <v>G-157</v>
      </c>
      <c r="B187" s="163" t="str">
        <f>IFERROR(__xludf.DUMMYFUNCTION("""COMPUTED_VALUE"""),"Hero")</f>
        <v>Hero</v>
      </c>
      <c r="C187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87" s="163" t="str">
        <f>IFERROR(__xludf.DUMMYFUNCTION("""COMPUTED_VALUE"""),"Navy")</f>
        <v>Navy</v>
      </c>
      <c r="E187" s="164" t="str">
        <f>IFERROR(__xludf.DUMMYFUNCTION("""COMPUTED_VALUE"""),"https://i.postimg.cc/TwZ5sHGs/157.png")</f>
        <v>https://i.postimg.cc/TwZ5sHGs/157.png</v>
      </c>
      <c r="F187" s="162"/>
      <c r="G187" s="163" t="str">
        <f>IFERROR(__xludf.DUMMYFUNCTION("""COMPUTED_VALUE"""),"E-123")</f>
        <v>E-123</v>
      </c>
      <c r="H187" s="163" t="str">
        <f>IFERROR(__xludf.DUMMYFUNCTION("""COMPUTED_VALUE"""),"Buggy (Child)")</f>
        <v>Buggy (Child)</v>
      </c>
      <c r="I187" s="163" t="str">
        <f>IFERROR(__xludf.DUMMYFUNCTION("""COMPUTED_VALUE"""),"When performing a Perfect Dodge: CRIT Boosted by 90% for 20 second(s).")</f>
        <v>When performing a Perfect Dodge: CRIT Boosted by 90% for 20 second(s).</v>
      </c>
      <c r="J187" s="163" t="str">
        <f>IFERROR(__xludf.DUMMYFUNCTION("""COMPUTED_VALUE"""),"Paramecia ~ Child ~ Roger Pirates / Ex_Roger Pirates")</f>
        <v>Paramecia ~ Child ~ Roger Pirates / Ex_Roger Pirates</v>
      </c>
      <c r="K187" s="164" t="str">
        <f>IFERROR(__xludf.DUMMYFUNCTION("""COMPUTED_VALUE"""),"https://i.postimg.cc/htgtZQQc/123.png")</f>
        <v>https://i.postimg.cc/htgtZQQc/123.png</v>
      </c>
      <c r="L187" s="162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</row>
    <row r="188">
      <c r="A188" s="163" t="str">
        <f>IFERROR(__xludf.DUMMYFUNCTION("""COMPUTED_VALUE"""),"G-156")</f>
        <v>G-156</v>
      </c>
      <c r="B188" s="163" t="str">
        <f>IFERROR(__xludf.DUMMYFUNCTION("""COMPUTED_VALUE"""),"Ashura Doji")</f>
        <v>Ashura Doji</v>
      </c>
      <c r="C188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88" s="163" t="str">
        <f>IFERROR(__xludf.DUMMYFUNCTION("""COMPUTED_VALUE"""),"Land of Wano ~ Kozuki Clan / Kozuki Clan Servant")</f>
        <v>Land of Wano ~ Kozuki Clan / Kozuki Clan Servant</v>
      </c>
      <c r="E188" s="164" t="str">
        <f>IFERROR(__xludf.DUMMYFUNCTION("""COMPUTED_VALUE"""),"https://i.postimg.cc/nrB9fYhh/156.png")</f>
        <v>https://i.postimg.cc/nrB9fYhh/156.png</v>
      </c>
      <c r="F188" s="162"/>
      <c r="G188" s="163" t="str">
        <f>IFERROR(__xludf.DUMMYFUNCTION("""COMPUTED_VALUE"""),"E-122")</f>
        <v>E-122</v>
      </c>
      <c r="H188" s="163" t="str">
        <f>IFERROR(__xludf.DUMMYFUNCTION("""COMPUTED_VALUE"""),"Shanks (Child)")</f>
        <v>Shanks (Child)</v>
      </c>
      <c r="I188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J188" s="163" t="str">
        <f>IFERROR(__xludf.DUMMYFUNCTION("""COMPUTED_VALUE"""),"Child ~ Roger Pirates / Ex_Roger Pirates")</f>
        <v>Child ~ Roger Pirates / Ex_Roger Pirates</v>
      </c>
      <c r="K188" s="164" t="str">
        <f>IFERROR(__xludf.DUMMYFUNCTION("""COMPUTED_VALUE"""),"https://i.postimg.cc/nhkcyVq7/122.png")</f>
        <v>https://i.postimg.cc/nhkcyVq7/122.png</v>
      </c>
      <c r="L188" s="162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</row>
    <row r="189">
      <c r="A189" s="163" t="str">
        <f>IFERROR(__xludf.DUMMYFUNCTION("""COMPUTED_VALUE"""),"G-155")</f>
        <v>G-155</v>
      </c>
      <c r="B189" s="163" t="str">
        <f>IFERROR(__xludf.DUMMYFUNCTION("""COMPUTED_VALUE"""),"Napping Kyoshiro")</f>
        <v>Napping Kyoshiro</v>
      </c>
      <c r="C189" s="163" t="str">
        <f>IFERROR(__xludf.DUMMYFUNCTION("""COMPUTED_VALUE"""),"When your HP is 70% or more: Boost capture speed by 8%.")</f>
        <v>When your HP is 70% or more: Boost capture speed by 8%.</v>
      </c>
      <c r="D189" s="163" t="str">
        <f>IFERROR(__xludf.DUMMYFUNCTION("""COMPUTED_VALUE"""),"Land of Wano")</f>
        <v>Land of Wano</v>
      </c>
      <c r="E189" s="164" t="str">
        <f>IFERROR(__xludf.DUMMYFUNCTION("""COMPUTED_VALUE"""),"https://i.postimg.cc/tRxx6yNG/155.png")</f>
        <v>https://i.postimg.cc/tRxx6yNG/155.png</v>
      </c>
      <c r="F189" s="162"/>
      <c r="G189" s="163" t="str">
        <f>IFERROR(__xludf.DUMMYFUNCTION("""COMPUTED_VALUE"""),"E-121")</f>
        <v>E-121</v>
      </c>
      <c r="H189" s="163" t="str">
        <f>IFERROR(__xludf.DUMMYFUNCTION("""COMPUTED_VALUE"""),"Praline")</f>
        <v>Praline</v>
      </c>
      <c r="I189" s="163" t="str">
        <f>IFERROR(__xludf.DUMMYFUNCTION("""COMPUTED_VALUE"""),"When attacked by a character type ``Power users`` enemy: Reduce damage recieved by 3%.")</f>
        <v>When attacked by a character type ``Power users`` enemy: Reduce damage recieved by 3%.</v>
      </c>
      <c r="J189" s="163" t="str">
        <f>IFERROR(__xludf.DUMMYFUNCTION("""COMPUTED_VALUE"""),"Zou / Whole Cake Island ~ Charlotte Family ~ Sun Pirates")</f>
        <v>Zou / Whole Cake Island ~ Charlotte Family ~ Sun Pirates</v>
      </c>
      <c r="K189" s="164" t="str">
        <f>IFERROR(__xludf.DUMMYFUNCTION("""COMPUTED_VALUE"""),"https://i.postimg.cc/rpwFM69H/121.png")</f>
        <v>https://i.postimg.cc/rpwFM69H/121.png</v>
      </c>
      <c r="L189" s="162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</row>
    <row r="190">
      <c r="A190" s="163" t="str">
        <f>IFERROR(__xludf.DUMMYFUNCTION("""COMPUTED_VALUE"""),"G-154")</f>
        <v>G-154</v>
      </c>
      <c r="B190" s="163" t="str">
        <f>IFERROR(__xludf.DUMMYFUNCTION("""COMPUTED_VALUE"""),"Roger")</f>
        <v>Roger</v>
      </c>
      <c r="C190" s="163" t="str">
        <f>IFERROR(__xludf.DUMMYFUNCTION("""COMPUTED_VALUE"""),"After KOing an enemy: Reduce the cooldown time of Skill 1 by 8%.")</f>
        <v>After KOing an enemy: Reduce the cooldown time of Skill 1 by 8%.</v>
      </c>
      <c r="D190" s="163" t="str">
        <f>IFERROR(__xludf.DUMMYFUNCTION("""COMPUTED_VALUE"""),"Captain ~ Roger Pirates / Ex_Roger Pirates")</f>
        <v>Captain ~ Roger Pirates / Ex_Roger Pirates</v>
      </c>
      <c r="E190" s="164" t="str">
        <f>IFERROR(__xludf.DUMMYFUNCTION("""COMPUTED_VALUE"""),"https://i.postimg.cc/WbcJ6K5F/154.png")</f>
        <v>https://i.postimg.cc/WbcJ6K5F/154.png</v>
      </c>
      <c r="F190" s="162"/>
      <c r="G190" s="163" t="str">
        <f>IFERROR(__xludf.DUMMYFUNCTION("""COMPUTED_VALUE"""),"E-120")</f>
        <v>E-120</v>
      </c>
      <c r="H190" s="163" t="str">
        <f>IFERROR(__xludf.DUMMYFUNCTION("""COMPUTED_VALUE"""),"Aladdin")</f>
        <v>Aladdin</v>
      </c>
      <c r="I190" s="163" t="str">
        <f>IFERROR(__xludf.DUMMYFUNCTION("""COMPUTED_VALUE"""),"When attacking a character type ``Power users`` enemy: Increase damage dealt by 3%.")</f>
        <v>When attacking a character type ``Power users`` enemy: Increase damage dealt by 3%.</v>
      </c>
      <c r="J190" s="163" t="str">
        <f>IFERROR(__xludf.DUMMYFUNCTION("""COMPUTED_VALUE"""),"Zou / Whole Cake Island ~ Doctor ~ Sun Pirates")</f>
        <v>Zou / Whole Cake Island ~ Doctor ~ Sun Pirates</v>
      </c>
      <c r="K190" s="164" t="str">
        <f>IFERROR(__xludf.DUMMYFUNCTION("""COMPUTED_VALUE"""),"https://i.postimg.cc/YSD2SXnC/120.png")</f>
        <v>https://i.postimg.cc/YSD2SXnC/120.png</v>
      </c>
      <c r="L190" s="162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</row>
    <row r="191">
      <c r="A191" s="163" t="str">
        <f>IFERROR(__xludf.DUMMYFUNCTION("""COMPUTED_VALUE"""),"G-153")</f>
        <v>G-153</v>
      </c>
      <c r="B191" s="163" t="str">
        <f>IFERROR(__xludf.DUMMYFUNCTION("""COMPUTED_VALUE"""),"Chopperemon")</f>
        <v>Chopperemon</v>
      </c>
      <c r="C191" s="163" t="str">
        <f>IFERROR(__xludf.DUMMYFUNCTION("""COMPUTED_VALUE"""),"When you capture the Treasure: Reduce the cooldown time of Skill 1 by 5%.")</f>
        <v>When you capture the Treasure: Reduce the cooldown time of Skill 1 by 5%.</v>
      </c>
      <c r="D191" s="163" t="str">
        <f>IFERROR(__xludf.DUMMYFUNCTION("""COMPUTED_VALUE"""),"Land of Wano ~ Straw Hat Pirates ~ Zoan ~ Doctor ~ Ninja")</f>
        <v>Land of Wano ~ Straw Hat Pirates ~ Zoan ~ Doctor ~ Ninja</v>
      </c>
      <c r="E191" s="164" t="str">
        <f>IFERROR(__xludf.DUMMYFUNCTION("""COMPUTED_VALUE"""),"https://i.postimg.cc/fT7SHKPH/153.png")</f>
        <v>https://i.postimg.cc/fT7SHKPH/153.png</v>
      </c>
      <c r="F191" s="162"/>
      <c r="G191" s="163" t="str">
        <f>IFERROR(__xludf.DUMMYFUNCTION("""COMPUTED_VALUE"""),"E-119")</f>
        <v>E-119</v>
      </c>
      <c r="H191" s="163" t="str">
        <f>IFERROR(__xludf.DUMMYFUNCTION("""COMPUTED_VALUE"""),"Pedro (Whole Cake Island)")</f>
        <v>Pedro (Whole Cake Island)</v>
      </c>
      <c r="I191" s="163" t="str">
        <f>IFERROR(__xludf.DUMMYFUNCTION("""COMPUTED_VALUE"""),"When inflicted with Shock by enemies: Reduce the cooldown time of Skill 1 by 4%.")</f>
        <v>When inflicted with Shock by enemies: Reduce the cooldown time of Skill 1 by 4%.</v>
      </c>
      <c r="J191" s="163" t="str">
        <f>IFERROR(__xludf.DUMMYFUNCTION("""COMPUTED_VALUE"""),"Zou / Whole Cake Island ~ Minks")</f>
        <v>Zou / Whole Cake Island ~ Minks</v>
      </c>
      <c r="K191" s="164" t="str">
        <f>IFERROR(__xludf.DUMMYFUNCTION("""COMPUTED_VALUE"""),"https://i.postimg.cc/TwZRVKX8/119.png")</f>
        <v>https://i.postimg.cc/TwZRVKX8/119.png</v>
      </c>
      <c r="L191" s="162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</row>
    <row r="192">
      <c r="A192" s="163" t="str">
        <f>IFERROR(__xludf.DUMMYFUNCTION("""COMPUTED_VALUE"""),"G-152")</f>
        <v>G-152</v>
      </c>
      <c r="B192" s="163" t="str">
        <f>IFERROR(__xludf.DUMMYFUNCTION("""COMPUTED_VALUE"""),"Kawamatsu")</f>
        <v>Kawamatsu</v>
      </c>
      <c r="C192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192" s="163" t="str">
        <f>IFERROR(__xludf.DUMMYFUNCTION("""COMPUTED_VALUE"""),"Land of Wano ~ Kozuki Clan / Kozuki Clan Servant ~ Fish_Man")</f>
        <v>Land of Wano ~ Kozuki Clan / Kozuki Clan Servant ~ Fish_Man</v>
      </c>
      <c r="E192" s="164" t="str">
        <f>IFERROR(__xludf.DUMMYFUNCTION("""COMPUTED_VALUE"""),"https://i.postimg.cc/qvjhr74y/152.png")</f>
        <v>https://i.postimg.cc/qvjhr74y/152.png</v>
      </c>
      <c r="F192" s="162"/>
      <c r="G192" s="163" t="str">
        <f>IFERROR(__xludf.DUMMYFUNCTION("""COMPUTED_VALUE"""),"E-118")</f>
        <v>E-118</v>
      </c>
      <c r="H192" s="163" t="str">
        <f>IFERROR(__xludf.DUMMYFUNCTION("""COMPUTED_VALUE"""),"Chopper (Whole Cake Island)")</f>
        <v>Chopper (Whole Cake Island)</v>
      </c>
      <c r="I192" s="163" t="str">
        <f>IFERROR(__xludf.DUMMYFUNCTION("""COMPUTED_VALUE"""),"When your allies are not near the Treasure area where you are at: Boost capture speed by 8%.")</f>
        <v>When your allies are not near the Treasure area where you are at: Boost capture speed by 8%.</v>
      </c>
      <c r="J192" s="163" t="str">
        <f>IFERROR(__xludf.DUMMYFUNCTION("""COMPUTED_VALUE"""),"Zou / Whole Cake Island ~ Straw Hat Pirates ~ Zoan ~ Doctor")</f>
        <v>Zou / Whole Cake Island ~ Straw Hat Pirates ~ Zoan ~ Doctor</v>
      </c>
      <c r="K192" s="164" t="str">
        <f>IFERROR(__xludf.DUMMYFUNCTION("""COMPUTED_VALUE"""),"https://i.postimg.cc/FHDNPWQV/118.png")</f>
        <v>https://i.postimg.cc/FHDNPWQV/118.png</v>
      </c>
      <c r="L192" s="162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</row>
    <row r="193">
      <c r="A193" s="163" t="str">
        <f>IFERROR(__xludf.DUMMYFUNCTION("""COMPUTED_VALUE"""),"G-151")</f>
        <v>G-151</v>
      </c>
      <c r="B193" s="163" t="str">
        <f>IFERROR(__xludf.DUMMYFUNCTION("""COMPUTED_VALUE"""),"Kikunojo")</f>
        <v>Kikunojo</v>
      </c>
      <c r="C193" s="163" t="str">
        <f>IFERROR(__xludf.DUMMYFUNCTION("""COMPUTED_VALUE"""),"When there are 60 seconds or less remaining: Boost the cooldown reduction speed of Skill 1 by 13%.")</f>
        <v>When there are 60 seconds or less remaining: Boost the cooldown reduction speed of Skill 1 by 13%.</v>
      </c>
      <c r="D193" s="163" t="str">
        <f>IFERROR(__xludf.DUMMYFUNCTION("""COMPUTED_VALUE"""),"Land of Wano ~ Kozuki Clan / Kozuki Clan Servant")</f>
        <v>Land of Wano ~ Kozuki Clan / Kozuki Clan Servant</v>
      </c>
      <c r="E193" s="164" t="str">
        <f>IFERROR(__xludf.DUMMYFUNCTION("""COMPUTED_VALUE"""),"https://i.postimg.cc/XvqZY0Yh/151.png")</f>
        <v>https://i.postimg.cc/XvqZY0Yh/151.png</v>
      </c>
      <c r="F193" s="162"/>
      <c r="G193" s="163" t="str">
        <f>IFERROR(__xludf.DUMMYFUNCTION("""COMPUTED_VALUE"""),"E-117")</f>
        <v>E-117</v>
      </c>
      <c r="H193" s="163" t="str">
        <f>IFERROR(__xludf.DUMMYFUNCTION("""COMPUTED_VALUE"""),"Land of the Dead")</f>
        <v>Land of the Dead</v>
      </c>
      <c r="I193" s="163" t="str">
        <f>IFERROR(__xludf.DUMMYFUNCTION("""COMPUTED_VALUE"""),"When your team has more Treasure secured: Reduce damage recieved by 3%.")</f>
        <v>When your team has more Treasure secured: Reduce damage recieved by 3%.</v>
      </c>
      <c r="J193" s="163" t="str">
        <f>IFERROR(__xludf.DUMMYFUNCTION("""COMPUTED_VALUE"""),"Punk Hazard ~ Logia")</f>
        <v>Punk Hazard ~ Logia</v>
      </c>
      <c r="K193" s="164" t="str">
        <f>IFERROR(__xludf.DUMMYFUNCTION("""COMPUTED_VALUE"""),"https://i.postimg.cc/Dw27PVRz/117.png")</f>
        <v>https://i.postimg.cc/Dw27PVRz/117.png</v>
      </c>
      <c r="L193" s="162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</row>
    <row r="194">
      <c r="A194" s="163" t="str">
        <f>IFERROR(__xludf.DUMMYFUNCTION("""COMPUTED_VALUE"""),"G-150")</f>
        <v>G-150</v>
      </c>
      <c r="B194" s="163" t="str">
        <f>IFERROR(__xludf.DUMMYFUNCTION("""COMPUTED_VALUE"""),"Kozuki Oden")</f>
        <v>Kozuki Oden</v>
      </c>
      <c r="C194" s="163" t="str">
        <f>IFERROR(__xludf.DUMMYFUNCTION("""COMPUTED_VALUE"""),"When your HP is 70% or more: Reduce damage recieved by 5%.")</f>
        <v>When your HP is 70% or more: Reduce damage recieved by 5%.</v>
      </c>
      <c r="D194" s="163" t="str">
        <f>IFERROR(__xludf.DUMMYFUNCTION("""COMPUTED_VALUE"""),"Whitebeard Pirates ~ Kozuki Clan / Kozuki Clan Servant ~ Whitebeard Pirates Commander ~ Roger Pirates / Ex_Roger Pirates")</f>
        <v>Whitebeard Pirates ~ Kozuki Clan / Kozuki Clan Servant ~ Whitebeard Pirates Commander ~ Roger Pirates / Ex_Roger Pirates</v>
      </c>
      <c r="E194" s="164" t="str">
        <f>IFERROR(__xludf.DUMMYFUNCTION("""COMPUTED_VALUE"""),"https://i.postimg.cc/pdSm919d/150.png")</f>
        <v>https://i.postimg.cc/pdSm919d/150.png</v>
      </c>
      <c r="F194" s="162"/>
      <c r="G194" s="163" t="str">
        <f>IFERROR(__xludf.DUMMYFUNCTION("""COMPUTED_VALUE"""),"E-116")</f>
        <v>E-116</v>
      </c>
      <c r="H194" s="163" t="str">
        <f>IFERROR(__xludf.DUMMYFUNCTION("""COMPUTED_VALUE"""),"Counter_Shock")</f>
        <v>Counter_Shock</v>
      </c>
      <c r="I194" s="163" t="str">
        <f>IFERROR(__xludf.DUMMYFUNCTION("""COMPUTED_VALUE"""),"After KOing an enemy: Reduce the cooldown time of Skill 2 by 8%.")</f>
        <v>After KOing an enemy: Reduce the cooldown time of Skill 2 by 8%.</v>
      </c>
      <c r="J194" s="163" t="str">
        <f>IFERROR(__xludf.DUMMYFUNCTION("""COMPUTED_VALUE"""),"Punk Hazard ~ The Seven Warlords of the Sea / Former Warlords of the Sea ~ Paramecia ~ Captain ~ Worst Generation ~ Heart Pirates")</f>
        <v>Punk Hazard ~ The Seven Warlords of the Sea / Former Warlords of the Sea ~ Paramecia ~ Captain ~ Worst Generation ~ Heart Pirates</v>
      </c>
      <c r="K194" s="164" t="str">
        <f>IFERROR(__xludf.DUMMYFUNCTION("""COMPUTED_VALUE"""),"https://i.postimg.cc/T1gTCTRK/116.png")</f>
        <v>https://i.postimg.cc/T1gTCTRK/116.png</v>
      </c>
      <c r="L194" s="162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</row>
    <row r="195">
      <c r="A195" s="163" t="str">
        <f>IFERROR(__xludf.DUMMYFUNCTION("""COMPUTED_VALUE"""),"G-149")</f>
        <v>G-149</v>
      </c>
      <c r="B195" s="163" t="str">
        <f>IFERROR(__xludf.DUMMYFUNCTION("""COMPUTED_VALUE"""),"Cross Fire")</f>
        <v>Cross Fire</v>
      </c>
      <c r="C195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195" s="163" t="str">
        <f>IFERROR(__xludf.DUMMYFUNCTION("""COMPUTED_VALUE"""),"Whitebeard Pirates ~ Logia ~ Whitebeard Pirates Commander ~ Blood Brothers")</f>
        <v>Whitebeard Pirates ~ Logia ~ Whitebeard Pirates Commander ~ Blood Brothers</v>
      </c>
      <c r="E195" s="164" t="str">
        <f>IFERROR(__xludf.DUMMYFUNCTION("""COMPUTED_VALUE"""),"https://i.postimg.cc/cH8rfMYB/149.png")</f>
        <v>https://i.postimg.cc/cH8rfMYB/149.png</v>
      </c>
      <c r="F195" s="162"/>
      <c r="G195" s="163" t="str">
        <f>IFERROR(__xludf.DUMMYFUNCTION("""COMPUTED_VALUE"""),"E-115")</f>
        <v>E-115</v>
      </c>
      <c r="H195" s="163" t="str">
        <f>IFERROR(__xludf.DUMMYFUNCTION("""COMPUTED_VALUE"""),"Dellinger")</f>
        <v>Dellinger</v>
      </c>
      <c r="I195" s="163" t="str">
        <f>IFERROR(__xludf.DUMMYFUNCTION("""COMPUTED_VALUE"""),"When your team loses the Treasure: CRIT Boosted by 90% for 20 second(s).")</f>
        <v>When your team loses the Treasure: CRIT Boosted by 90% for 20 second(s).</v>
      </c>
      <c r="J195" s="163" t="str">
        <f>IFERROR(__xludf.DUMMYFUNCTION("""COMPUTED_VALUE"""),"Dressrosa ~ Diamante Army ~ Don Quixote Family")</f>
        <v>Dressrosa ~ Diamante Army ~ Don Quixote Family</v>
      </c>
      <c r="K195" s="164" t="str">
        <f>IFERROR(__xludf.DUMMYFUNCTION("""COMPUTED_VALUE"""),"https://i.postimg.cc/wxmx6Qh9/115.png")</f>
        <v>https://i.postimg.cc/wxmx6Qh9/115.png</v>
      </c>
      <c r="L195" s="162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</row>
    <row r="196">
      <c r="A196" s="163" t="str">
        <f>IFERROR(__xludf.DUMMYFUNCTION("""COMPUTED_VALUE"""),"G-148")</f>
        <v>G-148</v>
      </c>
      <c r="B196" s="163" t="str">
        <f>IFERROR(__xludf.DUMMYFUNCTION("""COMPUTED_VALUE"""),"Sky Walk")</f>
        <v>Sky Walk</v>
      </c>
      <c r="C196" s="163" t="str">
        <f>IFERROR(__xludf.DUMMYFUNCTION("""COMPUTED_VALUE"""),"When your HP is 70% or more: Boost capture speed by 8%.")</f>
        <v>When your HP is 70% or more: Boost capture speed by 8%.</v>
      </c>
      <c r="D196" s="163" t="str">
        <f>IFERROR(__xludf.DUMMYFUNCTION("""COMPUTED_VALUE"""),"Zou / Whole Cake Island ~ Straw Hat Pirates ~ Cook ~ Royalty / Former Royalty")</f>
        <v>Zou / Whole Cake Island ~ Straw Hat Pirates ~ Cook ~ Royalty / Former Royalty</v>
      </c>
      <c r="E196" s="164" t="str">
        <f>IFERROR(__xludf.DUMMYFUNCTION("""COMPUTED_VALUE"""),"https://i.postimg.cc/cCRCbxFK/148.png")</f>
        <v>https://i.postimg.cc/cCRCbxFK/148.png</v>
      </c>
      <c r="F196" s="162"/>
      <c r="G196" s="163" t="str">
        <f>IFERROR(__xludf.DUMMYFUNCTION("""COMPUTED_VALUE"""),"E-114")</f>
        <v>E-114</v>
      </c>
      <c r="H196" s="163" t="str">
        <f>IFERROR(__xludf.DUMMYFUNCTION("""COMPUTED_VALUE"""),"Diamante")</f>
        <v>Diamante</v>
      </c>
      <c r="I196" s="163" t="str">
        <f>IFERROR(__xludf.DUMMYFUNCTION("""COMPUTED_VALUE"""),"When Critical occurs: Reduce the cooldown time of Skill 2 by 3%.")</f>
        <v>When Critical occurs: Reduce the cooldown time of Skill 2 by 3%.</v>
      </c>
      <c r="J196" s="163" t="str">
        <f>IFERROR(__xludf.DUMMYFUNCTION("""COMPUTED_VALUE"""),"Dressrosa ~ Paramecia ~ Diamante Army ~ Don Quixote Family")</f>
        <v>Dressrosa ~ Paramecia ~ Diamante Army ~ Don Quixote Family</v>
      </c>
      <c r="K196" s="164" t="str">
        <f>IFERROR(__xludf.DUMMYFUNCTION("""COMPUTED_VALUE"""),"https://i.postimg.cc/pXMWy5Zz/114.png")</f>
        <v>https://i.postimg.cc/pXMWy5Zz/114.png</v>
      </c>
      <c r="L196" s="162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</row>
    <row r="197">
      <c r="A197" s="163" t="str">
        <f>IFERROR(__xludf.DUMMYFUNCTION("""COMPUTED_VALUE"""),"G-147")</f>
        <v>G-147</v>
      </c>
      <c r="B197" s="163" t="str">
        <f>IFERROR(__xludf.DUMMYFUNCTION("""COMPUTED_VALUE"""),"The Billion_Fold World Trichiliocosm")</f>
        <v>The Billion_Fold World Trichiliocosm</v>
      </c>
      <c r="C197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97" s="163" t="str">
        <f>IFERROR(__xludf.DUMMYFUNCTION("""COMPUTED_VALUE"""),"Dressrosa ~ Straw Hat Pirates ~ Combatant ~ Worst Generation")</f>
        <v>Dressrosa ~ Straw Hat Pirates ~ Combatant ~ Worst Generation</v>
      </c>
      <c r="E197" s="164" t="str">
        <f>IFERROR(__xludf.DUMMYFUNCTION("""COMPUTED_VALUE"""),"https://i.postimg.cc/nVBXz2nH/147.png")</f>
        <v>https://i.postimg.cc/nVBXz2nH/147.png</v>
      </c>
      <c r="F197" s="162"/>
      <c r="G197" s="163" t="str">
        <f>IFERROR(__xludf.DUMMYFUNCTION("""COMPUTED_VALUE"""),"E-113")</f>
        <v>E-113</v>
      </c>
      <c r="H197" s="163" t="str">
        <f>IFERROR(__xludf.DUMMYFUNCTION("""COMPUTED_VALUE"""),"Buffalo")</f>
        <v>Buffalo</v>
      </c>
      <c r="I197" s="163" t="str">
        <f>IFERROR(__xludf.DUMMYFUNCTION("""COMPUTED_VALUE"""),"When your allies are not near the Treasure area where you are at: Reduce damage recieved by 3%.")</f>
        <v>When your allies are not near the Treasure area where you are at: Reduce damage recieved by 3%.</v>
      </c>
      <c r="J197" s="163" t="str">
        <f>IFERROR(__xludf.DUMMYFUNCTION("""COMPUTED_VALUE"""),"Dressrosa ~ Paramecia ~ Pica Army ~ Don Quixote Family")</f>
        <v>Dressrosa ~ Paramecia ~ Pica Army ~ Don Quixote Family</v>
      </c>
      <c r="K197" s="164" t="str">
        <f>IFERROR(__xludf.DUMMYFUNCTION("""COMPUTED_VALUE"""),"https://i.postimg.cc/dtRqCQHX/113.png")</f>
        <v>https://i.postimg.cc/dtRqCQHX/113.png</v>
      </c>
      <c r="L197" s="162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</row>
    <row r="198">
      <c r="A198" s="163" t="str">
        <f>IFERROR(__xludf.DUMMYFUNCTION("""COMPUTED_VALUE"""),"G-146")</f>
        <v>G-146</v>
      </c>
      <c r="B198" s="163" t="str">
        <f>IFERROR(__xludf.DUMMYFUNCTION("""COMPUTED_VALUE"""),"Fire_Fist Pistol Red Hawk")</f>
        <v>Fire_Fist Pistol Red Hawk</v>
      </c>
      <c r="C198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198" s="163" t="str">
        <f>IFERROR(__xludf.DUMMYFUNCTION("""COMPUTED_VALUE"""),"Dressrosa ~ Straw Hat Pirates ~ Paramecia ~ Captain ~ Worst Generation ~ Blood Brothers")</f>
        <v>Dressrosa ~ Straw Hat Pirates ~ Paramecia ~ Captain ~ Worst Generation ~ Blood Brothers</v>
      </c>
      <c r="E198" s="164" t="str">
        <f>IFERROR(__xludf.DUMMYFUNCTION("""COMPUTED_VALUE"""),"https://i.postimg.cc/4NGmhc3p/146.png")</f>
        <v>https://i.postimg.cc/4NGmhc3p/146.png</v>
      </c>
      <c r="F198" s="162"/>
      <c r="G198" s="163" t="str">
        <f>IFERROR(__xludf.DUMMYFUNCTION("""COMPUTED_VALUE"""),"E-112")</f>
        <v>E-112</v>
      </c>
      <c r="H198" s="163" t="str">
        <f>IFERROR(__xludf.DUMMYFUNCTION("""COMPUTED_VALUE"""),"Pica")</f>
        <v>Pica</v>
      </c>
      <c r="I198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J198" s="163" t="str">
        <f>IFERROR(__xludf.DUMMYFUNCTION("""COMPUTED_VALUE"""),"Dressrosa ~ Paramecia ~ Pica Army ~ Don Quixote Family")</f>
        <v>Dressrosa ~ Paramecia ~ Pica Army ~ Don Quixote Family</v>
      </c>
      <c r="K198" s="164" t="str">
        <f>IFERROR(__xludf.DUMMYFUNCTION("""COMPUTED_VALUE"""),"https://i.postimg.cc/fbyZ1czn/112.png")</f>
        <v>https://i.postimg.cc/fbyZ1czn/112.png</v>
      </c>
      <c r="L198" s="162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</row>
    <row r="199">
      <c r="A199" s="163" t="str">
        <f>IFERROR(__xludf.DUMMYFUNCTION("""COMPUTED_VALUE"""),"G-145")</f>
        <v>G-145</v>
      </c>
      <c r="B199" s="163" t="str">
        <f>IFERROR(__xludf.DUMMYFUNCTION("""COMPUTED_VALUE"""),"Kin``emon")</f>
        <v>Kin``emon</v>
      </c>
      <c r="C199" s="163" t="str">
        <f>IFERROR(__xludf.DUMMYFUNCTION("""COMPUTED_VALUE"""),"When your HP is 70% or more: Reduce damage recieved by 5%.")</f>
        <v>When your HP is 70% or more: Reduce damage recieved by 5%.</v>
      </c>
      <c r="D199" s="163" t="str">
        <f>IFERROR(__xludf.DUMMYFUNCTION("""COMPUTED_VALUE"""),"Land of Wano ~ Paramecia ~ Kozuki Clan / Kozuki Clan Servant")</f>
        <v>Land of Wano ~ Paramecia ~ Kozuki Clan / Kozuki Clan Servant</v>
      </c>
      <c r="E199" s="164" t="str">
        <f>IFERROR(__xludf.DUMMYFUNCTION("""COMPUTED_VALUE"""),"https://i.postimg.cc/GmhtX1G2/145.png")</f>
        <v>https://i.postimg.cc/GmhtX1G2/145.png</v>
      </c>
      <c r="F199" s="162"/>
      <c r="G199" s="163" t="str">
        <f>IFERROR(__xludf.DUMMYFUNCTION("""COMPUTED_VALUE"""),"E-111")</f>
        <v>E-111</v>
      </c>
      <c r="H199" s="163" t="str">
        <f>IFERROR(__xludf.DUMMYFUNCTION("""COMPUTED_VALUE"""),"Izo (Paramount War)")</f>
        <v>Izo (Paramount War)</v>
      </c>
      <c r="I199" s="163" t="str">
        <f>IFERROR(__xludf.DUMMYFUNCTION("""COMPUTED_VALUE"""),"When Respawned: SPD Boosted by 4% for 20 second(s).")</f>
        <v>When Respawned: SPD Boosted by 4% for 20 second(s).</v>
      </c>
      <c r="J199" s="163" t="str">
        <f>IFERROR(__xludf.DUMMYFUNCTION("""COMPUTED_VALUE"""),"The Paramount War at Marineford ~ Whitebeard Pirates")</f>
        <v>The Paramount War at Marineford ~ Whitebeard Pirates</v>
      </c>
      <c r="K199" s="164" t="str">
        <f>IFERROR(__xludf.DUMMYFUNCTION("""COMPUTED_VALUE"""),"https://i.postimg.cc/RFnmZvJg/111.png")</f>
        <v>https://i.postimg.cc/RFnmZvJg/111.png</v>
      </c>
      <c r="L199" s="162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</row>
    <row r="200">
      <c r="A200" s="163" t="str">
        <f>IFERROR(__xludf.DUMMYFUNCTION("""COMPUTED_VALUE"""),"G-144")</f>
        <v>G-144</v>
      </c>
      <c r="B200" s="163" t="str">
        <f>IFERROR(__xludf.DUMMYFUNCTION("""COMPUTED_VALUE"""),"Pheasant Peck")</f>
        <v>Pheasant Peck</v>
      </c>
      <c r="C200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00" s="163" t="str">
        <f>IFERROR(__xludf.DUMMYFUNCTION("""COMPUTED_VALUE"""),"Punk Hazard ~ Logia")</f>
        <v>Punk Hazard ~ Logia</v>
      </c>
      <c r="E200" s="164" t="str">
        <f>IFERROR(__xludf.DUMMYFUNCTION("""COMPUTED_VALUE"""),"https://i.postimg.cc/Fsx1bKf8/144.png")</f>
        <v>https://i.postimg.cc/Fsx1bKf8/144.png</v>
      </c>
      <c r="F200" s="162"/>
      <c r="G200" s="163" t="str">
        <f>IFERROR(__xludf.DUMMYFUNCTION("""COMPUTED_VALUE"""),"E-110")</f>
        <v>E-110</v>
      </c>
      <c r="H200" s="163" t="str">
        <f>IFERROR(__xludf.DUMMYFUNCTION("""COMPUTED_VALUE"""),"Vista (Paramount War)")</f>
        <v>Vista (Paramount War)</v>
      </c>
      <c r="I200" s="163" t="str">
        <f>IFERROR(__xludf.DUMMYFUNCTION("""COMPUTED_VALUE"""),"After KOing an enemy: CRIT Boosted by 120% for 20 second(s).")</f>
        <v>After KOing an enemy: CRIT Boosted by 120% for 20 second(s).</v>
      </c>
      <c r="J200" s="163" t="str">
        <f>IFERROR(__xludf.DUMMYFUNCTION("""COMPUTED_VALUE"""),"The Paramount War at Marineford ~ Whitebeard Pirates")</f>
        <v>The Paramount War at Marineford ~ Whitebeard Pirates</v>
      </c>
      <c r="K200" s="164" t="str">
        <f>IFERROR(__xludf.DUMMYFUNCTION("""COMPUTED_VALUE"""),"https://i.postimg.cc/L5KpqGz2/110.png")</f>
        <v>https://i.postimg.cc/L5KpqGz2/110.png</v>
      </c>
      <c r="L200" s="162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</row>
    <row r="201">
      <c r="A201" s="163" t="str">
        <f>IFERROR(__xludf.DUMMYFUNCTION("""COMPUTED_VALUE"""),"G-143")</f>
        <v>G-143</v>
      </c>
      <c r="B201" s="163" t="str">
        <f>IFERROR(__xludf.DUMMYFUNCTION("""COMPUTED_VALUE"""),"Smoker (Chambres)")</f>
        <v>Smoker (Chambres)</v>
      </c>
      <c r="C201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201" s="163" t="str">
        <f>IFERROR(__xludf.DUMMYFUNCTION("""COMPUTED_VALUE"""),"Punk Hazard ~ Navy ~ Vice Admiral ~ Chambres")</f>
        <v>Punk Hazard ~ Navy ~ Vice Admiral ~ Chambres</v>
      </c>
      <c r="E201" s="164" t="str">
        <f>IFERROR(__xludf.DUMMYFUNCTION("""COMPUTED_VALUE"""),"https://i.postimg.cc/t4STfmNz/143.png")</f>
        <v>https://i.postimg.cc/t4STfmNz/143.png</v>
      </c>
      <c r="F201" s="162"/>
      <c r="G201" s="163" t="str">
        <f>IFERROR(__xludf.DUMMYFUNCTION("""COMPUTED_VALUE"""),"E-109")</f>
        <v>E-109</v>
      </c>
      <c r="H201" s="163" t="str">
        <f>IFERROR(__xludf.DUMMYFUNCTION("""COMPUTED_VALUE"""),"Ronin")</f>
        <v>Ronin</v>
      </c>
      <c r="I201" s="163" t="str">
        <f>IFERROR(__xludf.DUMMYFUNCTION("""COMPUTED_VALUE"""),"When an ally is KO`d (not including you): Reduce the cooldown time of Skill 1 by 4%.")</f>
        <v>When an ally is KO`d (not including you): Reduce the cooldown time of Skill 1 by 4%.</v>
      </c>
      <c r="J201" s="163" t="str">
        <f>IFERROR(__xludf.DUMMYFUNCTION("""COMPUTED_VALUE"""),"Land of Wano ~ Straw Hat Pirates ~ Combatant ~ Worst Generation")</f>
        <v>Land of Wano ~ Straw Hat Pirates ~ Combatant ~ Worst Generation</v>
      </c>
      <c r="K201" s="164" t="str">
        <f>IFERROR(__xludf.DUMMYFUNCTION("""COMPUTED_VALUE"""),"https://i.postimg.cc/yxmz0nP9/109.png")</f>
        <v>https://i.postimg.cc/yxmz0nP9/109.png</v>
      </c>
      <c r="L201" s="162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</row>
    <row r="202">
      <c r="A202" s="163" t="str">
        <f>IFERROR(__xludf.DUMMYFUNCTION("""COMPUTED_VALUE"""),"G-142")</f>
        <v>G-142</v>
      </c>
      <c r="B202" s="163" t="str">
        <f>IFERROR(__xludf.DUMMYFUNCTION("""COMPUTED_VALUE"""),"Spiky Shadow Iizard")</f>
        <v>Spiky Shadow Iizard</v>
      </c>
      <c r="C202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202" s="163" t="str">
        <f>IFERROR(__xludf.DUMMYFUNCTION("""COMPUTED_VALUE"""),"The Paramount War at Marineford ~ The Seven Warlords of the Sea / Former Warlords of the Sea ~ Paramecia ~ Captain ~ Thriller Bark Pirates")</f>
        <v>The Paramount War at Marineford ~ The Seven Warlords of the Sea / Former Warlords of the Sea ~ Paramecia ~ Captain ~ Thriller Bark Pirates</v>
      </c>
      <c r="E202" s="164" t="str">
        <f>IFERROR(__xludf.DUMMYFUNCTION("""COMPUTED_VALUE"""),"https://i.postimg.cc/YSv9wfXB/142.png")</f>
        <v>https://i.postimg.cc/YSv9wfXB/142.png</v>
      </c>
      <c r="F202" s="162"/>
      <c r="G202" s="163" t="str">
        <f>IFERROR(__xludf.DUMMYFUNCTION("""COMPUTED_VALUE"""),"E-108")</f>
        <v>E-108</v>
      </c>
      <c r="H202" s="163" t="str">
        <f>IFERROR(__xludf.DUMMYFUNCTION("""COMPUTED_VALUE"""),"Soba Cart Cook")</f>
        <v>Soba Cart Cook</v>
      </c>
      <c r="I202" s="163" t="str">
        <f>IFERROR(__xludf.DUMMYFUNCTION("""COMPUTED_VALUE"""),"When Critical occurs: Recover HP by 3%.")</f>
        <v>When Critical occurs: Recover HP by 3%.</v>
      </c>
      <c r="J202" s="163" t="str">
        <f>IFERROR(__xludf.DUMMYFUNCTION("""COMPUTED_VALUE"""),"Land of Wano ~ Straw Hat Pirates ~ Cook")</f>
        <v>Land of Wano ~ Straw Hat Pirates ~ Cook</v>
      </c>
      <c r="K202" s="164" t="str">
        <f>IFERROR(__xludf.DUMMYFUNCTION("""COMPUTED_VALUE"""),"https://i.postimg.cc/qBy0fMTR/108.png")</f>
        <v>https://i.postimg.cc/qBy0fMTR/108.png</v>
      </c>
      <c r="L202" s="162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</row>
    <row r="203">
      <c r="A203" s="163" t="str">
        <f>IFERROR(__xludf.DUMMYFUNCTION("""COMPUTED_VALUE"""),"G-141")</f>
        <v>G-141</v>
      </c>
      <c r="B203" s="163" t="str">
        <f>IFERROR(__xludf.DUMMYFUNCTION("""COMPUTED_VALUE"""),"Crescent Cutlass")</f>
        <v>Crescent Cutlass</v>
      </c>
      <c r="C203" s="163" t="str">
        <f>IFERROR(__xludf.DUMMYFUNCTION("""COMPUTED_VALUE"""),"When your HP is 70% or more: Boost capture speed by 8%.")</f>
        <v>When your HP is 70% or more: Boost capture speed by 8%.</v>
      </c>
      <c r="D203" s="163" t="str">
        <f>IFERROR(__xludf.DUMMYFUNCTION("""COMPUTED_VALUE"""),"The Paramount War at Marineford ~ Logia ~ The Seven Warlords of the Sea / Former Warlords of the Sea")</f>
        <v>The Paramount War at Marineford ~ Logia ~ The Seven Warlords of the Sea / Former Warlords of the Sea</v>
      </c>
      <c r="E203" s="164" t="str">
        <f>IFERROR(__xludf.DUMMYFUNCTION("""COMPUTED_VALUE"""),"https://i.postimg.cc/N0Z0G9V9/141.png")</f>
        <v>https://i.postimg.cc/N0Z0G9V9/141.png</v>
      </c>
      <c r="F203" s="162"/>
      <c r="G203" s="163" t="str">
        <f>IFERROR(__xludf.DUMMYFUNCTION("""COMPUTED_VALUE"""),"E-107")</f>
        <v>E-107</v>
      </c>
      <c r="H203" s="163" t="str">
        <f>IFERROR(__xludf.DUMMYFUNCTION("""COMPUTED_VALUE"""),"Chaka")</f>
        <v>Chaka</v>
      </c>
      <c r="I203" s="163" t="str">
        <f>IFERROR(__xludf.DUMMYFUNCTION("""COMPUTED_VALUE"""),"When Critical occurs: Reduce the cooldown time of Skill 1 by 2%.")</f>
        <v>When Critical occurs: Reduce the cooldown time of Skill 1 by 2%.</v>
      </c>
      <c r="J203" s="163" t="str">
        <f>IFERROR(__xludf.DUMMYFUNCTION("""COMPUTED_VALUE"""),"Alabasta ~ Zoan ~ Alabasta Kingdom")</f>
        <v>Alabasta ~ Zoan ~ Alabasta Kingdom</v>
      </c>
      <c r="K203" s="164" t="str">
        <f>IFERROR(__xludf.DUMMYFUNCTION("""COMPUTED_VALUE"""),"https://i.postimg.cc/4N1gdLnR/107.png")</f>
        <v>https://i.postimg.cc/4N1gdLnR/107.png</v>
      </c>
      <c r="L203" s="162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</row>
    <row r="204">
      <c r="A204" s="163" t="str">
        <f>IFERROR(__xludf.DUMMYFUNCTION("""COMPUTED_VALUE"""),"G-140")</f>
        <v>G-140</v>
      </c>
      <c r="B204" s="163" t="str">
        <f>IFERROR(__xludf.DUMMYFUNCTION("""COMPUTED_VALUE"""),"Negative Ghost")</f>
        <v>Negative Ghost</v>
      </c>
      <c r="C204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204" s="163" t="str">
        <f>IFERROR(__xludf.DUMMYFUNCTION("""COMPUTED_VALUE"""),"Paramecia ~ Thriller Bark Pirates")</f>
        <v>Paramecia ~ Thriller Bark Pirates</v>
      </c>
      <c r="E204" s="164" t="str">
        <f>IFERROR(__xludf.DUMMYFUNCTION("""COMPUTED_VALUE"""),"https://i.postimg.cc/C1DxRMTv/140.png")</f>
        <v>https://i.postimg.cc/C1DxRMTv/140.png</v>
      </c>
      <c r="F204" s="162"/>
      <c r="G204" s="163" t="str">
        <f>IFERROR(__xludf.DUMMYFUNCTION("""COMPUTED_VALUE"""),"E-106")</f>
        <v>E-106</v>
      </c>
      <c r="H204" s="163" t="str">
        <f>IFERROR(__xludf.DUMMYFUNCTION("""COMPUTED_VALUE"""),"Cobra")</f>
        <v>Cobra</v>
      </c>
      <c r="I204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J204" s="163" t="str">
        <f>IFERROR(__xludf.DUMMYFUNCTION("""COMPUTED_VALUE"""),"Alabasta ~ Royalty / Former Royalty ~ Alabasta Kingdom")</f>
        <v>Alabasta ~ Royalty / Former Royalty ~ Alabasta Kingdom</v>
      </c>
      <c r="K204" s="164" t="str">
        <f>IFERROR(__xludf.DUMMYFUNCTION("""COMPUTED_VALUE"""),"https://i.postimg.cc/65KKBJWh/106.png")</f>
        <v>https://i.postimg.cc/65KKBJWh/106.png</v>
      </c>
      <c r="L204" s="162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</row>
    <row r="205">
      <c r="A205" s="163" t="str">
        <f>IFERROR(__xludf.DUMMYFUNCTION("""COMPUTED_VALUE"""),"G-139")</f>
        <v>G-139</v>
      </c>
      <c r="B205" s="163" t="str">
        <f>IFERROR(__xludf.DUMMYFUNCTION("""COMPUTED_VALUE"""),"Perfume Femur")</f>
        <v>Perfume Femur</v>
      </c>
      <c r="C205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05" s="163" t="str">
        <f>IFERROR(__xludf.DUMMYFUNCTION("""COMPUTED_VALUE"""),"Sabaody Archipelago / Island of Women ~ The Seven Warlords of the Sea / Former Warlords of the Sea ~ Kuja Pirates ~ Paramecia ~ Captain ~ Gorgon Sisters")</f>
        <v>Sabaody Archipelago / Island of Women ~ The Seven Warlords of the Sea / Former Warlords of the Sea ~ Kuja Pirates ~ Paramecia ~ Captain ~ Gorgon Sisters</v>
      </c>
      <c r="E205" s="164" t="str">
        <f>IFERROR(__xludf.DUMMYFUNCTION("""COMPUTED_VALUE"""),"https://i.postimg.cc/prHXzNPP/139.png")</f>
        <v>https://i.postimg.cc/prHXzNPP/139.png</v>
      </c>
      <c r="F205" s="162"/>
      <c r="G205" s="163" t="str">
        <f>IFERROR(__xludf.DUMMYFUNCTION("""COMPUTED_VALUE"""),"E-105")</f>
        <v>E-105</v>
      </c>
      <c r="H205" s="163" t="str">
        <f>IFERROR(__xludf.DUMMYFUNCTION("""COMPUTED_VALUE"""),"Ms. Doublefinger")</f>
        <v>Ms. Doublefinger</v>
      </c>
      <c r="I205" s="163" t="str">
        <f>IFERROR(__xludf.DUMMYFUNCTION("""COMPUTED_VALUE"""),"When you are in your Enemy`s Treasure Area and the Treasure Gauge is 50% or less: Boost capture speed by 6%.")</f>
        <v>When you are in your Enemy`s Treasure Area and the Treasure Gauge is 50% or less: Boost capture speed by 6%.</v>
      </c>
      <c r="J205" s="163" t="str">
        <f>IFERROR(__xludf.DUMMYFUNCTION("""COMPUTED_VALUE"""),"Alabasta ~ Baroque Works ~ Paramecia ~ Officer Agent")</f>
        <v>Alabasta ~ Baroque Works ~ Paramecia ~ Officer Agent</v>
      </c>
      <c r="K205" s="164" t="str">
        <f>IFERROR(__xludf.DUMMYFUNCTION("""COMPUTED_VALUE"""),"https://i.postimg.cc/XY70yfyG/105.png")</f>
        <v>https://i.postimg.cc/XY70yfyG/105.png</v>
      </c>
      <c r="L205" s="162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</row>
    <row r="206">
      <c r="A206" s="163" t="str">
        <f>IFERROR(__xludf.DUMMYFUNCTION("""COMPUTED_VALUE"""),"G-138")</f>
        <v>G-138</v>
      </c>
      <c r="B206" s="163" t="str">
        <f>IFERROR(__xludf.DUMMYFUNCTION("""COMPUTED_VALUE"""),"The Master Swordman")</f>
        <v>The Master Swordman</v>
      </c>
      <c r="C206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206" s="163" t="str">
        <f>IFERROR(__xludf.DUMMYFUNCTION("""COMPUTED_VALUE"""),"The Seven Warlords of the Sea / Former Warlords of the Sea")</f>
        <v>The Seven Warlords of the Sea / Former Warlords of the Sea</v>
      </c>
      <c r="E206" s="164" t="str">
        <f>IFERROR(__xludf.DUMMYFUNCTION("""COMPUTED_VALUE"""),"https://i.postimg.cc/cCB1cDJw/138.png")</f>
        <v>https://i.postimg.cc/cCB1cDJw/138.png</v>
      </c>
      <c r="F206" s="162"/>
      <c r="G206" s="163" t="str">
        <f>IFERROR(__xludf.DUMMYFUNCTION("""COMPUTED_VALUE"""),"E-104")</f>
        <v>E-104</v>
      </c>
      <c r="H206" s="163" t="str">
        <f>IFERROR(__xludf.DUMMYFUNCTION("""COMPUTED_VALUE"""),"Daz Bonez")</f>
        <v>Daz Bonez</v>
      </c>
      <c r="I206" s="163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J206" s="163" t="str">
        <f>IFERROR(__xludf.DUMMYFUNCTION("""COMPUTED_VALUE"""),"Alabasta ~ Baroque Works ~ Paramecia ~ Officer Agent ~ Bounty Hunter")</f>
        <v>Alabasta ~ Baroque Works ~ Paramecia ~ Officer Agent ~ Bounty Hunter</v>
      </c>
      <c r="K206" s="164" t="str">
        <f>IFERROR(__xludf.DUMMYFUNCTION("""COMPUTED_VALUE"""),"https://i.postimg.cc/x1xVGXKs/104.png")</f>
        <v>https://i.postimg.cc/x1xVGXKs/104.png</v>
      </c>
      <c r="L206" s="162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</row>
    <row r="207">
      <c r="A207" s="163" t="str">
        <f>IFERROR(__xludf.DUMMYFUNCTION("""COMPUTED_VALUE"""),"G-137")</f>
        <v>G-137</v>
      </c>
      <c r="B207" s="163" t="str">
        <f>IFERROR(__xludf.DUMMYFUNCTION("""COMPUTED_VALUE"""),"Caesar")</f>
        <v>Caesar</v>
      </c>
      <c r="C207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07" s="163" t="str">
        <f>IFERROR(__xludf.DUMMYFUNCTION("""COMPUTED_VALUE"""),"Punk Hazard ~ Logia")</f>
        <v>Punk Hazard ~ Logia</v>
      </c>
      <c r="E207" s="164" t="str">
        <f>IFERROR(__xludf.DUMMYFUNCTION("""COMPUTED_VALUE"""),"https://i.postimg.cc/jqHjKjh2/137.png")</f>
        <v>https://i.postimg.cc/jqHjKjh2/137.png</v>
      </c>
      <c r="F207" s="162"/>
      <c r="G207" s="163" t="str">
        <f>IFERROR(__xludf.DUMMYFUNCTION("""COMPUTED_VALUE"""),"E-103")</f>
        <v>E-103</v>
      </c>
      <c r="H207" s="163" t="str">
        <f>IFERROR(__xludf.DUMMYFUNCTION("""COMPUTED_VALUE"""),"Ms. Valentine")</f>
        <v>Ms. Valentine</v>
      </c>
      <c r="I207" s="163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J207" s="163" t="str">
        <f>IFERROR(__xludf.DUMMYFUNCTION("""COMPUTED_VALUE"""),"The Grand Line ~ Baroque Works ~ Paramecia ~ Officer Agent")</f>
        <v>The Grand Line ~ Baroque Works ~ Paramecia ~ Officer Agent</v>
      </c>
      <c r="K207" s="164" t="str">
        <f>IFERROR(__xludf.DUMMYFUNCTION("""COMPUTED_VALUE"""),"https://i.postimg.cc/MGn29z5z/103.png")</f>
        <v>https://i.postimg.cc/MGn29z5z/103.png</v>
      </c>
      <c r="L207" s="162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</row>
    <row r="208">
      <c r="A208" s="163" t="str">
        <f>IFERROR(__xludf.DUMMYFUNCTION("""COMPUTED_VALUE"""),"G-136")</f>
        <v>G-136</v>
      </c>
      <c r="B208" s="163" t="str">
        <f>IFERROR(__xludf.DUMMYFUNCTION("""COMPUTED_VALUE"""),"Chop_Chop")</f>
        <v>Chop_Chop</v>
      </c>
      <c r="C208" s="163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D208" s="163" t="str">
        <f>IFERROR(__xludf.DUMMYFUNCTION("""COMPUTED_VALUE"""),"Buggy`s Delivery ~ The Seven Warlords of the Sea / Former Warlords of the Sea ~ Paramecia ~ Captain ~ Roger Pirates / Ex_Roger Pirates")</f>
        <v>Buggy`s Delivery ~ The Seven Warlords of the Sea / Former Warlords of the Sea ~ Paramecia ~ Captain ~ Roger Pirates / Ex_Roger Pirates</v>
      </c>
      <c r="E208" s="164" t="str">
        <f>IFERROR(__xludf.DUMMYFUNCTION("""COMPUTED_VALUE"""),"https://i.postimg.cc/8PTzCVyH/136.png")</f>
        <v>https://i.postimg.cc/8PTzCVyH/136.png</v>
      </c>
      <c r="F208" s="162"/>
      <c r="G208" s="163" t="str">
        <f>IFERROR(__xludf.DUMMYFUNCTION("""COMPUTED_VALUE"""),"E-102")</f>
        <v>E-102</v>
      </c>
      <c r="H208" s="163" t="str">
        <f>IFERROR(__xludf.DUMMYFUNCTION("""COMPUTED_VALUE"""),"Mr. 5")</f>
        <v>Mr. 5</v>
      </c>
      <c r="I208" s="163" t="str">
        <f>IFERROR(__xludf.DUMMYFUNCTION("""COMPUTED_VALUE"""),"When your team has more Treasure secured: Boost the cooldown reduction speed of Skill 2 by 13%.")</f>
        <v>When your team has more Treasure secured: Boost the cooldown reduction speed of Skill 2 by 13%.</v>
      </c>
      <c r="J208" s="163" t="str">
        <f>IFERROR(__xludf.DUMMYFUNCTION("""COMPUTED_VALUE"""),"The Grand Line ~ Baroque Works ~ Paramecia ~ Officer Agent")</f>
        <v>The Grand Line ~ Baroque Works ~ Paramecia ~ Officer Agent</v>
      </c>
      <c r="K208" s="164" t="str">
        <f>IFERROR(__xludf.DUMMYFUNCTION("""COMPUTED_VALUE"""),"https://i.postimg.cc/43jCMj2V/102.png")</f>
        <v>https://i.postimg.cc/43jCMj2V/102.png</v>
      </c>
      <c r="L208" s="162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</row>
    <row r="209">
      <c r="A209" s="163" t="str">
        <f>IFERROR(__xludf.DUMMYFUNCTION("""COMPUTED_VALUE"""),"G-135")</f>
        <v>G-135</v>
      </c>
      <c r="B209" s="163" t="str">
        <f>IFERROR(__xludf.DUMMYFUNCTION("""COMPUTED_VALUE"""),"Buzz Cut Mochi")</f>
        <v>Buzz Cut Mochi</v>
      </c>
      <c r="C209" s="163" t="str">
        <f>IFERROR(__xludf.DUMMYFUNCTION("""COMPUTED_VALUE"""),"When your HP is 70% or more: Reduce damage recieved by 5%.")</f>
        <v>When your HP is 70% or more: Reduce damage recieved by 5%.</v>
      </c>
      <c r="D209" s="163" t="str">
        <f>IFERROR(__xludf.DUMMYFUNCTION("""COMPUTED_VALUE"""),"Zou / Whole Cake Island ~ Big Mom Pirates ~ Paramecia ~ Royalty / Former Royalty ~ ``Sweet 3`` General ~ Charlotte Family")</f>
        <v>Zou / Whole Cake Island ~ Big Mom Pirates ~ Paramecia ~ Royalty / Former Royalty ~ ``Sweet 3`` General ~ Charlotte Family</v>
      </c>
      <c r="E209" s="164" t="str">
        <f>IFERROR(__xludf.DUMMYFUNCTION("""COMPUTED_VALUE"""),"https://i.postimg.cc/SNVN2t3p/135.png")</f>
        <v>https://i.postimg.cc/SNVN2t3p/135.png</v>
      </c>
      <c r="F209" s="162"/>
      <c r="G209" s="163" t="str">
        <f>IFERROR(__xludf.DUMMYFUNCTION("""COMPUTED_VALUE"""),"E-101")</f>
        <v>E-101</v>
      </c>
      <c r="H209" s="163" t="str">
        <f>IFERROR(__xludf.DUMMYFUNCTION("""COMPUTED_VALUE"""),"Bepo")</f>
        <v>Bepo</v>
      </c>
      <c r="I209" s="163" t="str">
        <f>IFERROR(__xludf.DUMMYFUNCTION("""COMPUTED_VALUE"""),"After KOing an enemy: Reduce the cooldown time of Skill 2 by 6%.")</f>
        <v>After KOing an enemy: Reduce the cooldown time of Skill 2 by 6%.</v>
      </c>
      <c r="J209" s="163" t="str">
        <f>IFERROR(__xludf.DUMMYFUNCTION("""COMPUTED_VALUE"""),"Land of Wano ~ Navigator ~ Minks ~ Heart Pirates")</f>
        <v>Land of Wano ~ Navigator ~ Minks ~ Heart Pirates</v>
      </c>
      <c r="K209" s="164" t="str">
        <f>IFERROR(__xludf.DUMMYFUNCTION("""COMPUTED_VALUE"""),"https://i.postimg.cc/MZ7kPP7f/101.png")</f>
        <v>https://i.postimg.cc/MZ7kPP7f/101.png</v>
      </c>
      <c r="L209" s="162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</row>
    <row r="210">
      <c r="A210" s="163" t="str">
        <f>IFERROR(__xludf.DUMMYFUNCTION("""COMPUTED_VALUE"""),"G-134")</f>
        <v>G-134</v>
      </c>
      <c r="B210" s="163" t="str">
        <f>IFERROR(__xludf.DUMMYFUNCTION("""COMPUTED_VALUE"""),"Ikoku Sovereignty")</f>
        <v>Ikoku Sovereignty</v>
      </c>
      <c r="C210" s="163" t="str">
        <f>IFERROR(__xludf.DUMMYFUNCTION("""COMPUTED_VALUE"""),"When your HP is 70% or more: Boost capture speed by 8%.")</f>
        <v>When your HP is 70% or more: Boost capture speed by 8%.</v>
      </c>
      <c r="D210" s="163" t="str">
        <f>IFERROR(__xludf.DUMMYFUNCTION("""COMPUTED_VALUE"""),"Zou / Whole Cake Island ~ Big Mom Pirates ~ Paramecia ~ Captain ~ Royalty / Former Royalty ~ The Four Emperors ~ Charlotte Family ~ Former Rocks Pirates")</f>
        <v>Zou / Whole Cake Island ~ Big Mom Pirates ~ Paramecia ~ Captain ~ Royalty / Former Royalty ~ The Four Emperors ~ Charlotte Family ~ Former Rocks Pirates</v>
      </c>
      <c r="E210" s="164" t="str">
        <f>IFERROR(__xludf.DUMMYFUNCTION("""COMPUTED_VALUE"""),"https://i.postimg.cc/2S6j47NL/134.png")</f>
        <v>https://i.postimg.cc/2S6j47NL/134.png</v>
      </c>
      <c r="F210" s="162"/>
      <c r="G210" s="163" t="str">
        <f>IFERROR(__xludf.DUMMYFUNCTION("""COMPUTED_VALUE"""),"E-100")</f>
        <v>E-100</v>
      </c>
      <c r="H210" s="163" t="str">
        <f>IFERROR(__xludf.DUMMYFUNCTION("""COMPUTED_VALUE"""),"Kid`s Partner")</f>
        <v>Kid`s Partner</v>
      </c>
      <c r="I210" s="163" t="str">
        <f>IFERROR(__xludf.DUMMYFUNCTION("""COMPUTED_VALUE"""),"When your HP is 70% or more: Reduce damage recieved by 5%.")</f>
        <v>When your HP is 70% or more: Reduce damage recieved by 5%.</v>
      </c>
      <c r="J210" s="163" t="str">
        <f>IFERROR(__xludf.DUMMYFUNCTION("""COMPUTED_VALUE"""),"Land of Wano ~ Kid Pirates ~ Combatant ~ Worst Generation")</f>
        <v>Land of Wano ~ Kid Pirates ~ Combatant ~ Worst Generation</v>
      </c>
      <c r="K210" s="164" t="str">
        <f>IFERROR(__xludf.DUMMYFUNCTION("""COMPUTED_VALUE"""),"https://i.postimg.cc/NMThwbZV/100.png")</f>
        <v>https://i.postimg.cc/NMThwbZV/100.png</v>
      </c>
      <c r="L210" s="162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</row>
    <row r="211">
      <c r="A211" s="163" t="str">
        <f>IFERROR(__xludf.DUMMYFUNCTION("""COMPUTED_VALUE"""),"G-133")</f>
        <v>G-133</v>
      </c>
      <c r="B211" s="163" t="str">
        <f>IFERROR(__xludf.DUMMYFUNCTION("""COMPUTED_VALUE"""),"Corazon")</f>
        <v>Corazon</v>
      </c>
      <c r="C211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11" s="163" t="str">
        <f>IFERROR(__xludf.DUMMYFUNCTION("""COMPUTED_VALUE"""),"Navy ~ Paramecia ~ Don Quixote Family")</f>
        <v>Navy ~ Paramecia ~ Don Quixote Family</v>
      </c>
      <c r="E211" s="164" t="str">
        <f>IFERROR(__xludf.DUMMYFUNCTION("""COMPUTED_VALUE"""),"https://i.postimg.cc/MpF6tfzP/133.png")</f>
        <v>https://i.postimg.cc/MpF6tfzP/133.png</v>
      </c>
      <c r="F211" s="162"/>
      <c r="G211" s="163" t="str">
        <f>IFERROR(__xludf.DUMMYFUNCTION("""COMPUTED_VALUE"""),"E-99")</f>
        <v>E-99</v>
      </c>
      <c r="H211" s="163" t="str">
        <f>IFERROR(__xludf.DUMMYFUNCTION("""COMPUTED_VALUE"""),"Heat_Heat")</f>
        <v>Heat_Heat</v>
      </c>
      <c r="I211" s="163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J211" s="163" t="str">
        <f>IFERROR(__xludf.DUMMYFUNCTION("""COMPUTED_VALUE"""),"Zou / Whole Cake Island ~ Big Mom Pirates ~ Paramecia ~ Charlotte Family")</f>
        <v>Zou / Whole Cake Island ~ Big Mom Pirates ~ Paramecia ~ Charlotte Family</v>
      </c>
      <c r="K211" s="164" t="str">
        <f>IFERROR(__xludf.DUMMYFUNCTION("""COMPUTED_VALUE"""),"https://i.postimg.cc/WzPBpgv4/099.png")</f>
        <v>https://i.postimg.cc/WzPBpgv4/099.png</v>
      </c>
      <c r="L211" s="162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</row>
    <row r="212">
      <c r="A212" s="163" t="str">
        <f>IFERROR(__xludf.DUMMYFUNCTION("""COMPUTED_VALUE"""),"G-132")</f>
        <v>G-132</v>
      </c>
      <c r="B212" s="163" t="str">
        <f>IFERROR(__xludf.DUMMYFUNCTION("""COMPUTED_VALUE"""),"Rebecca")</f>
        <v>Rebecca</v>
      </c>
      <c r="C212" s="163" t="str">
        <f>IFERROR(__xludf.DUMMYFUNCTION("""COMPUTED_VALUE"""),"When performing a Perfect Dodge: Reduce the cooldown time of Skill 2 by 3%.")</f>
        <v>When performing a Perfect Dodge: Reduce the cooldown time of Skill 2 by 3%.</v>
      </c>
      <c r="D212" s="163" t="str">
        <f>IFERROR(__xludf.DUMMYFUNCTION("""COMPUTED_VALUE"""),"Dressrosa ~ Royalty / Former Royalty")</f>
        <v>Dressrosa ~ Royalty / Former Royalty</v>
      </c>
      <c r="E212" s="164" t="str">
        <f>IFERROR(__xludf.DUMMYFUNCTION("""COMPUTED_VALUE"""),"https://i.postimg.cc/nL9HWVzH/132.png")</f>
        <v>https://i.postimg.cc/nL9HWVzH/132.png</v>
      </c>
      <c r="F212" s="162"/>
      <c r="G212" s="163" t="str">
        <f>IFERROR(__xludf.DUMMYFUNCTION("""COMPUTED_VALUE"""),"E-98")</f>
        <v>E-98</v>
      </c>
      <c r="H212" s="163" t="str">
        <f>IFERROR(__xludf.DUMMYFUNCTION("""COMPUTED_VALUE"""),"Puff_Puff")</f>
        <v>Puff_Puff</v>
      </c>
      <c r="I212" s="163" t="str">
        <f>IFERROR(__xludf.DUMMYFUNCTION("""COMPUTED_VALUE"""),"When your HP is 70% or more: Increase damage dealt by 5%.")</f>
        <v>When your HP is 70% or more: Increase damage dealt by 5%.</v>
      </c>
      <c r="J212" s="163" t="str">
        <f>IFERROR(__xludf.DUMMYFUNCTION("""COMPUTED_VALUE"""),"Zou / Whole Cake Island ~ Big Mom Pirates ~ Paramecia ~ Charlotte Family")</f>
        <v>Zou / Whole Cake Island ~ Big Mom Pirates ~ Paramecia ~ Charlotte Family</v>
      </c>
      <c r="K212" s="164" t="str">
        <f>IFERROR(__xludf.DUMMYFUNCTION("""COMPUTED_VALUE"""),"https://i.postimg.cc/Y0fJv0rz/098.png")</f>
        <v>https://i.postimg.cc/Y0fJv0rz/098.png</v>
      </c>
      <c r="L212" s="162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</row>
    <row r="213">
      <c r="A213" s="163" t="str">
        <f>IFERROR(__xludf.DUMMYFUNCTION("""COMPUTED_VALUE"""),"G-131")</f>
        <v>G-131</v>
      </c>
      <c r="B213" s="163" t="str">
        <f>IFERROR(__xludf.DUMMYFUNCTION("""COMPUTED_VALUE"""),"Scalpel")</f>
        <v>Scalpel</v>
      </c>
      <c r="C213" s="163" t="str">
        <f>IFERROR(__xludf.DUMMYFUNCTION("""COMPUTED_VALUE"""),"When your HP is 70% or more: Boost capture speed by 8%.")</f>
        <v>When your HP is 70% or more: Boost capture speed by 8%.</v>
      </c>
      <c r="D213" s="163" t="str">
        <f>IFERROR(__xludf.DUMMYFUNCTION("""COMPUTED_VALUE"""),"Dressrosa ~ The Seven Warlords of the Sea / Former Warlords of the Sea ~ Paramecia ~ Captain ~ Worst Generation ~ Heart Pirates")</f>
        <v>Dressrosa ~ The Seven Warlords of the Sea / Former Warlords of the Sea ~ Paramecia ~ Captain ~ Worst Generation ~ Heart Pirates</v>
      </c>
      <c r="E213" s="164" t="str">
        <f>IFERROR(__xludf.DUMMYFUNCTION("""COMPUTED_VALUE"""),"https://i.postimg.cc/63s9xs2C/131.png")</f>
        <v>https://i.postimg.cc/63s9xs2C/131.png</v>
      </c>
      <c r="F213" s="162"/>
      <c r="G213" s="163" t="str">
        <f>IFERROR(__xludf.DUMMYFUNCTION("""COMPUTED_VALUE"""),"E-97")</f>
        <v>E-97</v>
      </c>
      <c r="H213" s="163" t="str">
        <f>IFERROR(__xludf.DUMMYFUNCTION("""COMPUTED_VALUE"""),"Wanda")</f>
        <v>Wanda</v>
      </c>
      <c r="I213" s="163" t="str">
        <f>IFERROR(__xludf.DUMMYFUNCTION("""COMPUTED_VALUE"""),"When enemies are inflicted with Shock: SPD Boosted by 6% for 20 second(s).")</f>
        <v>When enemies are inflicted with Shock: SPD Boosted by 6% for 20 second(s).</v>
      </c>
      <c r="J213" s="163" t="str">
        <f>IFERROR(__xludf.DUMMYFUNCTION("""COMPUTED_VALUE"""),"Zou / Whole Cake Island ~ Mokomo Dukedom Musketeer ~ Kingsbird ~ Minks")</f>
        <v>Zou / Whole Cake Island ~ Mokomo Dukedom Musketeer ~ Kingsbird ~ Minks</v>
      </c>
      <c r="K213" s="164" t="str">
        <f>IFERROR(__xludf.DUMMYFUNCTION("""COMPUTED_VALUE"""),"https://i.postimg.cc/GhdWZFK7/097.png")</f>
        <v>https://i.postimg.cc/GhdWZFK7/097.png</v>
      </c>
      <c r="L213" s="162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</row>
    <row r="214">
      <c r="A214" s="163" t="str">
        <f>IFERROR(__xludf.DUMMYFUNCTION("""COMPUTED_VALUE"""),"G-130")</f>
        <v>G-130</v>
      </c>
      <c r="B214" s="163" t="str">
        <f>IFERROR(__xludf.DUMMYFUNCTION("""COMPUTED_VALUE"""),"Mamaragan")</f>
        <v>Mamaragan</v>
      </c>
      <c r="C214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14" s="163" t="str">
        <f>IFERROR(__xludf.DUMMYFUNCTION("""COMPUTED_VALUE"""),"Sky Island / LRLL ~ God`s Army ~ Logia ~ Mantra")</f>
        <v>Sky Island / LRLL ~ God`s Army ~ Logia ~ Mantra</v>
      </c>
      <c r="E214" s="164" t="str">
        <f>IFERROR(__xludf.DUMMYFUNCTION("""COMPUTED_VALUE"""),"https://i.postimg.cc/J0MMtbQn/130.png")</f>
        <v>https://i.postimg.cc/J0MMtbQn/130.png</v>
      </c>
      <c r="F214" s="162"/>
      <c r="G214" s="163" t="str">
        <f>IFERROR(__xludf.DUMMYFUNCTION("""COMPUTED_VALUE"""),"E-96")</f>
        <v>E-96</v>
      </c>
      <c r="H214" s="163" t="str">
        <f>IFERROR(__xludf.DUMMYFUNCTION("""COMPUTED_VALUE"""),"Shishilian")</f>
        <v>Shishilian</v>
      </c>
      <c r="I214" s="163" t="str">
        <f>IFERROR(__xludf.DUMMYFUNCTION("""COMPUTED_VALUE"""),"When attacking an enemy inflicted With Shock: Increase damage dealt by 5%.")</f>
        <v>When attacking an enemy inflicted With Shock: Increase damage dealt by 5%.</v>
      </c>
      <c r="J214" s="163" t="str">
        <f>IFERROR(__xludf.DUMMYFUNCTION("""COMPUTED_VALUE"""),"Zou / Whole Cake Island ~ Mokomo Dukedom Musketeer ~ Minks")</f>
        <v>Zou / Whole Cake Island ~ Mokomo Dukedom Musketeer ~ Minks</v>
      </c>
      <c r="K214" s="164" t="str">
        <f>IFERROR(__xludf.DUMMYFUNCTION("""COMPUTED_VALUE"""),"https://i.postimg.cc/9Fb6VDNW/096.png")</f>
        <v>https://i.postimg.cc/9Fb6VDNW/096.png</v>
      </c>
      <c r="L214" s="162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</row>
    <row r="215">
      <c r="A215" s="163" t="str">
        <f>IFERROR(__xludf.DUMMYFUNCTION("""COMPUTED_VALUE"""),"G-129")</f>
        <v>G-129</v>
      </c>
      <c r="B215" s="163" t="str">
        <f>IFERROR(__xludf.DUMMYFUNCTION("""COMPUTED_VALUE"""),"Six King Pistol")</f>
        <v>Six King Pistol</v>
      </c>
      <c r="C215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15" s="163" t="str">
        <f>IFERROR(__xludf.DUMMYFUNCTION("""COMPUTED_VALUE"""),"Reverie ~ Cipher Pol ~ Zoan ~ Intelligence Agent ~ Six Powers")</f>
        <v>Reverie ~ Cipher Pol ~ Zoan ~ Intelligence Agent ~ Six Powers</v>
      </c>
      <c r="E215" s="164" t="str">
        <f>IFERROR(__xludf.DUMMYFUNCTION("""COMPUTED_VALUE"""),"https://i.postimg.cc/DZq72CLH/129.png")</f>
        <v>https://i.postimg.cc/DZq72CLH/129.png</v>
      </c>
      <c r="F215" s="162"/>
      <c r="G215" s="163" t="str">
        <f>IFERROR(__xludf.DUMMYFUNCTION("""COMPUTED_VALUE"""),"E-95")</f>
        <v>E-95</v>
      </c>
      <c r="H215" s="163" t="str">
        <f>IFERROR(__xludf.DUMMYFUNCTION("""COMPUTED_VALUE"""),"Robiland")</f>
        <v>Robiland</v>
      </c>
      <c r="I215" s="163" t="str">
        <f>IFERROR(__xludf.DUMMYFUNCTION("""COMPUTED_VALUE"""),"When there are 60 seconds or less remaining: Boost the cooldown reduction speed of Skill 2 by 10%.")</f>
        <v>When there are 60 seconds or less remaining: Boost the cooldown reduction speed of Skill 2 by 10%.</v>
      </c>
      <c r="J215" s="163" t="str">
        <f>IFERROR(__xludf.DUMMYFUNCTION("""COMPUTED_VALUE"""),"Dressrosa ~ Straw Hat Pirates ~ Paramecia ~ Archaeologist")</f>
        <v>Dressrosa ~ Straw Hat Pirates ~ Paramecia ~ Archaeologist</v>
      </c>
      <c r="K215" s="164" t="str">
        <f>IFERROR(__xludf.DUMMYFUNCTION("""COMPUTED_VALUE"""),"https://i.postimg.cc/HkLfLTfb/095.png")</f>
        <v>https://i.postimg.cc/HkLfLTfb/095.png</v>
      </c>
      <c r="L215" s="162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</row>
    <row r="216">
      <c r="A216" s="163" t="str">
        <f>IFERROR(__xludf.DUMMYFUNCTION("""COMPUTED_VALUE"""),"G-128")</f>
        <v>G-128</v>
      </c>
      <c r="B216" s="163" t="str">
        <f>IFERROR(__xludf.DUMMYFUNCTION("""COMPUTED_VALUE"""),"Sumo Slap")</f>
        <v>Sumo Slap</v>
      </c>
      <c r="C216" s="163" t="str">
        <f>IFERROR(__xludf.DUMMYFUNCTION("""COMPUTED_VALUE"""),"When in the Treasure Area: Increase damage dealt to Defenders by 5%.")</f>
        <v>When in the Treasure Area: Increase damage dealt to Defenders by 5%.</v>
      </c>
      <c r="D216" s="163" t="str">
        <f>IFERROR(__xludf.DUMMYFUNCTION("""COMPUTED_VALUE"""),"Land of Wano ~ Straw Hat Pirates ~ Paramecia ~ Captain ~ Worst Generation ~ Blood Brothers")</f>
        <v>Land of Wano ~ Straw Hat Pirates ~ Paramecia ~ Captain ~ Worst Generation ~ Blood Brothers</v>
      </c>
      <c r="E216" s="164" t="str">
        <f>IFERROR(__xludf.DUMMYFUNCTION("""COMPUTED_VALUE"""),"https://i.postimg.cc/6qcwZyHh/128.png")</f>
        <v>https://i.postimg.cc/6qcwZyHh/128.png</v>
      </c>
      <c r="F216" s="162"/>
      <c r="G216" s="163" t="str">
        <f>IFERROR(__xludf.DUMMYFUNCTION("""COMPUTED_VALUE"""),"E-94")</f>
        <v>E-94</v>
      </c>
      <c r="H216" s="163" t="str">
        <f>IFERROR(__xludf.DUMMYFUNCTION("""COMPUTED_VALUE"""),"Lucy (Luffy)")</f>
        <v>Lucy (Luffy)</v>
      </c>
      <c r="I216" s="163" t="str">
        <f>IFERROR(__xludf.DUMMYFUNCTION("""COMPUTED_VALUE"""),"When you capture the Treasure: Recover HP by 5%.")</f>
        <v>When you capture the Treasure: Recover HP by 5%.</v>
      </c>
      <c r="J216" s="163" t="str">
        <f>IFERROR(__xludf.DUMMYFUNCTION("""COMPUTED_VALUE"""),"Dressrosa ~ Straw Hat Pirates ~ Paramecia ~ Captain ~ Worst Generation ~ Blood Brothers")</f>
        <v>Dressrosa ~ Straw Hat Pirates ~ Paramecia ~ Captain ~ Worst Generation ~ Blood Brothers</v>
      </c>
      <c r="K216" s="164" t="str">
        <f>IFERROR(__xludf.DUMMYFUNCTION("""COMPUTED_VALUE"""),"https://i.postimg.cc/3xbz4PTV/094.png")</f>
        <v>https://i.postimg.cc/3xbz4PTV/094.png</v>
      </c>
      <c r="L216" s="162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</row>
    <row r="217">
      <c r="A217" s="163" t="str">
        <f>IFERROR(__xludf.DUMMYFUNCTION("""COMPUTED_VALUE"""),"G-127")</f>
        <v>G-127</v>
      </c>
      <c r="B217" s="163" t="str">
        <f>IFERROR(__xludf.DUMMYFUNCTION("""COMPUTED_VALUE"""),"Ninpo Iightning Blast")</f>
        <v>Ninpo Iightning Blast</v>
      </c>
      <c r="C217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D217" s="163" t="str">
        <f>IFERROR(__xludf.DUMMYFUNCTION("""COMPUTED_VALUE"""),"Land of Wano ~ Straw Hat Pirates ~ Navigator")</f>
        <v>Land of Wano ~ Straw Hat Pirates ~ Navigator</v>
      </c>
      <c r="E217" s="164" t="str">
        <f>IFERROR(__xludf.DUMMYFUNCTION("""COMPUTED_VALUE"""),"https://i.postimg.cc/9FXchYMg/127.png")</f>
        <v>https://i.postimg.cc/9FXchYMg/127.png</v>
      </c>
      <c r="F217" s="162"/>
      <c r="G217" s="163" t="str">
        <f>IFERROR(__xludf.DUMMYFUNCTION("""COMPUTED_VALUE"""),"E-93")</f>
        <v>E-93</v>
      </c>
      <c r="H217" s="163" t="str">
        <f>IFERROR(__xludf.DUMMYFUNCTION("""COMPUTED_VALUE"""),"Pedro")</f>
        <v>Pedro</v>
      </c>
      <c r="I217" s="163" t="str">
        <f>IFERROR(__xludf.DUMMYFUNCTION("""COMPUTED_VALUE"""),"When you capture the Treasure: Reduce the cooldown time of Skill 1 by 5%.")</f>
        <v>When you capture the Treasure: Reduce the cooldown time of Skill 1 by 5%.</v>
      </c>
      <c r="J217" s="163" t="str">
        <f>IFERROR(__xludf.DUMMYFUNCTION("""COMPUTED_VALUE"""),"Zou / Whole Cake Island ~ Minks")</f>
        <v>Zou / Whole Cake Island ~ Minks</v>
      </c>
      <c r="K217" s="164" t="str">
        <f>IFERROR(__xludf.DUMMYFUNCTION("""COMPUTED_VALUE"""),"https://i.postimg.cc/KztWWjMh/093.png")</f>
        <v>https://i.postimg.cc/KztWWjMh/093.png</v>
      </c>
      <c r="L217" s="162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</row>
    <row r="218">
      <c r="A218" s="163" t="str">
        <f>IFERROR(__xludf.DUMMYFUNCTION("""COMPUTED_VALUE"""),"G-126")</f>
        <v>G-126</v>
      </c>
      <c r="B218" s="163" t="str">
        <f>IFERROR(__xludf.DUMMYFUNCTION("""COMPUTED_VALUE"""),"Drake")</f>
        <v>Drake</v>
      </c>
      <c r="C218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18" s="163" t="str">
        <f>IFERROR(__xludf.DUMMYFUNCTION("""COMPUTED_VALUE"""),"Land of Wano ~ Animal Kingdom Pirates ~ Zoan ~ Tobi Roppo ~ Worst Generation")</f>
        <v>Land of Wano ~ Animal Kingdom Pirates ~ Zoan ~ Tobi Roppo ~ Worst Generation</v>
      </c>
      <c r="E218" s="164" t="str">
        <f>IFERROR(__xludf.DUMMYFUNCTION("""COMPUTED_VALUE"""),"https://i.postimg.cc/jq4RmFsJ/126.png")</f>
        <v>https://i.postimg.cc/jq4RmFsJ/126.png</v>
      </c>
      <c r="F218" s="162"/>
      <c r="G218" s="163" t="str">
        <f>IFERROR(__xludf.DUMMYFUNCTION("""COMPUTED_VALUE"""),"E-92")</f>
        <v>E-92</v>
      </c>
      <c r="H218" s="163" t="str">
        <f>IFERROR(__xludf.DUMMYFUNCTION("""COMPUTED_VALUE"""),"Pekoms")</f>
        <v>Pekoms</v>
      </c>
      <c r="I218" s="163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J218" s="163" t="str">
        <f>IFERROR(__xludf.DUMMYFUNCTION("""COMPUTED_VALUE"""),"Zou / Whole Cake Island ~ Big Mom Pirates ~ Zoan ~ Combatant ~ Minks")</f>
        <v>Zou / Whole Cake Island ~ Big Mom Pirates ~ Zoan ~ Combatant ~ Minks</v>
      </c>
      <c r="K218" s="164" t="str">
        <f>IFERROR(__xludf.DUMMYFUNCTION("""COMPUTED_VALUE"""),"https://i.postimg.cc/GpWNzG9j/092.png")</f>
        <v>https://i.postimg.cc/GpWNzG9j/092.png</v>
      </c>
      <c r="L218" s="162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</row>
    <row r="219">
      <c r="A219" s="163" t="str">
        <f>IFERROR(__xludf.DUMMYFUNCTION("""COMPUTED_VALUE"""),"G-125")</f>
        <v>G-125</v>
      </c>
      <c r="B219" s="163" t="str">
        <f>IFERROR(__xludf.DUMMYFUNCTION("""COMPUTED_VALUE"""),"Repel")</f>
        <v>Repel</v>
      </c>
      <c r="C219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D219" s="163" t="str">
        <f>IFERROR(__xludf.DUMMYFUNCTION("""COMPUTED_VALUE"""),"Kid Pirates ~ Paramecia ~ Captain ~ Worst Generation")</f>
        <v>Kid Pirates ~ Paramecia ~ Captain ~ Worst Generation</v>
      </c>
      <c r="E219" s="164" t="str">
        <f>IFERROR(__xludf.DUMMYFUNCTION("""COMPUTED_VALUE"""),"https://i.postimg.cc/0ybx657p/125.png")</f>
        <v>https://i.postimg.cc/0ybx657p/125.png</v>
      </c>
      <c r="F219" s="162"/>
      <c r="G219" s="163" t="str">
        <f>IFERROR(__xludf.DUMMYFUNCTION("""COMPUTED_VALUE"""),"E-91")</f>
        <v>E-91</v>
      </c>
      <c r="H219" s="163" t="str">
        <f>IFERROR(__xludf.DUMMYFUNCTION("""COMPUTED_VALUE"""),"Vice Admiral Tsuru")</f>
        <v>Vice Admiral Tsuru</v>
      </c>
      <c r="I219" s="163" t="str">
        <f>IFERROR(__xludf.DUMMYFUNCTION("""COMPUTED_VALUE"""),"When in the area around your enemy`s Treasure: Increase damage dealt by 3%.")</f>
        <v>When in the area around your enemy`s Treasure: Increase damage dealt by 3%.</v>
      </c>
      <c r="J219" s="163" t="str">
        <f>IFERROR(__xludf.DUMMYFUNCTION("""COMPUTED_VALUE"""),"Navy ~ Paramecia ~ Vice Admiral")</f>
        <v>Navy ~ Paramecia ~ Vice Admiral</v>
      </c>
      <c r="K219" s="164" t="str">
        <f>IFERROR(__xludf.DUMMYFUNCTION("""COMPUTED_VALUE"""),"https://i.postimg.cc/2ymtNYQb/091.png")</f>
        <v>https://i.postimg.cc/2ymtNYQb/091.png</v>
      </c>
      <c r="L219" s="162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</row>
    <row r="220">
      <c r="A220" s="163" t="str">
        <f>IFERROR(__xludf.DUMMYFUNCTION("""COMPUTED_VALUE"""),"G-124")</f>
        <v>G-124</v>
      </c>
      <c r="B220" s="163" t="str">
        <f>IFERROR(__xludf.DUMMYFUNCTION("""COMPUTED_VALUE"""),"Killer")</f>
        <v>Killer</v>
      </c>
      <c r="C220" s="163" t="str">
        <f>IFERROR(__xludf.DUMMYFUNCTION("""COMPUTED_VALUE"""),"When your HP is 50% or less: Increase damage dealt by 3%.")</f>
        <v>When your HP is 50% or less: Increase damage dealt by 3%.</v>
      </c>
      <c r="D220" s="163" t="str">
        <f>IFERROR(__xludf.DUMMYFUNCTION("""COMPUTED_VALUE"""),"Kid Pirates ~ Combatant ~ Worst Generation")</f>
        <v>Kid Pirates ~ Combatant ~ Worst Generation</v>
      </c>
      <c r="E220" s="164" t="str">
        <f>IFERROR(__xludf.DUMMYFUNCTION("""COMPUTED_VALUE"""),"https://i.postimg.cc/pL4vKNB3/124.png")</f>
        <v>https://i.postimg.cc/pL4vKNB3/124.png</v>
      </c>
      <c r="F220" s="162"/>
      <c r="G220" s="163" t="str">
        <f>IFERROR(__xludf.DUMMYFUNCTION("""COMPUTED_VALUE"""),"E-90")</f>
        <v>E-90</v>
      </c>
      <c r="H220" s="163" t="str">
        <f>IFERROR(__xludf.DUMMYFUNCTION("""COMPUTED_VALUE"""),"Admiral Sengoku")</f>
        <v>Admiral Sengoku</v>
      </c>
      <c r="I220" s="163" t="str">
        <f>IFERROR(__xludf.DUMMYFUNCTION("""COMPUTED_VALUE"""),"When performing a Perfect Dodge: Reduce the cooldown time of Skill 1 by 6%.")</f>
        <v>When performing a Perfect Dodge: Reduce the cooldown time of Skill 1 by 6%.</v>
      </c>
      <c r="J220" s="163" t="str">
        <f>IFERROR(__xludf.DUMMYFUNCTION("""COMPUTED_VALUE"""),"Navy ~ Zoan ~ Navy Admiral / Former Navy Admiral")</f>
        <v>Navy ~ Zoan ~ Navy Admiral / Former Navy Admiral</v>
      </c>
      <c r="K220" s="164" t="str">
        <f>IFERROR(__xludf.DUMMYFUNCTION("""COMPUTED_VALUE"""),"https://i.postimg.cc/ZqB2rVYR/090.png")</f>
        <v>https://i.postimg.cc/ZqB2rVYR/090.png</v>
      </c>
      <c r="L220" s="162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</row>
    <row r="221">
      <c r="A221" s="163" t="str">
        <f>IFERROR(__xludf.DUMMYFUNCTION("""COMPUTED_VALUE"""),"G-123")</f>
        <v>G-123</v>
      </c>
      <c r="B221" s="163" t="str">
        <f>IFERROR(__xludf.DUMMYFUNCTION("""COMPUTED_VALUE"""),"Apoo")</f>
        <v>Apoo</v>
      </c>
      <c r="C221" s="163" t="str">
        <f>IFERROR(__xludf.DUMMYFUNCTION("""COMPUTED_VALUE"""),"When you capture the Treasure: Reduce the cooldown time of Skill 2 by 8%.")</f>
        <v>When you capture the Treasure: Reduce the cooldown time of Skill 2 by 8%.</v>
      </c>
      <c r="D221" s="163" t="str">
        <f>IFERROR(__xludf.DUMMYFUNCTION("""COMPUTED_VALUE"""),"Paramecia ~ Captain ~ Worst Generation")</f>
        <v>Paramecia ~ Captain ~ Worst Generation</v>
      </c>
      <c r="E221" s="164" t="str">
        <f>IFERROR(__xludf.DUMMYFUNCTION("""COMPUTED_VALUE"""),"https://i.postimg.cc/hGmBrCyv/123.png")</f>
        <v>https://i.postimg.cc/hGmBrCyv/123.png</v>
      </c>
      <c r="F221" s="162"/>
      <c r="G221" s="163" t="str">
        <f>IFERROR(__xludf.DUMMYFUNCTION("""COMPUTED_VALUE"""),"E-89")</f>
        <v>E-89</v>
      </c>
      <c r="H221" s="163" t="str">
        <f>IFERROR(__xludf.DUMMYFUNCTION("""COMPUTED_VALUE"""),"Veteran Kunoichi")</f>
        <v>Veteran Kunoichi</v>
      </c>
      <c r="I221" s="163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J221" s="163" t="str">
        <f>IFERROR(__xludf.DUMMYFUNCTION("""COMPUTED_VALUE"""),"Land of Wano ~ Kozuki Clan / Kozuki Clan Servant ~ Ninja")</f>
        <v>Land of Wano ~ Kozuki Clan / Kozuki Clan Servant ~ Ninja</v>
      </c>
      <c r="K221" s="164" t="str">
        <f>IFERROR(__xludf.DUMMYFUNCTION("""COMPUTED_VALUE"""),"https://i.postimg.cc/j2XFs1c8/089.png")</f>
        <v>https://i.postimg.cc/j2XFs1c8/089.png</v>
      </c>
      <c r="L221" s="162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</row>
    <row r="222">
      <c r="A222" s="163" t="str">
        <f>IFERROR(__xludf.DUMMYFUNCTION("""COMPUTED_VALUE"""),"G-122")</f>
        <v>G-122</v>
      </c>
      <c r="B222" s="163" t="str">
        <f>IFERROR(__xludf.DUMMYFUNCTION("""COMPUTED_VALUE"""),"Urouge")</f>
        <v>Urouge</v>
      </c>
      <c r="C222" s="163" t="str">
        <f>IFERROR(__xludf.DUMMYFUNCTION("""COMPUTED_VALUE"""),"When attacked by an enemy: Reduce the cooldown time of Skill 1 by 2%.")</f>
        <v>When attacked by an enemy: Reduce the cooldown time of Skill 1 by 2%.</v>
      </c>
      <c r="D222" s="163" t="str">
        <f>IFERROR(__xludf.DUMMYFUNCTION("""COMPUTED_VALUE"""),"Captain ~ Worst Generation")</f>
        <v>Captain ~ Worst Generation</v>
      </c>
      <c r="E222" s="164" t="str">
        <f>IFERROR(__xludf.DUMMYFUNCTION("""COMPUTED_VALUE"""),"https://i.postimg.cc/XJ00Dwm8/122.png")</f>
        <v>https://i.postimg.cc/XJ00Dwm8/122.png</v>
      </c>
      <c r="F222" s="162"/>
      <c r="G222" s="163" t="str">
        <f>IFERROR(__xludf.DUMMYFUNCTION("""COMPUTED_VALUE"""),"E-88")</f>
        <v>E-88</v>
      </c>
      <c r="H222" s="163" t="str">
        <f>IFERROR(__xludf.DUMMYFUNCTION("""COMPUTED_VALUE"""),"Raizo of the Mist")</f>
        <v>Raizo of the Mist</v>
      </c>
      <c r="I222" s="163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J222" s="163" t="str">
        <f>IFERROR(__xludf.DUMMYFUNCTION("""COMPUTED_VALUE"""),"Land of Wano ~ Kozuki Clan / Kozuki Clan Servant ~ Ninja")</f>
        <v>Land of Wano ~ Kozuki Clan / Kozuki Clan Servant ~ Ninja</v>
      </c>
      <c r="K222" s="164" t="str">
        <f>IFERROR(__xludf.DUMMYFUNCTION("""COMPUTED_VALUE"""),"https://i.postimg.cc/nVY5Ysxv/088.png")</f>
        <v>https://i.postimg.cc/nVY5Ysxv/088.png</v>
      </c>
      <c r="L222" s="162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</row>
    <row r="223">
      <c r="A223" s="163" t="str">
        <f>IFERROR(__xludf.DUMMYFUNCTION("""COMPUTED_VALUE"""),"G-121")</f>
        <v>G-121</v>
      </c>
      <c r="B223" s="163" t="str">
        <f>IFERROR(__xludf.DUMMYFUNCTION("""COMPUTED_VALUE"""),"Sengoku")</f>
        <v>Sengoku</v>
      </c>
      <c r="C223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23" s="163" t="str">
        <f>IFERROR(__xludf.DUMMYFUNCTION("""COMPUTED_VALUE"""),"The Paramount War at Marineford ~ Navy ~ Zoan ~ Fleet Admiral ~ Navy Admiral / Former Navy Admiral")</f>
        <v>The Paramount War at Marineford ~ Navy ~ Zoan ~ Fleet Admiral ~ Navy Admiral / Former Navy Admiral</v>
      </c>
      <c r="E223" s="164" t="str">
        <f>IFERROR(__xludf.DUMMYFUNCTION("""COMPUTED_VALUE"""),"https://i.postimg.cc/Y9fwcvww/121.png")</f>
        <v>https://i.postimg.cc/Y9fwcvww/121.png</v>
      </c>
      <c r="F223" s="162"/>
      <c r="G223" s="163" t="str">
        <f>IFERROR(__xludf.DUMMYFUNCTION("""COMPUTED_VALUE"""),"E-87")</f>
        <v>E-87</v>
      </c>
      <c r="H223" s="163" t="str">
        <f>IFERROR(__xludf.DUMMYFUNCTION("""COMPUTED_VALUE"""),"The Strongest Creature")</f>
        <v>The Strongest Creature</v>
      </c>
      <c r="I223" s="163" t="str">
        <f>IFERROR(__xludf.DUMMYFUNCTION("""COMPUTED_VALUE"""),"When in the area around your enemy`s Treasure: Increase damage dealt by 5%.")</f>
        <v>When in the area around your enemy`s Treasure: Increase damage dealt by 5%.</v>
      </c>
      <c r="J223" s="163" t="str">
        <f>IFERROR(__xludf.DUMMYFUNCTION("""COMPUTED_VALUE"""),"Land of Wano ~ Animal Kingdom Pirates ~ Captain ~ The Four Emperors")</f>
        <v>Land of Wano ~ Animal Kingdom Pirates ~ Captain ~ The Four Emperors</v>
      </c>
      <c r="K223" s="164" t="str">
        <f>IFERROR(__xludf.DUMMYFUNCTION("""COMPUTED_VALUE"""),"https://i.postimg.cc/Fsr6P9Fw/087.png")</f>
        <v>https://i.postimg.cc/Fsr6P9Fw/087.png</v>
      </c>
      <c r="L223" s="162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</row>
    <row r="224">
      <c r="A224" s="163" t="str">
        <f>IFERROR(__xludf.DUMMYFUNCTION("""COMPUTED_VALUE"""),"G-120")</f>
        <v>G-120</v>
      </c>
      <c r="B224" s="163" t="str">
        <f>IFERROR(__xludf.DUMMYFUNCTION("""COMPUTED_VALUE"""),"Rayleigh")</f>
        <v>Rayleigh</v>
      </c>
      <c r="C224" s="163" t="str">
        <f>IFERROR(__xludf.DUMMYFUNCTION("""COMPUTED_VALUE"""),"After KOing an enemy: Reduce the cooldown time of Skill 1 by 8%.")</f>
        <v>After KOing an enemy: Reduce the cooldown time of Skill 1 by 8%.</v>
      </c>
      <c r="D224" s="163" t="str">
        <f>IFERROR(__xludf.DUMMYFUNCTION("""COMPUTED_VALUE"""),"Sabaody Archipelago / Island of Women ~ Roger Pirates / Ex_Roger Pirates")</f>
        <v>Sabaody Archipelago / Island of Women ~ Roger Pirates / Ex_Roger Pirates</v>
      </c>
      <c r="E224" s="164" t="str">
        <f>IFERROR(__xludf.DUMMYFUNCTION("""COMPUTED_VALUE"""),"https://i.postimg.cc/mkLWTTb1/120.png")</f>
        <v>https://i.postimg.cc/mkLWTTb1/120.png</v>
      </c>
      <c r="F224" s="162"/>
      <c r="G224" s="163" t="str">
        <f>IFERROR(__xludf.DUMMYFUNCTION("""COMPUTED_VALUE"""),"E-86")</f>
        <v>E-86</v>
      </c>
      <c r="H224" s="163" t="str">
        <f>IFERROR(__xludf.DUMMYFUNCTION("""COMPUTED_VALUE"""),"Hiyori")</f>
        <v>Hiyori</v>
      </c>
      <c r="I224" s="163" t="str">
        <f>IFERROR(__xludf.DUMMYFUNCTION("""COMPUTED_VALUE"""),"When you capture the Treasure: Reduce the cooldown time of Skill 2 by 5%.")</f>
        <v>When you capture the Treasure: Reduce the cooldown time of Skill 2 by 5%.</v>
      </c>
      <c r="J224" s="163" t="str">
        <f>IFERROR(__xludf.DUMMYFUNCTION("""COMPUTED_VALUE"""),"Land of Wano ~ Kozuki Clan / Kozuki Clan Servant")</f>
        <v>Land of Wano ~ Kozuki Clan / Kozuki Clan Servant</v>
      </c>
      <c r="K224" s="164" t="str">
        <f>IFERROR(__xludf.DUMMYFUNCTION("""COMPUTED_VALUE"""),"https://i.postimg.cc/9FLnKvr0/086.png")</f>
        <v>https://i.postimg.cc/9FLnKvr0/086.png</v>
      </c>
      <c r="L224" s="162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</row>
    <row r="225">
      <c r="A225" s="163" t="str">
        <f>IFERROR(__xludf.DUMMYFUNCTION("""COMPUTED_VALUE"""),"G-119")</f>
        <v>G-119</v>
      </c>
      <c r="B225" s="163" t="str">
        <f>IFERROR(__xludf.DUMMYFUNCTION("""COMPUTED_VALUE"""),"King Cobra")</f>
        <v>King Cobra</v>
      </c>
      <c r="C225" s="163" t="str">
        <f>IFERROR(__xludf.DUMMYFUNCTION("""COMPUTED_VALUE"""),"When in the area around your enemy`s Treasure: Boost the cooldown reduction speed of Skill 2 by 13%.")</f>
        <v>When in the area around your enemy`s Treasure: Boost the cooldown reduction speed of Skill 2 by 13%.</v>
      </c>
      <c r="D225" s="163" t="str">
        <f>IFERROR(__xludf.DUMMYFUNCTION("""COMPUTED_VALUE"""),"Zou / Whole Cake Island ~ Straw Hat Pirates ~ Paramecia ~ Captain ~ Worst Generation ~ Blood Brothers")</f>
        <v>Zou / Whole Cake Island ~ Straw Hat Pirates ~ Paramecia ~ Captain ~ Worst Generation ~ Blood Brothers</v>
      </c>
      <c r="E225" s="164" t="str">
        <f>IFERROR(__xludf.DUMMYFUNCTION("""COMPUTED_VALUE"""),"https://i.postimg.cc/MH92TgTP/119.png")</f>
        <v>https://i.postimg.cc/MH92TgTP/119.png</v>
      </c>
      <c r="F225" s="162"/>
      <c r="G225" s="163" t="str">
        <f>IFERROR(__xludf.DUMMYFUNCTION("""COMPUTED_VALUE"""),"E-85")</f>
        <v>E-85</v>
      </c>
      <c r="H225" s="163" t="str">
        <f>IFERROR(__xludf.DUMMYFUNCTION("""COMPUTED_VALUE"""),"Momonosuke")</f>
        <v>Momonosuke</v>
      </c>
      <c r="I225" s="163" t="str">
        <f>IFERROR(__xludf.DUMMYFUNCTION("""COMPUTED_VALUE"""),"When you are in your Enemy`s Treasure Area and the Treasure Gauge is 50% or less: Boost capture speed by 8%.")</f>
        <v>When you are in your Enemy`s Treasure Area and the Treasure Gauge is 50% or less: Boost capture speed by 8%.</v>
      </c>
      <c r="J225" s="163" t="str">
        <f>IFERROR(__xludf.DUMMYFUNCTION("""COMPUTED_VALUE"""),"Land of Wano ~ Kozuki Clan / Kozuki Clan Servant")</f>
        <v>Land of Wano ~ Kozuki Clan / Kozuki Clan Servant</v>
      </c>
      <c r="K225" s="164" t="str">
        <f>IFERROR(__xludf.DUMMYFUNCTION("""COMPUTED_VALUE"""),"https://i.postimg.cc/HkjhgBy2/085.png")</f>
        <v>https://i.postimg.cc/HkjhgBy2/085.png</v>
      </c>
      <c r="L225" s="162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</row>
    <row r="226">
      <c r="A226" s="163" t="str">
        <f>IFERROR(__xludf.DUMMYFUNCTION("""COMPUTED_VALUE"""),"G-118")</f>
        <v>G-118</v>
      </c>
      <c r="B226" s="163" t="str">
        <f>IFERROR(__xludf.DUMMYFUNCTION("""COMPUTED_VALUE"""),"Ivankov")</f>
        <v>Ivankov</v>
      </c>
      <c r="C226" s="163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D226" s="163" t="str">
        <f>IFERROR(__xludf.DUMMYFUNCTION("""COMPUTED_VALUE"""),"Impel Down ~ Revolutionary Army ~ Paramecia ~ Royalty / Former Royalty ~ New Kama")</f>
        <v>Impel Down ~ Revolutionary Army ~ Paramecia ~ Royalty / Former Royalty ~ New Kama</v>
      </c>
      <c r="E226" s="164" t="str">
        <f>IFERROR(__xludf.DUMMYFUNCTION("""COMPUTED_VALUE"""),"https://i.postimg.cc/Y2RwbL36/118.png")</f>
        <v>https://i.postimg.cc/Y2RwbL36/118.png</v>
      </c>
      <c r="F226" s="162"/>
      <c r="G226" s="163" t="str">
        <f>IFERROR(__xludf.DUMMYFUNCTION("""COMPUTED_VALUE"""),"E-84")</f>
        <v>E-84</v>
      </c>
      <c r="H226" s="163" t="str">
        <f>IFERROR(__xludf.DUMMYFUNCTION("""COMPUTED_VALUE"""),"Toad_Oil Salesman")</f>
        <v>Toad_Oil Salesman</v>
      </c>
      <c r="I226" s="163" t="str">
        <f>IFERROR(__xludf.DUMMYFUNCTION("""COMPUTED_VALUE"""),"When Critical occurs: Reduce the cooldown time of Skill 2 by 3%.")</f>
        <v>When Critical occurs: Reduce the cooldown time of Skill 2 by 3%.</v>
      </c>
      <c r="J226" s="163" t="str">
        <f>IFERROR(__xludf.DUMMYFUNCTION("""COMPUTED_VALUE"""),"Land of Wano ~ Straw Hat Pirates ~ Sharp Shooter")</f>
        <v>Land of Wano ~ Straw Hat Pirates ~ Sharp Shooter</v>
      </c>
      <c r="K226" s="164" t="str">
        <f>IFERROR(__xludf.DUMMYFUNCTION("""COMPUTED_VALUE"""),"https://i.postimg.cc/K8VsvB7y/084.png")</f>
        <v>https://i.postimg.cc/K8VsvB7y/084.png</v>
      </c>
      <c r="L226" s="162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</row>
    <row r="227">
      <c r="A227" s="163" t="str">
        <f>IFERROR(__xludf.DUMMYFUNCTION("""COMPUTED_VALUE"""),"G-117")</f>
        <v>G-117</v>
      </c>
      <c r="B227" s="163" t="str">
        <f>IFERROR(__xludf.DUMMYFUNCTION("""COMPUTED_VALUE"""),"Magellan")</f>
        <v>Magellan</v>
      </c>
      <c r="C227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27" s="163" t="str">
        <f>IFERROR(__xludf.DUMMYFUNCTION("""COMPUTED_VALUE"""),"Impel Down ~ Paramecia")</f>
        <v>Impel Down ~ Paramecia</v>
      </c>
      <c r="E227" s="164" t="str">
        <f>IFERROR(__xludf.DUMMYFUNCTION("""COMPUTED_VALUE"""),"https://i.postimg.cc/vB80BTVy/117.png")</f>
        <v>https://i.postimg.cc/vB80BTVy/117.png</v>
      </c>
      <c r="F227" s="162"/>
      <c r="G227" s="163" t="str">
        <f>IFERROR(__xludf.DUMMYFUNCTION("""COMPUTED_VALUE"""),"E-83")</f>
        <v>E-83</v>
      </c>
      <c r="H227" s="163" t="str">
        <f>IFERROR(__xludf.DUMMYFUNCTION("""COMPUTED_VALUE"""),"Carpenter")</f>
        <v>Carpenter</v>
      </c>
      <c r="I227" s="163" t="str">
        <f>IFERROR(__xludf.DUMMYFUNCTION("""COMPUTED_VALUE"""),"When performing a Perfect Dodge: CRIT Boosted by 80% for 20 second(s).")</f>
        <v>When performing a Perfect Dodge: CRIT Boosted by 80% for 20 second(s).</v>
      </c>
      <c r="J227" s="163" t="str">
        <f>IFERROR(__xludf.DUMMYFUNCTION("""COMPUTED_VALUE"""),"Land of Wano ~ Straw Hat Pirates ~ Ship Carpenter")</f>
        <v>Land of Wano ~ Straw Hat Pirates ~ Ship Carpenter</v>
      </c>
      <c r="K227" s="164" t="str">
        <f>IFERROR(__xludf.DUMMYFUNCTION("""COMPUTED_VALUE"""),"https://i.postimg.cc/R0Hp3hGJ/083.png")</f>
        <v>https://i.postimg.cc/R0Hp3hGJ/083.png</v>
      </c>
      <c r="L227" s="162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</row>
    <row r="228">
      <c r="A228" s="163" t="str">
        <f>IFERROR(__xludf.DUMMYFUNCTION("""COMPUTED_VALUE"""),"G-116")</f>
        <v>G-116</v>
      </c>
      <c r="B228" s="163" t="str">
        <f>IFERROR(__xludf.DUMMYFUNCTION("""COMPUTED_VALUE"""),"Mad Dog of the Navy")</f>
        <v>Mad Dog of the Navy</v>
      </c>
      <c r="C228" s="163" t="str">
        <f>IFERROR(__xludf.DUMMYFUNCTION("""COMPUTED_VALUE"""),"When there are 60 seconds or less remaining: Increase damage dealt by 5%.")</f>
        <v>When there are 60 seconds or less remaining: Increase damage dealt by 5%.</v>
      </c>
      <c r="D228" s="163" t="str">
        <f>IFERROR(__xludf.DUMMYFUNCTION("""COMPUTED_VALUE"""),"Punk Hazard ~ Navy ~ Logia ~ Vice Admiral")</f>
        <v>Punk Hazard ~ Navy ~ Logia ~ Vice Admiral</v>
      </c>
      <c r="E228" s="164" t="str">
        <f>IFERROR(__xludf.DUMMYFUNCTION("""COMPUTED_VALUE"""),"https://i.postimg.cc/7YQryvjb/116.png")</f>
        <v>https://i.postimg.cc/7YQryvjb/116.png</v>
      </c>
      <c r="F228" s="162"/>
      <c r="G228" s="163" t="str">
        <f>IFERROR(__xludf.DUMMYFUNCTION("""COMPUTED_VALUE"""),"E-82")</f>
        <v>E-82</v>
      </c>
      <c r="H228" s="163" t="str">
        <f>IFERROR(__xludf.DUMMYFUNCTION("""COMPUTED_VALUE"""),"Sanji (Chambres)")</f>
        <v>Sanji (Chambres)</v>
      </c>
      <c r="I228" s="163" t="str">
        <f>IFERROR(__xludf.DUMMYFUNCTION("""COMPUTED_VALUE"""),"When Critical occurs: Recover HP by 1%.")</f>
        <v>When Critical occurs: Recover HP by 1%.</v>
      </c>
      <c r="J228" s="163" t="str">
        <f>IFERROR(__xludf.DUMMYFUNCTION("""COMPUTED_VALUE"""),"Punk Hazard ~ Straw Hat Pirates ~ Cook ~ Chambres")</f>
        <v>Punk Hazard ~ Straw Hat Pirates ~ Cook ~ Chambres</v>
      </c>
      <c r="K228" s="164" t="str">
        <f>IFERROR(__xludf.DUMMYFUNCTION("""COMPUTED_VALUE"""),"https://i.postimg.cc/k4P1WCh1/082.png")</f>
        <v>https://i.postimg.cc/k4P1WCh1/082.png</v>
      </c>
      <c r="L228" s="162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</row>
    <row r="229">
      <c r="A229" s="163" t="str">
        <f>IFERROR(__xludf.DUMMYFUNCTION("""COMPUTED_VALUE"""),"G-115")</f>
        <v>G-115</v>
      </c>
      <c r="B229" s="163" t="str">
        <f>IFERROR(__xludf.DUMMYFUNCTION("""COMPUTED_VALUE"""),"Cutting Mist")</f>
        <v>Cutting Mist</v>
      </c>
      <c r="C229" s="163" t="str">
        <f>IFERROR(__xludf.DUMMYFUNCTION("""COMPUTED_VALUE"""),"When your team has less Treasure secured: Boost the cooldown reduction speed of Skill 1 by 10%.")</f>
        <v>When your team has less Treasure secured: Boost the cooldown reduction speed of Skill 1 by 10%.</v>
      </c>
      <c r="D229" s="163" t="str">
        <f>IFERROR(__xludf.DUMMYFUNCTION("""COMPUTED_VALUE"""),"Punk Hazard ~ Navy ~ Navy Captain")</f>
        <v>Punk Hazard ~ Navy ~ Navy Captain</v>
      </c>
      <c r="E229" s="164" t="str">
        <f>IFERROR(__xludf.DUMMYFUNCTION("""COMPUTED_VALUE"""),"https://i.postimg.cc/Nj9qsJwD/115.png")</f>
        <v>https://i.postimg.cc/Nj9qsJwD/115.png</v>
      </c>
      <c r="F229" s="162"/>
      <c r="G229" s="163" t="str">
        <f>IFERROR(__xludf.DUMMYFUNCTION("""COMPUTED_VALUE"""),"E-81")</f>
        <v>E-81</v>
      </c>
      <c r="H229" s="163" t="str">
        <f>IFERROR(__xludf.DUMMYFUNCTION("""COMPUTED_VALUE"""),"Tashigi (Chambres)")</f>
        <v>Tashigi (Chambres)</v>
      </c>
      <c r="I229" s="163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J229" s="163" t="str">
        <f>IFERROR(__xludf.DUMMYFUNCTION("""COMPUTED_VALUE"""),"Punk Hazard ~ Navy ~ Logia ~ Navy Captain ~ Chambres")</f>
        <v>Punk Hazard ~ Navy ~ Logia ~ Navy Captain ~ Chambres</v>
      </c>
      <c r="K229" s="164" t="str">
        <f>IFERROR(__xludf.DUMMYFUNCTION("""COMPUTED_VALUE"""),"https://i.postimg.cc/fL7HKPGw/081.png")</f>
        <v>https://i.postimg.cc/fL7HKPGw/081.png</v>
      </c>
      <c r="L229" s="162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</row>
    <row r="230">
      <c r="A230" s="163" t="str">
        <f>IFERROR(__xludf.DUMMYFUNCTION("""COMPUTED_VALUE"""),"G-114")</f>
        <v>G-114</v>
      </c>
      <c r="B230" s="163" t="str">
        <f>IFERROR(__xludf.DUMMYFUNCTION("""COMPUTED_VALUE"""),"Hina")</f>
        <v>Hina</v>
      </c>
      <c r="C230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230" s="163" t="str">
        <f>IFERROR(__xludf.DUMMYFUNCTION("""COMPUTED_VALUE"""),"Reverie ~ Navy ~ Paramecia")</f>
        <v>Reverie ~ Navy ~ Paramecia</v>
      </c>
      <c r="E230" s="164" t="str">
        <f>IFERROR(__xludf.DUMMYFUNCTION("""COMPUTED_VALUE"""),"https://i.postimg.cc/Nj3h56sc/114.png")</f>
        <v>https://i.postimg.cc/Nj3h56sc/114.png</v>
      </c>
      <c r="F230" s="162"/>
      <c r="G230" s="163" t="str">
        <f>IFERROR(__xludf.DUMMYFUNCTION("""COMPUTED_VALUE"""),"E-80")</f>
        <v>E-80</v>
      </c>
      <c r="H230" s="163" t="str">
        <f>IFERROR(__xludf.DUMMYFUNCTION("""COMPUTED_VALUE"""),"Marigold")</f>
        <v>Marigold</v>
      </c>
      <c r="I230" s="163" t="str">
        <f>IFERROR(__xludf.DUMMYFUNCTION("""COMPUTED_VALUE"""),"When in the area around your enemy`s Treasure: Boost the cooldown reduction speed of Skill 1 by 10%.")</f>
        <v>When in the area around your enemy`s Treasure: Boost the cooldown reduction speed of Skill 1 by 10%.</v>
      </c>
      <c r="J230" s="163" t="str">
        <f>IFERROR(__xludf.DUMMYFUNCTION("""COMPUTED_VALUE"""),"Sabaody Archipelago / Island of Women ~ Kuja Pirates ~ Zoan ~ Gorgon Sisters")</f>
        <v>Sabaody Archipelago / Island of Women ~ Kuja Pirates ~ Zoan ~ Gorgon Sisters</v>
      </c>
      <c r="K230" s="164" t="str">
        <f>IFERROR(__xludf.DUMMYFUNCTION("""COMPUTED_VALUE"""),"https://i.postimg.cc/5yxsk3J8/080.png")</f>
        <v>https://i.postimg.cc/5yxsk3J8/080.png</v>
      </c>
      <c r="L230" s="162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</row>
    <row r="231">
      <c r="A231" s="163" t="str">
        <f>IFERROR(__xludf.DUMMYFUNCTION("""COMPUTED_VALUE"""),"G-113")</f>
        <v>G-113</v>
      </c>
      <c r="B231" s="163" t="str">
        <f>IFERROR(__xludf.DUMMYFUNCTION("""COMPUTED_VALUE"""),"The Demon Heir")</f>
        <v>The Demon Heir</v>
      </c>
      <c r="C231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231" s="163" t="str">
        <f>IFERROR(__xludf.DUMMYFUNCTION("""COMPUTED_VALUE"""),"STAMPEDE ~ Paramecia ~ Roger Pirates / Ex_Roger Pirates")</f>
        <v>STAMPEDE ~ Paramecia ~ Roger Pirates / Ex_Roger Pirates</v>
      </c>
      <c r="E231" s="164" t="str">
        <f>IFERROR(__xludf.DUMMYFUNCTION("""COMPUTED_VALUE"""),"https://i.postimg.cc/PqYgZCJ8/113.png")</f>
        <v>https://i.postimg.cc/PqYgZCJ8/113.png</v>
      </c>
      <c r="F231" s="162"/>
      <c r="G231" s="163" t="str">
        <f>IFERROR(__xludf.DUMMYFUNCTION("""COMPUTED_VALUE"""),"E-79")</f>
        <v>E-79</v>
      </c>
      <c r="H231" s="163" t="str">
        <f>IFERROR(__xludf.DUMMYFUNCTION("""COMPUTED_VALUE"""),"Sandersonia")</f>
        <v>Sandersonia</v>
      </c>
      <c r="I231" s="163" t="str">
        <f>IFERROR(__xludf.DUMMYFUNCTION("""COMPUTED_VALUE"""),"After KOing an enemy: Reduce the cooldown time of Skill 2 by 8%.")</f>
        <v>After KOing an enemy: Reduce the cooldown time of Skill 2 by 8%.</v>
      </c>
      <c r="J231" s="163" t="str">
        <f>IFERROR(__xludf.DUMMYFUNCTION("""COMPUTED_VALUE"""),"Sabaody Archipelago / Island of Women ~ Kuja Pirates ~ Zoan ~ Gorgon Sisters")</f>
        <v>Sabaody Archipelago / Island of Women ~ Kuja Pirates ~ Zoan ~ Gorgon Sisters</v>
      </c>
      <c r="K231" s="164" t="str">
        <f>IFERROR(__xludf.DUMMYFUNCTION("""COMPUTED_VALUE"""),"https://i.postimg.cc/hvp2Fd46/079.png")</f>
        <v>https://i.postimg.cc/hvp2Fd46/079.png</v>
      </c>
      <c r="L231" s="162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</row>
    <row r="232">
      <c r="A232" s="163" t="str">
        <f>IFERROR(__xludf.DUMMYFUNCTION("""COMPUTED_VALUE"""),"G-112")</f>
        <v>G-112</v>
      </c>
      <c r="B232" s="163" t="str">
        <f>IFERROR(__xludf.DUMMYFUNCTION("""COMPUTED_VALUE"""),"Fire Bird")</f>
        <v>Fire Bird</v>
      </c>
      <c r="C232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32" s="163" t="str">
        <f>IFERROR(__xludf.DUMMYFUNCTION("""COMPUTED_VALUE"""),"Water 7 / Enies Lobby ~ Straw Hat Pirates ~ Sharp Shooter")</f>
        <v>Water 7 / Enies Lobby ~ Straw Hat Pirates ~ Sharp Shooter</v>
      </c>
      <c r="E232" s="164" t="str">
        <f>IFERROR(__xludf.DUMMYFUNCTION("""COMPUTED_VALUE"""),"https://i.postimg.cc/G2RZjbTg/112.png")</f>
        <v>https://i.postimg.cc/G2RZjbTg/112.png</v>
      </c>
      <c r="F232" s="162"/>
      <c r="G232" s="163" t="str">
        <f>IFERROR(__xludf.DUMMYFUNCTION("""COMPUTED_VALUE"""),"E-78")</f>
        <v>E-78</v>
      </c>
      <c r="H232" s="163" t="str">
        <f>IFERROR(__xludf.DUMMYFUNCTION("""COMPUTED_VALUE"""),"Iron Mace")</f>
        <v>Iron Mace</v>
      </c>
      <c r="I232" s="163" t="str">
        <f>IFERROR(__xludf.DUMMYFUNCTION("""COMPUTED_VALUE"""),"After KOing an enemy: Reduce the cooldown time of Skill 1 by 6%.")</f>
        <v>After KOing an enemy: Reduce the cooldown time of Skill 1 by 6%.</v>
      </c>
      <c r="J232" s="163" t="str">
        <f>IFERROR(__xludf.DUMMYFUNCTION("""COMPUTED_VALUE"""),"Buggy`s Delivery ~ Paramecia")</f>
        <v>Buggy`s Delivery ~ Paramecia</v>
      </c>
      <c r="K232" s="164" t="str">
        <f>IFERROR(__xludf.DUMMYFUNCTION("""COMPUTED_VALUE"""),"https://i.postimg.cc/5937QZ5g/078.png")</f>
        <v>https://i.postimg.cc/5937QZ5g/078.png</v>
      </c>
      <c r="L232" s="162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</row>
    <row r="233">
      <c r="A233" s="163" t="str">
        <f>IFERROR(__xludf.DUMMYFUNCTION("""COMPUTED_VALUE"""),"G-111")</f>
        <v>G-111</v>
      </c>
      <c r="B233" s="163" t="str">
        <f>IFERROR(__xludf.DUMMYFUNCTION("""COMPUTED_VALUE"""),"Kaku")</f>
        <v>Kaku</v>
      </c>
      <c r="C233" s="163" t="str">
        <f>IFERROR(__xludf.DUMMYFUNCTION("""COMPUTED_VALUE"""),"When using Skill 1: SPD Boosted by 6% for 20 second(s).")</f>
        <v>When using Skill 1: SPD Boosted by 6% for 20 second(s).</v>
      </c>
      <c r="D233" s="163" t="str">
        <f>IFERROR(__xludf.DUMMYFUNCTION("""COMPUTED_VALUE"""),"Water 7 / Enies Lobby ~ Cipher Pol ~ Zoan ~ Intelligence Agent ~ Six Powers")</f>
        <v>Water 7 / Enies Lobby ~ Cipher Pol ~ Zoan ~ Intelligence Agent ~ Six Powers</v>
      </c>
      <c r="E233" s="164" t="str">
        <f>IFERROR(__xludf.DUMMYFUNCTION("""COMPUTED_VALUE"""),"https://i.postimg.cc/1X52LMHp/111.png")</f>
        <v>https://i.postimg.cc/1X52LMHp/111.png</v>
      </c>
      <c r="F233" s="162"/>
      <c r="G233" s="163" t="str">
        <f>IFERROR(__xludf.DUMMYFUNCTION("""COMPUTED_VALUE"""),"E-77")</f>
        <v>E-77</v>
      </c>
      <c r="H233" s="163" t="str">
        <f>IFERROR(__xludf.DUMMYFUNCTION("""COMPUTED_VALUE"""),"Loan Shark")</f>
        <v>Loan Shark</v>
      </c>
      <c r="I233" s="163" t="str">
        <f>IFERROR(__xludf.DUMMYFUNCTION("""COMPUTED_VALUE"""),"When in the area around your enemy`s Treasure: Increase damage dealt by 5%.")</f>
        <v>When in the area around your enemy`s Treasure: Increase damage dealt by 5%.</v>
      </c>
      <c r="J233" s="163" t="str">
        <f>IFERROR(__xludf.DUMMYFUNCTION("""COMPUTED_VALUE"""),"Buggy`s Delivery ~ Paramecia")</f>
        <v>Buggy`s Delivery ~ Paramecia</v>
      </c>
      <c r="K233" s="164" t="str">
        <f>IFERROR(__xludf.DUMMYFUNCTION("""COMPUTED_VALUE"""),"https://i.postimg.cc/pXL0fqqH/077.png")</f>
        <v>https://i.postimg.cc/pXL0fqqH/077.png</v>
      </c>
      <c r="L233" s="162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</row>
    <row r="234">
      <c r="A234" s="163" t="str">
        <f>IFERROR(__xludf.DUMMYFUNCTION("""COMPUTED_VALUE"""),"G-110")</f>
        <v>G-110</v>
      </c>
      <c r="B234" s="163" t="str">
        <f>IFERROR(__xludf.DUMMYFUNCTION("""COMPUTED_VALUE"""),"Lucci")</f>
        <v>Lucci</v>
      </c>
      <c r="C234" s="163" t="str">
        <f>IFERROR(__xludf.DUMMYFUNCTION("""COMPUTED_VALUE"""),"When Critical occurs: Reduce the cooldown time of Skill 2 by 3%.")</f>
        <v>When Critical occurs: Reduce the cooldown time of Skill 2 by 3%.</v>
      </c>
      <c r="D234" s="163" t="str">
        <f>IFERROR(__xludf.DUMMYFUNCTION("""COMPUTED_VALUE"""),"Water 7 / Enies Lobby ~ Cipher Pol ~ Zoan ~ Intelligence Agent ~ Six Powers")</f>
        <v>Water 7 / Enies Lobby ~ Cipher Pol ~ Zoan ~ Intelligence Agent ~ Six Powers</v>
      </c>
      <c r="E234" s="164" t="str">
        <f>IFERROR(__xludf.DUMMYFUNCTION("""COMPUTED_VALUE"""),"https://i.postimg.cc/9XJvG5m1/110.png")</f>
        <v>https://i.postimg.cc/9XJvG5m1/110.png</v>
      </c>
      <c r="F234" s="162"/>
      <c r="G234" s="163" t="str">
        <f>IFERROR(__xludf.DUMMYFUNCTION("""COMPUTED_VALUE"""),"E-76")</f>
        <v>E-76</v>
      </c>
      <c r="H234" s="163" t="str">
        <f>IFERROR(__xludf.DUMMYFUNCTION("""COMPUTED_VALUE"""),"Truly Favored Sister")</f>
        <v>Truly Favored Sister</v>
      </c>
      <c r="I234" s="163" t="str">
        <f>IFERROR(__xludf.DUMMYFUNCTION("""COMPUTED_VALUE"""),"When you capture the Treasure: Reduce the cooldown time of Skill 2 by 5%.")</f>
        <v>When you capture the Treasure: Reduce the cooldown time of Skill 2 by 5%.</v>
      </c>
      <c r="J234" s="163" t="str">
        <f>IFERROR(__xludf.DUMMYFUNCTION("""COMPUTED_VALUE"""),"Zou / Whole Cake Island ~ Big Mom Pirates ~ Charlotte Family")</f>
        <v>Zou / Whole Cake Island ~ Big Mom Pirates ~ Charlotte Family</v>
      </c>
      <c r="K234" s="164" t="str">
        <f>IFERROR(__xludf.DUMMYFUNCTION("""COMPUTED_VALUE"""),"https://i.postimg.cc/02XVcDBJ/076.png")</f>
        <v>https://i.postimg.cc/02XVcDBJ/076.png</v>
      </c>
      <c r="L234" s="162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</row>
    <row r="235">
      <c r="A235" s="163" t="str">
        <f>IFERROR(__xludf.DUMMYFUNCTION("""COMPUTED_VALUE"""),"G-109")</f>
        <v>G-109</v>
      </c>
      <c r="B235" s="163" t="str">
        <f>IFERROR(__xludf.DUMMYFUNCTION("""COMPUTED_VALUE"""),"Flame Dragon King")</f>
        <v>Flame Dragon King</v>
      </c>
      <c r="C235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35" s="163" t="str">
        <f>IFERROR(__xludf.DUMMYFUNCTION("""COMPUTED_VALUE"""),"Dressrosa ~ Revolutionary Army ~ Logia ~ Chief of Staff ~ Blood Brothers")</f>
        <v>Dressrosa ~ Revolutionary Army ~ Logia ~ Chief of Staff ~ Blood Brothers</v>
      </c>
      <c r="E235" s="164" t="str">
        <f>IFERROR(__xludf.DUMMYFUNCTION("""COMPUTED_VALUE"""),"https://i.postimg.cc/sDLqNYZh/109.png")</f>
        <v>https://i.postimg.cc/sDLqNYZh/109.png</v>
      </c>
      <c r="F235" s="162"/>
      <c r="G235" s="163" t="str">
        <f>IFERROR(__xludf.DUMMYFUNCTION("""COMPUTED_VALUE"""),"E-75")</f>
        <v>E-75</v>
      </c>
      <c r="H235" s="163" t="str">
        <f>IFERROR(__xludf.DUMMYFUNCTION("""COMPUTED_VALUE"""),"Mirror_Mirror")</f>
        <v>Mirror_Mirror</v>
      </c>
      <c r="I235" s="163" t="str">
        <f>IFERROR(__xludf.DUMMYFUNCTION("""COMPUTED_VALUE"""),"When performing a Perfect Dodge: Reduce the cooldown time of Skill 1 by 6%.")</f>
        <v>When performing a Perfect Dodge: Reduce the cooldown time of Skill 1 by 6%.</v>
      </c>
      <c r="J235" s="163" t="str">
        <f>IFERROR(__xludf.DUMMYFUNCTION("""COMPUTED_VALUE"""),"Zou / Whole Cake Island ~ Big Mom Pirates ~ Paramecia ~ Charlotte Family")</f>
        <v>Zou / Whole Cake Island ~ Big Mom Pirates ~ Paramecia ~ Charlotte Family</v>
      </c>
      <c r="K235" s="164" t="str">
        <f>IFERROR(__xludf.DUMMYFUNCTION("""COMPUTED_VALUE"""),"https://i.postimg.cc/zGL0Mvs2/075.png")</f>
        <v>https://i.postimg.cc/zGL0Mvs2/075.png</v>
      </c>
      <c r="L235" s="162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</row>
    <row r="236">
      <c r="A236" s="163" t="str">
        <f>IFERROR(__xludf.DUMMYFUNCTION("""COMPUTED_VALUE"""),"G-108")</f>
        <v>G-108</v>
      </c>
      <c r="B236" s="163" t="str">
        <f>IFERROR(__xludf.DUMMYFUNCTION("""COMPUTED_VALUE"""),"Fujitora")</f>
        <v>Fujitora</v>
      </c>
      <c r="C236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36" s="163" t="str">
        <f>IFERROR(__xludf.DUMMYFUNCTION("""COMPUTED_VALUE"""),"Dressrosa ~ Navy ~ Paramecia ~ Navy Admiral / Former Navy Admiral")</f>
        <v>Dressrosa ~ Navy ~ Paramecia ~ Navy Admiral / Former Navy Admiral</v>
      </c>
      <c r="E236" s="164" t="str">
        <f>IFERROR(__xludf.DUMMYFUNCTION("""COMPUTED_VALUE"""),"https://i.postimg.cc/5NyDg7jJ/108.png")</f>
        <v>https://i.postimg.cc/5NyDg7jJ/108.png</v>
      </c>
      <c r="F236" s="162"/>
      <c r="G236" s="163" t="str">
        <f>IFERROR(__xludf.DUMMYFUNCTION("""COMPUTED_VALUE"""),"E-74")</f>
        <v>E-74</v>
      </c>
      <c r="H236" s="163" t="str">
        <f>IFERROR(__xludf.DUMMYFUNCTION("""COMPUTED_VALUE"""),"Hobby_Hobby")</f>
        <v>Hobby_Hobby</v>
      </c>
      <c r="I236" s="163" t="str">
        <f>IFERROR(__xludf.DUMMYFUNCTION("""COMPUTED_VALUE"""),"When your HP is 70% or more: Reduce damage recieved by 3%.")</f>
        <v>When your HP is 70% or more: Reduce damage recieved by 3%.</v>
      </c>
      <c r="J236" s="163" t="str">
        <f>IFERROR(__xludf.DUMMYFUNCTION("""COMPUTED_VALUE"""),"Dressrosa ~ Paramecia ~ Don Quixote Family")</f>
        <v>Dressrosa ~ Paramecia ~ Don Quixote Family</v>
      </c>
      <c r="K236" s="164" t="str">
        <f>IFERROR(__xludf.DUMMYFUNCTION("""COMPUTED_VALUE"""),"https://i.postimg.cc/DwtBKFFv/074.png")</f>
        <v>https://i.postimg.cc/DwtBKFFv/074.png</v>
      </c>
      <c r="L236" s="162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</row>
    <row r="237">
      <c r="A237" s="163" t="str">
        <f>IFERROR(__xludf.DUMMYFUNCTION("""COMPUTED_VALUE"""),"G-107")</f>
        <v>G-107</v>
      </c>
      <c r="B237" s="163" t="str">
        <f>IFERROR(__xludf.DUMMYFUNCTION("""COMPUTED_VALUE"""),"Cavendish")</f>
        <v>Cavendish</v>
      </c>
      <c r="C237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37" s="163" t="str">
        <f>IFERROR(__xludf.DUMMYFUNCTION("""COMPUTED_VALUE"""),"Dressrosa ~ Beautiful Pirates ~ Captain ~ Royalty / Former Royalty ~ Straw Hat Fleet")</f>
        <v>Dressrosa ~ Beautiful Pirates ~ Captain ~ Royalty / Former Royalty ~ Straw Hat Fleet</v>
      </c>
      <c r="E237" s="164" t="str">
        <f>IFERROR(__xludf.DUMMYFUNCTION("""COMPUTED_VALUE"""),"https://i.postimg.cc/sgZqdMp0/107.png")</f>
        <v>https://i.postimg.cc/sgZqdMp0/107.png</v>
      </c>
      <c r="F237" s="162"/>
      <c r="G237" s="163" t="str">
        <f>IFERROR(__xludf.DUMMYFUNCTION("""COMPUTED_VALUE"""),"E-73")</f>
        <v>E-73</v>
      </c>
      <c r="H237" s="163" t="str">
        <f>IFERROR(__xludf.DUMMYFUNCTION("""COMPUTED_VALUE"""),"Stick_Stick")</f>
        <v>Stick_Stick</v>
      </c>
      <c r="I237" s="163" t="str">
        <f>IFERROR(__xludf.DUMMYFUNCTION("""COMPUTED_VALUE"""),"When an ally is KO`d (not including you): Reduce the cooldown time of Skill 2 by 8%.")</f>
        <v>When an ally is KO`d (not including you): Reduce the cooldown time of Skill 2 by 8%.</v>
      </c>
      <c r="J237" s="163" t="str">
        <f>IFERROR(__xludf.DUMMYFUNCTION("""COMPUTED_VALUE"""),"Dressrosa ~ Paramecia ~ Don Quixote Family")</f>
        <v>Dressrosa ~ Paramecia ~ Don Quixote Family</v>
      </c>
      <c r="K237" s="164" t="str">
        <f>IFERROR(__xludf.DUMMYFUNCTION("""COMPUTED_VALUE"""),"https://i.postimg.cc/9fZ1mSFG/073.png")</f>
        <v>https://i.postimg.cc/9fZ1mSFG/073.png</v>
      </c>
      <c r="L237" s="162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</row>
    <row r="238">
      <c r="A238" s="163" t="str">
        <f>IFERROR(__xludf.DUMMYFUNCTION("""COMPUTED_VALUE"""),"G-106")</f>
        <v>G-106</v>
      </c>
      <c r="B238" s="163" t="str">
        <f>IFERROR(__xludf.DUMMYFUNCTION("""COMPUTED_VALUE"""),"Bartolomeo")</f>
        <v>Bartolomeo</v>
      </c>
      <c r="C238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238" s="163" t="str">
        <f>IFERROR(__xludf.DUMMYFUNCTION("""COMPUTED_VALUE"""),"Dressrosa ~ Barto Club ~ Paramecia ~ Captain ~ Straw Hat Fleet")</f>
        <v>Dressrosa ~ Barto Club ~ Paramecia ~ Captain ~ Straw Hat Fleet</v>
      </c>
      <c r="E238" s="164" t="str">
        <f>IFERROR(__xludf.DUMMYFUNCTION("""COMPUTED_VALUE"""),"https://i.postimg.cc/s2d8V3mf/106.png")</f>
        <v>https://i.postimg.cc/s2d8V3mf/106.png</v>
      </c>
      <c r="F238" s="162"/>
      <c r="G238" s="163" t="str">
        <f>IFERROR(__xludf.DUMMYFUNCTION("""COMPUTED_VALUE"""),"E-72")</f>
        <v>E-72</v>
      </c>
      <c r="H238" s="163" t="str">
        <f>IFERROR(__xludf.DUMMYFUNCTION("""COMPUTED_VALUE"""),"Former CP9 Director")</f>
        <v>Former CP9 Director</v>
      </c>
      <c r="I238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J238" s="163" t="str">
        <f>IFERROR(__xludf.DUMMYFUNCTION("""COMPUTED_VALUE"""),"Dressrosa ~ Cipher Pol ~ Intelligence Agent")</f>
        <v>Dressrosa ~ Cipher Pol ~ Intelligence Agent</v>
      </c>
      <c r="K238" s="164" t="str">
        <f>IFERROR(__xludf.DUMMYFUNCTION("""COMPUTED_VALUE"""),"https://i.postimg.cc/63Kcy0yF/072.png")</f>
        <v>https://i.postimg.cc/63Kcy0yF/072.png</v>
      </c>
      <c r="L238" s="162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</row>
    <row r="239">
      <c r="A239" s="163" t="str">
        <f>IFERROR(__xludf.DUMMYFUNCTION("""COMPUTED_VALUE"""),"G-105")</f>
        <v>G-105</v>
      </c>
      <c r="B239" s="163" t="str">
        <f>IFERROR(__xludf.DUMMYFUNCTION("""COMPUTED_VALUE"""),"Jet Rocket")</f>
        <v>Jet Rocket</v>
      </c>
      <c r="C239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D239" s="163" t="str">
        <f>IFERROR(__xludf.DUMMYFUNCTION("""COMPUTED_VALUE"""),"The Paramount War at Marineford ~ Straw Hat Pirates ~ Paramecia ~ Captain ~ Worst Generation ~ Blood Brothers")</f>
        <v>The Paramount War at Marineford ~ Straw Hat Pirates ~ Paramecia ~ Captain ~ Worst Generation ~ Blood Brothers</v>
      </c>
      <c r="E239" s="164" t="str">
        <f>IFERROR(__xludf.DUMMYFUNCTION("""COMPUTED_VALUE"""),"https://i.postimg.cc/ZRJMdjX1/105.png")</f>
        <v>https://i.postimg.cc/ZRJMdjX1/105.png</v>
      </c>
      <c r="F239" s="162"/>
      <c r="G239" s="163" t="str">
        <f>IFERROR(__xludf.DUMMYFUNCTION("""COMPUTED_VALUE"""),"E-71")</f>
        <v>E-71</v>
      </c>
      <c r="H239" s="163" t="str">
        <f>IFERROR(__xludf.DUMMYFUNCTION("""COMPUTED_VALUE"""),"Queen of the Pleasure District")</f>
        <v>Queen of the Pleasure District</v>
      </c>
      <c r="I239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J239" s="163" t="str">
        <f>IFERROR(__xludf.DUMMYFUNCTION("""COMPUTED_VALUE"""),"Zou / Whole Cake Island ~ Cipher Pol ~ Intelligence Agent ~ Six Powers")</f>
        <v>Zou / Whole Cake Island ~ Cipher Pol ~ Intelligence Agent ~ Six Powers</v>
      </c>
      <c r="K239" s="164" t="str">
        <f>IFERROR(__xludf.DUMMYFUNCTION("""COMPUTED_VALUE"""),"https://i.postimg.cc/ydTP9ZRx/071.png")</f>
        <v>https://i.postimg.cc/ydTP9ZRx/071.png</v>
      </c>
      <c r="L239" s="162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</row>
    <row r="240">
      <c r="A240" s="163" t="str">
        <f>IFERROR(__xludf.DUMMYFUNCTION("""COMPUTED_VALUE"""),"G-104")</f>
        <v>G-104</v>
      </c>
      <c r="B240" s="163" t="str">
        <f>IFERROR(__xludf.DUMMYFUNCTION("""COMPUTED_VALUE"""),"Griffon")</f>
        <v>Griffon</v>
      </c>
      <c r="C240" s="163" t="str">
        <f>IFERROR(__xludf.DUMMYFUNCTION("""COMPUTED_VALUE"""),"After KOing an enemy: Reduce the cooldown time of Skill 1 by 8%.")</f>
        <v>After KOing an enemy: Reduce the cooldown time of Skill 1 by 8%.</v>
      </c>
      <c r="D240" s="163" t="str">
        <f>IFERROR(__xludf.DUMMYFUNCTION("""COMPUTED_VALUE"""),"The Paramount War at Marineford ~ Red_Haired Pirates ~ Captain ~ The Four Emperors ~ Roger Pirates / Ex_Roger Pirates")</f>
        <v>The Paramount War at Marineford ~ Red_Haired Pirates ~ Captain ~ The Four Emperors ~ Roger Pirates / Ex_Roger Pirates</v>
      </c>
      <c r="E240" s="164" t="str">
        <f>IFERROR(__xludf.DUMMYFUNCTION("""COMPUTED_VALUE"""),"https://i.postimg.cc/ydnrXcHW/104.png")</f>
        <v>https://i.postimg.cc/ydnrXcHW/104.png</v>
      </c>
      <c r="F240" s="162"/>
      <c r="G240" s="163" t="str">
        <f>IFERROR(__xludf.DUMMYFUNCTION("""COMPUTED_VALUE"""),"E-70")</f>
        <v>E-70</v>
      </c>
      <c r="H240" s="163" t="str">
        <f>IFERROR(__xludf.DUMMYFUNCTION("""COMPUTED_VALUE"""),"Geisha")</f>
        <v>Geisha</v>
      </c>
      <c r="I240" s="163" t="str">
        <f>IFERROR(__xludf.DUMMYFUNCTION("""COMPUTED_VALUE"""),"When in the area around your enemy`s Treasure: Reduce damage recieved by 3%.")</f>
        <v>When in the area around your enemy`s Treasure: Reduce damage recieved by 3%.</v>
      </c>
      <c r="J240" s="163" t="str">
        <f>IFERROR(__xludf.DUMMYFUNCTION("""COMPUTED_VALUE"""),"Land of Wano ~ Straw Hat Pirates ~ Paramecia ~ Archaeologist")</f>
        <v>Land of Wano ~ Straw Hat Pirates ~ Paramecia ~ Archaeologist</v>
      </c>
      <c r="K240" s="164" t="str">
        <f>IFERROR(__xludf.DUMMYFUNCTION("""COMPUTED_VALUE"""),"https://i.postimg.cc/j2g43YZr/070.png")</f>
        <v>https://i.postimg.cc/j2g43YZr/070.png</v>
      </c>
      <c r="L240" s="162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</row>
    <row r="241">
      <c r="A241" s="163" t="str">
        <f>IFERROR(__xludf.DUMMYFUNCTION("""COMPUTED_VALUE"""),"G-103")</f>
        <v>G-103</v>
      </c>
      <c r="B241" s="163" t="str">
        <f>IFERROR(__xludf.DUMMYFUNCTION("""COMPUTED_VALUE"""),"Teech")</f>
        <v>Teech</v>
      </c>
      <c r="C241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241" s="163" t="str">
        <f>IFERROR(__xludf.DUMMYFUNCTION("""COMPUTED_VALUE"""),"The Paramount War at Marineford ~ The Seven Warlords of the Sea / Former Warlords of the Sea ~ Logia ~ Captain ~ Worst Generation ~ Blackbeard Pirates")</f>
        <v>The Paramount War at Marineford ~ The Seven Warlords of the Sea / Former Warlords of the Sea ~ Logia ~ Captain ~ Worst Generation ~ Blackbeard Pirates</v>
      </c>
      <c r="E241" s="164" t="str">
        <f>IFERROR(__xludf.DUMMYFUNCTION("""COMPUTED_VALUE"""),"https://i.postimg.cc/kG4YjGJs/103.png")</f>
        <v>https://i.postimg.cc/kG4YjGJs/103.png</v>
      </c>
      <c r="F241" s="162"/>
      <c r="G241" s="163" t="str">
        <f>IFERROR(__xludf.DUMMYFUNCTION("""COMPUTED_VALUE"""),"E-69")</f>
        <v>E-69</v>
      </c>
      <c r="H241" s="163" t="str">
        <f>IFERROR(__xludf.DUMMYFUNCTION("""COMPUTED_VALUE"""),"Starving Skeleton")</f>
        <v>Starving Skeleton</v>
      </c>
      <c r="I241" s="163" t="str">
        <f>IFERROR(__xludf.DUMMYFUNCTION("""COMPUTED_VALUE"""),"When your HP is 70% or more: Boost capture speed by 8%.")</f>
        <v>When your HP is 70% or more: Boost capture speed by 8%.</v>
      </c>
      <c r="J241" s="163" t="str">
        <f>IFERROR(__xludf.DUMMYFUNCTION("""COMPUTED_VALUE"""),"Land of Wano ~ Straw Hat Pirates ~ Paramecia ~ Musician")</f>
        <v>Land of Wano ~ Straw Hat Pirates ~ Paramecia ~ Musician</v>
      </c>
      <c r="K241" s="164" t="str">
        <f>IFERROR(__xludf.DUMMYFUNCTION("""COMPUTED_VALUE"""),"https://i.postimg.cc/prXBBLQZ/069.png")</f>
        <v>https://i.postimg.cc/prXBBLQZ/069.png</v>
      </c>
      <c r="L241" s="162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</row>
    <row r="242">
      <c r="A242" s="163" t="str">
        <f>IFERROR(__xludf.DUMMYFUNCTION("""COMPUTED_VALUE"""),"G-102")</f>
        <v>G-102</v>
      </c>
      <c r="B242" s="163" t="str">
        <f>IFERROR(__xludf.DUMMYFUNCTION("""COMPUTED_VALUE"""),"Garp")</f>
        <v>Garp</v>
      </c>
      <c r="C242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D242" s="163" t="str">
        <f>IFERROR(__xludf.DUMMYFUNCTION("""COMPUTED_VALUE"""),"The Paramount War at Marineford ~ Navy ~ Vice Admiral")</f>
        <v>The Paramount War at Marineford ~ Navy ~ Vice Admiral</v>
      </c>
      <c r="E242" s="164" t="str">
        <f>IFERROR(__xludf.DUMMYFUNCTION("""COMPUTED_VALUE"""),"https://i.postimg.cc/Gt576R9C/102.png")</f>
        <v>https://i.postimg.cc/Gt576R9C/102.png</v>
      </c>
      <c r="F242" s="162"/>
      <c r="G242" s="163" t="str">
        <f>IFERROR(__xludf.DUMMYFUNCTION("""COMPUTED_VALUE"""),"E-68")</f>
        <v>E-68</v>
      </c>
      <c r="H242" s="163" t="str">
        <f>IFERROR(__xludf.DUMMYFUNCTION("""COMPUTED_VALUE"""),"Conney")</f>
        <v>Conney</v>
      </c>
      <c r="I242" s="163" t="str">
        <f>IFERROR(__xludf.DUMMYFUNCTION("""COMPUTED_VALUE"""),"When your HP is 30% or less: CRIT Boosted by 60% for 20 second(s).")</f>
        <v>When your HP is 30% or less: CRIT Boosted by 60% for 20 second(s).</v>
      </c>
      <c r="J242" s="163" t="str">
        <f>IFERROR(__xludf.DUMMYFUNCTION("""COMPUTED_VALUE"""),"Reverie ~ Bonney Pirates ~ Paramecia ~ Captain ~ Worst Generation")</f>
        <v>Reverie ~ Bonney Pirates ~ Paramecia ~ Captain ~ Worst Generation</v>
      </c>
      <c r="K242" s="164" t="str">
        <f>IFERROR(__xludf.DUMMYFUNCTION("""COMPUTED_VALUE"""),"https://i.postimg.cc/1RJB3DPY/068.png")</f>
        <v>https://i.postimg.cc/1RJB3DPY/068.png</v>
      </c>
      <c r="L242" s="162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</row>
    <row r="243">
      <c r="A243" s="163" t="str">
        <f>IFERROR(__xludf.DUMMYFUNCTION("""COMPUTED_VALUE"""),"G-101")</f>
        <v>G-101</v>
      </c>
      <c r="B243" s="163" t="str">
        <f>IFERROR(__xludf.DUMMYFUNCTION("""COMPUTED_VALUE"""),"Marco")</f>
        <v>Marco</v>
      </c>
      <c r="C243" s="163" t="str">
        <f>IFERROR(__xludf.DUMMYFUNCTION("""COMPUTED_VALUE"""),"When an ally is KO`d (not including you): Reduce the cooldown time of Skill 1 by 8%.")</f>
        <v>When an ally is KO`d (not including you): Reduce the cooldown time of Skill 1 by 8%.</v>
      </c>
      <c r="D243" s="163" t="str">
        <f>IFERROR(__xludf.DUMMYFUNCTION("""COMPUTED_VALUE"""),"The Paramount War at Marineford ~ Whitebeard Pirates ~ Zoan ~ Doctor ~ Whitebeard Pirates Commander")</f>
        <v>The Paramount War at Marineford ~ Whitebeard Pirates ~ Zoan ~ Doctor ~ Whitebeard Pirates Commander</v>
      </c>
      <c r="E243" s="164" t="str">
        <f>IFERROR(__xludf.DUMMYFUNCTION("""COMPUTED_VALUE"""),"https://i.postimg.cc/8P7nM7nP/101.png")</f>
        <v>https://i.postimg.cc/8P7nM7nP/101.png</v>
      </c>
      <c r="F243" s="162"/>
      <c r="G243" s="163" t="str">
        <f>IFERROR(__xludf.DUMMYFUNCTION("""COMPUTED_VALUE"""),"E-67")</f>
        <v>E-67</v>
      </c>
      <c r="H243" s="163" t="str">
        <f>IFERROR(__xludf.DUMMYFUNCTION("""COMPUTED_VALUE"""),"Straw_Straw")</f>
        <v>Straw_Straw</v>
      </c>
      <c r="I243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J243" s="163" t="str">
        <f>IFERROR(__xludf.DUMMYFUNCTION("""COMPUTED_VALUE"""),"Land of Wano ~ Paramecia ~ Captain ~ Worst Generation")</f>
        <v>Land of Wano ~ Paramecia ~ Captain ~ Worst Generation</v>
      </c>
      <c r="K243" s="164" t="str">
        <f>IFERROR(__xludf.DUMMYFUNCTION("""COMPUTED_VALUE"""),"https://i.postimg.cc/m2kwzhgZ/067.png")</f>
        <v>https://i.postimg.cc/m2kwzhgZ/067.png</v>
      </c>
      <c r="L243" s="162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</row>
    <row r="244">
      <c r="A244" s="163" t="str">
        <f>IFERROR(__xludf.DUMMYFUNCTION("""COMPUTED_VALUE"""),"G-100")</f>
        <v>G-100</v>
      </c>
      <c r="B244" s="163" t="str">
        <f>IFERROR(__xludf.DUMMYFUNCTION("""COMPUTED_VALUE"""),"Flame Emperor")</f>
        <v>Flame Emperor</v>
      </c>
      <c r="C244" s="163" t="str">
        <f>IFERROR(__xludf.DUMMYFUNCTION("""COMPUTED_VALUE"""),"When attacked by an enemy: 30% chance to, Nullify Aflame.")</f>
        <v>When attacked by an enemy: 30% chance to, Nullify Aflame.</v>
      </c>
      <c r="D244" s="163" t="str">
        <f>IFERROR(__xludf.DUMMYFUNCTION("""COMPUTED_VALUE"""),"The Paramount War at Marineford ~ Whitebeard Pirates ~ Logia ~ Whitebeard Pirates Commander ~ Blood Brothers")</f>
        <v>The Paramount War at Marineford ~ Whitebeard Pirates ~ Logia ~ Whitebeard Pirates Commander ~ Blood Brothers</v>
      </c>
      <c r="E244" s="164" t="str">
        <f>IFERROR(__xludf.DUMMYFUNCTION("""COMPUTED_VALUE"""),"https://i.postimg.cc/HWZhrwzh/100.png")</f>
        <v>https://i.postimg.cc/HWZhrwzh/100.png</v>
      </c>
      <c r="F244" s="162"/>
      <c r="G244" s="163" t="str">
        <f>IFERROR(__xludf.DUMMYFUNCTION("""COMPUTED_VALUE"""),"E-66")</f>
        <v>E-66</v>
      </c>
      <c r="H244" s="163" t="str">
        <f>IFERROR(__xludf.DUMMYFUNCTION("""COMPUTED_VALUE"""),"Napoleon")</f>
        <v>Napoleon</v>
      </c>
      <c r="I244" s="163" t="str">
        <f>IFERROR(__xludf.DUMMYFUNCTION("""COMPUTED_VALUE"""),"When your team has more Treasure secured: Increase damage dealt by 5%.")</f>
        <v>When your team has more Treasure secured: Increase damage dealt by 5%.</v>
      </c>
      <c r="J244" s="163" t="str">
        <f>IFERROR(__xludf.DUMMYFUNCTION("""COMPUTED_VALUE"""),"Zou / Whole Cake Island ~ Big Mom Pirates ~ Homies")</f>
        <v>Zou / Whole Cake Island ~ Big Mom Pirates ~ Homies</v>
      </c>
      <c r="K244" s="164" t="str">
        <f>IFERROR(__xludf.DUMMYFUNCTION("""COMPUTED_VALUE"""),"https://i.postimg.cc/fTPvxZVc/066.png")</f>
        <v>https://i.postimg.cc/fTPvxZVc/066.png</v>
      </c>
      <c r="L244" s="162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</row>
    <row r="245">
      <c r="A245" s="163" t="str">
        <f>IFERROR(__xludf.DUMMYFUNCTION("""COMPUTED_VALUE"""),"G-99")</f>
        <v>G-99</v>
      </c>
      <c r="B245" s="163" t="str">
        <f>IFERROR(__xludf.DUMMYFUNCTION("""COMPUTED_VALUE"""),"Kaido")</f>
        <v>Kaido</v>
      </c>
      <c r="C245" s="163" t="str">
        <f>IFERROR(__xludf.DUMMYFUNCTION("""COMPUTED_VALUE"""),"When attacked by an enemy: Reduce the cooldown time of Skill 1 by 2%.")</f>
        <v>When attacked by an enemy: Reduce the cooldown time of Skill 1 by 2%.</v>
      </c>
      <c r="D245" s="163" t="str">
        <f>IFERROR(__xludf.DUMMYFUNCTION("""COMPUTED_VALUE"""),"Land of Wano ~ Animal Kingdom Pirates ~ Zoan ~ Captain ~ The Four Emperors ~ Former Rocks Pirates")</f>
        <v>Land of Wano ~ Animal Kingdom Pirates ~ Zoan ~ Captain ~ The Four Emperors ~ Former Rocks Pirates</v>
      </c>
      <c r="E245" s="164" t="str">
        <f>IFERROR(__xludf.DUMMYFUNCTION("""COMPUTED_VALUE"""),"https://i.postimg.cc/vHC2zGp7/099.png")</f>
        <v>https://i.postimg.cc/vHC2zGp7/099.png</v>
      </c>
      <c r="F245" s="162"/>
      <c r="G245" s="163" t="str">
        <f>IFERROR(__xludf.DUMMYFUNCTION("""COMPUTED_VALUE"""),"E-65")</f>
        <v>E-65</v>
      </c>
      <c r="H245" s="163" t="str">
        <f>IFERROR(__xludf.DUMMYFUNCTION("""COMPUTED_VALUE"""),"Prometheus")</f>
        <v>Prometheus</v>
      </c>
      <c r="I245" s="163" t="str">
        <f>IFERROR(__xludf.DUMMYFUNCTION("""COMPUTED_VALUE"""),"When attacked by an enemy: 30% chance to, Nullify Aflame.")</f>
        <v>When attacked by an enemy: 30% chance to, Nullify Aflame.</v>
      </c>
      <c r="J245" s="163" t="str">
        <f>IFERROR(__xludf.DUMMYFUNCTION("""COMPUTED_VALUE"""),"Zou / Whole Cake Island ~ Big Mom Pirates ~ Homies")</f>
        <v>Zou / Whole Cake Island ~ Big Mom Pirates ~ Homies</v>
      </c>
      <c r="K245" s="164" t="str">
        <f>IFERROR(__xludf.DUMMYFUNCTION("""COMPUTED_VALUE"""),"https://i.postimg.cc/VkbWgTt3/065.png")</f>
        <v>https://i.postimg.cc/VkbWgTt3/065.png</v>
      </c>
      <c r="L245" s="162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</row>
    <row r="246">
      <c r="A246" s="163" t="str">
        <f>IFERROR(__xludf.DUMMYFUNCTION("""COMPUTED_VALUE"""),"G-98")</f>
        <v>G-98</v>
      </c>
      <c r="B246" s="163" t="str">
        <f>IFERROR(__xludf.DUMMYFUNCTION("""COMPUTED_VALUE"""),"Cuerpo Fleurs")</f>
        <v>Cuerpo Fleurs</v>
      </c>
      <c r="C246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46" s="163" t="str">
        <f>IFERROR(__xludf.DUMMYFUNCTION("""COMPUTED_VALUE"""),"Holy Night ~ Straw Hat Pirates ~ Paramecia ~ Archaeologist")</f>
        <v>Holy Night ~ Straw Hat Pirates ~ Paramecia ~ Archaeologist</v>
      </c>
      <c r="E246" s="164" t="str">
        <f>IFERROR(__xludf.DUMMYFUNCTION("""COMPUTED_VALUE"""),"https://i.postimg.cc/3xpSfPTs/098.png")</f>
        <v>https://i.postimg.cc/3xpSfPTs/098.png</v>
      </c>
      <c r="F246" s="162"/>
      <c r="G246" s="163" t="str">
        <f>IFERROR(__xludf.DUMMYFUNCTION("""COMPUTED_VALUE"""),"E-64")</f>
        <v>E-64</v>
      </c>
      <c r="H246" s="163" t="str">
        <f>IFERROR(__xludf.DUMMYFUNCTION("""COMPUTED_VALUE"""),"Zeus")</f>
        <v>Zeus</v>
      </c>
      <c r="I246" s="163" t="str">
        <f>IFERROR(__xludf.DUMMYFUNCTION("""COMPUTED_VALUE"""),"When attacked by an enemy: 30% chance to, Nullify Shock.")</f>
        <v>When attacked by an enemy: 30% chance to, Nullify Shock.</v>
      </c>
      <c r="J246" s="163" t="str">
        <f>IFERROR(__xludf.DUMMYFUNCTION("""COMPUTED_VALUE"""),"Zou / Whole Cake Island ~ Big Mom Pirates ~ Homies")</f>
        <v>Zou / Whole Cake Island ~ Big Mom Pirates ~ Homies</v>
      </c>
      <c r="K246" s="164" t="str">
        <f>IFERROR(__xludf.DUMMYFUNCTION("""COMPUTED_VALUE"""),"https://i.postimg.cc/DzkdMgdm/064.png")</f>
        <v>https://i.postimg.cc/DzkdMgdm/064.png</v>
      </c>
      <c r="L246" s="162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</row>
    <row r="247">
      <c r="A247" s="163" t="str">
        <f>IFERROR(__xludf.DUMMYFUNCTION("""COMPUTED_VALUE"""),"G-97")</f>
        <v>G-97</v>
      </c>
      <c r="B247" s="163" t="str">
        <f>IFERROR(__xludf.DUMMYFUNCTION("""COMPUTED_VALUE"""),"Nipple Iight")</f>
        <v>Nipple Iight</v>
      </c>
      <c r="C247" s="163" t="str">
        <f>IFERROR(__xludf.DUMMYFUNCTION("""COMPUTED_VALUE"""),"When using Skill 2: Reduce the cooldown time of Skill 1 by 3%.")</f>
        <v>When using Skill 2: Reduce the cooldown time of Skill 1 by 3%.</v>
      </c>
      <c r="D247" s="163" t="str">
        <f>IFERROR(__xludf.DUMMYFUNCTION("""COMPUTED_VALUE"""),"Holy Night ~ Straw Hat Pirates ~ Ship Carpenter")</f>
        <v>Holy Night ~ Straw Hat Pirates ~ Ship Carpenter</v>
      </c>
      <c r="E247" s="164" t="str">
        <f>IFERROR(__xludf.DUMMYFUNCTION("""COMPUTED_VALUE"""),"https://i.postimg.cc/6QXHkY6y/097.png")</f>
        <v>https://i.postimg.cc/6QXHkY6y/097.png</v>
      </c>
      <c r="F247" s="162"/>
      <c r="G247" s="163" t="str">
        <f>IFERROR(__xludf.DUMMYFUNCTION("""COMPUTED_VALUE"""),"E-63")</f>
        <v>E-63</v>
      </c>
      <c r="H247" s="163" t="str">
        <f>IFERROR(__xludf.DUMMYFUNCTION("""COMPUTED_VALUE"""),"Clank_Clank")</f>
        <v>Clank_Clank</v>
      </c>
      <c r="I247" s="163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J247" s="163" t="str">
        <f>IFERROR(__xludf.DUMMYFUNCTION("""COMPUTED_VALUE"""),"STAMPEDE ~ Paramecia ~ Roger Pirates / Ex_Roger Pirates")</f>
        <v>STAMPEDE ~ Paramecia ~ Roger Pirates / Ex_Roger Pirates</v>
      </c>
      <c r="K247" s="164" t="str">
        <f>IFERROR(__xludf.DUMMYFUNCTION("""COMPUTED_VALUE"""),"https://i.postimg.cc/XvfcSCQL/063.png")</f>
        <v>https://i.postimg.cc/XvfcSCQL/063.png</v>
      </c>
      <c r="L247" s="162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</row>
    <row r="248">
      <c r="A248" s="163" t="str">
        <f>IFERROR(__xludf.DUMMYFUNCTION("""COMPUTED_VALUE"""),"G-96")</f>
        <v>G-96</v>
      </c>
      <c r="B248" s="163" t="str">
        <f>IFERROR(__xludf.DUMMYFUNCTION("""COMPUTED_VALUE"""),"Snow Creature")</f>
        <v>Snow Creature</v>
      </c>
      <c r="C248" s="163" t="str">
        <f>IFERROR(__xludf.DUMMYFUNCTION("""COMPUTED_VALUE"""),"When attacking an enemy in the area around your enemy`s Treasure: Increase damage dealt by 5%.")</f>
        <v>When attacking an enemy in the area around your enemy`s Treasure: Increase damage dealt by 5%.</v>
      </c>
      <c r="D248" s="163" t="str">
        <f>IFERROR(__xludf.DUMMYFUNCTION("""COMPUTED_VALUE"""),"Holy Night ~ Straw Hat Pirates ~ Zoan ~ Doctor")</f>
        <v>Holy Night ~ Straw Hat Pirates ~ Zoan ~ Doctor</v>
      </c>
      <c r="E248" s="164" t="str">
        <f>IFERROR(__xludf.DUMMYFUNCTION("""COMPUTED_VALUE"""),"https://i.postimg.cc/257Hrh3T/096.png")</f>
        <v>https://i.postimg.cc/257Hrh3T/096.png</v>
      </c>
      <c r="F248" s="162"/>
      <c r="G248" s="163" t="str">
        <f>IFERROR(__xludf.DUMMYFUNCTION("""COMPUTED_VALUE"""),"E-62")</f>
        <v>E-62</v>
      </c>
      <c r="H248" s="163" t="str">
        <f>IFERROR(__xludf.DUMMYFUNCTION("""COMPUTED_VALUE"""),"Law (STAMPEDE)")</f>
        <v>Law (STAMPEDE)</v>
      </c>
      <c r="I248" s="163" t="str">
        <f>IFERROR(__xludf.DUMMYFUNCTION("""COMPUTED_VALUE"""),"When inflicted with Tremor by enemies: Reduce the cooldown time of Skill 2 by 6%.")</f>
        <v>When inflicted with Tremor by enemies: Reduce the cooldown time of Skill 2 by 6%.</v>
      </c>
      <c r="J248" s="163" t="str">
        <f>IFERROR(__xludf.DUMMYFUNCTION("""COMPUTED_VALUE"""),"STAMPEDE ~ Paramecia ~ Captain ~ Worst Generation ~ Heart Pirates")</f>
        <v>STAMPEDE ~ Paramecia ~ Captain ~ Worst Generation ~ Heart Pirates</v>
      </c>
      <c r="K248" s="164" t="str">
        <f>IFERROR(__xludf.DUMMYFUNCTION("""COMPUTED_VALUE"""),"https://i.postimg.cc/FRhb9H64/062.png")</f>
        <v>https://i.postimg.cc/FRhb9H64/062.png</v>
      </c>
      <c r="L248" s="162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</row>
    <row r="249">
      <c r="A249" s="163" t="str">
        <f>IFERROR(__xludf.DUMMYFUNCTION("""COMPUTED_VALUE"""),"G-95")</f>
        <v>G-95</v>
      </c>
      <c r="B249" s="163" t="str">
        <f>IFERROR(__xludf.DUMMYFUNCTION("""COMPUTED_VALUE"""),"Kuma")</f>
        <v>Kuma</v>
      </c>
      <c r="C249" s="163" t="str">
        <f>IFERROR(__xludf.DUMMYFUNCTION("""COMPUTED_VALUE"""),"When you Knockback an enemy: Recover HP by 3%.")</f>
        <v>When you Knockback an enemy: Recover HP by 3%.</v>
      </c>
      <c r="D249" s="163" t="str">
        <f>IFERROR(__xludf.DUMMYFUNCTION("""COMPUTED_VALUE"""),"Thriller Bark ~ The Seven Warlords of the Sea / Former Warlords of the Sea ~ Revolutionary Army ~ Paramecia ~ Royalty / Former Royalty")</f>
        <v>Thriller Bark ~ The Seven Warlords of the Sea / Former Warlords of the Sea ~ Revolutionary Army ~ Paramecia ~ Royalty / Former Royalty</v>
      </c>
      <c r="E249" s="164" t="str">
        <f>IFERROR(__xludf.DUMMYFUNCTION("""COMPUTED_VALUE"""),"https://i.postimg.cc/DZCBbhrX/095.png")</f>
        <v>https://i.postimg.cc/DZCBbhrX/095.png</v>
      </c>
      <c r="F249" s="162"/>
      <c r="G249" s="163" t="str">
        <f>IFERROR(__xludf.DUMMYFUNCTION("""COMPUTED_VALUE"""),"E-61")</f>
        <v>E-61</v>
      </c>
      <c r="H249" s="163" t="str">
        <f>IFERROR(__xludf.DUMMYFUNCTION("""COMPUTED_VALUE"""),"Usopp (STAMPEDE)")</f>
        <v>Usopp (STAMPEDE)</v>
      </c>
      <c r="I249" s="163" t="str">
        <f>IFERROR(__xludf.DUMMYFUNCTION("""COMPUTED_VALUE"""),"When there are 60 seconds or less remaining: Boost capture speed by 8%.")</f>
        <v>When there are 60 seconds or less remaining: Boost capture speed by 8%.</v>
      </c>
      <c r="J249" s="163" t="str">
        <f>IFERROR(__xludf.DUMMYFUNCTION("""COMPUTED_VALUE"""),"STAMPEDE ~ Straw Hat Pirates ~ Sharp Shooter")</f>
        <v>STAMPEDE ~ Straw Hat Pirates ~ Sharp Shooter</v>
      </c>
      <c r="K249" s="164" t="str">
        <f>IFERROR(__xludf.DUMMYFUNCTION("""COMPUTED_VALUE"""),"https://i.postimg.cc/d1n2DKMT/061.png")</f>
        <v>https://i.postimg.cc/d1n2DKMT/061.png</v>
      </c>
      <c r="L249" s="162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</row>
    <row r="250">
      <c r="A250" s="163" t="str">
        <f>IFERROR(__xludf.DUMMYFUNCTION("""COMPUTED_VALUE"""),"G-94")</f>
        <v>G-94</v>
      </c>
      <c r="B250" s="163" t="str">
        <f>IFERROR(__xludf.DUMMYFUNCTION("""COMPUTED_VALUE"""),"Reiju")</f>
        <v>Reiju</v>
      </c>
      <c r="C250" s="163" t="str">
        <f>IFERROR(__xludf.DUMMYFUNCTION("""COMPUTED_VALUE"""),"When your HP is 70% or more: Boost capture speed by 8%.")</f>
        <v>When your HP is 70% or more: Boost capture speed by 8%.</v>
      </c>
      <c r="D250" s="163" t="str">
        <f>IFERROR(__xludf.DUMMYFUNCTION("""COMPUTED_VALUE"""),"Zou / Whole Cake Island ~ Royalty / Former Royalty ~ Germa 66")</f>
        <v>Zou / Whole Cake Island ~ Royalty / Former Royalty ~ Germa 66</v>
      </c>
      <c r="E250" s="164" t="str">
        <f>IFERROR(__xludf.DUMMYFUNCTION("""COMPUTED_VALUE"""),"https://i.postimg.cc/qB51JkMf/094.png")</f>
        <v>https://i.postimg.cc/qB51JkMf/094.png</v>
      </c>
      <c r="F250" s="162"/>
      <c r="G250" s="163" t="str">
        <f>IFERROR(__xludf.DUMMYFUNCTION("""COMPUTED_VALUE"""),"E-60")</f>
        <v>E-60</v>
      </c>
      <c r="H250" s="163" t="str">
        <f>IFERROR(__xludf.DUMMYFUNCTION("""COMPUTED_VALUE"""),"Bubble_Bubble")</f>
        <v>Bubble_Bubble</v>
      </c>
      <c r="I250" s="163" t="str">
        <f>IFERROR(__xludf.DUMMYFUNCTION("""COMPUTED_VALUE"""),"When in the area around your enemy`s Treasure: Increase damage dealt by 3%.")</f>
        <v>When in the area around your enemy`s Treasure: Increase damage dealt by 3%.</v>
      </c>
      <c r="J250" s="163" t="str">
        <f>IFERROR(__xludf.DUMMYFUNCTION("""COMPUTED_VALUE"""),"Water 7 / Enies Lobby ~ Cipher Pol ~ Paramecia ~ Intelligence Agent ~ Six Powers")</f>
        <v>Water 7 / Enies Lobby ~ Cipher Pol ~ Paramecia ~ Intelligence Agent ~ Six Powers</v>
      </c>
      <c r="K250" s="164" t="str">
        <f>IFERROR(__xludf.DUMMYFUNCTION("""COMPUTED_VALUE"""),"https://i.postimg.cc/ZnRrdDZs/060.png")</f>
        <v>https://i.postimg.cc/ZnRrdDZs/060.png</v>
      </c>
      <c r="L250" s="162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</row>
    <row r="251">
      <c r="A251" s="163" t="str">
        <f>IFERROR(__xludf.DUMMYFUNCTION("""COMPUTED_VALUE"""),"G-93")</f>
        <v>G-93</v>
      </c>
      <c r="B251" s="163" t="str">
        <f>IFERROR(__xludf.DUMMYFUNCTION("""COMPUTED_VALUE"""),"Bege")</f>
        <v>Bege</v>
      </c>
      <c r="C251" s="163" t="str">
        <f>IFERROR(__xludf.DUMMYFUNCTION("""COMPUTED_VALUE"""),"When your HP is 70% or more: Boost the cooldown reduction speed of Skill 2 by 10%.")</f>
        <v>When your HP is 70% or more: Boost the cooldown reduction speed of Skill 2 by 10%.</v>
      </c>
      <c r="D251" s="163" t="str">
        <f>IFERROR(__xludf.DUMMYFUNCTION("""COMPUTED_VALUE"""),"Zou / Whole Cake Island ~ Firetank Pirates ~ Paramecia ~ Captain ~ Worst Generation")</f>
        <v>Zou / Whole Cake Island ~ Firetank Pirates ~ Paramecia ~ Captain ~ Worst Generation</v>
      </c>
      <c r="E251" s="164" t="str">
        <f>IFERROR(__xludf.DUMMYFUNCTION("""COMPUTED_VALUE"""),"https://i.postimg.cc/x8h5tPFj/093.png")</f>
        <v>https://i.postimg.cc/x8h5tPFj/093.png</v>
      </c>
      <c r="F251" s="162"/>
      <c r="G251" s="163" t="str">
        <f>IFERROR(__xludf.DUMMYFUNCTION("""COMPUTED_VALUE"""),"E-59")</f>
        <v>E-59</v>
      </c>
      <c r="H251" s="163" t="str">
        <f>IFERROR(__xludf.DUMMYFUNCTION("""COMPUTED_VALUE"""),"Wolf")</f>
        <v>Wolf</v>
      </c>
      <c r="I251" s="163" t="str">
        <f>IFERROR(__xludf.DUMMYFUNCTION("""COMPUTED_VALUE"""),"When Critical occurs: Recover HP by 3%.")</f>
        <v>When Critical occurs: Recover HP by 3%.</v>
      </c>
      <c r="J251" s="163" t="str">
        <f>IFERROR(__xludf.DUMMYFUNCTION("""COMPUTED_VALUE"""),"Water 7 / Enies Lobby ~ Cipher Pol ~ Zoan ~ Intelligence Agent ~ Six Powers")</f>
        <v>Water 7 / Enies Lobby ~ Cipher Pol ~ Zoan ~ Intelligence Agent ~ Six Powers</v>
      </c>
      <c r="K251" s="164" t="str">
        <f>IFERROR(__xludf.DUMMYFUNCTION("""COMPUTED_VALUE"""),"https://i.postimg.cc/FzB0ggHr/059.png")</f>
        <v>https://i.postimg.cc/FzB0ggHr/059.png</v>
      </c>
      <c r="L251" s="162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</row>
    <row r="252">
      <c r="A252" s="163" t="str">
        <f>IFERROR(__xludf.DUMMYFUNCTION("""COMPUTED_VALUE"""),"G-92")</f>
        <v>G-92</v>
      </c>
      <c r="B252" s="163" t="str">
        <f>IFERROR(__xludf.DUMMYFUNCTION("""COMPUTED_VALUE"""),"Boeuf Jarret Jarrer")</f>
        <v>Boeuf Jarret Jarrer</v>
      </c>
      <c r="C252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D252" s="163" t="str">
        <f>IFERROR(__xludf.DUMMYFUNCTION("""COMPUTED_VALUE"""),"Zou / Whole Cake Island ~ Straw Hat Pirates ~ Cook ~ Royalty / Former Royalty")</f>
        <v>Zou / Whole Cake Island ~ Straw Hat Pirates ~ Cook ~ Royalty / Former Royalty</v>
      </c>
      <c r="E252" s="164" t="str">
        <f>IFERROR(__xludf.DUMMYFUNCTION("""COMPUTED_VALUE"""),"https://i.postimg.cc/JzwKXPkP/092.png")</f>
        <v>https://i.postimg.cc/JzwKXPkP/092.png</v>
      </c>
      <c r="F252" s="162"/>
      <c r="G252" s="163" t="str">
        <f>IFERROR(__xludf.DUMMYFUNCTION("""COMPUTED_VALUE"""),"E-58")</f>
        <v>E-58</v>
      </c>
      <c r="H252" s="163" t="str">
        <f>IFERROR(__xludf.DUMMYFUNCTION("""COMPUTED_VALUE"""),"Happosui Army")</f>
        <v>Happosui Army</v>
      </c>
      <c r="I252" s="163" t="str">
        <f>IFERROR(__xludf.DUMMYFUNCTION("""COMPUTED_VALUE"""),"When your team has less Treasure secured: Boost the cooldown reduction speed of Skill 2 by 10%.")</f>
        <v>When your team has less Treasure secured: Boost the cooldown reduction speed of Skill 2 by 10%.</v>
      </c>
      <c r="J252" s="163" t="str">
        <f>IFERROR(__xludf.DUMMYFUNCTION("""COMPUTED_VALUE"""),"Dressrosa ~ Captain ~ Straw Hat Fleet")</f>
        <v>Dressrosa ~ Captain ~ Straw Hat Fleet</v>
      </c>
      <c r="K252" s="164" t="str">
        <f>IFERROR(__xludf.DUMMYFUNCTION("""COMPUTED_VALUE"""),"https://i.postimg.cc/Kcq72Fr6/058.png")</f>
        <v>https://i.postimg.cc/Kcq72Fr6/058.png</v>
      </c>
      <c r="L252" s="162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</row>
    <row r="253">
      <c r="A253" s="163" t="str">
        <f>IFERROR(__xludf.DUMMYFUNCTION("""COMPUTED_VALUE"""),"G-91")</f>
        <v>G-91</v>
      </c>
      <c r="B253" s="163" t="str">
        <f>IFERROR(__xludf.DUMMYFUNCTION("""COMPUTED_VALUE"""),"Jinbe")</f>
        <v>Jinbe</v>
      </c>
      <c r="C253" s="163" t="str">
        <f>IFERROR(__xludf.DUMMYFUNCTION("""COMPUTED_VALUE"""),"When your team has less Treasure secured: Increase damage dealt by 5%.")</f>
        <v>When your team has less Treasure secured: Increase damage dealt by 5%.</v>
      </c>
      <c r="D253" s="163" t="str">
        <f>IFERROR(__xludf.DUMMYFUNCTION("""COMPUTED_VALUE"""),"The Paramount War at Marineford ~ The Seven Warlords of the Sea / Former Warlords of the Sea ~ Captain ~ Fish_Man ~ Fish_Man Karate ~ Sun Pirates")</f>
        <v>The Paramount War at Marineford ~ The Seven Warlords of the Sea / Former Warlords of the Sea ~ Captain ~ Fish_Man ~ Fish_Man Karate ~ Sun Pirates</v>
      </c>
      <c r="E253" s="164" t="str">
        <f>IFERROR(__xludf.DUMMYFUNCTION("""COMPUTED_VALUE"""),"https://i.postimg.cc/8Pftsqj7/091.png")</f>
        <v>https://i.postimg.cc/8Pftsqj7/091.png</v>
      </c>
      <c r="F253" s="162"/>
      <c r="G253" s="163" t="str">
        <f>IFERROR(__xludf.DUMMYFUNCTION("""COMPUTED_VALUE"""),"E-57")</f>
        <v>E-57</v>
      </c>
      <c r="H253" s="163" t="str">
        <f>IFERROR(__xludf.DUMMYFUNCTION("""COMPUTED_VALUE"""),"Warrior")</f>
        <v>Warrior</v>
      </c>
      <c r="I253" s="163" t="str">
        <f>IFERROR(__xludf.DUMMYFUNCTION("""COMPUTED_VALUE"""),"When your HP is 30% or less: Boost the cooldown reduction speed of Skill 1 by 13%.")</f>
        <v>When your HP is 30% or less: Boost the cooldown reduction speed of Skill 1 by 13%.</v>
      </c>
      <c r="J253" s="163" t="str">
        <f>IFERROR(__xludf.DUMMYFUNCTION("""COMPUTED_VALUE"""),"Dressrosa ~ Paramecia ~ Captain ~ Straw Hat Fleet")</f>
        <v>Dressrosa ~ Paramecia ~ Captain ~ Straw Hat Fleet</v>
      </c>
      <c r="K253" s="164" t="str">
        <f>IFERROR(__xludf.DUMMYFUNCTION("""COMPUTED_VALUE"""),"https://i.postimg.cc/TYKV2Stp/057.png")</f>
        <v>https://i.postimg.cc/TYKV2Stp/057.png</v>
      </c>
      <c r="L253" s="162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</row>
    <row r="254">
      <c r="A254" s="163" t="str">
        <f>IFERROR(__xludf.DUMMYFUNCTION("""COMPUTED_VALUE"""),"G-90")</f>
        <v>G-90</v>
      </c>
      <c r="B254" s="163" t="str">
        <f>IFERROR(__xludf.DUMMYFUNCTION("""COMPUTED_VALUE"""),"Bride")</f>
        <v>Bride</v>
      </c>
      <c r="C254" s="163" t="str">
        <f>IFERROR(__xludf.DUMMYFUNCTION("""COMPUTED_VALUE"""),"When attacking an enemy: 1% chance to, Inflict Shock for 5 second(s).")</f>
        <v>When attacking an enemy: 1% chance to, Inflict Shock for 5 second(s).</v>
      </c>
      <c r="D254" s="163" t="str">
        <f>IFERROR(__xludf.DUMMYFUNCTION("""COMPUTED_VALUE"""),"Thriller Bark ~ Straw Hat Pirates ~ Navigator")</f>
        <v>Thriller Bark ~ Straw Hat Pirates ~ Navigator</v>
      </c>
      <c r="E254" s="164" t="str">
        <f>IFERROR(__xludf.DUMMYFUNCTION("""COMPUTED_VALUE"""),"https://i.postimg.cc/sgpm47Py/090.png")</f>
        <v>https://i.postimg.cc/sgpm47Py/090.png</v>
      </c>
      <c r="F254" s="162"/>
      <c r="G254" s="163" t="str">
        <f>IFERROR(__xludf.DUMMYFUNCTION("""COMPUTED_VALUE"""),"E-56")</f>
        <v>E-56</v>
      </c>
      <c r="H254" s="163" t="str">
        <f>IFERROR(__xludf.DUMMYFUNCTION("""COMPUTED_VALUE"""),"Champion")</f>
        <v>Champion</v>
      </c>
      <c r="I254" s="163" t="str">
        <f>IFERROR(__xludf.DUMMYFUNCTION("""COMPUTED_VALUE"""),"When there are 60 seconds or less remaining: Reduce damage recieved by 5%.")</f>
        <v>When there are 60 seconds or less remaining: Reduce damage recieved by 5%.</v>
      </c>
      <c r="J254" s="163" t="str">
        <f>IFERROR(__xludf.DUMMYFUNCTION("""COMPUTED_VALUE"""),"The Paramount War at Marineford ~ Blackbeard Pirates")</f>
        <v>The Paramount War at Marineford ~ Blackbeard Pirates</v>
      </c>
      <c r="K254" s="164" t="str">
        <f>IFERROR(__xludf.DUMMYFUNCTION("""COMPUTED_VALUE"""),"https://i.postimg.cc/bN4QZT5L/056.png")</f>
        <v>https://i.postimg.cc/bN4QZT5L/056.png</v>
      </c>
      <c r="L254" s="162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</row>
    <row r="255">
      <c r="A255" s="163" t="str">
        <f>IFERROR(__xludf.DUMMYFUNCTION("""COMPUTED_VALUE"""),"G-89")</f>
        <v>G-89</v>
      </c>
      <c r="B255" s="163" t="str">
        <f>IFERROR(__xludf.DUMMYFUNCTION("""COMPUTED_VALUE"""),"Perona")</f>
        <v>Perona</v>
      </c>
      <c r="C255" s="163" t="str">
        <f>IFERROR(__xludf.DUMMYFUNCTION("""COMPUTED_VALUE"""),"When your HP is 70% or more: Boost capture speed by 8%.")</f>
        <v>When your HP is 70% or more: Boost capture speed by 8%.</v>
      </c>
      <c r="D255" s="163" t="str">
        <f>IFERROR(__xludf.DUMMYFUNCTION("""COMPUTED_VALUE"""),"Thriller Bark ~ Paramecia ~ Thriller Bark Pirates")</f>
        <v>Thriller Bark ~ Paramecia ~ Thriller Bark Pirates</v>
      </c>
      <c r="E255" s="164" t="str">
        <f>IFERROR(__xludf.DUMMYFUNCTION("""COMPUTED_VALUE"""),"https://i.postimg.cc/JhMq60KX/089.png")</f>
        <v>https://i.postimg.cc/JhMq60KX/089.png</v>
      </c>
      <c r="F255" s="162"/>
      <c r="G255" s="163" t="str">
        <f>IFERROR(__xludf.DUMMYFUNCTION("""COMPUTED_VALUE"""),"E-55")</f>
        <v>E-55</v>
      </c>
      <c r="H255" s="163" t="str">
        <f>IFERROR(__xludf.DUMMYFUNCTION("""COMPUTED_VALUE"""),"Rain")</f>
        <v>Rain</v>
      </c>
      <c r="I255" s="163" t="str">
        <f>IFERROR(__xludf.DUMMYFUNCTION("""COMPUTED_VALUE"""),"When Critical occurs: Reduce the cooldown time of Skill 1 by 5%.")</f>
        <v>When Critical occurs: Reduce the cooldown time of Skill 1 by 5%.</v>
      </c>
      <c r="J255" s="163" t="str">
        <f>IFERROR(__xludf.DUMMYFUNCTION("""COMPUTED_VALUE"""),"The Paramount War at Marineford ~ Blackbeard Pirates")</f>
        <v>The Paramount War at Marineford ~ Blackbeard Pirates</v>
      </c>
      <c r="K255" s="164" t="str">
        <f>IFERROR(__xludf.DUMMYFUNCTION("""COMPUTED_VALUE"""),"https://i.postimg.cc/GmYvGDwR/055.png")</f>
        <v>https://i.postimg.cc/GmYvGDwR/055.png</v>
      </c>
      <c r="L255" s="162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</row>
    <row r="256">
      <c r="A256" s="163" t="str">
        <f>IFERROR(__xludf.DUMMYFUNCTION("""COMPUTED_VALUE"""),"G-88")</f>
        <v>G-88</v>
      </c>
      <c r="B256" s="163" t="str">
        <f>IFERROR(__xludf.DUMMYFUNCTION("""COMPUTED_VALUE"""),"Ryuma")</f>
        <v>Ryuma</v>
      </c>
      <c r="C256" s="163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D256" s="163" t="str">
        <f>IFERROR(__xludf.DUMMYFUNCTION("""COMPUTED_VALUE"""),"Thriller Bark ~ Zombie ~ Thriller Bark Pirates")</f>
        <v>Thriller Bark ~ Zombie ~ Thriller Bark Pirates</v>
      </c>
      <c r="E256" s="164" t="str">
        <f>IFERROR(__xludf.DUMMYFUNCTION("""COMPUTED_VALUE"""),"https://i.postimg.cc/8C4bqGn0/088.png")</f>
        <v>https://i.postimg.cc/8C4bqGn0/088.png</v>
      </c>
      <c r="F256" s="162"/>
      <c r="G256" s="163" t="str">
        <f>IFERROR(__xludf.DUMMYFUNCTION("""COMPUTED_VALUE"""),"E-54")</f>
        <v>E-54</v>
      </c>
      <c r="H256" s="163" t="str">
        <f>IFERROR(__xludf.DUMMYFUNCTION("""COMPUTED_VALUE"""),"Pursuer")</f>
        <v>Pursuer</v>
      </c>
      <c r="I256" s="163" t="str">
        <f>IFERROR(__xludf.DUMMYFUNCTION("""COMPUTED_VALUE"""),"When inflicted with Aflame by enemies: Reduce the cooldown time of Skill 1 by 6%.")</f>
        <v>When inflicted with Aflame by enemies: Reduce the cooldown time of Skill 1 by 6%.</v>
      </c>
      <c r="J256" s="163" t="str">
        <f>IFERROR(__xludf.DUMMYFUNCTION("""COMPUTED_VALUE"""),"The Paramount War at Marineford ~ Red_Haired Pirates ~ Sharp Shooter")</f>
        <v>The Paramount War at Marineford ~ Red_Haired Pirates ~ Sharp Shooter</v>
      </c>
      <c r="K256" s="164" t="str">
        <f>IFERROR(__xludf.DUMMYFUNCTION("""COMPUTED_VALUE"""),"https://i.postimg.cc/7Lk0VLw2/054.png")</f>
        <v>https://i.postimg.cc/7Lk0VLw2/054.png</v>
      </c>
      <c r="L256" s="162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</row>
    <row r="257">
      <c r="A257" s="163" t="str">
        <f>IFERROR(__xludf.DUMMYFUNCTION("""COMPUTED_VALUE"""),"G-87")</f>
        <v>G-87</v>
      </c>
      <c r="B257" s="163" t="str">
        <f>IFERROR(__xludf.DUMMYFUNCTION("""COMPUTED_VALUE"""),"Nightmare")</f>
        <v>Nightmare</v>
      </c>
      <c r="C257" s="163" t="str">
        <f>IFERROR(__xludf.DUMMYFUNCTION("""COMPUTED_VALUE"""),"When in the area around your captured Treasure: Increase damage dealt by 5%.")</f>
        <v>When in the area around your captured Treasure: Increase damage dealt by 5%.</v>
      </c>
      <c r="D257" s="163" t="str">
        <f>IFERROR(__xludf.DUMMYFUNCTION("""COMPUTED_VALUE"""),"Thriller Bark ~ Straw Hat Pirates ~ Paramecia ~ Captain ~ Blood Brothers")</f>
        <v>Thriller Bark ~ Straw Hat Pirates ~ Paramecia ~ Captain ~ Blood Brothers</v>
      </c>
      <c r="E257" s="164" t="str">
        <f>IFERROR(__xludf.DUMMYFUNCTION("""COMPUTED_VALUE"""),"https://i.postimg.cc/HxLtmNqs/087.png")</f>
        <v>https://i.postimg.cc/HxLtmNqs/087.png</v>
      </c>
      <c r="F257" s="162"/>
      <c r="G257" s="163" t="str">
        <f>IFERROR(__xludf.DUMMYFUNCTION("""COMPUTED_VALUE"""),"E-53")</f>
        <v>E-53</v>
      </c>
      <c r="H257" s="163" t="str">
        <f>IFERROR(__xludf.DUMMYFUNCTION("""COMPUTED_VALUE"""),"Beckman")</f>
        <v>Beckman</v>
      </c>
      <c r="I257" s="163" t="str">
        <f>IFERROR(__xludf.DUMMYFUNCTION("""COMPUTED_VALUE"""),"When inflicted with Freeze by enemies: Recover HP by 5%.")</f>
        <v>When inflicted with Freeze by enemies: Recover HP by 5%.</v>
      </c>
      <c r="J257" s="163" t="str">
        <f>IFERROR(__xludf.DUMMYFUNCTION("""COMPUTED_VALUE"""),"The Paramount War at Marineford ~ Red_Haired Pirates")</f>
        <v>The Paramount War at Marineford ~ Red_Haired Pirates</v>
      </c>
      <c r="K257" s="164" t="str">
        <f>IFERROR(__xludf.DUMMYFUNCTION("""COMPUTED_VALUE"""),"https://i.postimg.cc/cJBY5NL5/053.png")</f>
        <v>https://i.postimg.cc/cJBY5NL5/053.png</v>
      </c>
      <c r="L257" s="162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</row>
    <row r="258">
      <c r="A258" s="163" t="str">
        <f>IFERROR(__xludf.DUMMYFUNCTION("""COMPUTED_VALUE"""),"G-86")</f>
        <v>G-86</v>
      </c>
      <c r="B258" s="163" t="str">
        <f>IFERROR(__xludf.DUMMYFUNCTION("""COMPUTED_VALUE"""),"Katakuri")</f>
        <v>Katakuri</v>
      </c>
      <c r="C258" s="163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D258" s="163" t="str">
        <f>IFERROR(__xludf.DUMMYFUNCTION("""COMPUTED_VALUE"""),"Zou / Whole Cake Island ~ Big Mom Pirates ~ Paramecia ~ Royalty / Former Royalty ~ ``Sweet 3`` General ~ Charlotte Family")</f>
        <v>Zou / Whole Cake Island ~ Big Mom Pirates ~ Paramecia ~ Royalty / Former Royalty ~ ``Sweet 3`` General ~ Charlotte Family</v>
      </c>
      <c r="E258" s="164" t="str">
        <f>IFERROR(__xludf.DUMMYFUNCTION("""COMPUTED_VALUE"""),"https://i.postimg.cc/prhYhFVw/086.png")</f>
        <v>https://i.postimg.cc/prhYhFVw/086.png</v>
      </c>
      <c r="F258" s="162"/>
      <c r="G258" s="163" t="str">
        <f>IFERROR(__xludf.DUMMYFUNCTION("""COMPUTED_VALUE"""),"E-52")</f>
        <v>E-52</v>
      </c>
      <c r="H258" s="163" t="str">
        <f>IFERROR(__xludf.DUMMYFUNCTION("""COMPUTED_VALUE"""),"Drought")</f>
        <v>Drought</v>
      </c>
      <c r="I258" s="163" t="str">
        <f>IFERROR(__xludf.DUMMYFUNCTION("""COMPUTED_VALUE"""),"When in the area around your captured Treasure: Increase damage dealt by 3%.")</f>
        <v>When in the area around your captured Treasure: Increase damage dealt by 3%.</v>
      </c>
      <c r="J258" s="163" t="str">
        <f>IFERROR(__xludf.DUMMYFUNCTION("""COMPUTED_VALUE"""),"Land of Wano ~ Animal Kingdom Pirates ~ Zoan ~ Fish_Man ~ Lead Performer")</f>
        <v>Land of Wano ~ Animal Kingdom Pirates ~ Zoan ~ Fish_Man ~ Lead Performer</v>
      </c>
      <c r="K258" s="164" t="str">
        <f>IFERROR(__xludf.DUMMYFUNCTION("""COMPUTED_VALUE"""),"https://i.postimg.cc/G23DWSB3/052.png")</f>
        <v>https://i.postimg.cc/G23DWSB3/052.png</v>
      </c>
      <c r="L258" s="162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</row>
    <row r="259">
      <c r="A259" s="163" t="str">
        <f>IFERROR(__xludf.DUMMYFUNCTION("""COMPUTED_VALUE"""),"G-85")</f>
        <v>G-85</v>
      </c>
      <c r="B259" s="163" t="str">
        <f>IFERROR(__xludf.DUMMYFUNCTION("""COMPUTED_VALUE"""),"Big Mom")</f>
        <v>Big Mom</v>
      </c>
      <c r="C259" s="163" t="str">
        <f>IFERROR(__xludf.DUMMYFUNCTION("""COMPUTED_VALUE"""),"After KOing an enemy: Recover HP by 5%.")</f>
        <v>After KOing an enemy: Recover HP by 5%.</v>
      </c>
      <c r="D259" s="163" t="str">
        <f>IFERROR(__xludf.DUMMYFUNCTION("""COMPUTED_VALUE"""),"Zou / Whole Cake Island ~ Big Mom Pirates ~ Paramecia ~ Captain ~ Royalty / Former Royalty ~ The Four Emperors ~ Charlotte Family ~ Former Rocks Pirates")</f>
        <v>Zou / Whole Cake Island ~ Big Mom Pirates ~ Paramecia ~ Captain ~ Royalty / Former Royalty ~ The Four Emperors ~ Charlotte Family ~ Former Rocks Pirates</v>
      </c>
      <c r="E259" s="164" t="str">
        <f>IFERROR(__xludf.DUMMYFUNCTION("""COMPUTED_VALUE"""),"https://i.postimg.cc/WzBmM1hh/085.png")</f>
        <v>https://i.postimg.cc/WzBmM1hh/085.png</v>
      </c>
      <c r="F259" s="162"/>
      <c r="G259" s="163" t="str">
        <f>IFERROR(__xludf.DUMMYFUNCTION("""COMPUTED_VALUE"""),"E-51")</f>
        <v>E-51</v>
      </c>
      <c r="H259" s="163" t="str">
        <f>IFERROR(__xludf.DUMMYFUNCTION("""COMPUTED_VALUE"""),"Plague")</f>
        <v>Plague</v>
      </c>
      <c r="I259" s="163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J259" s="163" t="str">
        <f>IFERROR(__xludf.DUMMYFUNCTION("""COMPUTED_VALUE"""),"Land of Wano ~ Animal Kingdom Pirates ~ Zoan ~ Lead Performer")</f>
        <v>Land of Wano ~ Animal Kingdom Pirates ~ Zoan ~ Lead Performer</v>
      </c>
      <c r="K259" s="164" t="str">
        <f>IFERROR(__xludf.DUMMYFUNCTION("""COMPUTED_VALUE"""),"https://i.postimg.cc/gJMhmqRV/051.png")</f>
        <v>https://i.postimg.cc/gJMhmqRV/051.png</v>
      </c>
      <c r="L259" s="162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</row>
    <row r="260">
      <c r="A260" s="163" t="str">
        <f>IFERROR(__xludf.DUMMYFUNCTION("""COMPUTED_VALUE"""),"G-84")</f>
        <v>G-84</v>
      </c>
      <c r="B260" s="163" t="str">
        <f>IFERROR(__xludf.DUMMYFUNCTION("""COMPUTED_VALUE"""),"Ultra Tiger Hunt")</f>
        <v>Ultra Tiger Hunt</v>
      </c>
      <c r="C260" s="163" t="str">
        <f>IFERROR(__xludf.DUMMYFUNCTION("""COMPUTED_VALUE"""),"When your team has more Treasure secured: Increase damage dealt by 5%.")</f>
        <v>When your team has more Treasure secured: Increase damage dealt by 5%.</v>
      </c>
      <c r="D260" s="163" t="str">
        <f>IFERROR(__xludf.DUMMYFUNCTION("""COMPUTED_VALUE"""),"Land of Wano ~ Straw Hat Pirates ~ Combatant ~ Worst Generation")</f>
        <v>Land of Wano ~ Straw Hat Pirates ~ Combatant ~ Worst Generation</v>
      </c>
      <c r="E260" s="164" t="str">
        <f>IFERROR(__xludf.DUMMYFUNCTION("""COMPUTED_VALUE"""),"https://i.postimg.cc/NG5W7CKc/084.png")</f>
        <v>https://i.postimg.cc/NG5W7CKc/084.png</v>
      </c>
      <c r="F260" s="162"/>
      <c r="G260" s="163" t="str">
        <f>IFERROR(__xludf.DUMMYFUNCTION("""COMPUTED_VALUE"""),"E-50")</f>
        <v>E-50</v>
      </c>
      <c r="H260" s="163" t="str">
        <f>IFERROR(__xludf.DUMMYFUNCTION("""COMPUTED_VALUE"""),"Koala")</f>
        <v>Koala</v>
      </c>
      <c r="I260" s="163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J260" s="163" t="str">
        <f>IFERROR(__xludf.DUMMYFUNCTION("""COMPUTED_VALUE"""),"Revolutionary Army ~ Fish_Man Karate")</f>
        <v>Revolutionary Army ~ Fish_Man Karate</v>
      </c>
      <c r="K260" s="164" t="str">
        <f>IFERROR(__xludf.DUMMYFUNCTION("""COMPUTED_VALUE"""),"https://i.postimg.cc/yxkZdgXw/050.png")</f>
        <v>https://i.postimg.cc/yxkZdgXw/050.png</v>
      </c>
      <c r="L260" s="162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</row>
    <row r="261">
      <c r="A261" s="163" t="str">
        <f>IFERROR(__xludf.DUMMYFUNCTION("""COMPUTED_VALUE"""),"G-83")</f>
        <v>G-83</v>
      </c>
      <c r="B261" s="163" t="str">
        <f>IFERROR(__xludf.DUMMYFUNCTION("""COMPUTED_VALUE"""),"Hawkins")</f>
        <v>Hawkins</v>
      </c>
      <c r="C261" s="163" t="str">
        <f>IFERROR(__xludf.DUMMYFUNCTION("""COMPUTED_VALUE"""),"When using Skill 2: Reduce the cooldown time of Skill 1 by 3%.")</f>
        <v>When using Skill 2: Reduce the cooldown time of Skill 1 by 3%.</v>
      </c>
      <c r="D261" s="163" t="str">
        <f>IFERROR(__xludf.DUMMYFUNCTION("""COMPUTED_VALUE"""),"Land of Wano ~ Animal Kingdom Pirates ~ Paramecia ~ Headliner ~ Worst Generation")</f>
        <v>Land of Wano ~ Animal Kingdom Pirates ~ Paramecia ~ Headliner ~ Worst Generation</v>
      </c>
      <c r="E261" s="164" t="str">
        <f>IFERROR(__xludf.DUMMYFUNCTION("""COMPUTED_VALUE"""),"https://i.postimg.cc/3rVzLjGD/083.png")</f>
        <v>https://i.postimg.cc/3rVzLjGD/083.png</v>
      </c>
      <c r="F261" s="162"/>
      <c r="G261" s="163" t="str">
        <f>IFERROR(__xludf.DUMMYFUNCTION("""COMPUTED_VALUE"""),"E-49")</f>
        <v>E-49</v>
      </c>
      <c r="H261" s="163" t="str">
        <f>IFERROR(__xludf.DUMMYFUNCTION("""COMPUTED_VALUE"""),"Miracle Worker")</f>
        <v>Miracle Worker</v>
      </c>
      <c r="I261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J261" s="163" t="str">
        <f>IFERROR(__xludf.DUMMYFUNCTION("""COMPUTED_VALUE"""),"Revolutionary Army ~ Paramecia ~ New Kama")</f>
        <v>Revolutionary Army ~ Paramecia ~ New Kama</v>
      </c>
      <c r="K261" s="164" t="str">
        <f>IFERROR(__xludf.DUMMYFUNCTION("""COMPUTED_VALUE"""),"https://i.postimg.cc/fyp00z8k/049.png")</f>
        <v>https://i.postimg.cc/fyp00z8k/049.png</v>
      </c>
      <c r="L261" s="162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</row>
    <row r="262">
      <c r="A262" s="163" t="str">
        <f>IFERROR(__xludf.DUMMYFUNCTION("""COMPUTED_VALUE"""),"G-82")</f>
        <v>G-82</v>
      </c>
      <c r="B262" s="163" t="str">
        <f>IFERROR(__xludf.DUMMYFUNCTION("""COMPUTED_VALUE"""),"ROOM")</f>
        <v>ROOM</v>
      </c>
      <c r="C262" s="163" t="str">
        <f>IFERROR(__xludf.DUMMYFUNCTION("""COMPUTED_VALUE"""),"After KOing an enemy: Recover HP by 5%.")</f>
        <v>After KOing an enemy: Recover HP by 5%.</v>
      </c>
      <c r="D262" s="163" t="str">
        <f>IFERROR(__xludf.DUMMYFUNCTION("""COMPUTED_VALUE"""),"Land of Wano ~ Paramecia ~ Captain ~ The Seven Warlords of the Sea / Former Warlords of the Sea ~ Worst Generation ~ Heart Pirates")</f>
        <v>Land of Wano ~ Paramecia ~ Captain ~ The Seven Warlords of the Sea / Former Warlords of the Sea ~ Worst Generation ~ Heart Pirates</v>
      </c>
      <c r="E262" s="164" t="str">
        <f>IFERROR(__xludf.DUMMYFUNCTION("""COMPUTED_VALUE"""),"https://i.postimg.cc/bNnW4G0V/082.png")</f>
        <v>https://i.postimg.cc/bNnW4G0V/082.png</v>
      </c>
      <c r="F262" s="162"/>
      <c r="G262" s="163" t="str">
        <f>IFERROR(__xludf.DUMMYFUNCTION("""COMPUTED_VALUE"""),"E-48")</f>
        <v>E-48</v>
      </c>
      <c r="H262" s="163" t="str">
        <f>IFERROR(__xludf.DUMMYFUNCTION("""COMPUTED_VALUE"""),"Chiffon")</f>
        <v>Chiffon</v>
      </c>
      <c r="I262" s="163" t="str">
        <f>IFERROR(__xludf.DUMMYFUNCTION("""COMPUTED_VALUE"""),"When your team has more Treasure secured: Boost the cooldown reduction speed of Skill 2 by 10%.")</f>
        <v>When your team has more Treasure secured: Boost the cooldown reduction speed of Skill 2 by 10%.</v>
      </c>
      <c r="J262" s="163" t="str">
        <f>IFERROR(__xludf.DUMMYFUNCTION("""COMPUTED_VALUE"""),"Zou / Whole Cake Island ~ Firetank Pirates ~ Charlotte Family")</f>
        <v>Zou / Whole Cake Island ~ Firetank Pirates ~ Charlotte Family</v>
      </c>
      <c r="K262" s="164" t="str">
        <f>IFERROR(__xludf.DUMMYFUNCTION("""COMPUTED_VALUE"""),"https://i.postimg.cc/PfRD7ydh/048.png")</f>
        <v>https://i.postimg.cc/PfRD7ydh/048.png</v>
      </c>
      <c r="L262" s="162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</row>
    <row r="263">
      <c r="A263" s="163" t="str">
        <f>IFERROR(__xludf.DUMMYFUNCTION("""COMPUTED_VALUE"""),"G-81")</f>
        <v>G-81</v>
      </c>
      <c r="B263" s="163" t="str">
        <f>IFERROR(__xludf.DUMMYFUNCTION("""COMPUTED_VALUE"""),"Billow_White")</f>
        <v>Billow_White</v>
      </c>
      <c r="C263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263" s="163" t="str">
        <f>IFERROR(__xludf.DUMMYFUNCTION("""COMPUTED_VALUE"""),"Dressrosa ~ The Seven Warlords of the Sea / Former Warlords of the Sea ~ Paramecia ~ Captain ~ Royalty / Former Royalty ~ Don Quixote Family")</f>
        <v>Dressrosa ~ The Seven Warlords of the Sea / Former Warlords of the Sea ~ Paramecia ~ Captain ~ Royalty / Former Royalty ~ Don Quixote Family</v>
      </c>
      <c r="E263" s="164" t="str">
        <f>IFERROR(__xludf.DUMMYFUNCTION("""COMPUTED_VALUE"""),"https://i.postimg.cc/wjdZz60q/081.png")</f>
        <v>https://i.postimg.cc/wjdZz60q/081.png</v>
      </c>
      <c r="F263" s="162"/>
      <c r="G263" s="163" t="str">
        <f>IFERROR(__xludf.DUMMYFUNCTION("""COMPUTED_VALUE"""),"E-47")</f>
        <v>E-47</v>
      </c>
      <c r="H263" s="163" t="str">
        <f>IFERROR(__xludf.DUMMYFUNCTION("""COMPUTED_VALUE"""),"Memo_Memo")</f>
        <v>Memo_Memo</v>
      </c>
      <c r="I263" s="163" t="str">
        <f>IFERROR(__xludf.DUMMYFUNCTION("""COMPUTED_VALUE"""),"When Critical occurs: Reduce the cooldown time of Skill 1 by 3%.")</f>
        <v>When Critical occurs: Reduce the cooldown time of Skill 1 by 3%.</v>
      </c>
      <c r="J263" s="163" t="str">
        <f>IFERROR(__xludf.DUMMYFUNCTION("""COMPUTED_VALUE"""),"Zou / Whole Cake Island ~ Big Mom Pirates ~ Paramecia ~ Charlotte Family")</f>
        <v>Zou / Whole Cake Island ~ Big Mom Pirates ~ Paramecia ~ Charlotte Family</v>
      </c>
      <c r="K263" s="164" t="str">
        <f>IFERROR(__xludf.DUMMYFUNCTION("""COMPUTED_VALUE"""),"https://i.postimg.cc/MKfBJBGB/047.png")</f>
        <v>https://i.postimg.cc/MKfBJBGB/047.png</v>
      </c>
      <c r="L263" s="162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</row>
    <row r="264">
      <c r="A264" s="163" t="str">
        <f>IFERROR(__xludf.DUMMYFUNCTION("""COMPUTED_VALUE"""),"G-80")</f>
        <v>G-80</v>
      </c>
      <c r="B264" s="163" t="str">
        <f>IFERROR(__xludf.DUMMYFUNCTION("""COMPUTED_VALUE"""),"King Kong Gun")</f>
        <v>King Kong Gun</v>
      </c>
      <c r="C264" s="163" t="str">
        <f>IFERROR(__xludf.DUMMYFUNCTION("""COMPUTED_VALUE"""),"When your allies are not near the Treasure area where you are at: Increase damage dealt by 5%.")</f>
        <v>When your allies are not near the Treasure area where you are at: Increase damage dealt by 5%.</v>
      </c>
      <c r="D264" s="163" t="str">
        <f>IFERROR(__xludf.DUMMYFUNCTION("""COMPUTED_VALUE"""),"Dressrosa ~ Straw Hat Pirates ~ Paramecia ~ Captain ~ Worst Generation ~ Blood Brothers")</f>
        <v>Dressrosa ~ Straw Hat Pirates ~ Paramecia ~ Captain ~ Worst Generation ~ Blood Brothers</v>
      </c>
      <c r="E264" s="164" t="str">
        <f>IFERROR(__xludf.DUMMYFUNCTION("""COMPUTED_VALUE"""),"https://i.postimg.cc/9QtSFvnG/080.png")</f>
        <v>https://i.postimg.cc/9QtSFvnG/080.png</v>
      </c>
      <c r="F264" s="162"/>
      <c r="G264" s="163" t="str">
        <f>IFERROR(__xludf.DUMMYFUNCTION("""COMPUTED_VALUE"""),"E-46")</f>
        <v>E-46</v>
      </c>
      <c r="H264" s="163" t="str">
        <f>IFERROR(__xludf.DUMMYFUNCTION("""COMPUTED_VALUE"""),"Mark_Mark")</f>
        <v>Mark_Mark</v>
      </c>
      <c r="I264" s="163" t="str">
        <f>IFERROR(__xludf.DUMMYFUNCTION("""COMPUTED_VALUE"""),"When performing a Perfect Dodge: Reduce the cooldown time of Skill 2 by 3%.")</f>
        <v>When performing a Perfect Dodge: Reduce the cooldown time of Skill 2 by 3%.</v>
      </c>
      <c r="J264" s="163" t="str">
        <f>IFERROR(__xludf.DUMMYFUNCTION("""COMPUTED_VALUE"""),"Fish_Man Island ~ Paramecia ~ Captain ~ Fish_Man")</f>
        <v>Fish_Man Island ~ Paramecia ~ Captain ~ Fish_Man</v>
      </c>
      <c r="K264" s="164" t="str">
        <f>IFERROR(__xludf.DUMMYFUNCTION("""COMPUTED_VALUE"""),"https://i.postimg.cc/mgxHLrc5/046.png")</f>
        <v>https://i.postimg.cc/mgxHLrc5/046.png</v>
      </c>
      <c r="L264" s="162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</row>
    <row r="265">
      <c r="A265" s="163" t="str">
        <f>IFERROR(__xludf.DUMMYFUNCTION("""COMPUTED_VALUE"""),"G-79")</f>
        <v>G-79</v>
      </c>
      <c r="B265" s="163" t="str">
        <f>IFERROR(__xludf.DUMMYFUNCTION("""COMPUTED_VALUE"""),"Sabo (STAMPEDE)")</f>
        <v>Sabo (STAMPEDE)</v>
      </c>
      <c r="C265" s="163" t="str">
        <f>IFERROR(__xludf.DUMMYFUNCTION("""COMPUTED_VALUE"""),"When attacking an enemy inflicted With Aflame: Increase damage dealt by 5%.")</f>
        <v>When attacking an enemy inflicted With Aflame: Increase damage dealt by 5%.</v>
      </c>
      <c r="D265" s="163" t="str">
        <f>IFERROR(__xludf.DUMMYFUNCTION("""COMPUTED_VALUE"""),"STAMPEDE ~ Revolutionary Army ~ Logia ~ Chief of Staff ~ Blood Brothers")</f>
        <v>STAMPEDE ~ Revolutionary Army ~ Logia ~ Chief of Staff ~ Blood Brothers</v>
      </c>
      <c r="E265" s="164" t="str">
        <f>IFERROR(__xludf.DUMMYFUNCTION("""COMPUTED_VALUE"""),"https://i.postimg.cc/jjx1WZpB/079.png")</f>
        <v>https://i.postimg.cc/jjx1WZpB/079.png</v>
      </c>
      <c r="F265" s="162"/>
      <c r="G265" s="163" t="str">
        <f>IFERROR(__xludf.DUMMYFUNCTION("""COMPUTED_VALUE"""),"E-45")</f>
        <v>E-45</v>
      </c>
      <c r="H265" s="163" t="str">
        <f>IFERROR(__xludf.DUMMYFUNCTION("""COMPUTED_VALUE"""),"Hody")</f>
        <v>Hody</v>
      </c>
      <c r="I265" s="163" t="str">
        <f>IFERROR(__xludf.DUMMYFUNCTION("""COMPUTED_VALUE"""),"When your allies are not near the Treasure area where you are at: Boost the cooldown reduction speed of Skill 1 by 13%.")</f>
        <v>When your allies are not near the Treasure area where you are at: Boost the cooldown reduction speed of Skill 1 by 13%.</v>
      </c>
      <c r="J265" s="163" t="str">
        <f>IFERROR(__xludf.DUMMYFUNCTION("""COMPUTED_VALUE"""),"Fish_Man Island ~ Captain ~ Fish_Man")</f>
        <v>Fish_Man Island ~ Captain ~ Fish_Man</v>
      </c>
      <c r="K265" s="164" t="str">
        <f>IFERROR(__xludf.DUMMYFUNCTION("""COMPUTED_VALUE"""),"https://i.postimg.cc/x1KbcSMT/045.png")</f>
        <v>https://i.postimg.cc/x1KbcSMT/045.png</v>
      </c>
      <c r="L265" s="162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</row>
    <row r="266">
      <c r="A266" s="163" t="str">
        <f>IFERROR(__xludf.DUMMYFUNCTION("""COMPUTED_VALUE"""),"G-78")</f>
        <v>G-78</v>
      </c>
      <c r="B266" s="163" t="str">
        <f>IFERROR(__xludf.DUMMYFUNCTION("""COMPUTED_VALUE"""),"Luffy (STAMPEDE)")</f>
        <v>Luffy (STAMPEDE)</v>
      </c>
      <c r="C266" s="163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D266" s="163" t="str">
        <f>IFERROR(__xludf.DUMMYFUNCTION("""COMPUTED_VALUE"""),"STAMPEDE ~ Straw Hat Pirates ~ Paramecia ~ Captain ~ Worst Generation ~ Blood Brothers")</f>
        <v>STAMPEDE ~ Straw Hat Pirates ~ Paramecia ~ Captain ~ Worst Generation ~ Blood Brothers</v>
      </c>
      <c r="E266" s="164" t="str">
        <f>IFERROR(__xludf.DUMMYFUNCTION("""COMPUTED_VALUE"""),"https://i.postimg.cc/vm0N55MT/078.png")</f>
        <v>https://i.postimg.cc/vm0N55MT/078.png</v>
      </c>
      <c r="F266" s="162"/>
      <c r="G266" s="163" t="str">
        <f>IFERROR(__xludf.DUMMYFUNCTION("""COMPUTED_VALUE"""),"E-44")</f>
        <v>E-44</v>
      </c>
      <c r="H266" s="163" t="str">
        <f>IFERROR(__xludf.DUMMYFUNCTION("""COMPUTED_VALUE"""),"Wild Zombie")</f>
        <v>Wild Zombie</v>
      </c>
      <c r="I266" s="163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J266" s="163" t="str">
        <f>IFERROR(__xludf.DUMMYFUNCTION("""COMPUTED_VALUE"""),"Thriller Bark ~ Zombie ~ Thriller Bark Pirates")</f>
        <v>Thriller Bark ~ Zombie ~ Thriller Bark Pirates</v>
      </c>
      <c r="K266" s="164" t="str">
        <f>IFERROR(__xludf.DUMMYFUNCTION("""COMPUTED_VALUE"""),"https://i.postimg.cc/jjtnfk46/044.png")</f>
        <v>https://i.postimg.cc/jjtnfk46/044.png</v>
      </c>
      <c r="L266" s="162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</row>
    <row r="267">
      <c r="A267" s="163" t="str">
        <f>IFERROR(__xludf.DUMMYFUNCTION("""COMPUTED_VALUE"""),"G-77")</f>
        <v>G-77</v>
      </c>
      <c r="B267" s="163" t="str">
        <f>IFERROR(__xludf.DUMMYFUNCTION("""COMPUTED_VALUE"""),"Smoker (STAMPEDE)")</f>
        <v>Smoker (STAMPEDE)</v>
      </c>
      <c r="C267" s="163" t="str">
        <f>IFERROR(__xludf.DUMMYFUNCTION("""COMPUTED_VALUE"""),"When attacking an enemy inflicted With Stun: Increase damage dealt by 5%.")</f>
        <v>When attacking an enemy inflicted With Stun: Increase damage dealt by 5%.</v>
      </c>
      <c r="D267" s="163" t="str">
        <f>IFERROR(__xludf.DUMMYFUNCTION("""COMPUTED_VALUE"""),"STAMPEDE ~ Navy ~ Logia")</f>
        <v>STAMPEDE ~ Navy ~ Logia</v>
      </c>
      <c r="E267" s="164" t="str">
        <f>IFERROR(__xludf.DUMMYFUNCTION("""COMPUTED_VALUE"""),"https://i.postimg.cc/W3tf8tbn/077.png")</f>
        <v>https://i.postimg.cc/W3tf8tbn/077.png</v>
      </c>
      <c r="F267" s="162"/>
      <c r="G267" s="163" t="str">
        <f>IFERROR(__xludf.DUMMYFUNCTION("""COMPUTED_VALUE"""),"E-43")</f>
        <v>E-43</v>
      </c>
      <c r="H267" s="163" t="str">
        <f>IFERROR(__xludf.DUMMYFUNCTION("""COMPUTED_VALUE"""),"Genie")</f>
        <v>Genie</v>
      </c>
      <c r="I267" s="163" t="str">
        <f>IFERROR(__xludf.DUMMYFUNCTION("""COMPUTED_VALUE"""),"When you capture the Treasure: Recover HP by 5%.")</f>
        <v>When you capture the Treasure: Recover HP by 5%.</v>
      </c>
      <c r="J267" s="163" t="str">
        <f>IFERROR(__xludf.DUMMYFUNCTION("""COMPUTED_VALUE"""),"Thriller Bark ~ Zombie ~ Thriller Bark Pirates")</f>
        <v>Thriller Bark ~ Zombie ~ Thriller Bark Pirates</v>
      </c>
      <c r="K267" s="164" t="str">
        <f>IFERROR(__xludf.DUMMYFUNCTION("""COMPUTED_VALUE"""),"https://i.postimg.cc/SKd2f7gB/043.png")</f>
        <v>https://i.postimg.cc/SKd2f7gB/043.png</v>
      </c>
      <c r="L267" s="162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</row>
    <row r="268">
      <c r="A268" s="163" t="str">
        <f>IFERROR(__xludf.DUMMYFUNCTION("""COMPUTED_VALUE"""),"G-76")</f>
        <v>G-76</v>
      </c>
      <c r="B268" s="163" t="str">
        <f>IFERROR(__xludf.DUMMYFUNCTION("""COMPUTED_VALUE"""),"Fire Pillar")</f>
        <v>Fire Pillar</v>
      </c>
      <c r="C268" s="163" t="str">
        <f>IFERROR(__xludf.DUMMYFUNCTION("""COMPUTED_VALUE"""),"When attacked by an enemy: 30% chance to, Nullify Aflame.")</f>
        <v>When attacked by an enemy: 30% chance to, Nullify Aflame.</v>
      </c>
      <c r="D268" s="163" t="str">
        <f>IFERROR(__xludf.DUMMYFUNCTION("""COMPUTED_VALUE"""),"Whitebeard Pirates ~ Logia ~ Whitebeard Pirates Commander ~ Blood Brothers")</f>
        <v>Whitebeard Pirates ~ Logia ~ Whitebeard Pirates Commander ~ Blood Brothers</v>
      </c>
      <c r="E268" s="164" t="str">
        <f>IFERROR(__xludf.DUMMYFUNCTION("""COMPUTED_VALUE"""),"https://i.postimg.cc/pT7c6xmt/076.png")</f>
        <v>https://i.postimg.cc/pT7c6xmt/076.png</v>
      </c>
      <c r="F268" s="162"/>
      <c r="G268" s="163" t="str">
        <f>IFERROR(__xludf.DUMMYFUNCTION("""COMPUTED_VALUE"""),"E-42")</f>
        <v>E-42</v>
      </c>
      <c r="H268" s="163" t="str">
        <f>IFERROR(__xludf.DUMMYFUNCTION("""COMPUTED_VALUE"""),"Bis_Bis")</f>
        <v>Bis_Bis</v>
      </c>
      <c r="I268" s="163" t="str">
        <f>IFERROR(__xludf.DUMMYFUNCTION("""COMPUTED_VALUE"""),"When your HP is 30% or less: CRIT Boosted by 60% for 20 second(s).")</f>
        <v>When your HP is 30% or less: CRIT Boosted by 60% for 20 second(s).</v>
      </c>
      <c r="J268" s="163" t="str">
        <f>IFERROR(__xludf.DUMMYFUNCTION("""COMPUTED_VALUE"""),"Zou / Whole Cake Island ~ Big Mom Pirates ~ Paramecia ~ ``Sweet 3`` General ~ Charlotte Family")</f>
        <v>Zou / Whole Cake Island ~ Big Mom Pirates ~ Paramecia ~ ``Sweet 3`` General ~ Charlotte Family</v>
      </c>
      <c r="K268" s="164" t="str">
        <f>IFERROR(__xludf.DUMMYFUNCTION("""COMPUTED_VALUE"""),"https://i.postimg.cc/fLb32tFJ/042.png")</f>
        <v>https://i.postimg.cc/fLb32tFJ/042.png</v>
      </c>
      <c r="L268" s="162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</row>
    <row r="269">
      <c r="A269" s="163" t="str">
        <f>IFERROR(__xludf.DUMMYFUNCTION("""COMPUTED_VALUE"""),"G-75")</f>
        <v>G-75</v>
      </c>
      <c r="B269" s="163" t="str">
        <f>IFERROR(__xludf.DUMMYFUNCTION("""COMPUTED_VALUE"""),"Sables")</f>
        <v>Sables</v>
      </c>
      <c r="C269" s="163" t="str">
        <f>IFERROR(__xludf.DUMMYFUNCTION("""COMPUTED_VALUE"""),"When attacking an enemy: 1% chance to, Inflict Poison for 14 second(s).")</f>
        <v>When attacking an enemy: 1% chance to, Inflict Poison for 14 second(s).</v>
      </c>
      <c r="D269" s="163" t="str">
        <f>IFERROR(__xludf.DUMMYFUNCTION("""COMPUTED_VALUE"""),"Impel Down ~ Logia ~ The Seven Warlords of the Sea / Former Warlords of the Sea")</f>
        <v>Impel Down ~ Logia ~ The Seven Warlords of the Sea / Former Warlords of the Sea</v>
      </c>
      <c r="E269" s="164" t="str">
        <f>IFERROR(__xludf.DUMMYFUNCTION("""COMPUTED_VALUE"""),"https://i.postimg.cc/907g3S9w/075.png")</f>
        <v>https://i.postimg.cc/907g3S9w/075.png</v>
      </c>
      <c r="F269" s="162"/>
      <c r="G269" s="163" t="str">
        <f>IFERROR(__xludf.DUMMYFUNCTION("""COMPUTED_VALUE"""),"E-41")</f>
        <v>E-41</v>
      </c>
      <c r="H269" s="163" t="str">
        <f>IFERROR(__xludf.DUMMYFUNCTION("""COMPUTED_VALUE"""),"Wring_Wring")</f>
        <v>Wring_Wring</v>
      </c>
      <c r="I269" s="163" t="str">
        <f>IFERROR(__xludf.DUMMYFUNCTION("""COMPUTED_VALUE"""),"After KOing an enemy: Reduce the cooldown time of Skill 2 by 8%.")</f>
        <v>After KOing an enemy: Reduce the cooldown time of Skill 2 by 8%.</v>
      </c>
      <c r="J269" s="163" t="str">
        <f>IFERROR(__xludf.DUMMYFUNCTION("""COMPUTED_VALUE"""),"Zou / Whole Cake Island ~ Big Mom Pirates ~ Paramecia ~ ``Sweet 3`` General ~ Charlotte Family")</f>
        <v>Zou / Whole Cake Island ~ Big Mom Pirates ~ Paramecia ~ ``Sweet 3`` General ~ Charlotte Family</v>
      </c>
      <c r="K269" s="164" t="str">
        <f>IFERROR(__xludf.DUMMYFUNCTION("""COMPUTED_VALUE"""),"https://i.postimg.cc/NMPKWGqb/041.png")</f>
        <v>https://i.postimg.cc/NMPKWGqb/041.png</v>
      </c>
      <c r="L269" s="162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</row>
    <row r="270">
      <c r="A270" s="163" t="str">
        <f>IFERROR(__xludf.DUMMYFUNCTION("""COMPUTED_VALUE"""),"G-74")</f>
        <v>G-74</v>
      </c>
      <c r="B270" s="163" t="str">
        <f>IFERROR(__xludf.DUMMYFUNCTION("""COMPUTED_VALUE"""),"Bikini Hancock")</f>
        <v>Bikini Hancock</v>
      </c>
      <c r="C270" s="163" t="str">
        <f>IFERROR(__xludf.DUMMYFUNCTION("""COMPUTED_VALUE"""),"When your team has less Treasure secured: Increase damage dealt by 5%.")</f>
        <v>When your team has less Treasure secured: Increase damage dealt by 5%.</v>
      </c>
      <c r="D270" s="163" t="str">
        <f>IFERROR(__xludf.DUMMYFUNCTION("""COMPUTED_VALUE"""),"Bikini ~ The Seven Warlords of the Sea / Former Warlords of the Sea ~ Kuja Pirates ~ Paramecia ~ Captain ~ Gorgon Sisters")</f>
        <v>Bikini ~ The Seven Warlords of the Sea / Former Warlords of the Sea ~ Kuja Pirates ~ Paramecia ~ Captain ~ Gorgon Sisters</v>
      </c>
      <c r="E270" s="164" t="str">
        <f>IFERROR(__xludf.DUMMYFUNCTION("""COMPUTED_VALUE"""),"https://i.postimg.cc/RCkb1Sr7/074.png")</f>
        <v>https://i.postimg.cc/RCkb1Sr7/074.png</v>
      </c>
      <c r="F270" s="162"/>
      <c r="G270" s="163" t="str">
        <f>IFERROR(__xludf.DUMMYFUNCTION("""COMPUTED_VALUE"""),"E-40")</f>
        <v>E-40</v>
      </c>
      <c r="H270" s="163" t="str">
        <f>IFERROR(__xludf.DUMMYFUNCTION("""COMPUTED_VALUE"""),"Evening Shower")</f>
        <v>Evening Shower</v>
      </c>
      <c r="I270" s="163" t="str">
        <f>IFERROR(__xludf.DUMMYFUNCTION("""COMPUTED_VALUE"""),"When in the area around your enemy`s Treasure: Boost the cooldown reduction speed of dodge by 13%.")</f>
        <v>When in the area around your enemy`s Treasure: Boost the cooldown reduction speed of dodge by 13%.</v>
      </c>
      <c r="J270" s="163" t="str">
        <f>IFERROR(__xludf.DUMMYFUNCTION("""COMPUTED_VALUE"""),"Land of Wano ~ Paramecia ~ Kozuki Clan / Kozuki Clan Servant")</f>
        <v>Land of Wano ~ Paramecia ~ Kozuki Clan / Kozuki Clan Servant</v>
      </c>
      <c r="K270" s="164" t="str">
        <f>IFERROR(__xludf.DUMMYFUNCTION("""COMPUTED_VALUE"""),"https://i.postimg.cc/brDZ8XqP/040.png")</f>
        <v>https://i.postimg.cc/brDZ8XqP/040.png</v>
      </c>
      <c r="L270" s="162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</row>
    <row r="271">
      <c r="A271" s="163" t="str">
        <f>IFERROR(__xludf.DUMMYFUNCTION("""COMPUTED_VALUE"""),"G-73")</f>
        <v>G-73</v>
      </c>
      <c r="B271" s="163" t="str">
        <f>IFERROR(__xludf.DUMMYFUNCTION("""COMPUTED_VALUE"""),"Bikini Nami")</f>
        <v>Bikini Nami</v>
      </c>
      <c r="C271" s="163" t="str">
        <f>IFERROR(__xludf.DUMMYFUNCTION("""COMPUTED_VALUE"""),"When your HP is 70% or more: Boost capture speed by 8%.")</f>
        <v>When your HP is 70% or more: Boost capture speed by 8%.</v>
      </c>
      <c r="D271" s="163" t="str">
        <f>IFERROR(__xludf.DUMMYFUNCTION("""COMPUTED_VALUE"""),"Bikini ~ Straw Hat Pirates ~ Navigator")</f>
        <v>Bikini ~ Straw Hat Pirates ~ Navigator</v>
      </c>
      <c r="E271" s="164" t="str">
        <f>IFERROR(__xludf.DUMMYFUNCTION("""COMPUTED_VALUE"""),"https://i.postimg.cc/3J2fns7P/073.png")</f>
        <v>https://i.postimg.cc/3J2fns7P/073.png</v>
      </c>
      <c r="F271" s="162"/>
      <c r="G271" s="163" t="str">
        <f>IFERROR(__xludf.DUMMYFUNCTION("""COMPUTED_VALUE"""),"E-39")</f>
        <v>E-39</v>
      </c>
      <c r="H271" s="163" t="str">
        <f>IFERROR(__xludf.DUMMYFUNCTION("""COMPUTED_VALUE"""),"Foxfire")</f>
        <v>Foxfire</v>
      </c>
      <c r="I271" s="163" t="str">
        <f>IFERROR(__xludf.DUMMYFUNCTION("""COMPUTED_VALUE"""),"When performing a Perfect Dodge: Reduce the cooldown time of Skill 2 by 6%.")</f>
        <v>When performing a Perfect Dodge: Reduce the cooldown time of Skill 2 by 6%.</v>
      </c>
      <c r="J271" s="163" t="str">
        <f>IFERROR(__xludf.DUMMYFUNCTION("""COMPUTED_VALUE"""),"Land of Wano ~ Paramecia ~ Kozuki Clan / Kozuki Clan Servant")</f>
        <v>Land of Wano ~ Paramecia ~ Kozuki Clan / Kozuki Clan Servant</v>
      </c>
      <c r="K271" s="164" t="str">
        <f>IFERROR(__xludf.DUMMYFUNCTION("""COMPUTED_VALUE"""),"https://i.postimg.cc/hvkftCGd/039.png")</f>
        <v>https://i.postimg.cc/hvkftCGd/039.png</v>
      </c>
      <c r="L271" s="162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</row>
    <row r="272">
      <c r="A272" s="163" t="str">
        <f>IFERROR(__xludf.DUMMYFUNCTION("""COMPUTED_VALUE"""),"G-72")</f>
        <v>G-72</v>
      </c>
      <c r="B272" s="163" t="str">
        <f>IFERROR(__xludf.DUMMYFUNCTION("""COMPUTED_VALUE"""),"Radical")</f>
        <v>Radical</v>
      </c>
      <c r="C272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72" s="163" t="str">
        <f>IFERROR(__xludf.DUMMYFUNCTION("""COMPUTED_VALUE"""),"2 Years Later ~ Straw Hat Pirates ~ Ship Carpenter")</f>
        <v>2 Years Later ~ Straw Hat Pirates ~ Ship Carpenter</v>
      </c>
      <c r="E272" s="164" t="str">
        <f>IFERROR(__xludf.DUMMYFUNCTION("""COMPUTED_VALUE"""),"https://i.postimg.cc/W1jWK51t/072.png")</f>
        <v>https://i.postimg.cc/W1jWK51t/072.png</v>
      </c>
      <c r="F272" s="162"/>
      <c r="G272" s="163" t="str">
        <f>IFERROR(__xludf.DUMMYFUNCTION("""COMPUTED_VALUE"""),"E-38")</f>
        <v>E-38</v>
      </c>
      <c r="H272" s="163" t="str">
        <f>IFERROR(__xludf.DUMMYFUNCTION("""COMPUTED_VALUE"""),"Gas_Gas")</f>
        <v>Gas_Gas</v>
      </c>
      <c r="I272" s="163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J272" s="163" t="str">
        <f>IFERROR(__xludf.DUMMYFUNCTION("""COMPUTED_VALUE"""),"Dressrosa ~ Logia")</f>
        <v>Dressrosa ~ Logia</v>
      </c>
      <c r="K272" s="164" t="str">
        <f>IFERROR(__xludf.DUMMYFUNCTION("""COMPUTED_VALUE"""),"https://i.postimg.cc/RCy3d0TZ/038.png")</f>
        <v>https://i.postimg.cc/RCy3d0TZ/038.png</v>
      </c>
      <c r="L272" s="162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</row>
    <row r="273">
      <c r="A273" s="163" t="str">
        <f>IFERROR(__xludf.DUMMYFUNCTION("""COMPUTED_VALUE"""),"G-71")</f>
        <v>G-71</v>
      </c>
      <c r="B273" s="163" t="str">
        <f>IFERROR(__xludf.DUMMYFUNCTION("""COMPUTED_VALUE"""),"Blizzard Slice")</f>
        <v>Blizzard Slice</v>
      </c>
      <c r="C273" s="163" t="str">
        <f>IFERROR(__xludf.DUMMYFUNCTION("""COMPUTED_VALUE"""),"When your team has less Treasure secured: Boost the cooldown reduction speed of Skill 1 by 13%.")</f>
        <v>When your team has less Treasure secured: Boost the cooldown reduction speed of Skill 1 by 13%.</v>
      </c>
      <c r="D273" s="163" t="str">
        <f>IFERROR(__xludf.DUMMYFUNCTION("""COMPUTED_VALUE"""),"2 Years Later ~ Straw Hat Pirates ~ Paramecia ~ Musician")</f>
        <v>2 Years Later ~ Straw Hat Pirates ~ Paramecia ~ Musician</v>
      </c>
      <c r="E273" s="164" t="str">
        <f>IFERROR(__xludf.DUMMYFUNCTION("""COMPUTED_VALUE"""),"https://i.postimg.cc/k5gjMD8m/071.png")</f>
        <v>https://i.postimg.cc/k5gjMD8m/071.png</v>
      </c>
      <c r="F273" s="162"/>
      <c r="G273" s="163" t="str">
        <f>IFERROR(__xludf.DUMMYFUNCTION("""COMPUTED_VALUE"""),"E-37")</f>
        <v>E-37</v>
      </c>
      <c r="H273" s="163" t="str">
        <f>IFERROR(__xludf.DUMMYFUNCTION("""COMPUTED_VALUE"""),"Vergo")</f>
        <v>Vergo</v>
      </c>
      <c r="I273" s="163" t="str">
        <f>IFERROR(__xludf.DUMMYFUNCTION("""COMPUTED_VALUE"""),"When you capture the Treasure: Reduce the cooldown time of Skill 2 by 8%.")</f>
        <v>When you capture the Treasure: Reduce the cooldown time of Skill 2 by 8%.</v>
      </c>
      <c r="J273" s="163" t="str">
        <f>IFERROR(__xludf.DUMMYFUNCTION("""COMPUTED_VALUE"""),"Dressrosa ~ Navy ~ Don Quixote Family")</f>
        <v>Dressrosa ~ Navy ~ Don Quixote Family</v>
      </c>
      <c r="K273" s="164" t="str">
        <f>IFERROR(__xludf.DUMMYFUNCTION("""COMPUTED_VALUE"""),"https://i.postimg.cc/02SzBqtd/037.png")</f>
        <v>https://i.postimg.cc/02SzBqtd/037.png</v>
      </c>
      <c r="L273" s="162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</row>
    <row r="274">
      <c r="A274" s="163" t="str">
        <f>IFERROR(__xludf.DUMMYFUNCTION("""COMPUTED_VALUE"""),"G-70")</f>
        <v>G-70</v>
      </c>
      <c r="B274" s="163" t="str">
        <f>IFERROR(__xludf.DUMMYFUNCTION("""COMPUTED_VALUE"""),"Mille Fleurs")</f>
        <v>Mille Fleurs</v>
      </c>
      <c r="C274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D274" s="163" t="str">
        <f>IFERROR(__xludf.DUMMYFUNCTION("""COMPUTED_VALUE"""),"2 Years Later ~ Straw Hat Pirates ~ Paramecia ~ Archaeologist")</f>
        <v>2 Years Later ~ Straw Hat Pirates ~ Paramecia ~ Archaeologist</v>
      </c>
      <c r="E274" s="164" t="str">
        <f>IFERROR(__xludf.DUMMYFUNCTION("""COMPUTED_VALUE"""),"https://i.postimg.cc/VNZKJ1Bb/070.png")</f>
        <v>https://i.postimg.cc/VNZKJ1Bb/070.png</v>
      </c>
      <c r="F274" s="162"/>
      <c r="G274" s="163" t="str">
        <f>IFERROR(__xludf.DUMMYFUNCTION("""COMPUTED_VALUE"""),"E-36")</f>
        <v>E-36</v>
      </c>
      <c r="H274" s="163" t="str">
        <f>IFERROR(__xludf.DUMMYFUNCTION("""COMPUTED_VALUE"""),"Ann")</f>
        <v>Ann</v>
      </c>
      <c r="I274" s="163" t="str">
        <f>IFERROR(__xludf.DUMMYFUNCTION("""COMPUTED_VALUE"""),"When there are 90 seconds or more remaining: Increase damage dealt by 3%.")</f>
        <v>When there are 90 seconds or more remaining: Increase damage dealt by 3%.</v>
      </c>
      <c r="J274" s="163" t="str">
        <f>IFERROR(__xludf.DUMMYFUNCTION("""COMPUTED_VALUE"""),"STAMPEDE ~ Paramecia")</f>
        <v>STAMPEDE ~ Paramecia</v>
      </c>
      <c r="K274" s="164" t="str">
        <f>IFERROR(__xludf.DUMMYFUNCTION("""COMPUTED_VALUE"""),"https://i.postimg.cc/QdrFLnwL/036.png")</f>
        <v>https://i.postimg.cc/QdrFLnwL/036.png</v>
      </c>
      <c r="L274" s="162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</row>
    <row r="275">
      <c r="A275" s="163" t="str">
        <f>IFERROR(__xludf.DUMMYFUNCTION("""COMPUTED_VALUE"""),"G-69")</f>
        <v>G-69</v>
      </c>
      <c r="B275" s="163" t="str">
        <f>IFERROR(__xludf.DUMMYFUNCTION("""COMPUTED_VALUE"""),"Bed Rest")</f>
        <v>Bed Rest</v>
      </c>
      <c r="C275" s="163" t="str">
        <f>IFERROR(__xludf.DUMMYFUNCTION("""COMPUTED_VALUE"""),"When your team has less Treasure secured: Reduce damage recieved by 5%.")</f>
        <v>When your team has less Treasure secured: Reduce damage recieved by 5%.</v>
      </c>
      <c r="D275" s="163" t="str">
        <f>IFERROR(__xludf.DUMMYFUNCTION("""COMPUTED_VALUE"""),"2 Years Later ~ Straw Hat Pirates ~ Zoan ~ Doctor")</f>
        <v>2 Years Later ~ Straw Hat Pirates ~ Zoan ~ Doctor</v>
      </c>
      <c r="E275" s="164" t="str">
        <f>IFERROR(__xludf.DUMMYFUNCTION("""COMPUTED_VALUE"""),"https://i.postimg.cc/QtB05P0Y/069.png")</f>
        <v>https://i.postimg.cc/QtB05P0Y/069.png</v>
      </c>
      <c r="F275" s="162"/>
      <c r="G275" s="163" t="str">
        <f>IFERROR(__xludf.DUMMYFUNCTION("""COMPUTED_VALUE"""),"E-35")</f>
        <v>E-35</v>
      </c>
      <c r="H275" s="163" t="str">
        <f>IFERROR(__xludf.DUMMYFUNCTION("""COMPUTED_VALUE"""),"Lucci (STAMPEDE)")</f>
        <v>Lucci (STAMPEDE)</v>
      </c>
      <c r="I275" s="163" t="str">
        <f>IFERROR(__xludf.DUMMYFUNCTION("""COMPUTED_VALUE"""),"When an ally is KO`d (not including you): Recover HP by 3%.")</f>
        <v>When an ally is KO`d (not including you): Recover HP by 3%.</v>
      </c>
      <c r="J275" s="163" t="str">
        <f>IFERROR(__xludf.DUMMYFUNCTION("""COMPUTED_VALUE"""),"STAMPEDE ~ Zoan")</f>
        <v>STAMPEDE ~ Zoan</v>
      </c>
      <c r="K275" s="164" t="str">
        <f>IFERROR(__xludf.DUMMYFUNCTION("""COMPUTED_VALUE"""),"https://i.postimg.cc/PqSJwfxh/035.png")</f>
        <v>https://i.postimg.cc/PqSJwfxh/035.png</v>
      </c>
      <c r="L275" s="162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</row>
    <row r="276">
      <c r="A276" s="163" t="str">
        <f>IFERROR(__xludf.DUMMYFUNCTION("""COMPUTED_VALUE"""),"G-68")</f>
        <v>G-68</v>
      </c>
      <c r="B276" s="163" t="str">
        <f>IFERROR(__xludf.DUMMYFUNCTION("""COMPUTED_VALUE"""),"Kizaru")</f>
        <v>Kizaru</v>
      </c>
      <c r="C276" s="163" t="str">
        <f>IFERROR(__xludf.DUMMYFUNCTION("""COMPUTED_VALUE"""),"When attacked by an enemy: 30% chance to, Nullify Stun.")</f>
        <v>When attacked by an enemy: 30% chance to, Nullify Stun.</v>
      </c>
      <c r="D276" s="163" t="str">
        <f>IFERROR(__xludf.DUMMYFUNCTION("""COMPUTED_VALUE"""),"The Paramount War at Marineford ~ Navy ~ Logia ~ Navy Admiral / Former Navy Admiral")</f>
        <v>The Paramount War at Marineford ~ Navy ~ Logia ~ Navy Admiral / Former Navy Admiral</v>
      </c>
      <c r="E276" s="164" t="str">
        <f>IFERROR(__xludf.DUMMYFUNCTION("""COMPUTED_VALUE"""),"https://i.postimg.cc/76pXNVRH/068.png")</f>
        <v>https://i.postimg.cc/76pXNVRH/068.png</v>
      </c>
      <c r="F276" s="162"/>
      <c r="G276" s="163" t="str">
        <f>IFERROR(__xludf.DUMMYFUNCTION("""COMPUTED_VALUE"""),"E-34")</f>
        <v>E-34</v>
      </c>
      <c r="H276" s="163" t="str">
        <f>IFERROR(__xludf.DUMMYFUNCTION("""COMPUTED_VALUE"""),"Tashigi (STAMPEDE)")</f>
        <v>Tashigi (STAMPEDE)</v>
      </c>
      <c r="I276" s="163" t="str">
        <f>IFERROR(__xludf.DUMMYFUNCTION("""COMPUTED_VALUE"""),"When your HP is 30% or less: Reduce damage recieved by 3%.")</f>
        <v>When your HP is 30% or less: Reduce damage recieved by 3%.</v>
      </c>
      <c r="J276" s="163" t="str">
        <f>IFERROR(__xludf.DUMMYFUNCTION("""COMPUTED_VALUE"""),"STAMPEDE ~ Navy ~ Navy Captain")</f>
        <v>STAMPEDE ~ Navy ~ Navy Captain</v>
      </c>
      <c r="K276" s="164" t="str">
        <f>IFERROR(__xludf.DUMMYFUNCTION("""COMPUTED_VALUE"""),"https://i.postimg.cc/xCqCyrJm/034.png")</f>
        <v>https://i.postimg.cc/xCqCyrJm/034.png</v>
      </c>
      <c r="L276" s="162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</row>
    <row r="277">
      <c r="A277" s="163" t="str">
        <f>IFERROR(__xludf.DUMMYFUNCTION("""COMPUTED_VALUE"""),"G-67")</f>
        <v>G-67</v>
      </c>
      <c r="B277" s="163" t="str">
        <f>IFERROR(__xludf.DUMMYFUNCTION("""COMPUTED_VALUE"""),"Bonney")</f>
        <v>Bonney</v>
      </c>
      <c r="C277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D277" s="163" t="str">
        <f>IFERROR(__xludf.DUMMYFUNCTION("""COMPUTED_VALUE"""),"Sabaody Archipelago / Island of Women ~ Bonney Pirates ~ Paramecia ~ Captain ~ Worst Generation")</f>
        <v>Sabaody Archipelago / Island of Women ~ Bonney Pirates ~ Paramecia ~ Captain ~ Worst Generation</v>
      </c>
      <c r="E277" s="164" t="str">
        <f>IFERROR(__xludf.DUMMYFUNCTION("""COMPUTED_VALUE"""),"https://i.postimg.cc/cCwhk3qQ/067.png")</f>
        <v>https://i.postimg.cc/cCwhk3qQ/067.png</v>
      </c>
      <c r="F277" s="162"/>
      <c r="G277" s="163" t="str">
        <f>IFERROR(__xludf.DUMMYFUNCTION("""COMPUTED_VALUE"""),"E-33")</f>
        <v>E-33</v>
      </c>
      <c r="H277" s="163" t="str">
        <f>IFERROR(__xludf.DUMMYFUNCTION("""COMPUTED_VALUE"""),"Festa")</f>
        <v>Festa</v>
      </c>
      <c r="I277" s="163" t="str">
        <f>IFERROR(__xludf.DUMMYFUNCTION("""COMPUTED_VALUE"""),"When Respawned: CRIT Boosted by 80% for 20 second(s).")</f>
        <v>When Respawned: CRIT Boosted by 80% for 20 second(s).</v>
      </c>
      <c r="J277" s="163" t="str">
        <f>IFERROR(__xludf.DUMMYFUNCTION("""COMPUTED_VALUE"""),"STAMPEDE ~ ")</f>
        <v>STAMPEDE ~ </v>
      </c>
      <c r="K277" s="164" t="str">
        <f>IFERROR(__xludf.DUMMYFUNCTION("""COMPUTED_VALUE"""),"https://i.postimg.cc/N0sLF2Qp/033.png")</f>
        <v>https://i.postimg.cc/N0sLF2Qp/033.png</v>
      </c>
      <c r="L277" s="162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</row>
    <row r="278">
      <c r="A278" s="163" t="str">
        <f>IFERROR(__xludf.DUMMYFUNCTION("""COMPUTED_VALUE"""),"G-66")</f>
        <v>G-66</v>
      </c>
      <c r="B278" s="163" t="str">
        <f>IFERROR(__xludf.DUMMYFUNCTION("""COMPUTED_VALUE"""),"Green Star")</f>
        <v>Green Star</v>
      </c>
      <c r="C278" s="163" t="str">
        <f>IFERROR(__xludf.DUMMYFUNCTION("""COMPUTED_VALUE"""),"When you are in your Enemy`s Treasure Area and the Treasure Gauge is 50% or more: Boost capture speed by 8%.")</f>
        <v>When you are in your Enemy`s Treasure Area and the Treasure Gauge is 50% or more: Boost capture speed by 8%.</v>
      </c>
      <c r="D278" s="163" t="str">
        <f>IFERROR(__xludf.DUMMYFUNCTION("""COMPUTED_VALUE"""),"2 Years Later ~ Straw Hat Pirates ~ Sharp Shooter")</f>
        <v>2 Years Later ~ Straw Hat Pirates ~ Sharp Shooter</v>
      </c>
      <c r="E278" s="164" t="str">
        <f>IFERROR(__xludf.DUMMYFUNCTION("""COMPUTED_VALUE"""),"https://i.postimg.cc/FsbGj0Vv/066.png")</f>
        <v>https://i.postimg.cc/FsbGj0Vv/066.png</v>
      </c>
      <c r="F278" s="162"/>
      <c r="G278" s="163" t="str">
        <f>IFERROR(__xludf.DUMMYFUNCTION("""COMPUTED_VALUE"""),"E-32")</f>
        <v>E-32</v>
      </c>
      <c r="H278" s="163" t="str">
        <f>IFERROR(__xludf.DUMMYFUNCTION("""COMPUTED_VALUE"""),"Bullet (STAMPEDE)")</f>
        <v>Bullet (STAMPEDE)</v>
      </c>
      <c r="I278" s="163" t="str">
        <f>IFERROR(__xludf.DUMMYFUNCTION("""COMPUTED_VALUE"""),"When attacked by an enemy: 30% chance to, Nullify Tremor.")</f>
        <v>When attacked by an enemy: 30% chance to, Nullify Tremor.</v>
      </c>
      <c r="J278" s="163" t="str">
        <f>IFERROR(__xludf.DUMMYFUNCTION("""COMPUTED_VALUE"""),"STAMPEDE ~ Paramecia ~ Roger Pirates / Ex_Roger Pirates")</f>
        <v>STAMPEDE ~ Paramecia ~ Roger Pirates / Ex_Roger Pirates</v>
      </c>
      <c r="K278" s="164" t="str">
        <f>IFERROR(__xludf.DUMMYFUNCTION("""COMPUTED_VALUE"""),"https://i.postimg.cc/QdkHjJZF/032.png")</f>
        <v>https://i.postimg.cc/QdkHjJZF/032.png</v>
      </c>
      <c r="L278" s="162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</row>
    <row r="279">
      <c r="A279" s="163" t="str">
        <f>IFERROR(__xludf.DUMMYFUNCTION("""COMPUTED_VALUE"""),"G-65")</f>
        <v>G-65</v>
      </c>
      <c r="B279" s="163" t="str">
        <f>IFERROR(__xludf.DUMMYFUNCTION("""COMPUTED_VALUE"""),"Concasser")</f>
        <v>Concasser</v>
      </c>
      <c r="C279" s="163" t="str">
        <f>IFERROR(__xludf.DUMMYFUNCTION("""COMPUTED_VALUE"""),"When your team loses the Treasure: SPD Boosted by 6% for 20 second(s).")</f>
        <v>When your team loses the Treasure: SPD Boosted by 6% for 20 second(s).</v>
      </c>
      <c r="D279" s="163" t="str">
        <f>IFERROR(__xludf.DUMMYFUNCTION("""COMPUTED_VALUE"""),"2 Years Later ~ Straw Hat Pirates ~ Cook")</f>
        <v>2 Years Later ~ Straw Hat Pirates ~ Cook</v>
      </c>
      <c r="E279" s="164" t="str">
        <f>IFERROR(__xludf.DUMMYFUNCTION("""COMPUTED_VALUE"""),"https://i.postimg.cc/HkB2NHNP/065.png")</f>
        <v>https://i.postimg.cc/HkB2NHNP/065.png</v>
      </c>
      <c r="F279" s="162"/>
      <c r="G279" s="163" t="str">
        <f>IFERROR(__xludf.DUMMYFUNCTION("""COMPUTED_VALUE"""),"E-31")</f>
        <v>E-31</v>
      </c>
      <c r="H279" s="163" t="str">
        <f>IFERROR(__xludf.DUMMYFUNCTION("""COMPUTED_VALUE"""),"Genius Jester")</f>
        <v>Genius Jester</v>
      </c>
      <c r="I279" s="163" t="str">
        <f>IFERROR(__xludf.DUMMYFUNCTION("""COMPUTED_VALUE"""),"When an ally is KO`d (not including you): Reduce the cooldown time of Skill 2 by 3%.")</f>
        <v>When an ally is KO`d (not including you): Reduce the cooldown time of Skill 2 by 3%.</v>
      </c>
      <c r="J279" s="163" t="str">
        <f>IFERROR(__xludf.DUMMYFUNCTION("""COMPUTED_VALUE"""),"The Seven Warlords of the Sea / Former Warlords of the Sea ~ Paramecia ~ Roger Pirates / Ex_Roger Pirates")</f>
        <v>The Seven Warlords of the Sea / Former Warlords of the Sea ~ Paramecia ~ Roger Pirates / Ex_Roger Pirates</v>
      </c>
      <c r="K279" s="164" t="str">
        <f>IFERROR(__xludf.DUMMYFUNCTION("""COMPUTED_VALUE"""),"https://i.postimg.cc/LX7sxyLb/031.png")</f>
        <v>https://i.postimg.cc/LX7sxyLb/031.png</v>
      </c>
      <c r="L279" s="162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</row>
    <row r="280">
      <c r="A280" s="163" t="str">
        <f>IFERROR(__xludf.DUMMYFUNCTION("""COMPUTED_VALUE"""),"G-64")</f>
        <v>G-64</v>
      </c>
      <c r="B280" s="163" t="str">
        <f>IFERROR(__xludf.DUMMYFUNCTION("""COMPUTED_VALUE"""),"Sabo")</f>
        <v>Sabo</v>
      </c>
      <c r="C280" s="163" t="str">
        <f>IFERROR(__xludf.DUMMYFUNCTION("""COMPUTED_VALUE"""),"When in the area around your captured Treasure: Reduce damage recieved by 5%.")</f>
        <v>When in the area around your captured Treasure: Reduce damage recieved by 5%.</v>
      </c>
      <c r="D280" s="163" t="str">
        <f>IFERROR(__xludf.DUMMYFUNCTION("""COMPUTED_VALUE"""),"Dressrosa ~ Revolutionary Army ~ Chief of Staff ~ Blood Brothers")</f>
        <v>Dressrosa ~ Revolutionary Army ~ Chief of Staff ~ Blood Brothers</v>
      </c>
      <c r="E280" s="164" t="str">
        <f>IFERROR(__xludf.DUMMYFUNCTION("""COMPUTED_VALUE"""),"https://i.postimg.cc/RZMdGqgH/064.png")</f>
        <v>https://i.postimg.cc/RZMdGqgH/064.png</v>
      </c>
      <c r="F280" s="162"/>
      <c r="G280" s="163" t="str">
        <f>IFERROR(__xludf.DUMMYFUNCTION("""COMPUTED_VALUE"""),"E-30")</f>
        <v>E-30</v>
      </c>
      <c r="H280" s="163" t="str">
        <f>IFERROR(__xludf.DUMMYFUNCTION("""COMPUTED_VALUE"""),"Red Hair")</f>
        <v>Red Hair</v>
      </c>
      <c r="I280" s="163" t="str">
        <f>IFERROR(__xludf.DUMMYFUNCTION("""COMPUTED_VALUE"""),"When performing a Perfect Dodge: Reduce the cooldown time of Skill 1 by 6%.")</f>
        <v>When performing a Perfect Dodge: Reduce the cooldown time of Skill 1 by 6%.</v>
      </c>
      <c r="J280" s="163" t="str">
        <f>IFERROR(__xludf.DUMMYFUNCTION("""COMPUTED_VALUE"""),"Captain ~ The Four Emperors ~ Roger Pirates / Ex_Roger Pirates")</f>
        <v>Captain ~ The Four Emperors ~ Roger Pirates / Ex_Roger Pirates</v>
      </c>
      <c r="K280" s="164" t="str">
        <f>IFERROR(__xludf.DUMMYFUNCTION("""COMPUTED_VALUE"""),"https://i.postimg.cc/QVZd3H6g/030.png")</f>
        <v>https://i.postimg.cc/QVZd3H6g/030.png</v>
      </c>
      <c r="L280" s="162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</row>
    <row r="281">
      <c r="A281" s="163" t="str">
        <f>IFERROR(__xludf.DUMMYFUNCTION("""COMPUTED_VALUE"""),"G-63")</f>
        <v>G-63</v>
      </c>
      <c r="B281" s="163" t="str">
        <f>IFERROR(__xludf.DUMMYFUNCTION("""COMPUTED_VALUE"""),"Thunder")</f>
        <v>Thunder</v>
      </c>
      <c r="C281" s="163" t="str">
        <f>IFERROR(__xludf.DUMMYFUNCTION("""COMPUTED_VALUE"""),"When you capture the Treasure: SPD Boosted by 6% for 20 second(s).")</f>
        <v>When you capture the Treasure: SPD Boosted by 6% for 20 second(s).</v>
      </c>
      <c r="D281" s="163" t="str">
        <f>IFERROR(__xludf.DUMMYFUNCTION("""COMPUTED_VALUE"""),"2 Years Later ~ Straw Hat Pirates ~ Navigator")</f>
        <v>2 Years Later ~ Straw Hat Pirates ~ Navigator</v>
      </c>
      <c r="E281" s="164" t="str">
        <f>IFERROR(__xludf.DUMMYFUNCTION("""COMPUTED_VALUE"""),"https://i.postimg.cc/50FSjz2Z/063.png")</f>
        <v>https://i.postimg.cc/50FSjz2Z/063.png</v>
      </c>
      <c r="F281" s="162"/>
      <c r="G281" s="163" t="str">
        <f>IFERROR(__xludf.DUMMYFUNCTION("""COMPUTED_VALUE"""),"E-29")</f>
        <v>E-29</v>
      </c>
      <c r="H281" s="163" t="str">
        <f>IFERROR(__xludf.DUMMYFUNCTION("""COMPUTED_VALUE"""),"Magician")</f>
        <v>Magician</v>
      </c>
      <c r="I281" s="163" t="str">
        <f>IFERROR(__xludf.DUMMYFUNCTION("""COMPUTED_VALUE"""),"After KOing an enemy: Reduce the cooldown time of Skill 1 by 6%.")</f>
        <v>After KOing an enemy: Reduce the cooldown time of Skill 1 by 6%.</v>
      </c>
      <c r="J281" s="163" t="str">
        <f>IFERROR(__xludf.DUMMYFUNCTION("""COMPUTED_VALUE"""),"Sabaody Archipelago / Island of Women ~ Paramecia ~ Captain ~ Worst Generation")</f>
        <v>Sabaody Archipelago / Island of Women ~ Paramecia ~ Captain ~ Worst Generation</v>
      </c>
      <c r="K281" s="164" t="str">
        <f>IFERROR(__xludf.DUMMYFUNCTION("""COMPUTED_VALUE"""),"https://i.postimg.cc/nVCTRT6Y/029.png")</f>
        <v>https://i.postimg.cc/nVCTRT6Y/029.png</v>
      </c>
      <c r="L281" s="162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</row>
    <row r="282">
      <c r="A282" s="163" t="str">
        <f>IFERROR(__xludf.DUMMYFUNCTION("""COMPUTED_VALUE"""),"G-62")</f>
        <v>G-62</v>
      </c>
      <c r="B282" s="163" t="str">
        <f>IFERROR(__xludf.DUMMYFUNCTION("""COMPUTED_VALUE"""),"Dragon Quake")</f>
        <v>Dragon Quake</v>
      </c>
      <c r="C282" s="163" t="str">
        <f>IFERROR(__xludf.DUMMYFUNCTION("""COMPUTED_VALUE"""),"When in the area around your captured Treasure: Boost the cooldown reduction speed of Skill 2 by 13%.")</f>
        <v>When in the area around your captured Treasure: Boost the cooldown reduction speed of Skill 2 by 13%.</v>
      </c>
      <c r="D282" s="163" t="str">
        <f>IFERROR(__xludf.DUMMYFUNCTION("""COMPUTED_VALUE"""),"2 Years Later ~ Straw Hat Pirates ~ Combatant ~ Worst Generation")</f>
        <v>2 Years Later ~ Straw Hat Pirates ~ Combatant ~ Worst Generation</v>
      </c>
      <c r="E282" s="164" t="str">
        <f>IFERROR(__xludf.DUMMYFUNCTION("""COMPUTED_VALUE"""),"https://i.postimg.cc/nrbYmLsM/062.png")</f>
        <v>https://i.postimg.cc/nrbYmLsM/062.png</v>
      </c>
      <c r="F282" s="162"/>
      <c r="G282" s="163" t="str">
        <f>IFERROR(__xludf.DUMMYFUNCTION("""COMPUTED_VALUE"""),"E-28")</f>
        <v>E-28</v>
      </c>
      <c r="H282" s="163" t="str">
        <f>IFERROR(__xludf.DUMMYFUNCTION("""COMPUTED_VALUE"""),"Gang")</f>
        <v>Gang</v>
      </c>
      <c r="I282" s="163" t="str">
        <f>IFERROR(__xludf.DUMMYFUNCTION("""COMPUTED_VALUE"""),"When your allies are near the Treasure area where you are at: Reduce damage recieved by 5%.")</f>
        <v>When your allies are near the Treasure area where you are at: Reduce damage recieved by 5%.</v>
      </c>
      <c r="J282" s="163" t="str">
        <f>IFERROR(__xludf.DUMMYFUNCTION("""COMPUTED_VALUE"""),"Sabaody Archipelago / Island of Women ~ Paramecia ~ Captain ~ Worst Generation")</f>
        <v>Sabaody Archipelago / Island of Women ~ Paramecia ~ Captain ~ Worst Generation</v>
      </c>
      <c r="K282" s="164" t="str">
        <f>IFERROR(__xludf.DUMMYFUNCTION("""COMPUTED_VALUE"""),"https://i.postimg.cc/fTdCZyWV/028.png")</f>
        <v>https://i.postimg.cc/fTdCZyWV/028.png</v>
      </c>
      <c r="L282" s="162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</row>
    <row r="283">
      <c r="A283" s="163" t="str">
        <f>IFERROR(__xludf.DUMMYFUNCTION("""COMPUTED_VALUE"""),"G-61")</f>
        <v>G-61</v>
      </c>
      <c r="B283" s="163" t="str">
        <f>IFERROR(__xludf.DUMMYFUNCTION("""COMPUTED_VALUE"""),"Vivi")</f>
        <v>Vivi</v>
      </c>
      <c r="C283" s="163" t="str">
        <f>IFERROR(__xludf.DUMMYFUNCTION("""COMPUTED_VALUE"""),"When your allies are not near the Treasure area where you are at: Boost the cooldown reduction speed of Skill 2 by 13%.")</f>
        <v>When your allies are not near the Treasure area where you are at: Boost the cooldown reduction speed of Skill 2 by 13%.</v>
      </c>
      <c r="D283" s="163" t="str">
        <f>IFERROR(__xludf.DUMMYFUNCTION("""COMPUTED_VALUE"""),"Reverie ~ Royalty / Former Royalty ~ Alabasta Kingdom")</f>
        <v>Reverie ~ Royalty / Former Royalty ~ Alabasta Kingdom</v>
      </c>
      <c r="E283" s="164" t="str">
        <f>IFERROR(__xludf.DUMMYFUNCTION("""COMPUTED_VALUE"""),"https://i.postimg.cc/90dPYjTb/061.png")</f>
        <v>https://i.postimg.cc/90dPYjTb/061.png</v>
      </c>
      <c r="F283" s="162"/>
      <c r="G283" s="163" t="str">
        <f>IFERROR(__xludf.DUMMYFUNCTION("""COMPUTED_VALUE"""),"E-27")</f>
        <v>E-27</v>
      </c>
      <c r="H283" s="163" t="str">
        <f>IFERROR(__xludf.DUMMYFUNCTION("""COMPUTED_VALUE"""),"Helmeppo Chief Petty Officer")</f>
        <v>Helmeppo Chief Petty Officer</v>
      </c>
      <c r="I283" s="163" t="str">
        <f>IFERROR(__xludf.DUMMYFUNCTION("""COMPUTED_VALUE"""),"When using Skill 1: Reduce the cooldown time of Skill 2 by 3%.")</f>
        <v>When using Skill 1: Reduce the cooldown time of Skill 2 by 3%.</v>
      </c>
      <c r="J283" s="163" t="str">
        <f>IFERROR(__xludf.DUMMYFUNCTION("""COMPUTED_VALUE"""),"The Paramount War at Marineford ~ Navy")</f>
        <v>The Paramount War at Marineford ~ Navy</v>
      </c>
      <c r="K283" s="164" t="str">
        <f>IFERROR(__xludf.DUMMYFUNCTION("""COMPUTED_VALUE"""),"https://i.postimg.cc/gcQsf8p9/027.png")</f>
        <v>https://i.postimg.cc/gcQsf8p9/027.png</v>
      </c>
      <c r="L283" s="162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</row>
    <row r="284">
      <c r="A284" s="163" t="str">
        <f>IFERROR(__xludf.DUMMYFUNCTION("""COMPUTED_VALUE"""),"G-60")</f>
        <v>G-60</v>
      </c>
      <c r="B284" s="163" t="str">
        <f>IFERROR(__xludf.DUMMYFUNCTION("""COMPUTED_VALUE"""),"Elephant Gatling")</f>
        <v>Elephant Gatling</v>
      </c>
      <c r="C284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284" s="163" t="str">
        <f>IFERROR(__xludf.DUMMYFUNCTION("""COMPUTED_VALUE"""),"2 Years Later ~ Straw Hat Pirates ~ Paramecia ~ Captain ~ Worst Generation ~ Blood Brothers")</f>
        <v>2 Years Later ~ Straw Hat Pirates ~ Paramecia ~ Captain ~ Worst Generation ~ Blood Brothers</v>
      </c>
      <c r="E284" s="164" t="str">
        <f>IFERROR(__xludf.DUMMYFUNCTION("""COMPUTED_VALUE"""),"https://i.postimg.cc/9XZBhyS9/060.png")</f>
        <v>https://i.postimg.cc/9XZBhyS9/060.png</v>
      </c>
      <c r="F284" s="162"/>
      <c r="G284" s="163" t="str">
        <f>IFERROR(__xludf.DUMMYFUNCTION("""COMPUTED_VALUE"""),"E-26")</f>
        <v>E-26</v>
      </c>
      <c r="H284" s="163" t="str">
        <f>IFERROR(__xludf.DUMMYFUNCTION("""COMPUTED_VALUE"""),"Koby Master Chief Petty Officer")</f>
        <v>Koby Master Chief Petty Officer</v>
      </c>
      <c r="I284" s="163" t="str">
        <f>IFERROR(__xludf.DUMMYFUNCTION("""COMPUTED_VALUE"""),"When your HP is 30% or less: Boost the cooldown reduction speed of dodge by 13%.")</f>
        <v>When your HP is 30% or less: Boost the cooldown reduction speed of dodge by 13%.</v>
      </c>
      <c r="J284" s="163" t="str">
        <f>IFERROR(__xludf.DUMMYFUNCTION("""COMPUTED_VALUE"""),"The Paramount War at Marineford ~ Navy ~ Master Chief Petty Officer")</f>
        <v>The Paramount War at Marineford ~ Navy ~ Master Chief Petty Officer</v>
      </c>
      <c r="K284" s="164" t="str">
        <f>IFERROR(__xludf.DUMMYFUNCTION("""COMPUTED_VALUE"""),"https://i.postimg.cc/g2PD0prN/026.png")</f>
        <v>https://i.postimg.cc/g2PD0prN/026.png</v>
      </c>
      <c r="L284" s="162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</row>
    <row r="285">
      <c r="A285" s="163" t="str">
        <f>IFERROR(__xludf.DUMMYFUNCTION("""COMPUTED_VALUE"""),"G-59")</f>
        <v>G-59</v>
      </c>
      <c r="B285" s="163" t="str">
        <f>IFERROR(__xludf.DUMMYFUNCTION("""COMPUTED_VALUE"""),"Law")</f>
        <v>Law</v>
      </c>
      <c r="C285" s="163" t="str">
        <f>IFERROR(__xludf.DUMMYFUNCTION("""COMPUTED_VALUE"""),"When in the area around your captured Treasure: Boost the cooldown reduction speed of Skill 1 by 13%.")</f>
        <v>When in the area around your captured Treasure: Boost the cooldown reduction speed of Skill 1 by 13%.</v>
      </c>
      <c r="D285" s="163" t="str">
        <f>IFERROR(__xludf.DUMMYFUNCTION("""COMPUTED_VALUE"""),"Sabaody Archipelago / Island of Women ~ Paramecia ~ Captain ~ Worst Generation ~ Heart Pirates")</f>
        <v>Sabaody Archipelago / Island of Women ~ Paramecia ~ Captain ~ Worst Generation ~ Heart Pirates</v>
      </c>
      <c r="E285" s="164" t="str">
        <f>IFERROR(__xludf.DUMMYFUNCTION("""COMPUTED_VALUE"""),"https://i.postimg.cc/SN4fNJFv/059.png")</f>
        <v>https://i.postimg.cc/SN4fNJFv/059.png</v>
      </c>
      <c r="F285" s="162"/>
      <c r="G285" s="163" t="str">
        <f>IFERROR(__xludf.DUMMYFUNCTION("""COMPUTED_VALUE"""),"E-25")</f>
        <v>E-25</v>
      </c>
      <c r="H285" s="163" t="str">
        <f>IFERROR(__xludf.DUMMYFUNCTION("""COMPUTED_VALUE"""),"Roar of the Sea")</f>
        <v>Roar of the Sea</v>
      </c>
      <c r="I285" s="163" t="str">
        <f>IFERROR(__xludf.DUMMYFUNCTION("""COMPUTED_VALUE"""),"When your HP is 70% or more: Boost capture speed by 6%.")</f>
        <v>When your HP is 70% or more: Boost capture speed by 6%.</v>
      </c>
      <c r="J285" s="163" t="str">
        <f>IFERROR(__xludf.DUMMYFUNCTION("""COMPUTED_VALUE"""),"Sabaody Archipelago / Island of Women ~ Captain ~ Worst Generation")</f>
        <v>Sabaody Archipelago / Island of Women ~ Captain ~ Worst Generation</v>
      </c>
      <c r="K285" s="164" t="str">
        <f>IFERROR(__xludf.DUMMYFUNCTION("""COMPUTED_VALUE"""),"https://i.postimg.cc/vm0LX6hN/025.png")</f>
        <v>https://i.postimg.cc/vm0LX6hN/025.png</v>
      </c>
      <c r="L285" s="162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</row>
    <row r="286">
      <c r="A286" s="163" t="str">
        <f>IFERROR(__xludf.DUMMYFUNCTION("""COMPUTED_VALUE"""),"G-58")</f>
        <v>G-58</v>
      </c>
      <c r="B286" s="163" t="str">
        <f>IFERROR(__xludf.DUMMYFUNCTION("""COMPUTED_VALUE"""),"Kid")</f>
        <v>Kid</v>
      </c>
      <c r="C286" s="163" t="str">
        <f>IFERROR(__xludf.DUMMYFUNCTION("""COMPUTED_VALUE"""),"When your HP is 70% or more: Reduce damage recieved by 5%.")</f>
        <v>When your HP is 70% or more: Reduce damage recieved by 5%.</v>
      </c>
      <c r="D286" s="163" t="str">
        <f>IFERROR(__xludf.DUMMYFUNCTION("""COMPUTED_VALUE"""),"Sabaody Archipelago / Island of Women ~ Kid Pirates ~ Paramecia ~ Captain ~ Worst Generation")</f>
        <v>Sabaody Archipelago / Island of Women ~ Kid Pirates ~ Paramecia ~ Captain ~ Worst Generation</v>
      </c>
      <c r="E286" s="164" t="str">
        <f>IFERROR(__xludf.DUMMYFUNCTION("""COMPUTED_VALUE"""),"https://i.postimg.cc/Hks0XRL0/058.png")</f>
        <v>https://i.postimg.cc/Hks0XRL0/058.png</v>
      </c>
      <c r="F286" s="162"/>
      <c r="G286" s="163" t="str">
        <f>IFERROR(__xludf.DUMMYFUNCTION("""COMPUTED_VALUE"""),"E-24")</f>
        <v>E-24</v>
      </c>
      <c r="H286" s="163" t="str">
        <f>IFERROR(__xludf.DUMMYFUNCTION("""COMPUTED_VALUE"""),"Red Flag")</f>
        <v>Red Flag</v>
      </c>
      <c r="I286" s="163" t="str">
        <f>IFERROR(__xludf.DUMMYFUNCTION("""COMPUTED_VALUE"""),"When your team has less Treasure secured: Boost the cooldown reduction speed of Skill 2 by 13%.")</f>
        <v>When your team has less Treasure secured: Boost the cooldown reduction speed of Skill 2 by 13%.</v>
      </c>
      <c r="J286" s="163" t="str">
        <f>IFERROR(__xludf.DUMMYFUNCTION("""COMPUTED_VALUE"""),"Sabaody Archipelago / Island of Women ~ Zoan ~ Captain ~ Worst Generation")</f>
        <v>Sabaody Archipelago / Island of Women ~ Zoan ~ Captain ~ Worst Generation</v>
      </c>
      <c r="K286" s="164" t="str">
        <f>IFERROR(__xludf.DUMMYFUNCTION("""COMPUTED_VALUE"""),"https://i.postimg.cc/mrLyQSY9/024.png")</f>
        <v>https://i.postimg.cc/mrLyQSY9/024.png</v>
      </c>
      <c r="L286" s="162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</row>
    <row r="287">
      <c r="A287" s="163" t="str">
        <f>IFERROR(__xludf.DUMMYFUNCTION("""COMPUTED_VALUE"""),"G-57")</f>
        <v>G-57</v>
      </c>
      <c r="B287" s="163" t="str">
        <f>IFERROR(__xludf.DUMMYFUNCTION("""COMPUTED_VALUE"""),"Bellamy")</f>
        <v>Bellamy</v>
      </c>
      <c r="C287" s="163" t="str">
        <f>IFERROR(__xludf.DUMMYFUNCTION("""COMPUTED_VALUE"""),"When in the area around your captured Treasure: Reduce damage recieved by 3%.")</f>
        <v>When in the area around your captured Treasure: Reduce damage recieved by 3%.</v>
      </c>
      <c r="D287" s="163" t="str">
        <f>IFERROR(__xludf.DUMMYFUNCTION("""COMPUTED_VALUE"""),"Sky Island / LRLL ~ Paramecia ~ Captain")</f>
        <v>Sky Island / LRLL ~ Paramecia ~ Captain</v>
      </c>
      <c r="E287" s="164" t="str">
        <f>IFERROR(__xludf.DUMMYFUNCTION("""COMPUTED_VALUE"""),"https://i.postimg.cc/28xFqrC8/057.png")</f>
        <v>https://i.postimg.cc/28xFqrC8/057.png</v>
      </c>
      <c r="F287" s="162"/>
      <c r="G287" s="163" t="str">
        <f>IFERROR(__xludf.DUMMYFUNCTION("""COMPUTED_VALUE"""),"E-23")</f>
        <v>E-23</v>
      </c>
      <c r="H287" s="163" t="str">
        <f>IFERROR(__xludf.DUMMYFUNCTION("""COMPUTED_VALUE"""),"Ace (Child)")</f>
        <v>Ace (Child)</v>
      </c>
      <c r="I287" s="163" t="str">
        <f>IFERROR(__xludf.DUMMYFUNCTION("""COMPUTED_VALUE"""),"When Critical occurs: Recover HP by 1%.")</f>
        <v>When Critical occurs: Recover HP by 1%.</v>
      </c>
      <c r="J287" s="163" t="str">
        <f>IFERROR(__xludf.DUMMYFUNCTION("""COMPUTED_VALUE"""),"East Blue ~ Blood Brothers ~ Child")</f>
        <v>East Blue ~ Blood Brothers ~ Child</v>
      </c>
      <c r="K287" s="164" t="str">
        <f>IFERROR(__xludf.DUMMYFUNCTION("""COMPUTED_VALUE"""),"https://i.postimg.cc/T3qcLsDG/023.png")</f>
        <v>https://i.postimg.cc/T3qcLsDG/023.png</v>
      </c>
      <c r="L287" s="162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</row>
    <row r="288">
      <c r="A288" s="163" t="str">
        <f>IFERROR(__xludf.DUMMYFUNCTION("""COMPUTED_VALUE"""),"G-56")</f>
        <v>G-56</v>
      </c>
      <c r="B288" s="163" t="str">
        <f>IFERROR(__xludf.DUMMYFUNCTION("""COMPUTED_VALUE"""),"Arm Point")</f>
        <v>Arm Point</v>
      </c>
      <c r="C288" s="163" t="str">
        <f>IFERROR(__xludf.DUMMYFUNCTION("""COMPUTED_VALUE"""),"When your allies are not near the Treasure area where you are at: Boost the cooldown reduction speed of dodge by 13%.")</f>
        <v>When your allies are not near the Treasure area where you are at: Boost the cooldown reduction speed of dodge by 13%.</v>
      </c>
      <c r="D288" s="163" t="str">
        <f>IFERROR(__xludf.DUMMYFUNCTION("""COMPUTED_VALUE"""),"Sky Island / LRLL ~ Straw Hat Pirates ~ Zoan ~ Doctor")</f>
        <v>Sky Island / LRLL ~ Straw Hat Pirates ~ Zoan ~ Doctor</v>
      </c>
      <c r="E288" s="164" t="str">
        <f>IFERROR(__xludf.DUMMYFUNCTION("""COMPUTED_VALUE"""),"https://i.postimg.cc/0yWYfn6T/056.png")</f>
        <v>https://i.postimg.cc/0yWYfn6T/056.png</v>
      </c>
      <c r="F288" s="162"/>
      <c r="G288" s="163" t="str">
        <f>IFERROR(__xludf.DUMMYFUNCTION("""COMPUTED_VALUE"""),"E-22")</f>
        <v>E-22</v>
      </c>
      <c r="H288" s="163" t="str">
        <f>IFERROR(__xludf.DUMMYFUNCTION("""COMPUTED_VALUE"""),"Sabo (Child)")</f>
        <v>Sabo (Child)</v>
      </c>
      <c r="I288" s="163" t="str">
        <f>IFERROR(__xludf.DUMMYFUNCTION("""COMPUTED_VALUE"""),"When performing a Perfect Dodge: CRIT Boosted by 80% for 6 second(s).")</f>
        <v>When performing a Perfect Dodge: CRIT Boosted by 80% for 6 second(s).</v>
      </c>
      <c r="J288" s="163" t="str">
        <f>IFERROR(__xludf.DUMMYFUNCTION("""COMPUTED_VALUE"""),"East Blue ~ Blood Brothers ~ Child")</f>
        <v>East Blue ~ Blood Brothers ~ Child</v>
      </c>
      <c r="K288" s="164" t="str">
        <f>IFERROR(__xludf.DUMMYFUNCTION("""COMPUTED_VALUE"""),"https://i.postimg.cc/V659hLHL/022.png")</f>
        <v>https://i.postimg.cc/V659hLHL/022.png</v>
      </c>
      <c r="L288" s="162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</row>
    <row r="289">
      <c r="A289" s="163" t="str">
        <f>IFERROR(__xludf.DUMMYFUNCTION("""COMPUTED_VALUE"""),"G-55")</f>
        <v>G-55</v>
      </c>
      <c r="B289" s="163" t="str">
        <f>IFERROR(__xludf.DUMMYFUNCTION("""COMPUTED_VALUE"""),"108 Pound Phoenix")</f>
        <v>108 Pound Phoenix</v>
      </c>
      <c r="C289" s="163" t="str">
        <f>IFERROR(__xludf.DUMMYFUNCTION("""COMPUTED_VALUE"""),"When Respawned: SPD Boosted by 6% for 20 second(s).")</f>
        <v>When Respawned: SPD Boosted by 6% for 20 second(s).</v>
      </c>
      <c r="D289" s="163" t="str">
        <f>IFERROR(__xludf.DUMMYFUNCTION("""COMPUTED_VALUE"""),"Sky Island / LRLL ~ Straw Hat Pirates ~ Combatant")</f>
        <v>Sky Island / LRLL ~ Straw Hat Pirates ~ Combatant</v>
      </c>
      <c r="E289" s="164" t="str">
        <f>IFERROR(__xludf.DUMMYFUNCTION("""COMPUTED_VALUE"""),"https://i.postimg.cc/hGX93mTf/055.png")</f>
        <v>https://i.postimg.cc/hGX93mTf/055.png</v>
      </c>
      <c r="F289" s="162"/>
      <c r="G289" s="163" t="str">
        <f>IFERROR(__xludf.DUMMYFUNCTION("""COMPUTED_VALUE"""),"E-21")</f>
        <v>E-21</v>
      </c>
      <c r="H289" s="163" t="str">
        <f>IFERROR(__xludf.DUMMYFUNCTION("""COMPUTED_VALUE"""),"Attendant of Dressrosa")</f>
        <v>Attendant of Dressrosa</v>
      </c>
      <c r="I289" s="163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J289" s="163" t="str">
        <f>IFERROR(__xludf.DUMMYFUNCTION("""COMPUTED_VALUE"""),"Reverie ~ Royalty / Former Royalty")</f>
        <v>Reverie ~ Royalty / Former Royalty</v>
      </c>
      <c r="K289" s="164" t="str">
        <f>IFERROR(__xludf.DUMMYFUNCTION("""COMPUTED_VALUE"""),"https://i.postimg.cc/63SVxJDV/021.png")</f>
        <v>https://i.postimg.cc/63SVxJDV/021.png</v>
      </c>
      <c r="L289" s="162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</row>
    <row r="290">
      <c r="A290" s="163" t="str">
        <f>IFERROR(__xludf.DUMMYFUNCTION("""COMPUTED_VALUE"""),"G-54")</f>
        <v>G-54</v>
      </c>
      <c r="B290" s="163" t="str">
        <f>IFERROR(__xludf.DUMMYFUNCTION("""COMPUTED_VALUE"""),"Moria")</f>
        <v>Moria</v>
      </c>
      <c r="C290" s="163" t="str">
        <f>IFERROR(__xludf.DUMMYFUNCTION("""COMPUTED_VALUE"""),"When an ally is KO`d (not including you): Recover HP by 3%.")</f>
        <v>When an ally is KO`d (not including you): Recover HP by 3%.</v>
      </c>
      <c r="D290" s="163" t="str">
        <f>IFERROR(__xludf.DUMMYFUNCTION("""COMPUTED_VALUE"""),"Thriller Bark ~ The Seven Warlords of the Sea / Former Warlords of the Sea ~ Paramecia ~ Captain ~ Thriller Bark Pirates")</f>
        <v>Thriller Bark ~ The Seven Warlords of the Sea / Former Warlords of the Sea ~ Paramecia ~ Captain ~ Thriller Bark Pirates</v>
      </c>
      <c r="E290" s="164" t="str">
        <f>IFERROR(__xludf.DUMMYFUNCTION("""COMPUTED_VALUE"""),"https://i.postimg.cc/QMvpLMJS/054.png")</f>
        <v>https://i.postimg.cc/QMvpLMJS/054.png</v>
      </c>
      <c r="F290" s="162"/>
      <c r="G290" s="163" t="str">
        <f>IFERROR(__xludf.DUMMYFUNCTION("""COMPUTED_VALUE"""),"E-20")</f>
        <v>E-20</v>
      </c>
      <c r="H290" s="163" t="str">
        <f>IFERROR(__xludf.DUMMYFUNCTION("""COMPUTED_VALUE"""),"Mermaid Princess")</f>
        <v>Mermaid Princess</v>
      </c>
      <c r="I290" s="163" t="str">
        <f>IFERROR(__xludf.DUMMYFUNCTION("""COMPUTED_VALUE"""),"When your HP is 70% or more: Boost the cooldown reduction speed of Skill 2 by 13%.")</f>
        <v>When your HP is 70% or more: Boost the cooldown reduction speed of Skill 2 by 13%.</v>
      </c>
      <c r="J290" s="163" t="str">
        <f>IFERROR(__xludf.DUMMYFUNCTION("""COMPUTED_VALUE"""),"Reverie ~ Royalty / Former Royalty")</f>
        <v>Reverie ~ Royalty / Former Royalty</v>
      </c>
      <c r="K290" s="164" t="str">
        <f>IFERROR(__xludf.DUMMYFUNCTION("""COMPUTED_VALUE"""),"https://i.postimg.cc/j27Hs3bp/020.png")</f>
        <v>https://i.postimg.cc/j27Hs3bp/020.png</v>
      </c>
      <c r="L290" s="162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</row>
    <row r="291">
      <c r="A291" s="163" t="str">
        <f>IFERROR(__xludf.DUMMYFUNCTION("""COMPUTED_VALUE"""),"G-53")</f>
        <v>G-53</v>
      </c>
      <c r="B291" s="163" t="str">
        <f>IFERROR(__xludf.DUMMYFUNCTION("""COMPUTED_VALUE"""),"Hancock")</f>
        <v>Hancock</v>
      </c>
      <c r="C291" s="163" t="str">
        <f>IFERROR(__xludf.DUMMYFUNCTION("""COMPUTED_VALUE"""),"When your team has more Treasure secured: Boost the cooldown reduction speed of Skill 1 by 13%.")</f>
        <v>When your team has more Treasure secured: Boost the cooldown reduction speed of Skill 1 by 13%.</v>
      </c>
      <c r="D291" s="163" t="str">
        <f>IFERROR(__xludf.DUMMYFUNCTION("""COMPUTED_VALUE"""),"Sabaody Archipelago / Island of Women ~ The Seven Warlords of the Sea / Former Warlords of the Sea ~ Kuja Pirates ~ Paramecia ~ Captain ~ Gorgon Sisters")</f>
        <v>Sabaody Archipelago / Island of Women ~ The Seven Warlords of the Sea / Former Warlords of the Sea ~ Kuja Pirates ~ Paramecia ~ Captain ~ Gorgon Sisters</v>
      </c>
      <c r="E291" s="164" t="str">
        <f>IFERROR(__xludf.DUMMYFUNCTION("""COMPUTED_VALUE"""),"https://i.postimg.cc/B6D2JGh3/053.png")</f>
        <v>https://i.postimg.cc/B6D2JGh3/053.png</v>
      </c>
      <c r="F291" s="162"/>
      <c r="G291" s="163" t="str">
        <f>IFERROR(__xludf.DUMMYFUNCTION("""COMPUTED_VALUE"""),"E-19")</f>
        <v>E-19</v>
      </c>
      <c r="H291" s="163" t="str">
        <f>IFERROR(__xludf.DUMMYFUNCTION("""COMPUTED_VALUE"""),"Mad Monk")</f>
        <v>Mad Monk</v>
      </c>
      <c r="I291" s="163" t="str">
        <f>IFERROR(__xludf.DUMMYFUNCTION("""COMPUTED_VALUE"""),"When you capture the Treasure: Reduce the cooldown time of Skill 2 by 5%.")</f>
        <v>When you capture the Treasure: Reduce the cooldown time of Skill 2 by 5%.</v>
      </c>
      <c r="J291" s="163" t="str">
        <f>IFERROR(__xludf.DUMMYFUNCTION("""COMPUTED_VALUE"""),"Sabaody Archipelago / Island of Women ~ Captain ~ Worst Generation")</f>
        <v>Sabaody Archipelago / Island of Women ~ Captain ~ Worst Generation</v>
      </c>
      <c r="K291" s="164" t="str">
        <f>IFERROR(__xludf.DUMMYFUNCTION("""COMPUTED_VALUE"""),"https://i.postimg.cc/NG977FHd/019.png")</f>
        <v>https://i.postimg.cc/NG977FHd/019.png</v>
      </c>
      <c r="L291" s="162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</row>
    <row r="292">
      <c r="A292" s="163" t="str">
        <f>IFERROR(__xludf.DUMMYFUNCTION("""COMPUTED_VALUE"""),"G-52")</f>
        <v>G-52</v>
      </c>
      <c r="B292" s="163" t="str">
        <f>IFERROR(__xludf.DUMMYFUNCTION("""COMPUTED_VALUE"""),"Ms. All Sunday")</f>
        <v>Ms. All Sunday</v>
      </c>
      <c r="C292" s="163" t="str">
        <f>IFERROR(__xludf.DUMMYFUNCTION("""COMPUTED_VALUE"""),"When your team has less Treasure secured: Boost capture speed by 8%.")</f>
        <v>When your team has less Treasure secured: Boost capture speed by 8%.</v>
      </c>
      <c r="D292" s="163" t="str">
        <f>IFERROR(__xludf.DUMMYFUNCTION("""COMPUTED_VALUE"""),"Alabasta ~ Baroque Works ~ Paramecia")</f>
        <v>Alabasta ~ Baroque Works ~ Paramecia</v>
      </c>
      <c r="E292" s="164" t="str">
        <f>IFERROR(__xludf.DUMMYFUNCTION("""COMPUTED_VALUE"""),"https://i.postimg.cc/Wzvg3fKk/052.png")</f>
        <v>https://i.postimg.cc/Wzvg3fKk/052.png</v>
      </c>
      <c r="F292" s="162"/>
      <c r="G292" s="163" t="str">
        <f>IFERROR(__xludf.DUMMYFUNCTION("""COMPUTED_VALUE"""),"E-18")</f>
        <v>E-18</v>
      </c>
      <c r="H292" s="163" t="str">
        <f>IFERROR(__xludf.DUMMYFUNCTION("""COMPUTED_VALUE"""),"Murder Machine")</f>
        <v>Murder Machine</v>
      </c>
      <c r="I292" s="163" t="str">
        <f>IFERROR(__xludf.DUMMYFUNCTION("""COMPUTED_VALUE"""),"When in the area around your enemy`s Treasure: Reduce damage recieved by 5%.")</f>
        <v>When in the area around your enemy`s Treasure: Reduce damage recieved by 5%.</v>
      </c>
      <c r="J292" s="163" t="str">
        <f>IFERROR(__xludf.DUMMYFUNCTION("""COMPUTED_VALUE"""),"Sabaody Archipelago / Island of Women ~ Kid Pirates ~ Combatant ~ Worst Generation")</f>
        <v>Sabaody Archipelago / Island of Women ~ Kid Pirates ~ Combatant ~ Worst Generation</v>
      </c>
      <c r="K292" s="164" t="str">
        <f>IFERROR(__xludf.DUMMYFUNCTION("""COMPUTED_VALUE"""),"https://i.postimg.cc/wxC5Wz5g/018.png")</f>
        <v>https://i.postimg.cc/wxC5Wz5g/018.png</v>
      </c>
      <c r="L292" s="162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</row>
    <row r="293">
      <c r="A293" s="163" t="str">
        <f>IFERROR(__xludf.DUMMYFUNCTION("""COMPUTED_VALUE"""),"G-51")</f>
        <v>G-51</v>
      </c>
      <c r="B293" s="163" t="str">
        <f>IFERROR(__xludf.DUMMYFUNCTION("""COMPUTED_VALUE"""),"Mr. 2")</f>
        <v>Mr. 2</v>
      </c>
      <c r="C293" s="163" t="str">
        <f>IFERROR(__xludf.DUMMYFUNCTION("""COMPUTED_VALUE"""),"When in the area around your enemy`s Treasure: Increase damage dealt by 5%.")</f>
        <v>When in the area around your enemy`s Treasure: Increase damage dealt by 5%.</v>
      </c>
      <c r="D293" s="163" t="str">
        <f>IFERROR(__xludf.DUMMYFUNCTION("""COMPUTED_VALUE"""),"Alabasta ~ Baroque Works ~ Paramecia ~ Officer Agent ~ New Kama")</f>
        <v>Alabasta ~ Baroque Works ~ Paramecia ~ Officer Agent ~ New Kama</v>
      </c>
      <c r="E293" s="164" t="str">
        <f>IFERROR(__xludf.DUMMYFUNCTION("""COMPUTED_VALUE"""),"https://i.postimg.cc/L53fZ3K0/051.png")</f>
        <v>https://i.postimg.cc/L53fZ3K0/051.png</v>
      </c>
      <c r="F293" s="162"/>
      <c r="G293" s="163" t="str">
        <f>IFERROR(__xludf.DUMMYFUNCTION("""COMPUTED_VALUE"""),"E-17")</f>
        <v>E-17</v>
      </c>
      <c r="H293" s="163" t="str">
        <f>IFERROR(__xludf.DUMMYFUNCTION("""COMPUTED_VALUE"""),"Swamp Challenge")</f>
        <v>Swamp Challenge</v>
      </c>
      <c r="I293" s="163" t="str">
        <f>IFERROR(__xludf.DUMMYFUNCTION("""COMPUTED_VALUE"""),"When your HP is 90% or more: Increase damage dealt by 5%.")</f>
        <v>When your HP is 90% or more: Increase damage dealt by 5%.</v>
      </c>
      <c r="J293" s="163" t="str">
        <f>IFERROR(__xludf.DUMMYFUNCTION("""COMPUTED_VALUE"""),"Sky Island / LRLL ~ God`s Army ~ Mantra")</f>
        <v>Sky Island / LRLL ~ God`s Army ~ Mantra</v>
      </c>
      <c r="K293" s="164" t="str">
        <f>IFERROR(__xludf.DUMMYFUNCTION("""COMPUTED_VALUE"""),"https://i.postimg.cc/8zHhPr2z/017.png")</f>
        <v>https://i.postimg.cc/8zHhPr2z/017.png</v>
      </c>
      <c r="L293" s="162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</row>
    <row r="294">
      <c r="A294" s="163" t="str">
        <f>IFERROR(__xludf.DUMMYFUNCTION("""COMPUTED_VALUE"""),"G-50")</f>
        <v>G-50</v>
      </c>
      <c r="B294" s="163" t="str">
        <f>IFERROR(__xludf.DUMMYFUNCTION("""COMPUTED_VALUE"""),"Aokiji")</f>
        <v>Aokiji</v>
      </c>
      <c r="C294" s="163" t="str">
        <f>IFERROR(__xludf.DUMMYFUNCTION("""COMPUTED_VALUE"""),"When attacked by an enemy: 30% chance to, Nullify Freeze.")</f>
        <v>When attacked by an enemy: 30% chance to, Nullify Freeze.</v>
      </c>
      <c r="D294" s="163" t="str">
        <f>IFERROR(__xludf.DUMMYFUNCTION("""COMPUTED_VALUE"""),"The Paramount War at Marineford ~ Navy ~ Logia ~ Navy Admiral / Former Navy Admiral")</f>
        <v>The Paramount War at Marineford ~ Navy ~ Logia ~ Navy Admiral / Former Navy Admiral</v>
      </c>
      <c r="E294" s="164" t="str">
        <f>IFERROR(__xludf.DUMMYFUNCTION("""COMPUTED_VALUE"""),"https://i.postimg.cc/66rCSt2L/050.png")</f>
        <v>https://i.postimg.cc/66rCSt2L/050.png</v>
      </c>
      <c r="F294" s="162"/>
      <c r="G294" s="163" t="str">
        <f>IFERROR(__xludf.DUMMYFUNCTION("""COMPUTED_VALUE"""),"E-16")</f>
        <v>E-16</v>
      </c>
      <c r="H294" s="163" t="str">
        <f>IFERROR(__xludf.DUMMYFUNCTION("""COMPUTED_VALUE"""),"Iron Challenge")</f>
        <v>Iron Challenge</v>
      </c>
      <c r="I294" s="163" t="str">
        <f>IFERROR(__xludf.DUMMYFUNCTION("""COMPUTED_VALUE"""),"When Critical occurs: Reduce the cooldown time of Skill 2 by 3%.")</f>
        <v>When Critical occurs: Reduce the cooldown time of Skill 2 by 3%.</v>
      </c>
      <c r="J294" s="163" t="str">
        <f>IFERROR(__xludf.DUMMYFUNCTION("""COMPUTED_VALUE"""),"Sky Island / LRLL ~ God`s Army ~ Mantra")</f>
        <v>Sky Island / LRLL ~ God`s Army ~ Mantra</v>
      </c>
      <c r="K294" s="164" t="str">
        <f>IFERROR(__xludf.DUMMYFUNCTION("""COMPUTED_VALUE"""),"https://i.postimg.cc/wTDXZrFJ/016.png")</f>
        <v>https://i.postimg.cc/wTDXZrFJ/016.png</v>
      </c>
      <c r="L294" s="162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</row>
    <row r="295">
      <c r="A295" s="163" t="str">
        <f>IFERROR(__xludf.DUMMYFUNCTION("""COMPUTED_VALUE"""),"G-49")</f>
        <v>G-49</v>
      </c>
      <c r="B295" s="163" t="str">
        <f>IFERROR(__xludf.DUMMYFUNCTION("""COMPUTED_VALUE"""),"Akainu")</f>
        <v>Akainu</v>
      </c>
      <c r="C295" s="163" t="str">
        <f>IFERROR(__xludf.DUMMYFUNCTION("""COMPUTED_VALUE"""),"When attacked by an enemy: 30% chance to, Nullify Aflame.")</f>
        <v>When attacked by an enemy: 30% chance to, Nullify Aflame.</v>
      </c>
      <c r="D295" s="163" t="str">
        <f>IFERROR(__xludf.DUMMYFUNCTION("""COMPUTED_VALUE"""),"The Paramount War at Marineford ~ Navy ~ Logia ~ Navy Admiral / Former Navy Admiral")</f>
        <v>The Paramount War at Marineford ~ Navy ~ Logia ~ Navy Admiral / Former Navy Admiral</v>
      </c>
      <c r="E295" s="164" t="str">
        <f>IFERROR(__xludf.DUMMYFUNCTION("""COMPUTED_VALUE"""),"https://i.postimg.cc/Wbs0cC0R/049.png")</f>
        <v>https://i.postimg.cc/Wbs0cC0R/049.png</v>
      </c>
      <c r="F295" s="162"/>
      <c r="G295" s="163" t="str">
        <f>IFERROR(__xludf.DUMMYFUNCTION("""COMPUTED_VALUE"""),"E-15")</f>
        <v>E-15</v>
      </c>
      <c r="H295" s="163" t="str">
        <f>IFERROR(__xludf.DUMMYFUNCTION("""COMPUTED_VALUE"""),"First Son of the Sea")</f>
        <v>First Son of the Sea</v>
      </c>
      <c r="I295" s="163" t="str">
        <f>IFERROR(__xludf.DUMMYFUNCTION("""COMPUTED_VALUE"""),"When using Skill 2: Reduce the cooldown time of Skill 1 by 3%.")</f>
        <v>When using Skill 2: Reduce the cooldown time of Skill 1 by 3%.</v>
      </c>
      <c r="J295" s="163" t="str">
        <f>IFERROR(__xludf.DUMMYFUNCTION("""COMPUTED_VALUE"""),"The Paramount War at Marineford ~ The Seven Warlords of the Sea / Former Warlords of the Sea ~ Captain ~ Fish_Man")</f>
        <v>The Paramount War at Marineford ~ The Seven Warlords of the Sea / Former Warlords of the Sea ~ Captain ~ Fish_Man</v>
      </c>
      <c r="K295" s="164" t="str">
        <f>IFERROR(__xludf.DUMMYFUNCTION("""COMPUTED_VALUE"""),"https://i.postimg.cc/qv0sTGZF/015.png")</f>
        <v>https://i.postimg.cc/qv0sTGZF/015.png</v>
      </c>
      <c r="L295" s="162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</row>
    <row r="296">
      <c r="A296" s="163" t="str">
        <f>IFERROR(__xludf.DUMMYFUNCTION("""COMPUTED_VALUE"""),"G-48")</f>
        <v>G-48</v>
      </c>
      <c r="B296" s="163" t="str">
        <f>IFERROR(__xludf.DUMMYFUNCTION("""COMPUTED_VALUE"""),"Fire Fist")</f>
        <v>Fire Fist</v>
      </c>
      <c r="C296" s="163" t="str">
        <f>IFERROR(__xludf.DUMMYFUNCTION("""COMPUTED_VALUE"""),"When there are 60 seconds or less remaining: CRIT Boosted by 120% for 20 second(s).")</f>
        <v>When there are 60 seconds or less remaining: CRIT Boosted by 120% for 20 second(s).</v>
      </c>
      <c r="D296" s="163" t="str">
        <f>IFERROR(__xludf.DUMMYFUNCTION("""COMPUTED_VALUE"""),"Alabasta ~ Whitebeard Pirates ~ Logia ~ Whitebeard Pirates Commander ~ Blood Brothers")</f>
        <v>Alabasta ~ Whitebeard Pirates ~ Logia ~ Whitebeard Pirates Commander ~ Blood Brothers</v>
      </c>
      <c r="E296" s="164" t="str">
        <f>IFERROR(__xludf.DUMMYFUNCTION("""COMPUTED_VALUE"""),"https://i.postimg.cc/vHXfYhv4/048.png")</f>
        <v>https://i.postimg.cc/vHXfYhv4/048.png</v>
      </c>
      <c r="F296" s="162"/>
      <c r="G296" s="163" t="str">
        <f>IFERROR(__xludf.DUMMYFUNCTION("""COMPUTED_VALUE"""),"E-14")</f>
        <v>E-14</v>
      </c>
      <c r="H296" s="163" t="str">
        <f>IFERROR(__xludf.DUMMYFUNCTION("""COMPUTED_VALUE"""),"Heavenly Demon")</f>
        <v>Heavenly Demon</v>
      </c>
      <c r="I296" s="163" t="str">
        <f>IFERROR(__xludf.DUMMYFUNCTION("""COMPUTED_VALUE"""),"When an ally is KO`d (not including you): Reduce the cooldown time of Skill 1 by 6%.")</f>
        <v>When an ally is KO`d (not including you): Reduce the cooldown time of Skill 1 by 6%.</v>
      </c>
      <c r="J296" s="163" t="str">
        <f>IFERROR(__xludf.DUMMYFUNCTION("""COMPUTED_VALUE"""),"The Paramount War at Marineford ~ The Seven Warlords of the Sea / Former Warlords of the Sea ~ Paramecia ~ Captain")</f>
        <v>The Paramount War at Marineford ~ The Seven Warlords of the Sea / Former Warlords of the Sea ~ Paramecia ~ Captain</v>
      </c>
      <c r="K296" s="164" t="str">
        <f>IFERROR(__xludf.DUMMYFUNCTION("""COMPUTED_VALUE"""),"https://i.postimg.cc/Pq51L5Hz/014.png")</f>
        <v>https://i.postimg.cc/Pq51L5Hz/014.png</v>
      </c>
      <c r="L296" s="162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</row>
    <row r="297">
      <c r="A297" s="163" t="str">
        <f>IFERROR(__xludf.DUMMYFUNCTION("""COMPUTED_VALUE"""),"G-47")</f>
        <v>G-47</v>
      </c>
      <c r="B297" s="163" t="str">
        <f>IFERROR(__xludf.DUMMYFUNCTION("""COMPUTED_VALUE"""),"Whitebeard")</f>
        <v>Whitebeard</v>
      </c>
      <c r="C297" s="163" t="str">
        <f>IFERROR(__xludf.DUMMYFUNCTION("""COMPUTED_VALUE"""),"When attacked by an enemy: 30% chance to, Nullify Tremor.")</f>
        <v>When attacked by an enemy: 30% chance to, Nullify Tremor.</v>
      </c>
      <c r="D297" s="163" t="str">
        <f>IFERROR(__xludf.DUMMYFUNCTION("""COMPUTED_VALUE"""),"The Paramount War at Marineford ~ Whitebeard Pirates ~ Paramecia ~ Captain ~ The Four Emperors ~ Former Rocks Pirates")</f>
        <v>The Paramount War at Marineford ~ Whitebeard Pirates ~ Paramecia ~ Captain ~ The Four Emperors ~ Former Rocks Pirates</v>
      </c>
      <c r="E297" s="164" t="str">
        <f>IFERROR(__xludf.DUMMYFUNCTION("""COMPUTED_VALUE"""),"https://i.postimg.cc/2SKWv5Mm/047.png")</f>
        <v>https://i.postimg.cc/2SKWv5Mm/047.png</v>
      </c>
      <c r="F297" s="162"/>
      <c r="G297" s="163" t="str">
        <f>IFERROR(__xludf.DUMMYFUNCTION("""COMPUTED_VALUE"""),"E-13")</f>
        <v>E-13</v>
      </c>
      <c r="H297" s="163" t="str">
        <f>IFERROR(__xludf.DUMMYFUNCTION("""COMPUTED_VALUE"""),"Mr. 3")</f>
        <v>Mr. 3</v>
      </c>
      <c r="I297" s="163" t="str">
        <f>IFERROR(__xludf.DUMMYFUNCTION("""COMPUTED_VALUE"""),"When your allies are not near the Treasure area where you are at: Reduce damage recieved by 6%.")</f>
        <v>When your allies are not near the Treasure area where you are at: Reduce damage recieved by 6%.</v>
      </c>
      <c r="J297" s="163" t="str">
        <f>IFERROR(__xludf.DUMMYFUNCTION("""COMPUTED_VALUE"""),"Alabasta ~ Baroque Works ~ Paramecia")</f>
        <v>Alabasta ~ Baroque Works ~ Paramecia</v>
      </c>
      <c r="K297" s="164" t="str">
        <f>IFERROR(__xludf.DUMMYFUNCTION("""COMPUTED_VALUE"""),"https://i.postimg.cc/7Lt0SrYv/013.png")</f>
        <v>https://i.postimg.cc/7Lt0SrYv/013.png</v>
      </c>
      <c r="L297" s="162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</row>
    <row r="298">
      <c r="A298" s="163" t="str">
        <f>IFERROR(__xludf.DUMMYFUNCTION("""COMPUTED_VALUE"""),"G-46")</f>
        <v>G-46</v>
      </c>
      <c r="B298" s="163" t="str">
        <f>IFERROR(__xludf.DUMMYFUNCTION("""COMPUTED_VALUE"""),"Eneru")</f>
        <v>Eneru</v>
      </c>
      <c r="C298" s="163" t="str">
        <f>IFERROR(__xludf.DUMMYFUNCTION("""COMPUTED_VALUE"""),"When your HP is 70% or more: Boost the cooldown reduction speed of Skill 1 by 13%.")</f>
        <v>When your HP is 70% or more: Boost the cooldown reduction speed of Skill 1 by 13%.</v>
      </c>
      <c r="D298" s="163" t="str">
        <f>IFERROR(__xludf.DUMMYFUNCTION("""COMPUTED_VALUE"""),"Sky Island / LRLL ~ God`s Army ~ Logia ~ Mantra")</f>
        <v>Sky Island / LRLL ~ God`s Army ~ Logia ~ Mantra</v>
      </c>
      <c r="E298" s="164" t="str">
        <f>IFERROR(__xludf.DUMMYFUNCTION("""COMPUTED_VALUE"""),"https://i.postimg.cc/L8XfnPyN/046.png")</f>
        <v>https://i.postimg.cc/L8XfnPyN/046.png</v>
      </c>
      <c r="F298" s="162"/>
      <c r="G298" s="163" t="str">
        <f>IFERROR(__xludf.DUMMYFUNCTION("""COMPUTED_VALUE"""),"E-12")</f>
        <v>E-12</v>
      </c>
      <c r="H298" s="163" t="str">
        <f>IFERROR(__xludf.DUMMYFUNCTION("""COMPUTED_VALUE"""),"Mr. 1")</f>
        <v>Mr. 1</v>
      </c>
      <c r="I298" s="163" t="str">
        <f>IFERROR(__xludf.DUMMYFUNCTION("""COMPUTED_VALUE"""),"When in the area around your enemy`s Treasure: Boost the cooldown reduction speed of Skill 1 by 13%.")</f>
        <v>When in the area around your enemy`s Treasure: Boost the cooldown reduction speed of Skill 1 by 13%.</v>
      </c>
      <c r="J298" s="163" t="str">
        <f>IFERROR(__xludf.DUMMYFUNCTION("""COMPUTED_VALUE"""),"Alabasta ~ Baroque Works ~ Paramecia ~ Bounty Hunter")</f>
        <v>Alabasta ~ Baroque Works ~ Paramecia ~ Bounty Hunter</v>
      </c>
      <c r="K298" s="164" t="str">
        <f>IFERROR(__xludf.DUMMYFUNCTION("""COMPUTED_VALUE"""),"https://i.postimg.cc/Y94g3Dhv/012.png")</f>
        <v>https://i.postimg.cc/Y94g3Dhv/012.png</v>
      </c>
      <c r="L298" s="162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</row>
    <row r="299">
      <c r="A299" s="163" t="str">
        <f>IFERROR(__xludf.DUMMYFUNCTION("""COMPUTED_VALUE"""),"G-45")</f>
        <v>G-45</v>
      </c>
      <c r="B299" s="163" t="str">
        <f>IFERROR(__xludf.DUMMYFUNCTION("""COMPUTED_VALUE"""),"Mr. Zero")</f>
        <v>Mr. Zero</v>
      </c>
      <c r="C299" s="163" t="str">
        <f>IFERROR(__xludf.DUMMYFUNCTION("""COMPUTED_VALUE"""),"After KOing an enemy: Recover HP by 5%.")</f>
        <v>After KOing an enemy: Recover HP by 5%.</v>
      </c>
      <c r="D299" s="163" t="str">
        <f>IFERROR(__xludf.DUMMYFUNCTION("""COMPUTED_VALUE"""),"Alabasta ~ The Seven Warlords of the Sea / Former Warlords of the Sea ~ Baroque Works ~ Logia")</f>
        <v>Alabasta ~ The Seven Warlords of the Sea / Former Warlords of the Sea ~ Baroque Works ~ Logia</v>
      </c>
      <c r="E299" s="164" t="str">
        <f>IFERROR(__xludf.DUMMYFUNCTION("""COMPUTED_VALUE"""),"https://i.postimg.cc/d0Zy9YcC/045.png")</f>
        <v>https://i.postimg.cc/d0Zy9YcC/045.png</v>
      </c>
      <c r="F299" s="162"/>
      <c r="G299" s="163" t="str">
        <f>IFERROR(__xludf.DUMMYFUNCTION("""COMPUTED_VALUE"""),"E-11")</f>
        <v>E-11</v>
      </c>
      <c r="H299" s="163" t="str">
        <f>IFERROR(__xludf.DUMMYFUNCTION("""COMPUTED_VALUE"""),"Tsuru")</f>
        <v>Tsuru</v>
      </c>
      <c r="I299" s="163" t="str">
        <f>IFERROR(__xludf.DUMMYFUNCTION("""COMPUTED_VALUE"""),"When your team loses the Treasure: Reduce the cooldown time of Skill 2 by 9%.")</f>
        <v>When your team loses the Treasure: Reduce the cooldown time of Skill 2 by 9%.</v>
      </c>
      <c r="J299" s="163" t="str">
        <f>IFERROR(__xludf.DUMMYFUNCTION("""COMPUTED_VALUE"""),"The Paramount War at Marineford ~ Navy ~ Paramecia")</f>
        <v>The Paramount War at Marineford ~ Navy ~ Paramecia</v>
      </c>
      <c r="K299" s="164" t="str">
        <f>IFERROR(__xludf.DUMMYFUNCTION("""COMPUTED_VALUE"""),"https://i.postimg.cc/k4kShNbf/011.png")</f>
        <v>https://i.postimg.cc/k4kShNbf/011.png</v>
      </c>
      <c r="L299" s="162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</row>
    <row r="300">
      <c r="A300" s="163" t="str">
        <f>IFERROR(__xludf.DUMMYFUNCTION("""COMPUTED_VALUE"""),"G-44")</f>
        <v>G-44</v>
      </c>
      <c r="B300" s="163" t="str">
        <f>IFERROR(__xludf.DUMMYFUNCTION("""COMPUTED_VALUE"""),"Peacock")</f>
        <v>Peacock</v>
      </c>
      <c r="C300" s="163" t="str">
        <f>IFERROR(__xludf.DUMMYFUNCTION("""COMPUTED_VALUE"""),"When your team has less Treasure secured: Boost the cooldown reduction speed of dodge by 13%.")</f>
        <v>When your team has less Treasure secured: Boost the cooldown reduction speed of dodge by 13%.</v>
      </c>
      <c r="D300" s="163" t="str">
        <f>IFERROR(__xludf.DUMMYFUNCTION("""COMPUTED_VALUE"""),"Alabasta ~ Straw Hat Pirates ~ Royalty / Former Royalty ~ Alabasta Kingdom")</f>
        <v>Alabasta ~ Straw Hat Pirates ~ Royalty / Former Royalty ~ Alabasta Kingdom</v>
      </c>
      <c r="E300" s="164" t="str">
        <f>IFERROR(__xludf.DUMMYFUNCTION("""COMPUTED_VALUE"""),"https://i.postimg.cc/RFrnsDvD/044.png")</f>
        <v>https://i.postimg.cc/RFrnsDvD/044.png</v>
      </c>
      <c r="F300" s="162"/>
      <c r="G300" s="163" t="str">
        <f>IFERROR(__xludf.DUMMYFUNCTION("""COMPUTED_VALUE"""),"E-10")</f>
        <v>E-10</v>
      </c>
      <c r="H300" s="163" t="str">
        <f>IFERROR(__xludf.DUMMYFUNCTION("""COMPUTED_VALUE"""),"Glint_Glint")</f>
        <v>Glint_Glint</v>
      </c>
      <c r="I300" s="163" t="str">
        <f>IFERROR(__xludf.DUMMYFUNCTION("""COMPUTED_VALUE"""),"When an ally is KO`d (not including you): SPD Boosted by 4% for 20 second(s).")</f>
        <v>When an ally is KO`d (not including you): SPD Boosted by 4% for 20 second(s).</v>
      </c>
      <c r="J300" s="163" t="str">
        <f>IFERROR(__xludf.DUMMYFUNCTION("""COMPUTED_VALUE"""),"The Paramount War at Marineford ~ Navy ~ Logia ~ Navy Admiral / Former Navy Admiral")</f>
        <v>The Paramount War at Marineford ~ Navy ~ Logia ~ Navy Admiral / Former Navy Admiral</v>
      </c>
      <c r="K300" s="164" t="str">
        <f>IFERROR(__xludf.DUMMYFUNCTION("""COMPUTED_VALUE"""),"https://i.postimg.cc/qqyKftc0/010.png")</f>
        <v>https://i.postimg.cc/qqyKftc0/010.png</v>
      </c>
      <c r="L300" s="162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</row>
    <row r="301">
      <c r="A301" s="163" t="str">
        <f>IFERROR(__xludf.DUMMYFUNCTION("""COMPUTED_VALUE"""),"G-43")</f>
        <v>G-43</v>
      </c>
      <c r="B301" s="163" t="str">
        <f>IFERROR(__xludf.DUMMYFUNCTION("""COMPUTED_VALUE"""),"Storm")</f>
        <v>Storm</v>
      </c>
      <c r="C301" s="163" t="str">
        <f>IFERROR(__xludf.DUMMYFUNCTION("""COMPUTED_VALUE"""),"When attacked by an enemy: 30% chance to, Nullify Shock.")</f>
        <v>When attacked by an enemy: 30% chance to, Nullify Shock.</v>
      </c>
      <c r="D301" s="163" t="str">
        <f>IFERROR(__xludf.DUMMYFUNCTION("""COMPUTED_VALUE"""),"Alabasta ~ Straw Hat Pirates ~ Paramecia ~ Captain ~ Blood Brothers")</f>
        <v>Alabasta ~ Straw Hat Pirates ~ Paramecia ~ Captain ~ Blood Brothers</v>
      </c>
      <c r="E301" s="164" t="str">
        <f>IFERROR(__xludf.DUMMYFUNCTION("""COMPUTED_VALUE"""),"https://i.postimg.cc/zBnH9FBX/043.png")</f>
        <v>https://i.postimg.cc/zBnH9FBX/043.png</v>
      </c>
      <c r="F301" s="162"/>
      <c r="G301" s="163" t="str">
        <f>IFERROR(__xludf.DUMMYFUNCTION("""COMPUTED_VALUE"""),"E-9")</f>
        <v>E-9</v>
      </c>
      <c r="H301" s="163" t="str">
        <f>IFERROR(__xludf.DUMMYFUNCTION("""COMPUTED_VALUE"""),"Jackal")</f>
        <v>Jackal</v>
      </c>
      <c r="I301" s="163" t="str">
        <f>IFERROR(__xludf.DUMMYFUNCTION("""COMPUTED_VALUE"""),"When your allies are not near the Treasure area where you are at: Increase damage dealt by 3%.")</f>
        <v>When your allies are not near the Treasure area where you are at: Increase damage dealt by 3%.</v>
      </c>
      <c r="J301" s="163" t="str">
        <f>IFERROR(__xludf.DUMMYFUNCTION("""COMPUTED_VALUE"""),"Alabasta ~ Zoan")</f>
        <v>Alabasta ~ Zoan</v>
      </c>
      <c r="K301" s="164" t="str">
        <f>IFERROR(__xludf.DUMMYFUNCTION("""COMPUTED_VALUE"""),"https://i.postimg.cc/HWyX8NqK/009.png")</f>
        <v>https://i.postimg.cc/HWyX8NqK/009.png</v>
      </c>
      <c r="L301" s="162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</row>
    <row r="302">
      <c r="A302" s="163" t="str">
        <f>IFERROR(__xludf.DUMMYFUNCTION("""COMPUTED_VALUE"""),"G-42")</f>
        <v>G-42</v>
      </c>
      <c r="B302" s="163" t="str">
        <f>IFERROR(__xludf.DUMMYFUNCTION("""COMPUTED_VALUE"""),"Wapol")</f>
        <v>Wapol</v>
      </c>
      <c r="C302" s="163" t="str">
        <f>IFERROR(__xludf.DUMMYFUNCTION("""COMPUTED_VALUE"""),"When your team has more Treasure secured: Boost capture speed by 12%.")</f>
        <v>When your team has more Treasure secured: Boost capture speed by 12%.</v>
      </c>
      <c r="D302" s="163" t="str">
        <f>IFERROR(__xludf.DUMMYFUNCTION("""COMPUTED_VALUE"""),"The Grand Line ~ Paramecia ~ Captain ~ Royalty / Former Royalty")</f>
        <v>The Grand Line ~ Paramecia ~ Captain ~ Royalty / Former Royalty</v>
      </c>
      <c r="E302" s="164" t="str">
        <f>IFERROR(__xludf.DUMMYFUNCTION("""COMPUTED_VALUE"""),"https://i.postimg.cc/5ybQ1QY5/042.png")</f>
        <v>https://i.postimg.cc/5ybQ1QY5/042.png</v>
      </c>
      <c r="F302" s="162"/>
      <c r="G302" s="163" t="str">
        <f>IFERROR(__xludf.DUMMYFUNCTION("""COMPUTED_VALUE"""),"E-8")</f>
        <v>E-8</v>
      </c>
      <c r="H302" s="163" t="str">
        <f>IFERROR(__xludf.DUMMYFUNCTION("""COMPUTED_VALUE"""),"Falcon")</f>
        <v>Falcon</v>
      </c>
      <c r="I302" s="163" t="str">
        <f>IFERROR(__xludf.DUMMYFUNCTION("""COMPUTED_VALUE"""),"When there are 45 seconds or less remaining: Boost capture speed by 18%.")</f>
        <v>When there are 45 seconds or less remaining: Boost capture speed by 18%.</v>
      </c>
      <c r="J302" s="163" t="str">
        <f>IFERROR(__xludf.DUMMYFUNCTION("""COMPUTED_VALUE"""),"Alabasta ~ Zoan")</f>
        <v>Alabasta ~ Zoan</v>
      </c>
      <c r="K302" s="164" t="str">
        <f>IFERROR(__xludf.DUMMYFUNCTION("""COMPUTED_VALUE"""),"https://i.postimg.cc/dtcd2Bv0/008.png")</f>
        <v>https://i.postimg.cc/dtcd2Bv0/008.png</v>
      </c>
      <c r="L302" s="162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</row>
    <row r="303">
      <c r="A303" s="163" t="str">
        <f>IFERROR(__xludf.DUMMYFUNCTION("""COMPUTED_VALUE"""),"G-41")</f>
        <v>G-41</v>
      </c>
      <c r="B303" s="163" t="str">
        <f>IFERROR(__xludf.DUMMYFUNCTION("""COMPUTED_VALUE"""),"Smoker")</f>
        <v>Smoker</v>
      </c>
      <c r="C303" s="163" t="str">
        <f>IFERROR(__xludf.DUMMYFUNCTION("""COMPUTED_VALUE"""),"When Respawned: SPD Boosted by 6% for 20 second(s).")</f>
        <v>When Respawned: SPD Boosted by 6% for 20 second(s).</v>
      </c>
      <c r="D303" s="163" t="str">
        <f>IFERROR(__xludf.DUMMYFUNCTION("""COMPUTED_VALUE"""),"The Grand Line ~ Navy ~ Logia ~ Navy Captain")</f>
        <v>The Grand Line ~ Navy ~ Logia ~ Navy Captain</v>
      </c>
      <c r="E303" s="164" t="str">
        <f>IFERROR(__xludf.DUMMYFUNCTION("""COMPUTED_VALUE"""),"https://i.postimg.cc/Rhd60CKk/041.png")</f>
        <v>https://i.postimg.cc/Rhd60CKk/041.png</v>
      </c>
      <c r="F303" s="162"/>
      <c r="G303" s="163" t="str">
        <f>IFERROR(__xludf.DUMMYFUNCTION("""COMPUTED_VALUE"""),"E-7")</f>
        <v>E-7</v>
      </c>
      <c r="H303" s="163" t="str">
        <f>IFERROR(__xludf.DUMMYFUNCTION("""COMPUTED_VALUE"""),"Diamond")</f>
        <v>Diamond</v>
      </c>
      <c r="I303" s="163" t="str">
        <f>IFERROR(__xludf.DUMMYFUNCTION("""COMPUTED_VALUE"""),"When your HP is 15% or less: Reduce damage recieved by 6%.")</f>
        <v>When your HP is 15% or less: Reduce damage recieved by 6%.</v>
      </c>
      <c r="J303" s="163" t="str">
        <f>IFERROR(__xludf.DUMMYFUNCTION("""COMPUTED_VALUE"""),"The Paramount War at Marineford ~ Whitebeard Pirates ~ Paramecia")</f>
        <v>The Paramount War at Marineford ~ Whitebeard Pirates ~ Paramecia</v>
      </c>
      <c r="K303" s="164" t="str">
        <f>IFERROR(__xludf.DUMMYFUNCTION("""COMPUTED_VALUE"""),"https://i.postimg.cc/bN0n3tN9/007.png")</f>
        <v>https://i.postimg.cc/bN0n3tN9/007.png</v>
      </c>
      <c r="L303" s="162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</row>
    <row r="304">
      <c r="A304" s="163" t="str">
        <f>IFERROR(__xludf.DUMMYFUNCTION("""COMPUTED_VALUE"""),"G-40")</f>
        <v>G-40</v>
      </c>
      <c r="B304" s="163" t="str">
        <f>IFERROR(__xludf.DUMMYFUNCTION("""COMPUTED_VALUE"""),"Battle_Ax")</f>
        <v>Battle_Ax</v>
      </c>
      <c r="C304" s="163" t="str">
        <f>IFERROR(__xludf.DUMMYFUNCTION("""COMPUTED_VALUE"""),"After KOing an enemy: Reduce the cooldown time of Skill 2 by 8%.")</f>
        <v>After KOing an enemy: Reduce the cooldown time of Skill 2 by 8%.</v>
      </c>
      <c r="D304" s="163" t="str">
        <f>IFERROR(__xludf.DUMMYFUNCTION("""COMPUTED_VALUE"""),"The Grand Line ~ Straw Hat Pirates ~ Paramecia ~ Captain ~ Blood Brothers")</f>
        <v>The Grand Line ~ Straw Hat Pirates ~ Paramecia ~ Captain ~ Blood Brothers</v>
      </c>
      <c r="E304" s="164" t="str">
        <f>IFERROR(__xludf.DUMMYFUNCTION("""COMPUTED_VALUE"""),"https://i.postimg.cc/dQjT66p5/040.png")</f>
        <v>https://i.postimg.cc/dQjT66p5/040.png</v>
      </c>
      <c r="F304" s="162"/>
      <c r="G304" s="163" t="str">
        <f>IFERROR(__xludf.DUMMYFUNCTION("""COMPUTED_VALUE"""),"E-6")</f>
        <v>E-6</v>
      </c>
      <c r="H304" s="163" t="str">
        <f>IFERROR(__xludf.DUMMYFUNCTION("""COMPUTED_VALUE"""),"Phoenix")</f>
        <v>Phoenix</v>
      </c>
      <c r="I304" s="163" t="str">
        <f>IFERROR(__xludf.DUMMYFUNCTION("""COMPUTED_VALUE"""),"When you capture the Treasure: Recover HP by 5%.")</f>
        <v>When you capture the Treasure: Recover HP by 5%.</v>
      </c>
      <c r="J304" s="163" t="str">
        <f>IFERROR(__xludf.DUMMYFUNCTION("""COMPUTED_VALUE"""),"The Paramount War at Marineford ~ Whitebeard Pirates ~ Zoan ~ Doctor")</f>
        <v>The Paramount War at Marineford ~ Whitebeard Pirates ~ Zoan ~ Doctor</v>
      </c>
      <c r="K304" s="164" t="str">
        <f>IFERROR(__xludf.DUMMYFUNCTION("""COMPUTED_VALUE"""),"https://i.postimg.cc/0y8w3yzR/006.png")</f>
        <v>https://i.postimg.cc/0y8w3yzR/006.png</v>
      </c>
      <c r="L304" s="162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</row>
    <row r="305">
      <c r="A305" s="163" t="str">
        <f>IFERROR(__xludf.DUMMYFUNCTION("""COMPUTED_VALUE"""),"G-39")</f>
        <v>G-39</v>
      </c>
      <c r="B305" s="163" t="str">
        <f>IFERROR(__xludf.DUMMYFUNCTION("""COMPUTED_VALUE"""),"Saw")</f>
        <v>Saw</v>
      </c>
      <c r="C305" s="163" t="str">
        <f>IFERROR(__xludf.DUMMYFUNCTION("""COMPUTED_VALUE"""),"After KOing an enemy: CRIT Boosted by 120% for 20 second(s).")</f>
        <v>After KOing an enemy: CRIT Boosted by 120% for 20 second(s).</v>
      </c>
      <c r="D305" s="163" t="str">
        <f>IFERROR(__xludf.DUMMYFUNCTION("""COMPUTED_VALUE"""),"East Blue ~ Arlong Pirates ~ Captain ~ Fish_Man")</f>
        <v>East Blue ~ Arlong Pirates ~ Captain ~ Fish_Man</v>
      </c>
      <c r="E305" s="164" t="str">
        <f>IFERROR(__xludf.DUMMYFUNCTION("""COMPUTED_VALUE"""),"https://i.postimg.cc/bNYSBbjp/039.png")</f>
        <v>https://i.postimg.cc/bNYSBbjp/039.png</v>
      </c>
      <c r="F305" s="162"/>
      <c r="G305" s="163" t="str">
        <f>IFERROR(__xludf.DUMMYFUNCTION("""COMPUTED_VALUE"""),"E-5")</f>
        <v>E-5</v>
      </c>
      <c r="H305" s="163" t="str">
        <f>IFERROR(__xludf.DUMMYFUNCTION("""COMPUTED_VALUE"""),"Rumble_Rumble")</f>
        <v>Rumble_Rumble</v>
      </c>
      <c r="I305" s="163" t="str">
        <f>IFERROR(__xludf.DUMMYFUNCTION("""COMPUTED_VALUE"""),"When attacked by an enemy: 3% chance to, Inflict Shock for 5 second(s).(Excludes some attacks)")</f>
        <v>When attacked by an enemy: 3% chance to, Inflict Shock for 5 second(s).(Excludes some attacks)</v>
      </c>
      <c r="J305" s="163" t="str">
        <f>IFERROR(__xludf.DUMMYFUNCTION("""COMPUTED_VALUE"""),"Sky Island / LRLL ~ God`s Army ~ Logia ~ Mantra")</f>
        <v>Sky Island / LRLL ~ God`s Army ~ Logia ~ Mantra</v>
      </c>
      <c r="K305" s="164" t="str">
        <f>IFERROR(__xludf.DUMMYFUNCTION("""COMPUTED_VALUE"""),"https://i.postimg.cc/SxDMpb9X/005.png")</f>
        <v>https://i.postimg.cc/SxDMpb9X/005.png</v>
      </c>
      <c r="L305" s="162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</row>
    <row r="306">
      <c r="A306" s="163" t="str">
        <f>IFERROR(__xludf.DUMMYFUNCTION("""COMPUTED_VALUE"""),"G-38")</f>
        <v>G-38</v>
      </c>
      <c r="B306" s="163" t="str">
        <f>IFERROR(__xludf.DUMMYFUNCTION("""COMPUTED_VALUE"""),"Hawk_Eye")</f>
        <v>Hawk_Eye</v>
      </c>
      <c r="C306" s="163" t="str">
        <f>IFERROR(__xludf.DUMMYFUNCTION("""COMPUTED_VALUE"""),"After KOing an enemy: Reduce the cooldown time of Skill 1 by 8%.")</f>
        <v>After KOing an enemy: Reduce the cooldown time of Skill 1 by 8%.</v>
      </c>
      <c r="D306" s="163" t="str">
        <f>IFERROR(__xludf.DUMMYFUNCTION("""COMPUTED_VALUE"""),"East Blue ~ The Seven Warlords of the Sea / Former Warlords of the Sea")</f>
        <v>East Blue ~ The Seven Warlords of the Sea / Former Warlords of the Sea</v>
      </c>
      <c r="E306" s="164" t="str">
        <f>IFERROR(__xludf.DUMMYFUNCTION("""COMPUTED_VALUE"""),"https://i.postimg.cc/bwsDzhJ5/038.png")</f>
        <v>https://i.postimg.cc/bwsDzhJ5/038.png</v>
      </c>
      <c r="F306" s="162"/>
      <c r="G306" s="163" t="str">
        <f>IFERROR(__xludf.DUMMYFUNCTION("""COMPUTED_VALUE"""),"E-4")</f>
        <v>E-4</v>
      </c>
      <c r="H306" s="163" t="str">
        <f>IFERROR(__xludf.DUMMYFUNCTION("""COMPUTED_VALUE"""),"Zoro (Child)")</f>
        <v>Zoro (Child)</v>
      </c>
      <c r="I306" s="163" t="str">
        <f>IFERROR(__xludf.DUMMYFUNCTION("""COMPUTED_VALUE"""),"Increase CRIT by 8%.")</f>
        <v>Increase CRIT by 8%.</v>
      </c>
      <c r="J306" s="163" t="str">
        <f>IFERROR(__xludf.DUMMYFUNCTION("""COMPUTED_VALUE"""),"East Blue ~ Child")</f>
        <v>East Blue ~ Child</v>
      </c>
      <c r="K306" s="164" t="str">
        <f>IFERROR(__xludf.DUMMYFUNCTION("""COMPUTED_VALUE"""),"https://i.postimg.cc/zfvRz2wx/004.png")</f>
        <v>https://i.postimg.cc/zfvRz2wx/004.png</v>
      </c>
      <c r="L306" s="162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</row>
    <row r="307">
      <c r="A307" s="163" t="str">
        <f>IFERROR(__xludf.DUMMYFUNCTION("""COMPUTED_VALUE"""),"G-37")</f>
        <v>G-37</v>
      </c>
      <c r="B307" s="163" t="str">
        <f>IFERROR(__xludf.DUMMYFUNCTION("""COMPUTED_VALUE"""),"Kaya")</f>
        <v>Kaya</v>
      </c>
      <c r="C307" s="163" t="str">
        <f>IFERROR(__xludf.DUMMYFUNCTION("""COMPUTED_VALUE"""),"When there are 60 seconds or less remaining: Boost the cooldown reduction speed of Skill 2 by 13%.")</f>
        <v>When there are 60 seconds or less remaining: Boost the cooldown reduction speed of Skill 2 by 13%.</v>
      </c>
      <c r="D307" s="163" t="str">
        <f>IFERROR(__xludf.DUMMYFUNCTION("""COMPUTED_VALUE"""),"East Blue")</f>
        <v>East Blue</v>
      </c>
      <c r="E307" s="164" t="str">
        <f>IFERROR(__xludf.DUMMYFUNCTION("""COMPUTED_VALUE"""),"https://i.postimg.cc/k5S2bvWF/037.png")</f>
        <v>https://i.postimg.cc/k5S2bvWF/037.png</v>
      </c>
      <c r="F307" s="162"/>
      <c r="G307" s="163" t="str">
        <f>IFERROR(__xludf.DUMMYFUNCTION("""COMPUTED_VALUE"""),"E-3")</f>
        <v>E-3</v>
      </c>
      <c r="H307" s="163" t="str">
        <f>IFERROR(__xludf.DUMMYFUNCTION("""COMPUTED_VALUE"""),"Luffy (Child)")</f>
        <v>Luffy (Child)</v>
      </c>
      <c r="I307" s="163" t="str">
        <f>IFERROR(__xludf.DUMMYFUNCTION("""COMPUTED_VALUE"""),"Increase HP by 8%.")</f>
        <v>Increase HP by 8%.</v>
      </c>
      <c r="J307" s="163" t="str">
        <f>IFERROR(__xludf.DUMMYFUNCTION("""COMPUTED_VALUE"""),"East Blue ~ Blood Brothers ~ Child")</f>
        <v>East Blue ~ Blood Brothers ~ Child</v>
      </c>
      <c r="K307" s="164" t="str">
        <f>IFERROR(__xludf.DUMMYFUNCTION("""COMPUTED_VALUE"""),"https://i.postimg.cc/Pq7vPb2T/003.png")</f>
        <v>https://i.postimg.cc/Pq7vPb2T/003.png</v>
      </c>
      <c r="L307" s="162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</row>
    <row r="308">
      <c r="A308" s="163" t="str">
        <f>IFERROR(__xludf.DUMMYFUNCTION("""COMPUTED_VALUE"""),"G-36")</f>
        <v>G-36</v>
      </c>
      <c r="B308" s="163" t="str">
        <f>IFERROR(__xludf.DUMMYFUNCTION("""COMPUTED_VALUE"""),"Yasopp")</f>
        <v>Yasopp</v>
      </c>
      <c r="C308" s="163" t="str">
        <f>IFERROR(__xludf.DUMMYFUNCTION("""COMPUTED_VALUE"""),"When you capture the Treasure: Reduce the cooldown time of Skill 1 by 8%.")</f>
        <v>When you capture the Treasure: Reduce the cooldown time of Skill 1 by 8%.</v>
      </c>
      <c r="D308" s="163" t="str">
        <f>IFERROR(__xludf.DUMMYFUNCTION("""COMPUTED_VALUE"""),"East Blue ~ Red_Haired Pirates ~ Sharp Shooter")</f>
        <v>East Blue ~ Red_Haired Pirates ~ Sharp Shooter</v>
      </c>
      <c r="E308" s="164" t="str">
        <f>IFERROR(__xludf.DUMMYFUNCTION("""COMPUTED_VALUE"""),"https://i.postimg.cc/28HLR6zv/036.png")</f>
        <v>https://i.postimg.cc/28HLR6zv/036.png</v>
      </c>
      <c r="F308" s="162"/>
      <c r="G308" s="163" t="str">
        <f>IFERROR(__xludf.DUMMYFUNCTION("""COMPUTED_VALUE"""),"E-2")</f>
        <v>E-2</v>
      </c>
      <c r="H308" s="163" t="str">
        <f>IFERROR(__xludf.DUMMYFUNCTION("""COMPUTED_VALUE"""),"Patty")</f>
        <v>Patty</v>
      </c>
      <c r="I308" s="163" t="str">
        <f>IFERROR(__xludf.DUMMYFUNCTION("""COMPUTED_VALUE"""),"Increase ATK by 4%.")</f>
        <v>Increase ATK by 4%.</v>
      </c>
      <c r="J308" s="163" t="str">
        <f>IFERROR(__xludf.DUMMYFUNCTION("""COMPUTED_VALUE"""),"East Blue ~ Cook")</f>
        <v>East Blue ~ Cook</v>
      </c>
      <c r="K308" s="164" t="str">
        <f>IFERROR(__xludf.DUMMYFUNCTION("""COMPUTED_VALUE"""),"https://i.postimg.cc/tTVZP1MP/002.png")</f>
        <v>https://i.postimg.cc/tTVZP1MP/002.png</v>
      </c>
      <c r="L308" s="162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</row>
    <row r="309">
      <c r="A309" s="163" t="str">
        <f>IFERROR(__xludf.DUMMYFUNCTION("""COMPUTED_VALUE"""),"G-35")</f>
        <v>G-35</v>
      </c>
      <c r="B309" s="163" t="str">
        <f>IFERROR(__xludf.DUMMYFUNCTION("""COMPUTED_VALUE"""),"Shanks")</f>
        <v>Shanks</v>
      </c>
      <c r="C309" s="163" t="str">
        <f>IFERROR(__xludf.DUMMYFUNCTION("""COMPUTED_VALUE"""),"When your HP is 70% or more: Boost the cooldown reduction speed of dodge by 13%.")</f>
        <v>When your HP is 70% or more: Boost the cooldown reduction speed of dodge by 13%.</v>
      </c>
      <c r="D309" s="163" t="str">
        <f>IFERROR(__xludf.DUMMYFUNCTION("""COMPUTED_VALUE"""),"East Blue ~ Red_Haired Pirates ~ Captain ~ Roger Pirates / Ex_Roger Pirates")</f>
        <v>East Blue ~ Red_Haired Pirates ~ Captain ~ Roger Pirates / Ex_Roger Pirates</v>
      </c>
      <c r="E309" s="164" t="str">
        <f>IFERROR(__xludf.DUMMYFUNCTION("""COMPUTED_VALUE"""),"https://i.postimg.cc/FH8fzBkH/035.png")</f>
        <v>https://i.postimg.cc/FH8fzBkH/035.png</v>
      </c>
      <c r="F309" s="162"/>
      <c r="G309" s="163" t="str">
        <f>IFERROR(__xludf.DUMMYFUNCTION("""COMPUTED_VALUE"""),"E-1")</f>
        <v>E-1</v>
      </c>
      <c r="H309" s="163" t="str">
        <f>IFERROR(__xludf.DUMMYFUNCTION("""COMPUTED_VALUE"""),"Mohji")</f>
        <v>Mohji</v>
      </c>
      <c r="I309" s="163" t="str">
        <f>IFERROR(__xludf.DUMMYFUNCTION("""COMPUTED_VALUE"""),"Increase HP by 4%.")</f>
        <v>Increase HP by 4%.</v>
      </c>
      <c r="J309" s="163" t="str">
        <f>IFERROR(__xludf.DUMMYFUNCTION("""COMPUTED_VALUE"""),"East Blue ~ Buggy Pirates")</f>
        <v>East Blue ~ Buggy Pirates</v>
      </c>
      <c r="K309" s="164" t="str">
        <f>IFERROR(__xludf.DUMMYFUNCTION("""COMPUTED_VALUE"""),"https://i.postimg.cc/prb9B2wS/001.png")</f>
        <v>https://i.postimg.cc/prb9B2wS/001.png</v>
      </c>
      <c r="L309" s="162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</row>
    <row r="310">
      <c r="A310" s="163" t="str">
        <f>IFERROR(__xludf.DUMMYFUNCTION("""COMPUTED_VALUE"""),"G-34")</f>
        <v>G-34</v>
      </c>
      <c r="B310" s="163" t="str">
        <f>IFERROR(__xludf.DUMMYFUNCTION("""COMPUTED_VALUE"""),"Lion Song")</f>
        <v>Lion Song</v>
      </c>
      <c r="C310" s="163" t="str">
        <f>IFERROR(__xludf.DUMMYFUNCTION("""COMPUTED_VALUE"""),"When your HP is 50% or less: CRIT Boosted by 90% for 20 second(s).")</f>
        <v>When your HP is 50% or less: CRIT Boosted by 90% for 20 second(s).</v>
      </c>
      <c r="D310" s="163" t="str">
        <f>IFERROR(__xludf.DUMMYFUNCTION("""COMPUTED_VALUE"""),"Alabasta ~ Straw Hat Pirates ~ Combatant")</f>
        <v>Alabasta ~ Straw Hat Pirates ~ Combatant</v>
      </c>
      <c r="E310" s="164" t="str">
        <f>IFERROR(__xludf.DUMMYFUNCTION("""COMPUTED_VALUE"""),"https://i.postimg.cc/sXRv9GcF/034.png")</f>
        <v>https://i.postimg.cc/sXRv9GcF/034.png</v>
      </c>
      <c r="F310" s="162"/>
      <c r="G310" s="163"/>
      <c r="H310" s="163"/>
      <c r="I310" s="163"/>
      <c r="J310" s="163"/>
      <c r="K310" s="163"/>
      <c r="L310" s="162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</row>
    <row r="311">
      <c r="A311" s="163" t="str">
        <f>IFERROR(__xludf.DUMMYFUNCTION("""COMPUTED_VALUE"""),"G-33")</f>
        <v>G-33</v>
      </c>
      <c r="B311" s="163" t="str">
        <f>IFERROR(__xludf.DUMMYFUNCTION("""COMPUTED_VALUE"""),"Veau")</f>
        <v>Veau</v>
      </c>
      <c r="C311" s="163" t="str">
        <f>IFERROR(__xludf.DUMMYFUNCTION("""COMPUTED_VALUE"""),"When your HP is 10% or less: Increase Treasure Gauge recovery amount.")</f>
        <v>When your HP is 10% or less: Increase Treasure Gauge recovery amount.</v>
      </c>
      <c r="D311" s="163" t="str">
        <f>IFERROR(__xludf.DUMMYFUNCTION("""COMPUTED_VALUE"""),"Alabasta ~ Straw Hat Pirates ~ Cook")</f>
        <v>Alabasta ~ Straw Hat Pirates ~ Cook</v>
      </c>
      <c r="E311" s="164" t="str">
        <f>IFERROR(__xludf.DUMMYFUNCTION("""COMPUTED_VALUE"""),"https://i.postimg.cc/rmCzhynD/033.png")</f>
        <v>https://i.postimg.cc/rmCzhynD/033.png</v>
      </c>
      <c r="F311" s="162"/>
      <c r="G311" s="163"/>
      <c r="H311" s="163"/>
      <c r="I311" s="163"/>
      <c r="J311" s="163"/>
      <c r="K311" s="163"/>
      <c r="L311" s="162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</row>
    <row r="312">
      <c r="A312" s="163" t="str">
        <f>IFERROR(__xludf.DUMMYFUNCTION("""COMPUTED_VALUE"""),"G-32")</f>
        <v>G-32</v>
      </c>
      <c r="B312" s="163" t="str">
        <f>IFERROR(__xludf.DUMMYFUNCTION("""COMPUTED_VALUE"""),"Pound")</f>
        <v>Pound</v>
      </c>
      <c r="C312" s="163" t="str">
        <f>IFERROR(__xludf.DUMMYFUNCTION("""COMPUTED_VALUE"""),"When attacking an enemy inflicted With Stun: Increase damage dealt by 3%.")</f>
        <v>When attacking an enemy inflicted With Stun: Increase damage dealt by 3%.</v>
      </c>
      <c r="D312" s="163" t="str">
        <f>IFERROR(__xludf.DUMMYFUNCTION("""COMPUTED_VALUE"""),"Alabasta ~ Straw Hat Pirates ~ Sharp Shooter")</f>
        <v>Alabasta ~ Straw Hat Pirates ~ Sharp Shooter</v>
      </c>
      <c r="E312" s="164" t="str">
        <f>IFERROR(__xludf.DUMMYFUNCTION("""COMPUTED_VALUE"""),"https://i.postimg.cc/x8f8Brht/032.png")</f>
        <v>https://i.postimg.cc/x8f8Brht/032.png</v>
      </c>
      <c r="F312" s="162"/>
      <c r="G312" s="163"/>
      <c r="H312" s="163"/>
      <c r="I312" s="163"/>
      <c r="J312" s="163"/>
      <c r="K312" s="163"/>
      <c r="L312" s="162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</row>
    <row r="313">
      <c r="A313" s="163" t="str">
        <f>IFERROR(__xludf.DUMMYFUNCTION("""COMPUTED_VALUE"""),"G-31")</f>
        <v>G-31</v>
      </c>
      <c r="B313" s="163" t="str">
        <f>IFERROR(__xludf.DUMMYFUNCTION("""COMPUTED_VALUE"""),"Climate Baton")</f>
        <v>Climate Baton</v>
      </c>
      <c r="C313" s="163" t="str">
        <f>IFERROR(__xludf.DUMMYFUNCTION("""COMPUTED_VALUE"""),"When your allies are near the Treasure area where you are at: Boost capture speed by 8%.")</f>
        <v>When your allies are near the Treasure area where you are at: Boost capture speed by 8%.</v>
      </c>
      <c r="D313" s="163" t="str">
        <f>IFERROR(__xludf.DUMMYFUNCTION("""COMPUTED_VALUE"""),"Alabasta ~ Straw Hat Pirates ~ Navigator")</f>
        <v>Alabasta ~ Straw Hat Pirates ~ Navigator</v>
      </c>
      <c r="E313" s="164" t="str">
        <f>IFERROR(__xludf.DUMMYFUNCTION("""COMPUTED_VALUE"""),"https://i.postimg.cc/prsrHGtx/031.png")</f>
        <v>https://i.postimg.cc/prsrHGtx/031.png</v>
      </c>
      <c r="F313" s="162"/>
      <c r="G313" s="163"/>
      <c r="H313" s="163"/>
      <c r="I313" s="163"/>
      <c r="J313" s="163"/>
      <c r="K313" s="163"/>
      <c r="L313" s="162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</row>
    <row r="314">
      <c r="A314" s="163" t="str">
        <f>IFERROR(__xludf.DUMMYFUNCTION("""COMPUTED_VALUE"""),"G-30")</f>
        <v>G-30</v>
      </c>
      <c r="B314" s="163" t="str">
        <f>IFERROR(__xludf.DUMMYFUNCTION("""COMPUTED_VALUE"""),"Ms. Wednesday")</f>
        <v>Ms. Wednesday</v>
      </c>
      <c r="C314" s="163" t="str">
        <f>IFERROR(__xludf.DUMMYFUNCTION("""COMPUTED_VALUE"""),"When you capture the Treasure: Reduce the cooldown time of Skill 1 by 6%.")</f>
        <v>When you capture the Treasure: Reduce the cooldown time of Skill 1 by 6%.</v>
      </c>
      <c r="D314" s="163" t="str">
        <f>IFERROR(__xludf.DUMMYFUNCTION("""COMPUTED_VALUE"""),"The Grand Line ~ Baroque Works")</f>
        <v>The Grand Line ~ Baroque Works</v>
      </c>
      <c r="E314" s="164" t="str">
        <f>IFERROR(__xludf.DUMMYFUNCTION("""COMPUTED_VALUE"""),"https://i.postimg.cc/2853wD45/028.png")</f>
        <v>https://i.postimg.cc/2853wD45/028.png</v>
      </c>
      <c r="F314" s="162"/>
      <c r="G314" s="163"/>
      <c r="H314" s="163"/>
      <c r="I314" s="163"/>
      <c r="J314" s="163"/>
      <c r="K314" s="163"/>
      <c r="L314" s="162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</row>
    <row r="315">
      <c r="A315" s="163" t="str">
        <f>IFERROR(__xludf.DUMMYFUNCTION("""COMPUTED_VALUE"""),"G-29")</f>
        <v>G-29</v>
      </c>
      <c r="B315" s="163" t="str">
        <f>IFERROR(__xludf.DUMMYFUNCTION("""COMPUTED_VALUE"""),"Slip_Slip")</f>
        <v>Slip_Slip</v>
      </c>
      <c r="C315" s="163" t="str">
        <f>IFERROR(__xludf.DUMMYFUNCTION("""COMPUTED_VALUE"""),"When there are 60 seconds or less remaining: Boost the cooldown reduction speed of Skill 1 by 10%.")</f>
        <v>When there are 60 seconds or less remaining: Boost the cooldown reduction speed of Skill 1 by 10%.</v>
      </c>
      <c r="D315" s="163" t="str">
        <f>IFERROR(__xludf.DUMMYFUNCTION("""COMPUTED_VALUE"""),"The Grand Line ~ The Alvida Pirates ~ Paramecia ~ Captain")</f>
        <v>The Grand Line ~ The Alvida Pirates ~ Paramecia ~ Captain</v>
      </c>
      <c r="E315" s="164" t="str">
        <f>IFERROR(__xludf.DUMMYFUNCTION("""COMPUTED_VALUE"""),"https://i.postimg.cc/xj5cMCN7/030.png")</f>
        <v>https://i.postimg.cc/xj5cMCN7/030.png</v>
      </c>
      <c r="F315" s="162"/>
      <c r="G315" s="163"/>
      <c r="H315" s="163"/>
      <c r="I315" s="163"/>
      <c r="J315" s="163"/>
      <c r="K315" s="163"/>
      <c r="L315" s="162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</row>
    <row r="316">
      <c r="A316" s="163" t="str">
        <f>IFERROR(__xludf.DUMMYFUNCTION("""COMPUTED_VALUE"""),"G-28")</f>
        <v>G-28</v>
      </c>
      <c r="B316" s="163" t="str">
        <f>IFERROR(__xludf.DUMMYFUNCTION("""COMPUTED_VALUE"""),"Tashigi")</f>
        <v>Tashigi</v>
      </c>
      <c r="C316" s="163" t="str">
        <f>IFERROR(__xludf.DUMMYFUNCTION("""COMPUTED_VALUE"""),"When you capture the Treasure: SPD Boosted by 4% for 20 second(s).")</f>
        <v>When you capture the Treasure: SPD Boosted by 4% for 20 second(s).</v>
      </c>
      <c r="D316" s="163" t="str">
        <f>IFERROR(__xludf.DUMMYFUNCTION("""COMPUTED_VALUE"""),"The Grand Line ~ Navy ~ Master Chief Petty Officer")</f>
        <v>The Grand Line ~ Navy ~ Master Chief Petty Officer</v>
      </c>
      <c r="E316" s="164" t="str">
        <f>IFERROR(__xludf.DUMMYFUNCTION("""COMPUTED_VALUE"""),"https://i.postimg.cc/cLgHpBky/029.png")</f>
        <v>https://i.postimg.cc/cLgHpBky/029.png</v>
      </c>
      <c r="F316" s="162"/>
      <c r="G316" s="163"/>
      <c r="H316" s="163"/>
      <c r="I316" s="163"/>
      <c r="J316" s="163"/>
      <c r="K316" s="163"/>
      <c r="L316" s="162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</row>
    <row r="317">
      <c r="A317" s="163" t="str">
        <f>IFERROR(__xludf.DUMMYFUNCTION("""COMPUTED_VALUE"""),"G-27")</f>
        <v>G-27</v>
      </c>
      <c r="B317" s="163" t="str">
        <f>IFERROR(__xludf.DUMMYFUNCTION("""COMPUTED_VALUE"""),"Choo")</f>
        <v>Choo</v>
      </c>
      <c r="C317" s="163" t="str">
        <f>IFERROR(__xludf.DUMMYFUNCTION("""COMPUTED_VALUE"""),"After KOing an enemy: CRIT Boosted by 90% for 20 second(s).")</f>
        <v>After KOing an enemy: CRIT Boosted by 90% for 20 second(s).</v>
      </c>
      <c r="D317" s="163" t="str">
        <f>IFERROR(__xludf.DUMMYFUNCTION("""COMPUTED_VALUE"""),"East Blue ~ Arlong Pirates ~ Fish_Man")</f>
        <v>East Blue ~ Arlong Pirates ~ Fish_Man</v>
      </c>
      <c r="E317" s="164" t="str">
        <f>IFERROR(__xludf.DUMMYFUNCTION("""COMPUTED_VALUE"""),"https://i.postimg.cc/vZJBbxC1/026.png")</f>
        <v>https://i.postimg.cc/vZJBbxC1/026.png</v>
      </c>
      <c r="F317" s="162"/>
      <c r="G317" s="163"/>
      <c r="H317" s="163"/>
      <c r="I317" s="163"/>
      <c r="J317" s="163"/>
      <c r="K317" s="163"/>
      <c r="L317" s="162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</row>
    <row r="318">
      <c r="A318" s="163" t="str">
        <f>IFERROR(__xludf.DUMMYFUNCTION("""COMPUTED_VALUE"""),"G-26")</f>
        <v>G-26</v>
      </c>
      <c r="B318" s="163" t="str">
        <f>IFERROR(__xludf.DUMMYFUNCTION("""COMPUTED_VALUE"""),"Kuroobi")</f>
        <v>Kuroobi</v>
      </c>
      <c r="C318" s="163" t="str">
        <f>IFERROR(__xludf.DUMMYFUNCTION("""COMPUTED_VALUE"""),"When your HP is 70% or more: Boost the cooldown reduction speed of Skill 1 by 10%.")</f>
        <v>When your HP is 70% or more: Boost the cooldown reduction speed of Skill 1 by 10%.</v>
      </c>
      <c r="D318" s="163" t="str">
        <f>IFERROR(__xludf.DUMMYFUNCTION("""COMPUTED_VALUE"""),"East Blue ~ Arlong Pirates ~ Fish_Man ~ Fish_Man Karate")</f>
        <v>East Blue ~ Arlong Pirates ~ Fish_Man ~ Fish_Man Karate</v>
      </c>
      <c r="E318" s="164" t="str">
        <f>IFERROR(__xludf.DUMMYFUNCTION("""COMPUTED_VALUE"""),"https://i.postimg.cc/L605QbT3/027.png")</f>
        <v>https://i.postimg.cc/L605QbT3/027.png</v>
      </c>
      <c r="F318" s="162"/>
      <c r="G318" s="163"/>
      <c r="H318" s="163"/>
      <c r="I318" s="163"/>
      <c r="J318" s="163"/>
      <c r="K318" s="163"/>
      <c r="L318" s="162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</row>
    <row r="319">
      <c r="A319" s="163" t="str">
        <f>IFERROR(__xludf.DUMMYFUNCTION("""COMPUTED_VALUE"""),"G-25")</f>
        <v>G-25</v>
      </c>
      <c r="B319" s="163" t="str">
        <f>IFERROR(__xludf.DUMMYFUNCTION("""COMPUTED_VALUE"""),"Hachi")</f>
        <v>Hachi</v>
      </c>
      <c r="C319" s="163" t="str">
        <f>IFERROR(__xludf.DUMMYFUNCTION("""COMPUTED_VALUE"""),"When your HP is 50% or less: Boost the cooldown reduction speed of Skill 1 by 10%.")</f>
        <v>When your HP is 50% or less: Boost the cooldown reduction speed of Skill 1 by 10%.</v>
      </c>
      <c r="D319" s="163" t="str">
        <f>IFERROR(__xludf.DUMMYFUNCTION("""COMPUTED_VALUE"""),"East Blue ~ Arlong Pirates ~ Fish_Man")</f>
        <v>East Blue ~ Arlong Pirates ~ Fish_Man</v>
      </c>
      <c r="E319" s="164" t="str">
        <f>IFERROR(__xludf.DUMMYFUNCTION("""COMPUTED_VALUE"""),"https://i.postimg.cc/63wpGJWt/025.png")</f>
        <v>https://i.postimg.cc/63wpGJWt/025.png</v>
      </c>
      <c r="F319" s="162"/>
      <c r="G319" s="163"/>
      <c r="H319" s="163"/>
      <c r="I319" s="163"/>
      <c r="J319" s="163"/>
      <c r="K319" s="163"/>
      <c r="L319" s="162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</row>
    <row r="320">
      <c r="A320" s="163" t="str">
        <f>IFERROR(__xludf.DUMMYFUNCTION("""COMPUTED_VALUE"""),"G-24")</f>
        <v>G-24</v>
      </c>
      <c r="B320" s="163" t="str">
        <f>IFERROR(__xludf.DUMMYFUNCTION("""COMPUTED_VALUE"""),"Don Krieg")</f>
        <v>Don Krieg</v>
      </c>
      <c r="C320" s="163" t="str">
        <f>IFERROR(__xludf.DUMMYFUNCTION("""COMPUTED_VALUE"""),"When an ally is KO`d (not including you): Reduce the cooldown time of Skill 1 by 3%.")</f>
        <v>When an ally is KO`d (not including you): Reduce the cooldown time of Skill 1 by 3%.</v>
      </c>
      <c r="D320" s="163" t="str">
        <f>IFERROR(__xludf.DUMMYFUNCTION("""COMPUTED_VALUE"""),"East Blue ~ Krieg`s Pirate Armada ~ Captain")</f>
        <v>East Blue ~ Krieg`s Pirate Armada ~ Captain</v>
      </c>
      <c r="E320" s="164" t="str">
        <f>IFERROR(__xludf.DUMMYFUNCTION("""COMPUTED_VALUE"""),"https://i.postimg.cc/Xv9vJ70s/024.png")</f>
        <v>https://i.postimg.cc/Xv9vJ70s/024.png</v>
      </c>
      <c r="F320" s="162"/>
      <c r="G320" s="163"/>
      <c r="H320" s="163"/>
      <c r="I320" s="163"/>
      <c r="J320" s="163"/>
      <c r="K320" s="163"/>
      <c r="L320" s="162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</row>
    <row r="321">
      <c r="A321" s="163" t="str">
        <f>IFERROR(__xludf.DUMMYFUNCTION("""COMPUTED_VALUE"""),"G-23")</f>
        <v>G-23</v>
      </c>
      <c r="B321" s="163" t="str">
        <f>IFERROR(__xludf.DUMMYFUNCTION("""COMPUTED_VALUE"""),"Gin")</f>
        <v>Gin</v>
      </c>
      <c r="C321" s="163" t="str">
        <f>IFERROR(__xludf.DUMMYFUNCTION("""COMPUTED_VALUE"""),"After KOing an enemy: Reduce the cooldown time of Skill 1 by 6%.")</f>
        <v>After KOing an enemy: Reduce the cooldown time of Skill 1 by 6%.</v>
      </c>
      <c r="D321" s="163" t="str">
        <f>IFERROR(__xludf.DUMMYFUNCTION("""COMPUTED_VALUE"""),"East Blue ~ Krieg`s Pirate Armada ~ Combatant")</f>
        <v>East Blue ~ Krieg`s Pirate Armada ~ Combatant</v>
      </c>
      <c r="E321" s="164" t="str">
        <f>IFERROR(__xludf.DUMMYFUNCTION("""COMPUTED_VALUE"""),"https://i.postimg.cc/d1Bt2H3d/023.png")</f>
        <v>https://i.postimg.cc/d1Bt2H3d/023.png</v>
      </c>
      <c r="F321" s="162"/>
      <c r="G321" s="163"/>
      <c r="H321" s="163"/>
      <c r="I321" s="163"/>
      <c r="J321" s="163"/>
      <c r="K321" s="163"/>
      <c r="L321" s="162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</row>
    <row r="322">
      <c r="A322" s="163" t="str">
        <f>IFERROR(__xludf.DUMMYFUNCTION("""COMPUTED_VALUE"""),"G-22")</f>
        <v>G-22</v>
      </c>
      <c r="B322" s="163" t="str">
        <f>IFERROR(__xludf.DUMMYFUNCTION("""COMPUTED_VALUE"""),"Zeff")</f>
        <v>Zeff</v>
      </c>
      <c r="C322" s="163" t="str">
        <f>IFERROR(__xludf.DUMMYFUNCTION("""COMPUTED_VALUE"""),"When there are 60 seconds or less remaining: CRIT Boosted by 90% for 20 second(s).")</f>
        <v>When there are 60 seconds or less remaining: CRIT Boosted by 90% for 20 second(s).</v>
      </c>
      <c r="D322" s="163" t="str">
        <f>IFERROR(__xludf.DUMMYFUNCTION("""COMPUTED_VALUE"""),"East Blue ~ Cook")</f>
        <v>East Blue ~ Cook</v>
      </c>
      <c r="E322" s="164" t="str">
        <f>IFERROR(__xludf.DUMMYFUNCTION("""COMPUTED_VALUE"""),"https://i.postimg.cc/QCdN0QKz/022.png")</f>
        <v>https://i.postimg.cc/QCdN0QKz/022.png</v>
      </c>
      <c r="F322" s="162"/>
      <c r="G322" s="163"/>
      <c r="H322" s="163"/>
      <c r="I322" s="163"/>
      <c r="J322" s="163"/>
      <c r="K322" s="163"/>
      <c r="L322" s="162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</row>
    <row r="323">
      <c r="A323" s="163" t="str">
        <f>IFERROR(__xludf.DUMMYFUNCTION("""COMPUTED_VALUE"""),"G-21")</f>
        <v>G-21</v>
      </c>
      <c r="B323" s="163" t="str">
        <f>IFERROR(__xludf.DUMMYFUNCTION("""COMPUTED_VALUE"""),"Kuro")</f>
        <v>Kuro</v>
      </c>
      <c r="C323" s="163" t="str">
        <f>IFERROR(__xludf.DUMMYFUNCTION("""COMPUTED_VALUE"""),"When your team has more Treasure secured: Boost the cooldown reduction speed of Skill 1 by 10%.")</f>
        <v>When your team has more Treasure secured: Boost the cooldown reduction speed of Skill 1 by 10%.</v>
      </c>
      <c r="D323" s="163" t="str">
        <f>IFERROR(__xludf.DUMMYFUNCTION("""COMPUTED_VALUE"""),"East Blue ~ Black Cat Pirates ~ Captain")</f>
        <v>East Blue ~ Black Cat Pirates ~ Captain</v>
      </c>
      <c r="E323" s="164" t="str">
        <f>IFERROR(__xludf.DUMMYFUNCTION("""COMPUTED_VALUE"""),"https://i.postimg.cc/d3NsXh8V/021.png")</f>
        <v>https://i.postimg.cc/d3NsXh8V/021.png</v>
      </c>
      <c r="F323" s="162"/>
      <c r="G323" s="163"/>
      <c r="H323" s="163"/>
      <c r="I323" s="163"/>
      <c r="J323" s="163"/>
      <c r="K323" s="163"/>
      <c r="L323" s="162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</row>
    <row r="324">
      <c r="A324" s="163" t="str">
        <f>IFERROR(__xludf.DUMMYFUNCTION("""COMPUTED_VALUE"""),"G-20")</f>
        <v>G-20</v>
      </c>
      <c r="B324" s="163" t="str">
        <f>IFERROR(__xludf.DUMMYFUNCTION("""COMPUTED_VALUE"""),"Buggy")</f>
        <v>Buggy</v>
      </c>
      <c r="C324" s="163" t="str">
        <f>IFERROR(__xludf.DUMMYFUNCTION("""COMPUTED_VALUE"""),"When your allies are near the Treasure area where you are at: Boost the cooldown reduction speed of Skill 1 by 10%.")</f>
        <v>When your allies are near the Treasure area where you are at: Boost the cooldown reduction speed of Skill 1 by 10%.</v>
      </c>
      <c r="D324" s="163" t="str">
        <f>IFERROR(__xludf.DUMMYFUNCTION("""COMPUTED_VALUE"""),"East Blue ~ Buggy Pirates ~ Paramecia ~ Captain ~ Roger Pirates / Ex_Roger Pirates")</f>
        <v>East Blue ~ Buggy Pirates ~ Paramecia ~ Captain ~ Roger Pirates / Ex_Roger Pirates</v>
      </c>
      <c r="E324" s="164" t="str">
        <f>IFERROR(__xludf.DUMMYFUNCTION("""COMPUTED_VALUE"""),"https://i.postimg.cc/XNsYXzT6/020.png")</f>
        <v>https://i.postimg.cc/XNsYXzT6/020.png</v>
      </c>
      <c r="F324" s="162"/>
      <c r="G324" s="163"/>
      <c r="H324" s="163"/>
      <c r="I324" s="163"/>
      <c r="J324" s="163"/>
      <c r="K324" s="163"/>
      <c r="L324" s="162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</row>
    <row r="325">
      <c r="A325" s="163" t="str">
        <f>IFERROR(__xludf.DUMMYFUNCTION("""COMPUTED_VALUE"""),"G-19")</f>
        <v>G-19</v>
      </c>
      <c r="B325" s="163" t="str">
        <f>IFERROR(__xludf.DUMMYFUNCTION("""COMPUTED_VALUE"""),"Johnny")</f>
        <v>Johnny</v>
      </c>
      <c r="C325" s="163" t="str">
        <f>IFERROR(__xludf.DUMMYFUNCTION("""COMPUTED_VALUE"""),"When your HP is 30% or less: Boost capture speed by 6%.")</f>
        <v>When your HP is 30% or less: Boost capture speed by 6%.</v>
      </c>
      <c r="D325" s="163" t="str">
        <f>IFERROR(__xludf.DUMMYFUNCTION("""COMPUTED_VALUE"""),"East Blue ~ Bounty Hunter")</f>
        <v>East Blue ~ Bounty Hunter</v>
      </c>
      <c r="E325" s="164" t="str">
        <f>IFERROR(__xludf.DUMMYFUNCTION("""COMPUTED_VALUE"""),"https://i.postimg.cc/wT3TNkpy/019.png")</f>
        <v>https://i.postimg.cc/wT3TNkpy/019.png</v>
      </c>
      <c r="F325" s="162"/>
      <c r="G325" s="163"/>
      <c r="H325" s="163"/>
      <c r="I325" s="163"/>
      <c r="J325" s="163"/>
      <c r="K325" s="163"/>
      <c r="L325" s="162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</row>
    <row r="326">
      <c r="A326" s="163" t="str">
        <f>IFERROR(__xludf.DUMMYFUNCTION("""COMPUTED_VALUE"""),"G-18")</f>
        <v>G-18</v>
      </c>
      <c r="B326" s="163" t="str">
        <f>IFERROR(__xludf.DUMMYFUNCTION("""COMPUTED_VALUE"""),"Yosaku")</f>
        <v>Yosaku</v>
      </c>
      <c r="C326" s="163" t="str">
        <f>IFERROR(__xludf.DUMMYFUNCTION("""COMPUTED_VALUE"""),"When your HP is 7% or less: Increase Treasure Gauge amount when you capture the Treasure.")</f>
        <v>When your HP is 7% or less: Increase Treasure Gauge amount when you capture the Treasure.</v>
      </c>
      <c r="D326" s="163" t="str">
        <f>IFERROR(__xludf.DUMMYFUNCTION("""COMPUTED_VALUE"""),"East Blue ~ Bounty Hunter")</f>
        <v>East Blue ~ Bounty Hunter</v>
      </c>
      <c r="E326" s="164" t="str">
        <f>IFERROR(__xludf.DUMMYFUNCTION("""COMPUTED_VALUE"""),"https://i.postimg.cc/7YcPnTHB/018.png")</f>
        <v>https://i.postimg.cc/7YcPnTHB/018.png</v>
      </c>
      <c r="F326" s="162"/>
      <c r="G326" s="163"/>
      <c r="H326" s="163"/>
      <c r="I326" s="163"/>
      <c r="J326" s="163"/>
      <c r="K326" s="163"/>
      <c r="L326" s="162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</row>
    <row r="327">
      <c r="A327" s="163" t="str">
        <f>IFERROR(__xludf.DUMMYFUNCTION("""COMPUTED_VALUE"""),"G-17")</f>
        <v>G-17</v>
      </c>
      <c r="B327" s="163" t="str">
        <f>IFERROR(__xludf.DUMMYFUNCTION("""COMPUTED_VALUE"""),"Butchie")</f>
        <v>Butchie</v>
      </c>
      <c r="C327" s="163" t="str">
        <f>IFERROR(__xludf.DUMMYFUNCTION("""COMPUTED_VALUE"""),"When your HP is 30% or less: SPD Boosted by 2% for 20 second(s).")</f>
        <v>When your HP is 30% or less: SPD Boosted by 2% for 20 second(s).</v>
      </c>
      <c r="D327" s="163" t="str">
        <f>IFERROR(__xludf.DUMMYFUNCTION("""COMPUTED_VALUE"""),"East Blue ~ Black Cat Pirates ~ Combatant")</f>
        <v>East Blue ~ Black Cat Pirates ~ Combatant</v>
      </c>
      <c r="E327" s="164" t="str">
        <f>IFERROR(__xludf.DUMMYFUNCTION("""COMPUTED_VALUE"""),"https://i.postimg.cc/6pvWj5TB/017.png")</f>
        <v>https://i.postimg.cc/6pvWj5TB/017.png</v>
      </c>
      <c r="F327" s="162"/>
      <c r="G327" s="163"/>
      <c r="H327" s="163"/>
      <c r="I327" s="163"/>
      <c r="J327" s="163"/>
      <c r="K327" s="163"/>
      <c r="L327" s="162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</row>
    <row r="328">
      <c r="A328" s="163" t="str">
        <f>IFERROR(__xludf.DUMMYFUNCTION("""COMPUTED_VALUE"""),"G-16")</f>
        <v>G-16</v>
      </c>
      <c r="B328" s="163" t="str">
        <f>IFERROR(__xludf.DUMMYFUNCTION("""COMPUTED_VALUE"""),"Django")</f>
        <v>Django</v>
      </c>
      <c r="C328" s="163" t="str">
        <f>IFERROR(__xludf.DUMMYFUNCTION("""COMPUTED_VALUE"""),"When your HP is 70% or more: Boost the cooldown reduction speed of Skill 1 by 7%.")</f>
        <v>When your HP is 70% or more: Boost the cooldown reduction speed of Skill 1 by 7%.</v>
      </c>
      <c r="D328" s="163" t="str">
        <f>IFERROR(__xludf.DUMMYFUNCTION("""COMPUTED_VALUE"""),"East Blue ~ Black Cat Pirates ~ Captain")</f>
        <v>East Blue ~ Black Cat Pirates ~ Captain</v>
      </c>
      <c r="E328" s="164" t="str">
        <f>IFERROR(__xludf.DUMMYFUNCTION("""COMPUTED_VALUE"""),"https://i.postimg.cc/ZqzT1typ/016.png")</f>
        <v>https://i.postimg.cc/ZqzT1typ/016.png</v>
      </c>
      <c r="F328" s="162"/>
      <c r="G328" s="163"/>
      <c r="H328" s="163"/>
      <c r="I328" s="163"/>
      <c r="J328" s="163"/>
      <c r="K328" s="163"/>
      <c r="L328" s="162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</row>
    <row r="329">
      <c r="A329" s="163" t="str">
        <f>IFERROR(__xludf.DUMMYFUNCTION("""COMPUTED_VALUE"""),"G-15")</f>
        <v>G-15</v>
      </c>
      <c r="B329" s="163" t="str">
        <f>IFERROR(__xludf.DUMMYFUNCTION("""COMPUTED_VALUE"""),"Cabaji")</f>
        <v>Cabaji</v>
      </c>
      <c r="C329" s="163" t="str">
        <f>IFERROR(__xludf.DUMMYFUNCTION("""COMPUTED_VALUE"""),"When your team has more Treasure secured: Boost capture speed by 6%.")</f>
        <v>When your team has more Treasure secured: Boost capture speed by 6%.</v>
      </c>
      <c r="D329" s="163" t="str">
        <f>IFERROR(__xludf.DUMMYFUNCTION("""COMPUTED_VALUE"""),"East Blue ~ Buggy Pirates")</f>
        <v>East Blue ~ Buggy Pirates</v>
      </c>
      <c r="E329" s="164" t="str">
        <f>IFERROR(__xludf.DUMMYFUNCTION("""COMPUTED_VALUE"""),"https://i.postimg.cc/s2PVz6p8/015.png")</f>
        <v>https://i.postimg.cc/s2PVz6p8/015.png</v>
      </c>
      <c r="F329" s="162"/>
      <c r="G329" s="163"/>
      <c r="H329" s="163"/>
      <c r="I329" s="163"/>
      <c r="J329" s="163"/>
      <c r="K329" s="163"/>
      <c r="L329" s="162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</row>
    <row r="330">
      <c r="A330" s="163" t="str">
        <f>IFERROR(__xludf.DUMMYFUNCTION("""COMPUTED_VALUE"""),"G-14")</f>
        <v>G-14</v>
      </c>
      <c r="B330" s="163" t="str">
        <f>IFERROR(__xludf.DUMMYFUNCTION("""COMPUTED_VALUE"""),"Morgan")</f>
        <v>Morgan</v>
      </c>
      <c r="C330" s="163" t="str">
        <f>IFERROR(__xludf.DUMMYFUNCTION("""COMPUTED_VALUE"""),"When there are 60 seconds or less remaining: CRIT Boosted by 40% for 20 second(s).")</f>
        <v>When there are 60 seconds or less remaining: CRIT Boosted by 40% for 20 second(s).</v>
      </c>
      <c r="D330" s="163" t="str">
        <f>IFERROR(__xludf.DUMMYFUNCTION("""COMPUTED_VALUE"""),"East Blue ~ Navy ~ Navy Captain")</f>
        <v>East Blue ~ Navy ~ Navy Captain</v>
      </c>
      <c r="E330" s="164" t="str">
        <f>IFERROR(__xludf.DUMMYFUNCTION("""COMPUTED_VALUE"""),"https://i.postimg.cc/9MJCRDgY/014.png")</f>
        <v>https://i.postimg.cc/9MJCRDgY/014.png</v>
      </c>
      <c r="F330" s="162"/>
      <c r="G330" s="163"/>
      <c r="H330" s="163"/>
      <c r="I330" s="163"/>
      <c r="J330" s="163"/>
      <c r="K330" s="163"/>
      <c r="L330" s="162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</row>
    <row r="331">
      <c r="A331" s="163" t="str">
        <f>IFERROR(__xludf.DUMMYFUNCTION("""COMPUTED_VALUE"""),"G-13")</f>
        <v>G-13</v>
      </c>
      <c r="B331" s="163" t="str">
        <f>IFERROR(__xludf.DUMMYFUNCTION("""COMPUTED_VALUE"""),"Helmeppo")</f>
        <v>Helmeppo</v>
      </c>
      <c r="C331" s="163" t="str">
        <f>IFERROR(__xludf.DUMMYFUNCTION("""COMPUTED_VALUE"""),"When you capture the Treasure: SPD Boosted by 2% for 20 second(s).")</f>
        <v>When you capture the Treasure: SPD Boosted by 2% for 20 second(s).</v>
      </c>
      <c r="D331" s="163" t="str">
        <f>IFERROR(__xludf.DUMMYFUNCTION("""COMPUTED_VALUE"""),"East Blue")</f>
        <v>East Blue</v>
      </c>
      <c r="E331" s="164" t="str">
        <f>IFERROR(__xludf.DUMMYFUNCTION("""COMPUTED_VALUE"""),"https://i.postimg.cc/Vvv1jz3Q/013.png")</f>
        <v>https://i.postimg.cc/Vvv1jz3Q/013.png</v>
      </c>
      <c r="F331" s="162"/>
      <c r="G331" s="163"/>
      <c r="H331" s="163"/>
      <c r="I331" s="163"/>
      <c r="J331" s="163"/>
      <c r="K331" s="163"/>
      <c r="L331" s="162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</row>
    <row r="332">
      <c r="A332" s="163" t="str">
        <f>IFERROR(__xludf.DUMMYFUNCTION("""COMPUTED_VALUE"""),"G-12")</f>
        <v>G-12</v>
      </c>
      <c r="B332" s="163" t="str">
        <f>IFERROR(__xludf.DUMMYFUNCTION("""COMPUTED_VALUE"""),"Alvida")</f>
        <v>Alvida</v>
      </c>
      <c r="C332" s="163" t="str">
        <f>IFERROR(__xludf.DUMMYFUNCTION("""COMPUTED_VALUE"""),"When your HP is 7% or less: Increase Treasure Gauge recovery amount.")</f>
        <v>When your HP is 7% or less: Increase Treasure Gauge recovery amount.</v>
      </c>
      <c r="D332" s="163" t="str">
        <f>IFERROR(__xludf.DUMMYFUNCTION("""COMPUTED_VALUE"""),"East Blue ~ The Alvida Pirates ~ Captain")</f>
        <v>East Blue ~ The Alvida Pirates ~ Captain</v>
      </c>
      <c r="E332" s="164" t="str">
        <f>IFERROR(__xludf.DUMMYFUNCTION("""COMPUTED_VALUE"""),"https://i.postimg.cc/MTWzp75G/012.png")</f>
        <v>https://i.postimg.cc/MTWzp75G/012.png</v>
      </c>
      <c r="F332" s="162"/>
      <c r="G332" s="163"/>
      <c r="H332" s="163"/>
      <c r="I332" s="163"/>
      <c r="J332" s="163"/>
      <c r="K332" s="163"/>
      <c r="L332" s="162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</row>
    <row r="333">
      <c r="A333" s="163" t="str">
        <f>IFERROR(__xludf.DUMMYFUNCTION("""COMPUTED_VALUE"""),"G-11")</f>
        <v>G-11</v>
      </c>
      <c r="B333" s="163" t="str">
        <f>IFERROR(__xludf.DUMMYFUNCTION("""COMPUTED_VALUE"""),"Koby")</f>
        <v>Koby</v>
      </c>
      <c r="C333" s="163" t="str">
        <f>IFERROR(__xludf.DUMMYFUNCTION("""COMPUTED_VALUE"""),"When your allies are near the Treasure area where you are at: Boost capture speed by 6%.")</f>
        <v>When your allies are near the Treasure area where you are at: Boost capture speed by 6%.</v>
      </c>
      <c r="D333" s="163" t="str">
        <f>IFERROR(__xludf.DUMMYFUNCTION("""COMPUTED_VALUE"""),"East Blue")</f>
        <v>East Blue</v>
      </c>
      <c r="E333" s="164" t="str">
        <f>IFERROR(__xludf.DUMMYFUNCTION("""COMPUTED_VALUE"""),"https://i.postimg.cc/fyPsC6N3/011.png")</f>
        <v>https://i.postimg.cc/fyPsC6N3/011.png</v>
      </c>
      <c r="F333" s="162"/>
      <c r="G333" s="163"/>
      <c r="H333" s="163"/>
      <c r="I333" s="163"/>
      <c r="J333" s="163"/>
      <c r="K333" s="163"/>
      <c r="L333" s="162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</row>
    <row r="334">
      <c r="A334" s="163" t="str">
        <f>IFERROR(__xludf.DUMMYFUNCTION("""COMPUTED_VALUE"""),"G-10")</f>
        <v>G-10</v>
      </c>
      <c r="B334" s="163" t="str">
        <f>IFERROR(__xludf.DUMMYFUNCTION("""COMPUTED_VALUE"""),"Higuma")</f>
        <v>Higuma</v>
      </c>
      <c r="C334" s="163" t="str">
        <f>IFERROR(__xludf.DUMMYFUNCTION("""COMPUTED_VALUE"""),"When Respawned: SPD Boosted by 2% for 20 second(s).")</f>
        <v>When Respawned: SPD Boosted by 2% for 20 second(s).</v>
      </c>
      <c r="D334" s="163" t="str">
        <f>IFERROR(__xludf.DUMMYFUNCTION("""COMPUTED_VALUE"""),"East Blue")</f>
        <v>East Blue</v>
      </c>
      <c r="E334" s="164" t="str">
        <f>IFERROR(__xludf.DUMMYFUNCTION("""COMPUTED_VALUE"""),"https://i.postimg.cc/28qry8Qn/010.png")</f>
        <v>https://i.postimg.cc/28qry8Qn/010.png</v>
      </c>
      <c r="F334" s="162"/>
      <c r="G334" s="163"/>
      <c r="H334" s="163"/>
      <c r="I334" s="163"/>
      <c r="J334" s="163"/>
      <c r="K334" s="163"/>
      <c r="L334" s="162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</row>
    <row r="335">
      <c r="A335" s="163" t="str">
        <f>IFERROR(__xludf.DUMMYFUNCTION("""COMPUTED_VALUE"""),"G-9")</f>
        <v>G-9</v>
      </c>
      <c r="B335" s="163" t="str">
        <f>IFERROR(__xludf.DUMMYFUNCTION("""COMPUTED_VALUE"""),"Brook")</f>
        <v>Brook</v>
      </c>
      <c r="C335" s="163" t="str">
        <f>IFERROR(__xludf.DUMMYFUNCTION("""COMPUTED_VALUE"""),"When attacking an enemy inflicted With Stun: Increase damage dealt by 2%.")</f>
        <v>When attacking an enemy inflicted With Stun: Increase damage dealt by 2%.</v>
      </c>
      <c r="D335" s="163" t="str">
        <f>IFERROR(__xludf.DUMMYFUNCTION("""COMPUTED_VALUE"""),"Thriller Bark ~ Straw Hat Pirates ~ Paramecia ~ Musician")</f>
        <v>Thriller Bark ~ Straw Hat Pirates ~ Paramecia ~ Musician</v>
      </c>
      <c r="E335" s="164" t="str">
        <f>IFERROR(__xludf.DUMMYFUNCTION("""COMPUTED_VALUE"""),"https://i.postimg.cc/442XXh9J/009.png")</f>
        <v>https://i.postimg.cc/442XXh9J/009.png</v>
      </c>
      <c r="F335" s="162"/>
      <c r="G335" s="163"/>
      <c r="H335" s="163"/>
      <c r="I335" s="163"/>
      <c r="J335" s="163"/>
      <c r="K335" s="163"/>
      <c r="L335" s="162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</row>
    <row r="336">
      <c r="A336" s="163" t="str">
        <f>IFERROR(__xludf.DUMMYFUNCTION("""COMPUTED_VALUE"""),"G-8")</f>
        <v>G-8</v>
      </c>
      <c r="B336" s="163" t="str">
        <f>IFERROR(__xludf.DUMMYFUNCTION("""COMPUTED_VALUE"""),"Franky")</f>
        <v>Franky</v>
      </c>
      <c r="C336" s="163" t="str">
        <f>IFERROR(__xludf.DUMMYFUNCTION("""COMPUTED_VALUE"""),"When an ally is KO`d (not including you): Reduce the cooldown time of Skill 1 by 2%.")</f>
        <v>When an ally is KO`d (not including you): Reduce the cooldown time of Skill 1 by 2%.</v>
      </c>
      <c r="D336" s="163" t="str">
        <f>IFERROR(__xludf.DUMMYFUNCTION("""COMPUTED_VALUE"""),"Water 7 / Enies Lobby ~ Straw Hat Pirates ~ Ship Carpenter")</f>
        <v>Water 7 / Enies Lobby ~ Straw Hat Pirates ~ Ship Carpenter</v>
      </c>
      <c r="E336" s="164" t="str">
        <f>IFERROR(__xludf.DUMMYFUNCTION("""COMPUTED_VALUE"""),"https://i.postimg.cc/hPHgdWs6/008.png")</f>
        <v>https://i.postimg.cc/hPHgdWs6/008.png</v>
      </c>
      <c r="F336" s="162"/>
      <c r="G336" s="163"/>
      <c r="H336" s="163"/>
      <c r="I336" s="163"/>
      <c r="J336" s="163"/>
      <c r="K336" s="163"/>
      <c r="L336" s="162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</row>
    <row r="337">
      <c r="A337" s="163" t="str">
        <f>IFERROR(__xludf.DUMMYFUNCTION("""COMPUTED_VALUE"""),"G-7")</f>
        <v>G-7</v>
      </c>
      <c r="B337" s="163" t="str">
        <f>IFERROR(__xludf.DUMMYFUNCTION("""COMPUTED_VALUE"""),"Robin")</f>
        <v>Robin</v>
      </c>
      <c r="C337" s="163" t="str">
        <f>IFERROR(__xludf.DUMMYFUNCTION("""COMPUTED_VALUE"""),"After KOing an enemy: SPD Boosted by 2% for 20 second(s).")</f>
        <v>After KOing an enemy: SPD Boosted by 2% for 20 second(s).</v>
      </c>
      <c r="D337" s="163" t="str">
        <f>IFERROR(__xludf.DUMMYFUNCTION("""COMPUTED_VALUE"""),"Sky Island / LRLL ~ Straw Hat Pirates ~ Paramecia ~ Archaeologist")</f>
        <v>Sky Island / LRLL ~ Straw Hat Pirates ~ Paramecia ~ Archaeologist</v>
      </c>
      <c r="E337" s="164" t="str">
        <f>IFERROR(__xludf.DUMMYFUNCTION("""COMPUTED_VALUE"""),"https://i.postimg.cc/rwxTGnYm/007.png")</f>
        <v>https://i.postimg.cc/rwxTGnYm/007.png</v>
      </c>
      <c r="F337" s="162"/>
      <c r="G337" s="163"/>
      <c r="H337" s="163"/>
      <c r="I337" s="163"/>
      <c r="J337" s="163"/>
      <c r="K337" s="163"/>
      <c r="L337" s="162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</row>
    <row r="338">
      <c r="A338" s="163" t="str">
        <f>IFERROR(__xludf.DUMMYFUNCTION("""COMPUTED_VALUE"""),"G-6")</f>
        <v>G-6</v>
      </c>
      <c r="B338" s="163" t="str">
        <f>IFERROR(__xludf.DUMMYFUNCTION("""COMPUTED_VALUE"""),"Chopper")</f>
        <v>Chopper</v>
      </c>
      <c r="C338" s="163" t="str">
        <f>IFERROR(__xludf.DUMMYFUNCTION("""COMPUTED_VALUE"""),"When your team has less Treasure secured: Boost the cooldown reduction speed of Skill 1 by 7%.")</f>
        <v>When your team has less Treasure secured: Boost the cooldown reduction speed of Skill 1 by 7%.</v>
      </c>
      <c r="D338" s="163" t="str">
        <f>IFERROR(__xludf.DUMMYFUNCTION("""COMPUTED_VALUE"""),"The Grand Line ~ Straw Hat Pirates ~ Zoan ~ Doctor")</f>
        <v>The Grand Line ~ Straw Hat Pirates ~ Zoan ~ Doctor</v>
      </c>
      <c r="E338" s="164" t="str">
        <f>IFERROR(__xludf.DUMMYFUNCTION("""COMPUTED_VALUE"""),"https://i.postimg.cc/tgbjB3Lz/006.png")</f>
        <v>https://i.postimg.cc/tgbjB3Lz/006.png</v>
      </c>
      <c r="F338" s="162"/>
      <c r="G338" s="163"/>
      <c r="H338" s="163"/>
      <c r="I338" s="163"/>
      <c r="J338" s="163"/>
      <c r="K338" s="163"/>
      <c r="L338" s="162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</row>
    <row r="339">
      <c r="A339" s="163" t="str">
        <f>IFERROR(__xludf.DUMMYFUNCTION("""COMPUTED_VALUE"""),"G-5")</f>
        <v>G-5</v>
      </c>
      <c r="B339" s="163" t="str">
        <f>IFERROR(__xludf.DUMMYFUNCTION("""COMPUTED_VALUE"""),"Sanji")</f>
        <v>Sanji</v>
      </c>
      <c r="C339" s="163" t="str">
        <f>IFERROR(__xludf.DUMMYFUNCTION("""COMPUTED_VALUE"""),"After KOing an enemy: Reduce the cooldown time of Skill 1 by 4%.")</f>
        <v>After KOing an enemy: Reduce the cooldown time of Skill 1 by 4%.</v>
      </c>
      <c r="D339" s="163" t="str">
        <f>IFERROR(__xludf.DUMMYFUNCTION("""COMPUTED_VALUE"""),"East Blue ~ Straw Hat Pirates ~ Cook")</f>
        <v>East Blue ~ Straw Hat Pirates ~ Cook</v>
      </c>
      <c r="E339" s="164" t="str">
        <f>IFERROR(__xludf.DUMMYFUNCTION("""COMPUTED_VALUE"""),"https://i.postimg.cc/6QhNg7Kx/005.png")</f>
        <v>https://i.postimg.cc/6QhNg7Kx/005.png</v>
      </c>
      <c r="F339" s="162"/>
      <c r="G339" s="163"/>
      <c r="H339" s="163"/>
      <c r="I339" s="163"/>
      <c r="J339" s="163"/>
      <c r="K339" s="163"/>
      <c r="L339" s="162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</row>
    <row r="340">
      <c r="A340" s="163" t="str">
        <f>IFERROR(__xludf.DUMMYFUNCTION("""COMPUTED_VALUE"""),"G-4")</f>
        <v>G-4</v>
      </c>
      <c r="B340" s="163" t="str">
        <f>IFERROR(__xludf.DUMMYFUNCTION("""COMPUTED_VALUE"""),"Usopp")</f>
        <v>Usopp</v>
      </c>
      <c r="C340" s="163" t="str">
        <f>IFERROR(__xludf.DUMMYFUNCTION("""COMPUTED_VALUE"""),"When there are 60 seconds or less remaining: Boost capture speed by 6%.")</f>
        <v>When there are 60 seconds or less remaining: Boost capture speed by 6%.</v>
      </c>
      <c r="D340" s="163" t="str">
        <f>IFERROR(__xludf.DUMMYFUNCTION("""COMPUTED_VALUE"""),"East Blue ~ Straw Hat Pirates ~ Sharp Shooter")</f>
        <v>East Blue ~ Straw Hat Pirates ~ Sharp Shooter</v>
      </c>
      <c r="E340" s="164" t="str">
        <f>IFERROR(__xludf.DUMMYFUNCTION("""COMPUTED_VALUE"""),"https://i.postimg.cc/MTK8SWZM/004.png")</f>
        <v>https://i.postimg.cc/MTK8SWZM/004.png</v>
      </c>
      <c r="F340" s="162"/>
      <c r="G340" s="163"/>
      <c r="H340" s="163"/>
      <c r="I340" s="163"/>
      <c r="J340" s="163"/>
      <c r="K340" s="163"/>
      <c r="L340" s="162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</row>
    <row r="341">
      <c r="A341" s="163" t="str">
        <f>IFERROR(__xludf.DUMMYFUNCTION("""COMPUTED_VALUE"""),"G-3")</f>
        <v>G-3</v>
      </c>
      <c r="B341" s="163" t="str">
        <f>IFERROR(__xludf.DUMMYFUNCTION("""COMPUTED_VALUE"""),"Nami")</f>
        <v>Nami</v>
      </c>
      <c r="C341" s="163" t="str">
        <f>IFERROR(__xludf.DUMMYFUNCTION("""COMPUTED_VALUE"""),"When you capture the Treasure: Reduce the cooldown time of Skill 1 by 4%.")</f>
        <v>When you capture the Treasure: Reduce the cooldown time of Skill 1 by 4%.</v>
      </c>
      <c r="D341" s="163" t="str">
        <f>IFERROR(__xludf.DUMMYFUNCTION("""COMPUTED_VALUE"""),"East Blue ~ Straw Hat Pirates ~ Navigator")</f>
        <v>East Blue ~ Straw Hat Pirates ~ Navigator</v>
      </c>
      <c r="E341" s="164" t="str">
        <f>IFERROR(__xludf.DUMMYFUNCTION("""COMPUTED_VALUE"""),"https://i.postimg.cc/pTGMVgy0/003.png")</f>
        <v>https://i.postimg.cc/pTGMVgy0/003.png</v>
      </c>
      <c r="F341" s="162"/>
      <c r="G341" s="163"/>
      <c r="H341" s="163"/>
      <c r="I341" s="163"/>
      <c r="J341" s="163"/>
      <c r="K341" s="163"/>
      <c r="L341" s="162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</row>
    <row r="342">
      <c r="A342" s="163" t="str">
        <f>IFERROR(__xludf.DUMMYFUNCTION("""COMPUTED_VALUE"""),"G-2")</f>
        <v>G-2</v>
      </c>
      <c r="B342" s="163" t="str">
        <f>IFERROR(__xludf.DUMMYFUNCTION("""COMPUTED_VALUE"""),"Zoro")</f>
        <v>Zoro</v>
      </c>
      <c r="C342" s="163" t="str">
        <f>IFERROR(__xludf.DUMMYFUNCTION("""COMPUTED_VALUE"""),"When your HP is 30% or less: CRIT Boosted by 40% for 20 second(s).")</f>
        <v>When your HP is 30% or less: CRIT Boosted by 40% for 20 second(s).</v>
      </c>
      <c r="D342" s="163" t="str">
        <f>IFERROR(__xludf.DUMMYFUNCTION("""COMPUTED_VALUE"""),"East Blue ~ Straw Hat Pirates ~ Combatant")</f>
        <v>East Blue ~ Straw Hat Pirates ~ Combatant</v>
      </c>
      <c r="E342" s="164" t="str">
        <f>IFERROR(__xludf.DUMMYFUNCTION("""COMPUTED_VALUE"""),"https://i.postimg.cc/nrXbX0Dn/002.png")</f>
        <v>https://i.postimg.cc/nrXbX0Dn/002.png</v>
      </c>
      <c r="F342" s="162"/>
      <c r="G342" s="163"/>
      <c r="H342" s="163"/>
      <c r="I342" s="163"/>
      <c r="J342" s="163"/>
      <c r="K342" s="163"/>
      <c r="L342" s="162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</row>
    <row r="343">
      <c r="A343" s="163" t="str">
        <f>IFERROR(__xludf.DUMMYFUNCTION("""COMPUTED_VALUE"""),"G-1")</f>
        <v>G-1</v>
      </c>
      <c r="B343" s="163" t="str">
        <f>IFERROR(__xludf.DUMMYFUNCTION("""COMPUTED_VALUE"""),"Luffy")</f>
        <v>Luffy</v>
      </c>
      <c r="C343" s="163" t="str">
        <f>IFERROR(__xludf.DUMMYFUNCTION("""COMPUTED_VALUE"""),"After KOing an enemy: CRIT Boosted by 40% for 20 second(s).")</f>
        <v>After KOing an enemy: CRIT Boosted by 40% for 20 second(s).</v>
      </c>
      <c r="D343" s="163" t="str">
        <f>IFERROR(__xludf.DUMMYFUNCTION("""COMPUTED_VALUE"""),"East Blue ~ Straw Hat Pirates ~ Paramecia ~ Captain ~ Blood Brothers")</f>
        <v>East Blue ~ Straw Hat Pirates ~ Paramecia ~ Captain ~ Blood Brothers</v>
      </c>
      <c r="E343" s="164" t="str">
        <f>IFERROR(__xludf.DUMMYFUNCTION("""COMPUTED_VALUE"""),"https://i.postimg.cc/WzxRggGg/001.png")</f>
        <v>https://i.postimg.cc/WzxRggGg/001.png</v>
      </c>
      <c r="F343" s="162"/>
      <c r="G343" s="163"/>
      <c r="H343" s="163"/>
      <c r="I343" s="163"/>
      <c r="J343" s="163"/>
      <c r="K343" s="163"/>
      <c r="L343" s="162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</row>
    <row r="344">
      <c r="A344" s="163"/>
      <c r="B344" s="163"/>
      <c r="C344" s="163"/>
      <c r="D344" s="163"/>
      <c r="E344" s="163"/>
      <c r="F344" s="162"/>
      <c r="G344" s="163"/>
      <c r="H344" s="163"/>
      <c r="I344" s="163"/>
      <c r="J344" s="163"/>
      <c r="K344" s="163"/>
      <c r="L344" s="162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</row>
    <row r="345">
      <c r="A345" s="163"/>
      <c r="B345" s="163"/>
      <c r="C345" s="163"/>
      <c r="D345" s="163"/>
      <c r="E345" s="163"/>
      <c r="F345" s="162"/>
      <c r="G345" s="163"/>
      <c r="H345" s="163"/>
      <c r="I345" s="163"/>
      <c r="J345" s="163"/>
      <c r="K345" s="163"/>
      <c r="L345" s="162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</row>
    <row r="346">
      <c r="A346" s="163"/>
      <c r="B346" s="163"/>
      <c r="C346" s="163"/>
      <c r="D346" s="163"/>
      <c r="E346" s="163"/>
      <c r="F346" s="162"/>
      <c r="G346" s="163"/>
      <c r="H346" s="163"/>
      <c r="I346" s="163"/>
      <c r="J346" s="163"/>
      <c r="K346" s="163"/>
      <c r="L346" s="162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</row>
    <row r="347">
      <c r="A347" s="163"/>
      <c r="B347" s="163"/>
      <c r="C347" s="163"/>
      <c r="D347" s="163"/>
      <c r="E347" s="163"/>
      <c r="F347" s="162"/>
      <c r="G347" s="163"/>
      <c r="H347" s="163"/>
      <c r="I347" s="163"/>
      <c r="J347" s="163"/>
      <c r="K347" s="163"/>
      <c r="L347" s="162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</row>
    <row r="348">
      <c r="A348" s="163"/>
      <c r="B348" s="163"/>
      <c r="C348" s="163"/>
      <c r="D348" s="163"/>
      <c r="E348" s="163"/>
      <c r="F348" s="162"/>
      <c r="G348" s="163"/>
      <c r="H348" s="163"/>
      <c r="I348" s="163"/>
      <c r="J348" s="163"/>
      <c r="K348" s="163"/>
      <c r="L348" s="162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</row>
    <row r="349">
      <c r="A349" s="163"/>
      <c r="B349" s="163"/>
      <c r="C349" s="163"/>
      <c r="D349" s="163"/>
      <c r="E349" s="163"/>
      <c r="F349" s="162"/>
      <c r="G349" s="163"/>
      <c r="H349" s="163"/>
      <c r="I349" s="163"/>
      <c r="J349" s="163"/>
      <c r="K349" s="163"/>
      <c r="L349" s="162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</row>
    <row r="350">
      <c r="A350" s="163"/>
      <c r="B350" s="163"/>
      <c r="C350" s="163"/>
      <c r="D350" s="163"/>
      <c r="E350" s="163"/>
      <c r="F350" s="162"/>
      <c r="G350" s="163"/>
      <c r="H350" s="163"/>
      <c r="I350" s="163"/>
      <c r="J350" s="163"/>
      <c r="K350" s="163"/>
      <c r="L350" s="162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</row>
    <row r="351">
      <c r="A351" s="163"/>
      <c r="B351" s="163"/>
      <c r="C351" s="163"/>
      <c r="D351" s="163"/>
      <c r="E351" s="163"/>
      <c r="F351" s="162"/>
      <c r="G351" s="163"/>
      <c r="H351" s="163"/>
      <c r="I351" s="163"/>
      <c r="J351" s="163"/>
      <c r="K351" s="163"/>
      <c r="L351" s="162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</row>
    <row r="352">
      <c r="A352" s="163"/>
      <c r="B352" s="163"/>
      <c r="C352" s="163"/>
      <c r="D352" s="163"/>
      <c r="E352" s="163"/>
      <c r="F352" s="162"/>
      <c r="G352" s="163"/>
      <c r="H352" s="163"/>
      <c r="I352" s="163"/>
      <c r="J352" s="163"/>
      <c r="K352" s="163"/>
      <c r="L352" s="162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</row>
    <row r="353">
      <c r="A353" s="163"/>
      <c r="B353" s="163"/>
      <c r="C353" s="163"/>
      <c r="D353" s="163"/>
      <c r="E353" s="163"/>
      <c r="F353" s="162"/>
      <c r="G353" s="163"/>
      <c r="H353" s="163"/>
      <c r="I353" s="163"/>
      <c r="J353" s="163"/>
      <c r="K353" s="163"/>
      <c r="L353" s="162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</row>
    <row r="354">
      <c r="A354" s="163"/>
      <c r="B354" s="163"/>
      <c r="C354" s="163"/>
      <c r="D354" s="163"/>
      <c r="E354" s="163"/>
      <c r="F354" s="162"/>
      <c r="G354" s="163"/>
      <c r="H354" s="163"/>
      <c r="I354" s="163"/>
      <c r="J354" s="163"/>
      <c r="K354" s="163"/>
      <c r="L354" s="162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</row>
    <row r="355">
      <c r="A355" s="163"/>
      <c r="B355" s="163"/>
      <c r="C355" s="163"/>
      <c r="D355" s="163"/>
      <c r="E355" s="163"/>
      <c r="F355" s="162"/>
      <c r="G355" s="163"/>
      <c r="H355" s="163"/>
      <c r="I355" s="163"/>
      <c r="J355" s="163"/>
      <c r="K355" s="163"/>
      <c r="L355" s="162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</row>
    <row r="356">
      <c r="A356" s="163"/>
      <c r="B356" s="163"/>
      <c r="C356" s="163"/>
      <c r="D356" s="163"/>
      <c r="E356" s="163"/>
      <c r="F356" s="162"/>
      <c r="G356" s="163"/>
      <c r="H356" s="163"/>
      <c r="I356" s="163"/>
      <c r="J356" s="163"/>
      <c r="K356" s="163"/>
      <c r="L356" s="162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</row>
    <row r="357">
      <c r="A357" s="163"/>
      <c r="B357" s="163"/>
      <c r="C357" s="163"/>
      <c r="D357" s="163"/>
      <c r="E357" s="163"/>
      <c r="F357" s="162"/>
      <c r="G357" s="163"/>
      <c r="H357" s="163"/>
      <c r="I357" s="163"/>
      <c r="J357" s="163"/>
      <c r="K357" s="163"/>
      <c r="L357" s="162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</row>
    <row r="358">
      <c r="A358" s="163"/>
      <c r="B358" s="163"/>
      <c r="C358" s="163"/>
      <c r="D358" s="163"/>
      <c r="E358" s="163"/>
      <c r="F358" s="162"/>
      <c r="G358" s="163"/>
      <c r="H358" s="163"/>
      <c r="I358" s="163"/>
      <c r="J358" s="163"/>
      <c r="K358" s="163"/>
      <c r="L358" s="162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</row>
    <row r="359">
      <c r="A359" s="163"/>
      <c r="B359" s="163"/>
      <c r="C359" s="163"/>
      <c r="D359" s="163"/>
      <c r="E359" s="163"/>
      <c r="F359" s="162"/>
      <c r="G359" s="163"/>
      <c r="H359" s="163"/>
      <c r="I359" s="163"/>
      <c r="J359" s="163"/>
      <c r="K359" s="163"/>
      <c r="L359" s="162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</row>
    <row r="360">
      <c r="A360" s="163"/>
      <c r="B360" s="163"/>
      <c r="C360" s="163"/>
      <c r="D360" s="163"/>
      <c r="E360" s="163"/>
      <c r="F360" s="162"/>
      <c r="G360" s="163"/>
      <c r="H360" s="163"/>
      <c r="I360" s="163"/>
      <c r="J360" s="163"/>
      <c r="K360" s="163"/>
      <c r="L360" s="162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</row>
    <row r="361">
      <c r="A361" s="163"/>
      <c r="B361" s="163"/>
      <c r="C361" s="163"/>
      <c r="D361" s="163"/>
      <c r="E361" s="163"/>
      <c r="F361" s="162"/>
      <c r="G361" s="163"/>
      <c r="H361" s="163"/>
      <c r="I361" s="163"/>
      <c r="J361" s="163"/>
      <c r="K361" s="163"/>
      <c r="L361" s="162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</row>
    <row r="362">
      <c r="A362" s="163"/>
      <c r="B362" s="163"/>
      <c r="C362" s="163"/>
      <c r="D362" s="163"/>
      <c r="E362" s="163"/>
      <c r="F362" s="162"/>
      <c r="G362" s="163"/>
      <c r="H362" s="163"/>
      <c r="I362" s="163"/>
      <c r="J362" s="163"/>
      <c r="K362" s="163"/>
      <c r="L362" s="162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</row>
    <row r="363">
      <c r="A363" s="163"/>
      <c r="B363" s="163"/>
      <c r="C363" s="163"/>
      <c r="D363" s="163"/>
      <c r="E363" s="163"/>
      <c r="F363" s="162"/>
      <c r="G363" s="163"/>
      <c r="H363" s="163"/>
      <c r="I363" s="163"/>
      <c r="J363" s="163"/>
      <c r="K363" s="163"/>
      <c r="L363" s="162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</row>
    <row r="364">
      <c r="A364" s="163"/>
      <c r="B364" s="163"/>
      <c r="C364" s="163"/>
      <c r="D364" s="163"/>
      <c r="E364" s="163"/>
      <c r="F364" s="162"/>
      <c r="G364" s="163"/>
      <c r="H364" s="163"/>
      <c r="I364" s="163"/>
      <c r="J364" s="163"/>
      <c r="K364" s="163"/>
      <c r="L364" s="162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</row>
    <row r="365">
      <c r="A365" s="163"/>
      <c r="B365" s="163"/>
      <c r="C365" s="163"/>
      <c r="D365" s="163"/>
      <c r="E365" s="163"/>
      <c r="F365" s="162"/>
      <c r="G365" s="163"/>
      <c r="H365" s="163"/>
      <c r="I365" s="163"/>
      <c r="J365" s="163"/>
      <c r="K365" s="163"/>
      <c r="L365" s="162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</row>
    <row r="366">
      <c r="A366" s="163"/>
      <c r="B366" s="163"/>
      <c r="C366" s="163"/>
      <c r="D366" s="163"/>
      <c r="E366" s="163"/>
      <c r="F366" s="162"/>
      <c r="G366" s="163"/>
      <c r="H366" s="163"/>
      <c r="I366" s="163"/>
      <c r="J366" s="163"/>
      <c r="K366" s="163"/>
      <c r="L366" s="162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</row>
    <row r="367">
      <c r="A367" s="163"/>
      <c r="B367" s="163"/>
      <c r="C367" s="163"/>
      <c r="D367" s="163"/>
      <c r="E367" s="163"/>
      <c r="F367" s="162"/>
      <c r="G367" s="163"/>
      <c r="H367" s="163"/>
      <c r="I367" s="163"/>
      <c r="J367" s="163"/>
      <c r="K367" s="163"/>
      <c r="L367" s="162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</row>
    <row r="368">
      <c r="A368" s="163"/>
      <c r="B368" s="163"/>
      <c r="C368" s="163"/>
      <c r="D368" s="163"/>
      <c r="E368" s="163"/>
      <c r="F368" s="162"/>
      <c r="G368" s="163"/>
      <c r="H368" s="163"/>
      <c r="I368" s="163"/>
      <c r="J368" s="163"/>
      <c r="K368" s="163"/>
      <c r="L368" s="162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</row>
    <row r="369">
      <c r="A369" s="163"/>
      <c r="B369" s="163"/>
      <c r="C369" s="163"/>
      <c r="D369" s="163"/>
      <c r="E369" s="163"/>
      <c r="F369" s="162"/>
      <c r="G369" s="163"/>
      <c r="H369" s="163"/>
      <c r="I369" s="163"/>
      <c r="J369" s="163"/>
      <c r="K369" s="163"/>
      <c r="L369" s="162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</row>
    <row r="370">
      <c r="A370" s="163"/>
      <c r="B370" s="163"/>
      <c r="C370" s="163"/>
      <c r="D370" s="163"/>
      <c r="E370" s="163"/>
      <c r="F370" s="162"/>
      <c r="G370" s="163"/>
      <c r="H370" s="163"/>
      <c r="I370" s="163"/>
      <c r="J370" s="163"/>
      <c r="K370" s="163"/>
      <c r="L370" s="162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</row>
    <row r="371">
      <c r="A371" s="163"/>
      <c r="B371" s="163"/>
      <c r="C371" s="163"/>
      <c r="D371" s="163"/>
      <c r="E371" s="163"/>
      <c r="F371" s="162"/>
      <c r="G371" s="163"/>
      <c r="H371" s="163"/>
      <c r="I371" s="163"/>
      <c r="J371" s="163"/>
      <c r="K371" s="163"/>
      <c r="L371" s="162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</row>
    <row r="372">
      <c r="A372" s="163"/>
      <c r="B372" s="163"/>
      <c r="C372" s="163"/>
      <c r="D372" s="163"/>
      <c r="E372" s="163"/>
      <c r="F372" s="162"/>
      <c r="G372" s="163"/>
      <c r="H372" s="163"/>
      <c r="I372" s="163"/>
      <c r="J372" s="163"/>
      <c r="K372" s="163"/>
      <c r="L372" s="162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</row>
    <row r="373">
      <c r="A373" s="163"/>
      <c r="B373" s="163"/>
      <c r="C373" s="163"/>
      <c r="D373" s="163"/>
      <c r="E373" s="163"/>
      <c r="F373" s="162"/>
      <c r="G373" s="163"/>
      <c r="H373" s="163"/>
      <c r="I373" s="163"/>
      <c r="J373" s="163"/>
      <c r="K373" s="163"/>
      <c r="L373" s="162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</row>
    <row r="374">
      <c r="A374" s="163"/>
      <c r="B374" s="163"/>
      <c r="C374" s="163"/>
      <c r="D374" s="163"/>
      <c r="E374" s="163"/>
      <c r="F374" s="162"/>
      <c r="G374" s="163"/>
      <c r="H374" s="163"/>
      <c r="I374" s="163"/>
      <c r="J374" s="163"/>
      <c r="K374" s="163"/>
      <c r="L374" s="162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</row>
    <row r="375">
      <c r="A375" s="163"/>
      <c r="B375" s="163"/>
      <c r="C375" s="163"/>
      <c r="D375" s="163"/>
      <c r="E375" s="163"/>
      <c r="F375" s="162"/>
      <c r="G375" s="163"/>
      <c r="H375" s="163"/>
      <c r="I375" s="163"/>
      <c r="J375" s="163"/>
      <c r="K375" s="163"/>
      <c r="L375" s="162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</row>
    <row r="376">
      <c r="A376" s="163"/>
      <c r="B376" s="163"/>
      <c r="C376" s="163"/>
      <c r="D376" s="163"/>
      <c r="E376" s="163"/>
      <c r="F376" s="162"/>
      <c r="G376" s="163"/>
      <c r="H376" s="163"/>
      <c r="I376" s="163"/>
      <c r="J376" s="163"/>
      <c r="K376" s="163"/>
      <c r="L376" s="162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</row>
    <row r="377">
      <c r="A377" s="163"/>
      <c r="B377" s="163"/>
      <c r="C377" s="163"/>
      <c r="D377" s="163"/>
      <c r="E377" s="163"/>
      <c r="F377" s="162"/>
      <c r="G377" s="163"/>
      <c r="H377" s="163"/>
      <c r="I377" s="163"/>
      <c r="J377" s="163"/>
      <c r="K377" s="163"/>
      <c r="L377" s="162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</row>
    <row r="378">
      <c r="A378" s="163"/>
      <c r="B378" s="163"/>
      <c r="C378" s="163"/>
      <c r="D378" s="163"/>
      <c r="E378" s="163"/>
      <c r="F378" s="162"/>
      <c r="G378" s="163"/>
      <c r="H378" s="163"/>
      <c r="I378" s="163"/>
      <c r="J378" s="163"/>
      <c r="K378" s="163"/>
      <c r="L378" s="162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</row>
    <row r="379">
      <c r="A379" s="163"/>
      <c r="B379" s="163"/>
      <c r="C379" s="163"/>
      <c r="D379" s="163"/>
      <c r="E379" s="163"/>
      <c r="F379" s="162"/>
      <c r="G379" s="163"/>
      <c r="H379" s="163"/>
      <c r="I379" s="163"/>
      <c r="J379" s="163"/>
      <c r="K379" s="163"/>
      <c r="L379" s="162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</row>
    <row r="380">
      <c r="A380" s="163"/>
      <c r="B380" s="163"/>
      <c r="C380" s="163"/>
      <c r="D380" s="163"/>
      <c r="E380" s="163"/>
      <c r="F380" s="162"/>
      <c r="G380" s="163"/>
      <c r="H380" s="163"/>
      <c r="I380" s="163"/>
      <c r="J380" s="163"/>
      <c r="K380" s="163"/>
      <c r="L380" s="162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</row>
    <row r="381">
      <c r="A381" s="163"/>
      <c r="B381" s="163"/>
      <c r="C381" s="163"/>
      <c r="D381" s="163"/>
      <c r="E381" s="163"/>
      <c r="F381" s="162"/>
      <c r="G381" s="163"/>
      <c r="H381" s="163"/>
      <c r="I381" s="163"/>
      <c r="J381" s="163"/>
      <c r="K381" s="163"/>
      <c r="L381" s="162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</row>
    <row r="382">
      <c r="A382" s="163"/>
      <c r="B382" s="163"/>
      <c r="C382" s="163"/>
      <c r="D382" s="163"/>
      <c r="E382" s="163"/>
      <c r="F382" s="162"/>
      <c r="G382" s="163"/>
      <c r="H382" s="163"/>
      <c r="I382" s="163"/>
      <c r="J382" s="163"/>
      <c r="K382" s="163"/>
      <c r="L382" s="162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</row>
    <row r="383">
      <c r="A383" s="163"/>
      <c r="B383" s="163"/>
      <c r="C383" s="163"/>
      <c r="D383" s="163"/>
      <c r="E383" s="163"/>
      <c r="F383" s="162"/>
      <c r="G383" s="163"/>
      <c r="H383" s="163"/>
      <c r="I383" s="163"/>
      <c r="J383" s="163"/>
      <c r="K383" s="163"/>
      <c r="L383" s="162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</row>
    <row r="384">
      <c r="A384" s="163"/>
      <c r="B384" s="163"/>
      <c r="C384" s="163"/>
      <c r="D384" s="163"/>
      <c r="E384" s="163"/>
      <c r="F384" s="162"/>
      <c r="G384" s="163"/>
      <c r="H384" s="163"/>
      <c r="I384" s="163"/>
      <c r="J384" s="163"/>
      <c r="K384" s="163"/>
      <c r="L384" s="162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</row>
    <row r="385">
      <c r="A385" s="163"/>
      <c r="B385" s="163"/>
      <c r="C385" s="163"/>
      <c r="D385" s="163"/>
      <c r="E385" s="163"/>
      <c r="F385" s="162"/>
      <c r="G385" s="163"/>
      <c r="H385" s="163"/>
      <c r="I385" s="163"/>
      <c r="J385" s="163"/>
      <c r="K385" s="163"/>
      <c r="L385" s="162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</row>
    <row r="386">
      <c r="A386" s="163"/>
      <c r="B386" s="163"/>
      <c r="C386" s="163"/>
      <c r="D386" s="163"/>
      <c r="E386" s="163"/>
      <c r="F386" s="162"/>
      <c r="G386" s="163"/>
      <c r="H386" s="163"/>
      <c r="I386" s="163"/>
      <c r="J386" s="163"/>
      <c r="K386" s="163"/>
      <c r="L386" s="162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</row>
    <row r="387">
      <c r="A387" s="163"/>
      <c r="B387" s="163"/>
      <c r="C387" s="163"/>
      <c r="D387" s="163"/>
      <c r="E387" s="163"/>
      <c r="F387" s="162"/>
      <c r="G387" s="163"/>
      <c r="H387" s="163"/>
      <c r="I387" s="163"/>
      <c r="J387" s="163"/>
      <c r="K387" s="163"/>
      <c r="L387" s="162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</row>
    <row r="388">
      <c r="A388" s="163"/>
      <c r="B388" s="163"/>
      <c r="C388" s="163"/>
      <c r="D388" s="163"/>
      <c r="E388" s="163"/>
      <c r="F388" s="162"/>
      <c r="G388" s="163"/>
      <c r="H388" s="163"/>
      <c r="I388" s="163"/>
      <c r="J388" s="163"/>
      <c r="K388" s="163"/>
      <c r="L388" s="162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</row>
    <row r="389">
      <c r="A389" s="163"/>
      <c r="B389" s="163"/>
      <c r="C389" s="163"/>
      <c r="D389" s="163"/>
      <c r="E389" s="163"/>
      <c r="F389" s="162"/>
      <c r="G389" s="163"/>
      <c r="H389" s="163"/>
      <c r="I389" s="163"/>
      <c r="J389" s="163"/>
      <c r="K389" s="163"/>
      <c r="L389" s="162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</row>
    <row r="390">
      <c r="A390" s="163"/>
      <c r="B390" s="163"/>
      <c r="C390" s="163"/>
      <c r="D390" s="163"/>
      <c r="E390" s="163"/>
      <c r="F390" s="162"/>
      <c r="G390" s="163"/>
      <c r="H390" s="163"/>
      <c r="I390" s="163"/>
      <c r="J390" s="163"/>
      <c r="K390" s="163"/>
      <c r="L390" s="162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</row>
    <row r="391">
      <c r="A391" s="163"/>
      <c r="B391" s="163"/>
      <c r="C391" s="163"/>
      <c r="D391" s="163"/>
      <c r="E391" s="163"/>
      <c r="F391" s="162"/>
      <c r="G391" s="163"/>
      <c r="H391" s="163"/>
      <c r="I391" s="163"/>
      <c r="J391" s="163"/>
      <c r="K391" s="163"/>
      <c r="L391" s="162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</row>
    <row r="392">
      <c r="A392" s="163"/>
      <c r="B392" s="163"/>
      <c r="C392" s="163"/>
      <c r="D392" s="163"/>
      <c r="E392" s="163"/>
      <c r="F392" s="162"/>
      <c r="G392" s="163"/>
      <c r="H392" s="163"/>
      <c r="I392" s="163"/>
      <c r="J392" s="163"/>
      <c r="K392" s="163"/>
      <c r="L392" s="162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</row>
    <row r="393">
      <c r="A393" s="163"/>
      <c r="B393" s="163"/>
      <c r="C393" s="163"/>
      <c r="D393" s="163"/>
      <c r="E393" s="163"/>
      <c r="F393" s="162"/>
      <c r="G393" s="163"/>
      <c r="H393" s="163"/>
      <c r="I393" s="163"/>
      <c r="J393" s="163"/>
      <c r="K393" s="163"/>
      <c r="L393" s="162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</row>
    <row r="394">
      <c r="A394" s="163"/>
      <c r="B394" s="163"/>
      <c r="C394" s="163"/>
      <c r="D394" s="163"/>
      <c r="E394" s="163"/>
      <c r="F394" s="162"/>
      <c r="G394" s="163"/>
      <c r="H394" s="163"/>
      <c r="I394" s="163"/>
      <c r="J394" s="163"/>
      <c r="K394" s="163"/>
      <c r="L394" s="162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</row>
    <row r="395">
      <c r="A395" s="163"/>
      <c r="B395" s="163"/>
      <c r="C395" s="163"/>
      <c r="D395" s="163"/>
      <c r="E395" s="163"/>
      <c r="F395" s="162"/>
      <c r="G395" s="163"/>
      <c r="H395" s="163"/>
      <c r="I395" s="163"/>
      <c r="J395" s="163"/>
      <c r="K395" s="163"/>
      <c r="L395" s="162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</row>
    <row r="396">
      <c r="A396" s="163"/>
      <c r="B396" s="163"/>
      <c r="C396" s="163"/>
      <c r="D396" s="163"/>
      <c r="E396" s="163"/>
      <c r="F396" s="162"/>
      <c r="G396" s="163"/>
      <c r="H396" s="163"/>
      <c r="I396" s="163"/>
      <c r="J396" s="163"/>
      <c r="K396" s="163"/>
      <c r="L396" s="162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</row>
    <row r="397">
      <c r="A397" s="163"/>
      <c r="B397" s="163"/>
      <c r="C397" s="163"/>
      <c r="D397" s="163"/>
      <c r="E397" s="163"/>
      <c r="F397" s="162"/>
      <c r="G397" s="163"/>
      <c r="H397" s="163"/>
      <c r="I397" s="163"/>
      <c r="J397" s="163"/>
      <c r="K397" s="163"/>
      <c r="L397" s="162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</row>
    <row r="398">
      <c r="A398" s="163"/>
      <c r="B398" s="163"/>
      <c r="C398" s="163"/>
      <c r="D398" s="163"/>
      <c r="E398" s="163"/>
      <c r="F398" s="162"/>
      <c r="G398" s="163"/>
      <c r="H398" s="163"/>
      <c r="I398" s="163"/>
      <c r="J398" s="163"/>
      <c r="K398" s="163"/>
      <c r="L398" s="162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</row>
    <row r="399">
      <c r="A399" s="163"/>
      <c r="B399" s="163"/>
      <c r="C399" s="163"/>
      <c r="D399" s="163"/>
      <c r="E399" s="163"/>
      <c r="F399" s="162"/>
      <c r="G399" s="163"/>
      <c r="H399" s="163"/>
      <c r="I399" s="163"/>
      <c r="J399" s="163"/>
      <c r="K399" s="163"/>
      <c r="L399" s="162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</row>
    <row r="400">
      <c r="A400" s="163"/>
      <c r="B400" s="163"/>
      <c r="C400" s="163"/>
      <c r="D400" s="163"/>
      <c r="E400" s="163"/>
      <c r="F400" s="162"/>
      <c r="G400" s="163"/>
      <c r="H400" s="163"/>
      <c r="I400" s="163"/>
      <c r="J400" s="163"/>
      <c r="K400" s="163"/>
      <c r="L400" s="162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</row>
    <row r="401">
      <c r="A401" s="163"/>
      <c r="B401" s="163"/>
      <c r="C401" s="163"/>
      <c r="D401" s="163"/>
      <c r="E401" s="163"/>
      <c r="F401" s="162"/>
      <c r="G401" s="163"/>
      <c r="H401" s="163"/>
      <c r="I401" s="163"/>
      <c r="J401" s="163"/>
      <c r="K401" s="163"/>
      <c r="L401" s="162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</row>
    <row r="402">
      <c r="A402" s="163"/>
      <c r="B402" s="163"/>
      <c r="C402" s="163"/>
      <c r="D402" s="163"/>
      <c r="E402" s="163"/>
      <c r="F402" s="162"/>
      <c r="G402" s="163"/>
      <c r="H402" s="163"/>
      <c r="I402" s="163"/>
      <c r="J402" s="163"/>
      <c r="K402" s="163"/>
      <c r="L402" s="162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</row>
    <row r="403">
      <c r="A403" s="163"/>
      <c r="B403" s="163"/>
      <c r="C403" s="163"/>
      <c r="D403" s="163"/>
      <c r="E403" s="163"/>
      <c r="F403" s="162"/>
      <c r="G403" s="163"/>
      <c r="H403" s="163"/>
      <c r="I403" s="163"/>
      <c r="J403" s="163"/>
      <c r="K403" s="163"/>
      <c r="L403" s="162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</row>
    <row r="404">
      <c r="A404" s="163"/>
      <c r="B404" s="163"/>
      <c r="C404" s="163"/>
      <c r="D404" s="163"/>
      <c r="E404" s="163"/>
      <c r="F404" s="162"/>
      <c r="G404" s="163"/>
      <c r="H404" s="163"/>
      <c r="I404" s="163"/>
      <c r="J404" s="163"/>
      <c r="K404" s="163"/>
      <c r="L404" s="162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</row>
    <row r="405">
      <c r="A405" s="163"/>
      <c r="B405" s="163"/>
      <c r="C405" s="163"/>
      <c r="D405" s="163"/>
      <c r="E405" s="163"/>
      <c r="F405" s="162"/>
      <c r="G405" s="163"/>
      <c r="H405" s="163"/>
      <c r="I405" s="163"/>
      <c r="J405" s="163"/>
      <c r="K405" s="163"/>
      <c r="L405" s="162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</row>
    <row r="406">
      <c r="A406" s="163"/>
      <c r="B406" s="163"/>
      <c r="C406" s="163"/>
      <c r="D406" s="163"/>
      <c r="E406" s="163"/>
      <c r="F406" s="162"/>
      <c r="G406" s="163"/>
      <c r="H406" s="163"/>
      <c r="I406" s="163"/>
      <c r="J406" s="163"/>
      <c r="K406" s="163"/>
      <c r="L406" s="162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</row>
    <row r="407">
      <c r="A407" s="163"/>
      <c r="B407" s="163"/>
      <c r="C407" s="163"/>
      <c r="D407" s="163"/>
      <c r="E407" s="163"/>
      <c r="F407" s="162"/>
      <c r="G407" s="163"/>
      <c r="H407" s="163"/>
      <c r="I407" s="163"/>
      <c r="J407" s="163"/>
      <c r="K407" s="163"/>
      <c r="L407" s="162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</row>
    <row r="408">
      <c r="A408" s="163"/>
      <c r="B408" s="163"/>
      <c r="C408" s="163"/>
      <c r="D408" s="163"/>
      <c r="E408" s="163"/>
      <c r="F408" s="162"/>
      <c r="G408" s="163"/>
      <c r="H408" s="163"/>
      <c r="I408" s="163"/>
      <c r="J408" s="163"/>
      <c r="K408" s="163"/>
      <c r="L408" s="162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</row>
    <row r="409">
      <c r="A409" s="163"/>
      <c r="B409" s="163"/>
      <c r="C409" s="163"/>
      <c r="D409" s="163"/>
      <c r="E409" s="163"/>
      <c r="F409" s="162"/>
      <c r="G409" s="163"/>
      <c r="H409" s="163"/>
      <c r="I409" s="163"/>
      <c r="J409" s="163"/>
      <c r="K409" s="163"/>
      <c r="L409" s="162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</row>
    <row r="410">
      <c r="A410" s="163"/>
      <c r="B410" s="163"/>
      <c r="C410" s="163"/>
      <c r="D410" s="163"/>
      <c r="E410" s="163"/>
      <c r="F410" s="162"/>
      <c r="G410" s="163"/>
      <c r="H410" s="163"/>
      <c r="I410" s="163"/>
      <c r="J410" s="163"/>
      <c r="K410" s="163"/>
      <c r="L410" s="162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</row>
    <row r="411">
      <c r="A411" s="163"/>
      <c r="B411" s="163"/>
      <c r="C411" s="163"/>
      <c r="D411" s="163"/>
      <c r="E411" s="163"/>
      <c r="F411" s="162"/>
      <c r="G411" s="163"/>
      <c r="H411" s="163"/>
      <c r="I411" s="163"/>
      <c r="J411" s="163"/>
      <c r="K411" s="163"/>
      <c r="L411" s="162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</row>
    <row r="412">
      <c r="A412" s="163"/>
      <c r="B412" s="163"/>
      <c r="C412" s="163"/>
      <c r="D412" s="163"/>
      <c r="E412" s="163"/>
      <c r="F412" s="162"/>
      <c r="G412" s="163"/>
      <c r="H412" s="163"/>
      <c r="I412" s="163"/>
      <c r="J412" s="163"/>
      <c r="K412" s="163"/>
      <c r="L412" s="162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</row>
    <row r="413">
      <c r="A413" s="163"/>
      <c r="B413" s="163"/>
      <c r="C413" s="163"/>
      <c r="D413" s="163"/>
      <c r="E413" s="163"/>
      <c r="F413" s="162"/>
      <c r="G413" s="163"/>
      <c r="H413" s="163"/>
      <c r="I413" s="163"/>
      <c r="J413" s="163"/>
      <c r="K413" s="163"/>
      <c r="L413" s="162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</row>
    <row r="414">
      <c r="A414" s="163"/>
      <c r="B414" s="163"/>
      <c r="C414" s="163"/>
      <c r="D414" s="163"/>
      <c r="E414" s="163"/>
      <c r="F414" s="162"/>
      <c r="G414" s="163"/>
      <c r="H414" s="163"/>
      <c r="I414" s="163"/>
      <c r="J414" s="163"/>
      <c r="K414" s="163"/>
      <c r="L414" s="162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</row>
    <row r="415">
      <c r="A415" s="163"/>
      <c r="B415" s="163"/>
      <c r="C415" s="163"/>
      <c r="D415" s="163"/>
      <c r="E415" s="163"/>
      <c r="F415" s="162"/>
      <c r="G415" s="163"/>
      <c r="H415" s="163"/>
      <c r="I415" s="163"/>
      <c r="J415" s="163"/>
      <c r="K415" s="163"/>
      <c r="L415" s="162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</row>
    <row r="416">
      <c r="A416" s="163"/>
      <c r="B416" s="163"/>
      <c r="C416" s="163"/>
      <c r="D416" s="163"/>
      <c r="E416" s="163"/>
      <c r="F416" s="162"/>
      <c r="G416" s="163"/>
      <c r="H416" s="163"/>
      <c r="I416" s="163"/>
      <c r="J416" s="163"/>
      <c r="K416" s="163"/>
      <c r="L416" s="162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</row>
    <row r="417">
      <c r="A417" s="163"/>
      <c r="B417" s="163"/>
      <c r="C417" s="163"/>
      <c r="D417" s="163"/>
      <c r="E417" s="163"/>
      <c r="F417" s="162"/>
      <c r="G417" s="163"/>
      <c r="H417" s="163"/>
      <c r="I417" s="163"/>
      <c r="J417" s="163"/>
      <c r="K417" s="163"/>
      <c r="L417" s="162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</row>
    <row r="418">
      <c r="A418" s="163"/>
      <c r="B418" s="163"/>
      <c r="C418" s="163"/>
      <c r="D418" s="163"/>
      <c r="E418" s="163"/>
      <c r="F418" s="162"/>
      <c r="G418" s="163"/>
      <c r="H418" s="163"/>
      <c r="I418" s="163"/>
      <c r="J418" s="163"/>
      <c r="K418" s="163"/>
      <c r="L418" s="162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</row>
    <row r="419">
      <c r="A419" s="163"/>
      <c r="B419" s="163"/>
      <c r="C419" s="163"/>
      <c r="D419" s="163"/>
      <c r="E419" s="163"/>
      <c r="F419" s="162"/>
      <c r="G419" s="163"/>
      <c r="H419" s="163"/>
      <c r="I419" s="163"/>
      <c r="J419" s="163"/>
      <c r="K419" s="163"/>
      <c r="L419" s="162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</row>
    <row r="420">
      <c r="A420" s="163"/>
      <c r="B420" s="163"/>
      <c r="C420" s="163"/>
      <c r="D420" s="163"/>
      <c r="E420" s="163"/>
      <c r="F420" s="162"/>
      <c r="G420" s="163"/>
      <c r="H420" s="163"/>
      <c r="I420" s="163"/>
      <c r="J420" s="163"/>
      <c r="K420" s="163"/>
      <c r="L420" s="162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</row>
    <row r="421">
      <c r="A421" s="163"/>
      <c r="B421" s="163"/>
      <c r="C421" s="163"/>
      <c r="D421" s="163"/>
      <c r="E421" s="163"/>
      <c r="F421" s="162"/>
      <c r="G421" s="163"/>
      <c r="H421" s="163"/>
      <c r="I421" s="163"/>
      <c r="J421" s="163"/>
      <c r="K421" s="163"/>
      <c r="L421" s="162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</row>
    <row r="422">
      <c r="A422" s="163"/>
      <c r="B422" s="163"/>
      <c r="C422" s="163"/>
      <c r="D422" s="163"/>
      <c r="E422" s="163"/>
      <c r="F422" s="162"/>
      <c r="G422" s="163"/>
      <c r="H422" s="163"/>
      <c r="I422" s="163"/>
      <c r="J422" s="163"/>
      <c r="K422" s="163"/>
      <c r="L422" s="162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</row>
    <row r="423">
      <c r="A423" s="163"/>
      <c r="B423" s="163"/>
      <c r="C423" s="163"/>
      <c r="D423" s="163"/>
      <c r="E423" s="163"/>
      <c r="F423" s="162"/>
      <c r="G423" s="163"/>
      <c r="H423" s="163"/>
      <c r="I423" s="163"/>
      <c r="J423" s="163"/>
      <c r="K423" s="163"/>
      <c r="L423" s="162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</row>
    <row r="424">
      <c r="A424" s="163"/>
      <c r="B424" s="163"/>
      <c r="C424" s="163"/>
      <c r="D424" s="163"/>
      <c r="E424" s="163"/>
      <c r="F424" s="162"/>
      <c r="G424" s="163"/>
      <c r="H424" s="163"/>
      <c r="I424" s="163"/>
      <c r="J424" s="163"/>
      <c r="K424" s="163"/>
      <c r="L424" s="162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</row>
    <row r="425">
      <c r="A425" s="163"/>
      <c r="B425" s="163"/>
      <c r="C425" s="163"/>
      <c r="D425" s="163"/>
      <c r="E425" s="163"/>
      <c r="F425" s="162"/>
      <c r="G425" s="163"/>
      <c r="H425" s="163"/>
      <c r="I425" s="163"/>
      <c r="J425" s="163"/>
      <c r="K425" s="163"/>
      <c r="L425" s="162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</row>
    <row r="426">
      <c r="A426" s="163"/>
      <c r="B426" s="163"/>
      <c r="C426" s="163"/>
      <c r="D426" s="163"/>
      <c r="E426" s="163"/>
      <c r="F426" s="162"/>
      <c r="G426" s="163"/>
      <c r="H426" s="163"/>
      <c r="I426" s="163"/>
      <c r="J426" s="163"/>
      <c r="K426" s="163"/>
      <c r="L426" s="162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</row>
    <row r="427">
      <c r="A427" s="163"/>
      <c r="B427" s="163"/>
      <c r="C427" s="163"/>
      <c r="D427" s="163"/>
      <c r="E427" s="163"/>
      <c r="F427" s="162"/>
      <c r="G427" s="163"/>
      <c r="H427" s="163"/>
      <c r="I427" s="163"/>
      <c r="J427" s="163"/>
      <c r="K427" s="163"/>
      <c r="L427" s="162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</row>
    <row r="428">
      <c r="A428" s="163"/>
      <c r="B428" s="163"/>
      <c r="C428" s="163"/>
      <c r="D428" s="163"/>
      <c r="E428" s="163"/>
      <c r="F428" s="162"/>
      <c r="G428" s="163"/>
      <c r="H428" s="163"/>
      <c r="I428" s="163"/>
      <c r="J428" s="163"/>
      <c r="K428" s="163"/>
      <c r="L428" s="162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</row>
    <row r="429">
      <c r="A429" s="163"/>
      <c r="B429" s="163"/>
      <c r="C429" s="163"/>
      <c r="D429" s="163"/>
      <c r="E429" s="163"/>
      <c r="F429" s="162"/>
      <c r="G429" s="163"/>
      <c r="H429" s="163"/>
      <c r="I429" s="163"/>
      <c r="J429" s="163"/>
      <c r="K429" s="163"/>
      <c r="L429" s="162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</row>
    <row r="430">
      <c r="A430" s="163"/>
      <c r="B430" s="163"/>
      <c r="C430" s="163"/>
      <c r="D430" s="163"/>
      <c r="E430" s="163"/>
      <c r="F430" s="162"/>
      <c r="G430" s="163"/>
      <c r="H430" s="163"/>
      <c r="I430" s="163"/>
      <c r="J430" s="163"/>
      <c r="K430" s="163"/>
      <c r="L430" s="162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</row>
    <row r="431">
      <c r="A431" s="163"/>
      <c r="B431" s="163"/>
      <c r="C431" s="163"/>
      <c r="D431" s="163"/>
      <c r="E431" s="163"/>
      <c r="F431" s="162"/>
      <c r="G431" s="163"/>
      <c r="H431" s="163"/>
      <c r="I431" s="163"/>
      <c r="J431" s="163"/>
      <c r="K431" s="163"/>
      <c r="L431" s="162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</row>
    <row r="432">
      <c r="A432" s="163"/>
      <c r="B432" s="163"/>
      <c r="C432" s="163"/>
      <c r="D432" s="163"/>
      <c r="E432" s="163"/>
      <c r="F432" s="162"/>
      <c r="G432" s="163"/>
      <c r="H432" s="163"/>
      <c r="I432" s="163"/>
      <c r="J432" s="163"/>
      <c r="K432" s="163"/>
      <c r="L432" s="162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</row>
    <row r="433">
      <c r="A433" s="163"/>
      <c r="B433" s="163"/>
      <c r="C433" s="163"/>
      <c r="D433" s="163"/>
      <c r="E433" s="163"/>
      <c r="F433" s="162"/>
      <c r="G433" s="163"/>
      <c r="H433" s="163"/>
      <c r="I433" s="163"/>
      <c r="J433" s="163"/>
      <c r="K433" s="163"/>
      <c r="L433" s="162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</row>
    <row r="434">
      <c r="A434" s="163"/>
      <c r="B434" s="163"/>
      <c r="C434" s="163"/>
      <c r="D434" s="163"/>
      <c r="E434" s="163"/>
      <c r="F434" s="162"/>
      <c r="G434" s="163"/>
      <c r="H434" s="163"/>
      <c r="I434" s="163"/>
      <c r="J434" s="163"/>
      <c r="K434" s="163"/>
      <c r="L434" s="162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</row>
    <row r="435">
      <c r="A435" s="163"/>
      <c r="B435" s="163"/>
      <c r="C435" s="163"/>
      <c r="D435" s="163"/>
      <c r="E435" s="163"/>
      <c r="F435" s="162"/>
      <c r="G435" s="163"/>
      <c r="H435" s="163"/>
      <c r="I435" s="163"/>
      <c r="J435" s="163"/>
      <c r="K435" s="163"/>
      <c r="L435" s="162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</row>
    <row r="436">
      <c r="A436" s="163"/>
      <c r="B436" s="163"/>
      <c r="C436" s="163"/>
      <c r="D436" s="163"/>
      <c r="E436" s="163"/>
      <c r="F436" s="162"/>
      <c r="G436" s="163"/>
      <c r="H436" s="163"/>
      <c r="I436" s="163"/>
      <c r="J436" s="163"/>
      <c r="K436" s="163"/>
      <c r="L436" s="162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</row>
    <row r="437">
      <c r="A437" s="163"/>
      <c r="B437" s="163"/>
      <c r="C437" s="163"/>
      <c r="D437" s="163"/>
      <c r="E437" s="163"/>
      <c r="F437" s="162"/>
      <c r="G437" s="163"/>
      <c r="H437" s="163"/>
      <c r="I437" s="163"/>
      <c r="J437" s="163"/>
      <c r="K437" s="163"/>
      <c r="L437" s="162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</row>
    <row r="438">
      <c r="A438" s="163"/>
      <c r="B438" s="163"/>
      <c r="C438" s="163"/>
      <c r="D438" s="163"/>
      <c r="E438" s="163"/>
      <c r="F438" s="162"/>
      <c r="G438" s="163"/>
      <c r="H438" s="163"/>
      <c r="I438" s="163"/>
      <c r="J438" s="163"/>
      <c r="K438" s="163"/>
      <c r="L438" s="162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</row>
    <row r="439">
      <c r="A439" s="163"/>
      <c r="B439" s="163"/>
      <c r="C439" s="163"/>
      <c r="D439" s="163"/>
      <c r="E439" s="163"/>
      <c r="F439" s="162"/>
      <c r="G439" s="163"/>
      <c r="H439" s="163"/>
      <c r="I439" s="163"/>
      <c r="J439" s="163"/>
      <c r="K439" s="163"/>
      <c r="L439" s="162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</row>
    <row r="440">
      <c r="A440" s="163"/>
      <c r="B440" s="163"/>
      <c r="C440" s="163"/>
      <c r="D440" s="163"/>
      <c r="E440" s="163"/>
      <c r="F440" s="162"/>
      <c r="G440" s="163"/>
      <c r="H440" s="163"/>
      <c r="I440" s="163"/>
      <c r="J440" s="163"/>
      <c r="K440" s="163"/>
      <c r="L440" s="162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</row>
    <row r="441">
      <c r="A441" s="163"/>
      <c r="B441" s="163"/>
      <c r="C441" s="163"/>
      <c r="D441" s="163"/>
      <c r="E441" s="163"/>
      <c r="F441" s="162"/>
      <c r="G441" s="163"/>
      <c r="H441" s="163"/>
      <c r="I441" s="163"/>
      <c r="J441" s="163"/>
      <c r="K441" s="163"/>
      <c r="L441" s="162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</row>
    <row r="442">
      <c r="A442" s="163"/>
      <c r="B442" s="163"/>
      <c r="C442" s="163"/>
      <c r="D442" s="163"/>
      <c r="E442" s="163"/>
      <c r="F442" s="162"/>
      <c r="G442" s="163"/>
      <c r="H442" s="163"/>
      <c r="I442" s="163"/>
      <c r="J442" s="163"/>
      <c r="K442" s="163"/>
      <c r="L442" s="162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</row>
    <row r="443">
      <c r="A443" s="163"/>
      <c r="B443" s="163"/>
      <c r="C443" s="163"/>
      <c r="D443" s="163"/>
      <c r="E443" s="163"/>
      <c r="F443" s="162"/>
      <c r="G443" s="163"/>
      <c r="H443" s="163"/>
      <c r="I443" s="163"/>
      <c r="J443" s="163"/>
      <c r="K443" s="163"/>
      <c r="L443" s="162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</row>
    <row r="444">
      <c r="A444" s="163"/>
      <c r="B444" s="163"/>
      <c r="C444" s="163"/>
      <c r="D444" s="163"/>
      <c r="E444" s="163"/>
      <c r="F444" s="162"/>
      <c r="G444" s="163"/>
      <c r="H444" s="163"/>
      <c r="I444" s="163"/>
      <c r="J444" s="163"/>
      <c r="K444" s="163"/>
      <c r="L444" s="162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</row>
    <row r="445">
      <c r="A445" s="163"/>
      <c r="B445" s="163"/>
      <c r="C445" s="163"/>
      <c r="D445" s="163"/>
      <c r="E445" s="163"/>
      <c r="F445" s="162"/>
      <c r="G445" s="163"/>
      <c r="H445" s="163"/>
      <c r="I445" s="163"/>
      <c r="J445" s="163"/>
      <c r="K445" s="163"/>
      <c r="L445" s="162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</row>
    <row r="446">
      <c r="A446" s="163"/>
      <c r="B446" s="163"/>
      <c r="C446" s="163"/>
      <c r="D446" s="163"/>
      <c r="E446" s="163"/>
      <c r="F446" s="162"/>
      <c r="G446" s="163"/>
      <c r="H446" s="163"/>
      <c r="I446" s="163"/>
      <c r="J446" s="163"/>
      <c r="K446" s="163"/>
      <c r="L446" s="162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</row>
    <row r="447">
      <c r="A447" s="163"/>
      <c r="B447" s="163"/>
      <c r="C447" s="163"/>
      <c r="D447" s="163"/>
      <c r="E447" s="163"/>
      <c r="F447" s="162"/>
      <c r="G447" s="163"/>
      <c r="H447" s="163"/>
      <c r="I447" s="163"/>
      <c r="J447" s="163"/>
      <c r="K447" s="163"/>
      <c r="L447" s="162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</row>
    <row r="448">
      <c r="A448" s="163"/>
      <c r="B448" s="163"/>
      <c r="C448" s="163"/>
      <c r="D448" s="163"/>
      <c r="E448" s="163"/>
      <c r="F448" s="162"/>
      <c r="G448" s="163"/>
      <c r="H448" s="163"/>
      <c r="I448" s="163"/>
      <c r="J448" s="163"/>
      <c r="K448" s="163"/>
      <c r="L448" s="162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</row>
    <row r="449">
      <c r="A449" s="163"/>
      <c r="B449" s="163"/>
      <c r="C449" s="163"/>
      <c r="D449" s="163"/>
      <c r="E449" s="163"/>
      <c r="F449" s="162"/>
      <c r="G449" s="163"/>
      <c r="H449" s="163"/>
      <c r="I449" s="163"/>
      <c r="J449" s="163"/>
      <c r="K449" s="163"/>
      <c r="L449" s="162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</row>
    <row r="450">
      <c r="A450" s="163"/>
      <c r="B450" s="163"/>
      <c r="C450" s="163"/>
      <c r="D450" s="163"/>
      <c r="E450" s="163"/>
      <c r="F450" s="162"/>
      <c r="G450" s="163"/>
      <c r="H450" s="163"/>
      <c r="I450" s="163"/>
      <c r="J450" s="163"/>
      <c r="K450" s="163"/>
      <c r="L450" s="162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</row>
    <row r="451">
      <c r="A451" s="163"/>
      <c r="B451" s="163"/>
      <c r="C451" s="163"/>
      <c r="D451" s="163"/>
      <c r="E451" s="163"/>
      <c r="F451" s="162"/>
      <c r="G451" s="163"/>
      <c r="H451" s="163"/>
      <c r="I451" s="163"/>
      <c r="J451" s="163"/>
      <c r="K451" s="163"/>
      <c r="L451" s="162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</row>
    <row r="452">
      <c r="A452" s="163"/>
      <c r="B452" s="163"/>
      <c r="C452" s="163"/>
      <c r="D452" s="163"/>
      <c r="E452" s="163"/>
      <c r="F452" s="162"/>
      <c r="G452" s="163"/>
      <c r="H452" s="163"/>
      <c r="I452" s="163"/>
      <c r="J452" s="163"/>
      <c r="K452" s="163"/>
      <c r="L452" s="162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</row>
    <row r="453">
      <c r="A453" s="163"/>
      <c r="B453" s="163"/>
      <c r="C453" s="163"/>
      <c r="D453" s="163"/>
      <c r="E453" s="163"/>
      <c r="F453" s="162"/>
      <c r="G453" s="163"/>
      <c r="H453" s="163"/>
      <c r="I453" s="163"/>
      <c r="J453" s="163"/>
      <c r="K453" s="163"/>
      <c r="L453" s="162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</row>
    <row r="454">
      <c r="A454" s="163"/>
      <c r="B454" s="163"/>
      <c r="C454" s="163"/>
      <c r="D454" s="163"/>
      <c r="E454" s="163"/>
      <c r="F454" s="162"/>
      <c r="G454" s="163"/>
      <c r="H454" s="163"/>
      <c r="I454" s="163"/>
      <c r="J454" s="163"/>
      <c r="K454" s="163"/>
      <c r="L454" s="162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</row>
    <row r="455">
      <c r="A455" s="163"/>
      <c r="B455" s="163"/>
      <c r="C455" s="163"/>
      <c r="D455" s="163"/>
      <c r="E455" s="163"/>
      <c r="F455" s="162"/>
      <c r="G455" s="163"/>
      <c r="H455" s="163"/>
      <c r="I455" s="163"/>
      <c r="J455" s="163"/>
      <c r="K455" s="163"/>
      <c r="L455" s="162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</row>
    <row r="456">
      <c r="A456" s="163"/>
      <c r="B456" s="163"/>
      <c r="C456" s="163"/>
      <c r="D456" s="163"/>
      <c r="E456" s="163"/>
      <c r="F456" s="162"/>
      <c r="G456" s="163"/>
      <c r="H456" s="163"/>
      <c r="I456" s="163"/>
      <c r="J456" s="163"/>
      <c r="K456" s="163"/>
      <c r="L456" s="162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</row>
    <row r="457">
      <c r="A457" s="163"/>
      <c r="B457" s="163"/>
      <c r="C457" s="163"/>
      <c r="D457" s="163"/>
      <c r="E457" s="163"/>
      <c r="F457" s="162"/>
      <c r="G457" s="163"/>
      <c r="H457" s="163"/>
      <c r="I457" s="163"/>
      <c r="J457" s="163"/>
      <c r="K457" s="163"/>
      <c r="L457" s="162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</row>
    <row r="458">
      <c r="A458" s="163"/>
      <c r="B458" s="163"/>
      <c r="C458" s="163"/>
      <c r="D458" s="163"/>
      <c r="E458" s="163"/>
      <c r="F458" s="162"/>
      <c r="G458" s="163"/>
      <c r="H458" s="163"/>
      <c r="I458" s="163"/>
      <c r="J458" s="163"/>
      <c r="K458" s="163"/>
      <c r="L458" s="162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</row>
    <row r="459">
      <c r="A459" s="163"/>
      <c r="B459" s="163"/>
      <c r="C459" s="163"/>
      <c r="D459" s="163"/>
      <c r="E459" s="163"/>
      <c r="F459" s="162"/>
      <c r="G459" s="163"/>
      <c r="H459" s="163"/>
      <c r="I459" s="163"/>
      <c r="J459" s="163"/>
      <c r="K459" s="163"/>
      <c r="L459" s="162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</row>
    <row r="460">
      <c r="A460" s="163"/>
      <c r="B460" s="163"/>
      <c r="C460" s="163"/>
      <c r="D460" s="163"/>
      <c r="E460" s="163"/>
      <c r="F460" s="162"/>
      <c r="G460" s="163"/>
      <c r="H460" s="163"/>
      <c r="I460" s="163"/>
      <c r="J460" s="163"/>
      <c r="K460" s="163"/>
      <c r="L460" s="162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</row>
    <row r="461">
      <c r="A461" s="163"/>
      <c r="B461" s="163"/>
      <c r="C461" s="163"/>
      <c r="D461" s="163"/>
      <c r="E461" s="163"/>
      <c r="F461" s="162"/>
      <c r="G461" s="163"/>
      <c r="H461" s="163"/>
      <c r="I461" s="163"/>
      <c r="J461" s="163"/>
      <c r="K461" s="163"/>
      <c r="L461" s="162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</row>
    <row r="462">
      <c r="A462" s="163"/>
      <c r="B462" s="163"/>
      <c r="C462" s="163"/>
      <c r="D462" s="163"/>
      <c r="E462" s="163"/>
      <c r="F462" s="162"/>
      <c r="G462" s="163"/>
      <c r="H462" s="163"/>
      <c r="I462" s="163"/>
      <c r="J462" s="163"/>
      <c r="K462" s="163"/>
      <c r="L462" s="162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</row>
    <row r="463">
      <c r="A463" s="163"/>
      <c r="B463" s="163"/>
      <c r="C463" s="163"/>
      <c r="D463" s="163"/>
      <c r="E463" s="163"/>
      <c r="F463" s="162"/>
      <c r="G463" s="163"/>
      <c r="H463" s="163"/>
      <c r="I463" s="163"/>
      <c r="J463" s="163"/>
      <c r="K463" s="163"/>
      <c r="L463" s="162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</row>
    <row r="464">
      <c r="A464" s="163"/>
      <c r="B464" s="163"/>
      <c r="C464" s="163"/>
      <c r="D464" s="163"/>
      <c r="E464" s="163"/>
      <c r="F464" s="162"/>
      <c r="G464" s="163"/>
      <c r="H464" s="163"/>
      <c r="I464" s="163"/>
      <c r="J464" s="163"/>
      <c r="K464" s="163"/>
      <c r="L464" s="162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</row>
    <row r="465">
      <c r="A465" s="163"/>
      <c r="B465" s="163"/>
      <c r="C465" s="163"/>
      <c r="D465" s="163"/>
      <c r="E465" s="163"/>
      <c r="F465" s="162"/>
      <c r="G465" s="163"/>
      <c r="H465" s="163"/>
      <c r="I465" s="163"/>
      <c r="J465" s="163"/>
      <c r="K465" s="163"/>
      <c r="L465" s="162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</row>
    <row r="466">
      <c r="A466" s="163"/>
      <c r="B466" s="163"/>
      <c r="C466" s="163"/>
      <c r="D466" s="163"/>
      <c r="E466" s="163"/>
      <c r="F466" s="162"/>
      <c r="G466" s="163"/>
      <c r="H466" s="163"/>
      <c r="I466" s="163"/>
      <c r="J466" s="163"/>
      <c r="K466" s="163"/>
      <c r="L466" s="162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</row>
    <row r="467">
      <c r="A467" s="163"/>
      <c r="B467" s="163"/>
      <c r="C467" s="163"/>
      <c r="D467" s="163"/>
      <c r="E467" s="163"/>
      <c r="F467" s="162"/>
      <c r="G467" s="163"/>
      <c r="H467" s="163"/>
      <c r="I467" s="163"/>
      <c r="J467" s="163"/>
      <c r="K467" s="163"/>
      <c r="L467" s="162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</row>
    <row r="468">
      <c r="A468" s="163"/>
      <c r="B468" s="163"/>
      <c r="C468" s="163"/>
      <c r="D468" s="163"/>
      <c r="E468" s="163"/>
      <c r="F468" s="162"/>
      <c r="G468" s="163"/>
      <c r="H468" s="163"/>
      <c r="I468" s="163"/>
      <c r="J468" s="163"/>
      <c r="K468" s="163"/>
      <c r="L468" s="162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</row>
    <row r="469">
      <c r="A469" s="163"/>
      <c r="B469" s="163"/>
      <c r="C469" s="163"/>
      <c r="D469" s="163"/>
      <c r="E469" s="163"/>
      <c r="F469" s="162"/>
      <c r="G469" s="163"/>
      <c r="H469" s="163"/>
      <c r="I469" s="163"/>
      <c r="J469" s="163"/>
      <c r="K469" s="163"/>
      <c r="L469" s="162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</row>
    <row r="470">
      <c r="A470" s="163"/>
      <c r="B470" s="163"/>
      <c r="C470" s="163"/>
      <c r="D470" s="163"/>
      <c r="E470" s="163"/>
      <c r="F470" s="162"/>
      <c r="G470" s="163"/>
      <c r="H470" s="163"/>
      <c r="I470" s="163"/>
      <c r="J470" s="163"/>
      <c r="K470" s="163"/>
      <c r="L470" s="162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</row>
    <row r="471">
      <c r="A471" s="163"/>
      <c r="B471" s="163"/>
      <c r="C471" s="163"/>
      <c r="D471" s="163"/>
      <c r="E471" s="163"/>
      <c r="F471" s="162"/>
      <c r="G471" s="163"/>
      <c r="H471" s="163"/>
      <c r="I471" s="163"/>
      <c r="J471" s="163"/>
      <c r="K471" s="163"/>
      <c r="L471" s="162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</row>
    <row r="472">
      <c r="A472" s="163"/>
      <c r="B472" s="163"/>
      <c r="C472" s="163"/>
      <c r="D472" s="163"/>
      <c r="E472" s="163"/>
      <c r="F472" s="162"/>
      <c r="G472" s="163"/>
      <c r="H472" s="163"/>
      <c r="I472" s="163"/>
      <c r="J472" s="163"/>
      <c r="K472" s="163"/>
      <c r="L472" s="162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</row>
    <row r="473">
      <c r="A473" s="163"/>
      <c r="B473" s="163"/>
      <c r="C473" s="163"/>
      <c r="D473" s="163"/>
      <c r="E473" s="163"/>
      <c r="F473" s="162"/>
      <c r="G473" s="163"/>
      <c r="H473" s="163"/>
      <c r="I473" s="163"/>
      <c r="J473" s="163"/>
      <c r="K473" s="163"/>
      <c r="L473" s="162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</row>
    <row r="474">
      <c r="A474" s="163"/>
      <c r="B474" s="163"/>
      <c r="C474" s="163"/>
      <c r="D474" s="163"/>
      <c r="E474" s="163"/>
      <c r="F474" s="162"/>
      <c r="G474" s="163"/>
      <c r="H474" s="163"/>
      <c r="I474" s="163"/>
      <c r="J474" s="163"/>
      <c r="K474" s="163"/>
      <c r="L474" s="162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</row>
    <row r="475">
      <c r="A475" s="163"/>
      <c r="B475" s="163"/>
      <c r="C475" s="163"/>
      <c r="D475" s="163"/>
      <c r="E475" s="163"/>
      <c r="F475" s="162"/>
      <c r="G475" s="163"/>
      <c r="H475" s="163"/>
      <c r="I475" s="163"/>
      <c r="J475" s="163"/>
      <c r="K475" s="163"/>
      <c r="L475" s="162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</row>
    <row r="476">
      <c r="A476" s="163"/>
      <c r="B476" s="163"/>
      <c r="C476" s="163"/>
      <c r="D476" s="163"/>
      <c r="E476" s="163"/>
      <c r="F476" s="162"/>
      <c r="G476" s="163"/>
      <c r="H476" s="163"/>
      <c r="I476" s="163"/>
      <c r="J476" s="163"/>
      <c r="K476" s="163"/>
      <c r="L476" s="162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</row>
    <row r="477">
      <c r="A477" s="163"/>
      <c r="B477" s="163"/>
      <c r="C477" s="163"/>
      <c r="D477" s="163"/>
      <c r="E477" s="163"/>
      <c r="F477" s="162"/>
      <c r="G477" s="163"/>
      <c r="H477" s="163"/>
      <c r="I477" s="163"/>
      <c r="J477" s="163"/>
      <c r="K477" s="163"/>
      <c r="L477" s="162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</row>
    <row r="478">
      <c r="A478" s="163"/>
      <c r="B478" s="163"/>
      <c r="C478" s="163"/>
      <c r="D478" s="163"/>
      <c r="E478" s="163"/>
      <c r="F478" s="162"/>
      <c r="G478" s="163"/>
      <c r="H478" s="163"/>
      <c r="I478" s="163"/>
      <c r="J478" s="163"/>
      <c r="K478" s="163"/>
      <c r="L478" s="162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</row>
    <row r="479">
      <c r="A479" s="163"/>
      <c r="B479" s="163"/>
      <c r="C479" s="163"/>
      <c r="D479" s="163"/>
      <c r="E479" s="163"/>
      <c r="F479" s="162"/>
      <c r="G479" s="163"/>
      <c r="H479" s="163"/>
      <c r="I479" s="163"/>
      <c r="J479" s="163"/>
      <c r="K479" s="163"/>
      <c r="L479" s="162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</row>
    <row r="480">
      <c r="A480" s="163"/>
      <c r="B480" s="163"/>
      <c r="C480" s="163"/>
      <c r="D480" s="163"/>
      <c r="E480" s="163"/>
      <c r="F480" s="162"/>
      <c r="G480" s="163"/>
      <c r="H480" s="163"/>
      <c r="I480" s="163"/>
      <c r="J480" s="163"/>
      <c r="K480" s="163"/>
      <c r="L480" s="162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</row>
    <row r="481">
      <c r="A481" s="163"/>
      <c r="B481" s="163"/>
      <c r="C481" s="163"/>
      <c r="D481" s="163"/>
      <c r="E481" s="163"/>
      <c r="F481" s="162"/>
      <c r="G481" s="163"/>
      <c r="H481" s="163"/>
      <c r="I481" s="163"/>
      <c r="J481" s="163"/>
      <c r="K481" s="163"/>
      <c r="L481" s="162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</row>
    <row r="482">
      <c r="A482" s="163"/>
      <c r="B482" s="163"/>
      <c r="C482" s="163"/>
      <c r="D482" s="163"/>
      <c r="E482" s="163"/>
      <c r="F482" s="162"/>
      <c r="G482" s="163"/>
      <c r="H482" s="163"/>
      <c r="I482" s="163"/>
      <c r="J482" s="163"/>
      <c r="K482" s="163"/>
      <c r="L482" s="162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</row>
    <row r="483">
      <c r="A483" s="163"/>
      <c r="B483" s="163"/>
      <c r="C483" s="163"/>
      <c r="D483" s="163"/>
      <c r="E483" s="163"/>
      <c r="F483" s="162"/>
      <c r="G483" s="163"/>
      <c r="H483" s="163"/>
      <c r="I483" s="163"/>
      <c r="J483" s="163"/>
      <c r="K483" s="163"/>
      <c r="L483" s="162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</row>
    <row r="484">
      <c r="A484" s="163"/>
      <c r="B484" s="163"/>
      <c r="C484" s="163"/>
      <c r="D484" s="163"/>
      <c r="E484" s="163"/>
      <c r="F484" s="162"/>
      <c r="G484" s="163"/>
      <c r="H484" s="163"/>
      <c r="I484" s="163"/>
      <c r="J484" s="163"/>
      <c r="K484" s="163"/>
      <c r="L484" s="162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</row>
    <row r="485">
      <c r="A485" s="163"/>
      <c r="B485" s="163"/>
      <c r="C485" s="163"/>
      <c r="D485" s="163"/>
      <c r="E485" s="163"/>
      <c r="F485" s="162"/>
      <c r="G485" s="163"/>
      <c r="H485" s="163"/>
      <c r="I485" s="163"/>
      <c r="J485" s="163"/>
      <c r="K485" s="163"/>
      <c r="L485" s="162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</row>
    <row r="486">
      <c r="A486" s="163"/>
      <c r="B486" s="163"/>
      <c r="C486" s="163"/>
      <c r="D486" s="163"/>
      <c r="E486" s="163"/>
      <c r="F486" s="162"/>
      <c r="G486" s="163"/>
      <c r="H486" s="163"/>
      <c r="I486" s="163"/>
      <c r="J486" s="163"/>
      <c r="K486" s="163"/>
      <c r="L486" s="162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</row>
    <row r="487">
      <c r="A487" s="163"/>
      <c r="B487" s="163"/>
      <c r="C487" s="163"/>
      <c r="D487" s="163"/>
      <c r="E487" s="163"/>
      <c r="F487" s="162"/>
      <c r="G487" s="163"/>
      <c r="H487" s="163"/>
      <c r="I487" s="163"/>
      <c r="J487" s="163"/>
      <c r="K487" s="163"/>
      <c r="L487" s="162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</row>
    <row r="488">
      <c r="A488" s="163"/>
      <c r="B488" s="163"/>
      <c r="C488" s="163"/>
      <c r="D488" s="163"/>
      <c r="E488" s="163"/>
      <c r="F488" s="162"/>
      <c r="G488" s="163"/>
      <c r="H488" s="163"/>
      <c r="I488" s="163"/>
      <c r="J488" s="163"/>
      <c r="K488" s="163"/>
      <c r="L488" s="162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</row>
    <row r="489">
      <c r="A489" s="163"/>
      <c r="B489" s="163"/>
      <c r="C489" s="163"/>
      <c r="D489" s="163"/>
      <c r="E489" s="163"/>
      <c r="F489" s="162"/>
      <c r="G489" s="163"/>
      <c r="H489" s="163"/>
      <c r="I489" s="163"/>
      <c r="J489" s="163"/>
      <c r="K489" s="163"/>
      <c r="L489" s="162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</row>
    <row r="490">
      <c r="A490" s="163"/>
      <c r="B490" s="163"/>
      <c r="C490" s="163"/>
      <c r="D490" s="163"/>
      <c r="E490" s="163"/>
      <c r="F490" s="162"/>
      <c r="G490" s="163"/>
      <c r="H490" s="163"/>
      <c r="I490" s="163"/>
      <c r="J490" s="163"/>
      <c r="K490" s="163"/>
      <c r="L490" s="162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</row>
    <row r="491">
      <c r="A491" s="163"/>
      <c r="B491" s="163"/>
      <c r="C491" s="163"/>
      <c r="D491" s="163"/>
      <c r="E491" s="163"/>
      <c r="F491" s="162"/>
      <c r="G491" s="163"/>
      <c r="H491" s="163"/>
      <c r="I491" s="163"/>
      <c r="J491" s="163"/>
      <c r="K491" s="163"/>
      <c r="L491" s="162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</row>
    <row r="492">
      <c r="A492" s="163"/>
      <c r="B492" s="163"/>
      <c r="C492" s="163"/>
      <c r="D492" s="163"/>
      <c r="E492" s="163"/>
      <c r="F492" s="162"/>
      <c r="G492" s="163"/>
      <c r="H492" s="163"/>
      <c r="I492" s="163"/>
      <c r="J492" s="163"/>
      <c r="K492" s="163"/>
      <c r="L492" s="162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</row>
    <row r="493">
      <c r="A493" s="163"/>
      <c r="B493" s="163"/>
      <c r="C493" s="163"/>
      <c r="D493" s="163"/>
      <c r="E493" s="163"/>
      <c r="F493" s="162"/>
      <c r="G493" s="163"/>
      <c r="H493" s="163"/>
      <c r="I493" s="163"/>
      <c r="J493" s="163"/>
      <c r="K493" s="163"/>
      <c r="L493" s="162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</row>
    <row r="494">
      <c r="A494" s="163"/>
      <c r="B494" s="163"/>
      <c r="C494" s="163"/>
      <c r="D494" s="163"/>
      <c r="E494" s="163"/>
      <c r="F494" s="162"/>
      <c r="G494" s="163"/>
      <c r="H494" s="163"/>
      <c r="I494" s="163"/>
      <c r="J494" s="163"/>
      <c r="K494" s="163"/>
      <c r="L494" s="162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</row>
    <row r="495">
      <c r="A495" s="163"/>
      <c r="B495" s="163"/>
      <c r="C495" s="163"/>
      <c r="D495" s="163"/>
      <c r="E495" s="163"/>
      <c r="F495" s="162"/>
      <c r="G495" s="163"/>
      <c r="H495" s="163"/>
      <c r="I495" s="163"/>
      <c r="J495" s="163"/>
      <c r="K495" s="163"/>
      <c r="L495" s="162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</row>
    <row r="496">
      <c r="A496" s="163"/>
      <c r="B496" s="163"/>
      <c r="C496" s="163"/>
      <c r="D496" s="163"/>
      <c r="E496" s="163"/>
      <c r="F496" s="162"/>
      <c r="G496" s="163"/>
      <c r="H496" s="163"/>
      <c r="I496" s="163"/>
      <c r="J496" s="163"/>
      <c r="K496" s="163"/>
      <c r="L496" s="162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</row>
    <row r="497">
      <c r="A497" s="163"/>
      <c r="B497" s="163"/>
      <c r="C497" s="163"/>
      <c r="D497" s="163"/>
      <c r="E497" s="163"/>
      <c r="F497" s="162"/>
      <c r="G497" s="163"/>
      <c r="H497" s="163"/>
      <c r="I497" s="163"/>
      <c r="J497" s="163"/>
      <c r="K497" s="163"/>
      <c r="L497" s="162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</row>
    <row r="498">
      <c r="A498" s="163"/>
      <c r="B498" s="163"/>
      <c r="C498" s="163"/>
      <c r="D498" s="163"/>
      <c r="E498" s="163"/>
      <c r="F498" s="162"/>
      <c r="G498" s="163"/>
      <c r="H498" s="163"/>
      <c r="I498" s="163"/>
      <c r="J498" s="163"/>
      <c r="K498" s="163"/>
      <c r="L498" s="162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</row>
    <row r="499">
      <c r="A499" s="163"/>
      <c r="B499" s="163"/>
      <c r="C499" s="163"/>
      <c r="D499" s="163"/>
      <c r="E499" s="163"/>
      <c r="F499" s="162"/>
      <c r="G499" s="163"/>
      <c r="H499" s="163"/>
      <c r="I499" s="163"/>
      <c r="J499" s="163"/>
      <c r="K499" s="163"/>
      <c r="L499" s="162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</row>
    <row r="500">
      <c r="A500" s="163"/>
      <c r="B500" s="163"/>
      <c r="C500" s="163"/>
      <c r="D500" s="163"/>
      <c r="E500" s="163"/>
      <c r="F500" s="162"/>
      <c r="G500" s="163"/>
      <c r="H500" s="163"/>
      <c r="I500" s="163"/>
      <c r="J500" s="163"/>
      <c r="K500" s="163"/>
      <c r="L500" s="162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</row>
    <row r="501">
      <c r="A501" s="163"/>
      <c r="B501" s="163"/>
      <c r="C501" s="163"/>
      <c r="D501" s="163"/>
      <c r="E501" s="163"/>
      <c r="F501" s="162"/>
      <c r="G501" s="163"/>
      <c r="H501" s="163"/>
      <c r="I501" s="163"/>
      <c r="J501" s="163"/>
      <c r="K501" s="163"/>
      <c r="L501" s="162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</row>
    <row r="502">
      <c r="A502" s="163"/>
      <c r="B502" s="163"/>
      <c r="C502" s="163"/>
      <c r="D502" s="163"/>
      <c r="E502" s="163"/>
      <c r="F502" s="162"/>
      <c r="G502" s="163"/>
      <c r="H502" s="163"/>
      <c r="I502" s="163"/>
      <c r="J502" s="163"/>
      <c r="K502" s="163"/>
      <c r="L502" s="162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</row>
    <row r="503">
      <c r="A503" s="163"/>
      <c r="B503" s="163"/>
      <c r="C503" s="163"/>
      <c r="D503" s="163"/>
      <c r="E503" s="163"/>
      <c r="F503" s="162"/>
      <c r="G503" s="163"/>
      <c r="H503" s="163"/>
      <c r="I503" s="163"/>
      <c r="J503" s="163"/>
      <c r="K503" s="163"/>
      <c r="L503" s="162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</row>
    <row r="504">
      <c r="A504" s="163"/>
      <c r="B504" s="163"/>
      <c r="C504" s="163"/>
      <c r="D504" s="163"/>
      <c r="E504" s="163"/>
      <c r="F504" s="162"/>
      <c r="G504" s="163"/>
      <c r="H504" s="163"/>
      <c r="I504" s="163"/>
      <c r="J504" s="163"/>
      <c r="K504" s="163"/>
      <c r="L504" s="162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</row>
    <row r="505">
      <c r="A505" s="163"/>
      <c r="B505" s="163"/>
      <c r="C505" s="163"/>
      <c r="D505" s="163"/>
      <c r="E505" s="163"/>
      <c r="F505" s="162"/>
      <c r="G505" s="163"/>
      <c r="H505" s="163"/>
      <c r="I505" s="163"/>
      <c r="J505" s="163"/>
      <c r="K505" s="163"/>
      <c r="L505" s="162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</row>
    <row r="506">
      <c r="A506" s="163"/>
      <c r="B506" s="163"/>
      <c r="C506" s="163"/>
      <c r="D506" s="163"/>
      <c r="E506" s="163"/>
      <c r="F506" s="162"/>
      <c r="G506" s="163"/>
      <c r="H506" s="163"/>
      <c r="I506" s="163"/>
      <c r="J506" s="163"/>
      <c r="K506" s="163"/>
      <c r="L506" s="162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</row>
    <row r="507">
      <c r="A507" s="163"/>
      <c r="B507" s="163"/>
      <c r="C507" s="163"/>
      <c r="D507" s="163"/>
      <c r="E507" s="163"/>
      <c r="F507" s="162"/>
      <c r="G507" s="163"/>
      <c r="H507" s="163"/>
      <c r="I507" s="163"/>
      <c r="J507" s="163"/>
      <c r="K507" s="163"/>
      <c r="L507" s="162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</row>
    <row r="508">
      <c r="A508" s="163"/>
      <c r="B508" s="163"/>
      <c r="C508" s="163"/>
      <c r="D508" s="163"/>
      <c r="E508" s="163"/>
      <c r="F508" s="162"/>
      <c r="G508" s="163"/>
      <c r="H508" s="163"/>
      <c r="I508" s="163"/>
      <c r="J508" s="163"/>
      <c r="K508" s="163"/>
      <c r="L508" s="162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</row>
    <row r="509">
      <c r="A509" s="163"/>
      <c r="B509" s="163"/>
      <c r="C509" s="163"/>
      <c r="D509" s="163"/>
      <c r="E509" s="163"/>
      <c r="F509" s="162"/>
      <c r="G509" s="163"/>
      <c r="H509" s="163"/>
      <c r="I509" s="163"/>
      <c r="J509" s="163"/>
      <c r="K509" s="163"/>
      <c r="L509" s="162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</row>
    <row r="510">
      <c r="A510" s="163"/>
      <c r="B510" s="163"/>
      <c r="C510" s="163"/>
      <c r="D510" s="163"/>
      <c r="E510" s="163"/>
      <c r="F510" s="162"/>
      <c r="G510" s="163"/>
      <c r="H510" s="163"/>
      <c r="I510" s="163"/>
      <c r="J510" s="163"/>
      <c r="K510" s="163"/>
      <c r="L510" s="162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</row>
    <row r="511">
      <c r="A511" s="163"/>
      <c r="B511" s="163"/>
      <c r="C511" s="163"/>
      <c r="D511" s="163"/>
      <c r="E511" s="163"/>
      <c r="F511" s="162"/>
      <c r="G511" s="163"/>
      <c r="H511" s="163"/>
      <c r="I511" s="163"/>
      <c r="J511" s="163"/>
      <c r="K511" s="163"/>
      <c r="L511" s="162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</row>
    <row r="512">
      <c r="A512" s="163"/>
      <c r="B512" s="163"/>
      <c r="C512" s="163"/>
      <c r="D512" s="163"/>
      <c r="E512" s="163"/>
      <c r="F512" s="162"/>
      <c r="G512" s="163"/>
      <c r="H512" s="163"/>
      <c r="I512" s="163"/>
      <c r="J512" s="163"/>
      <c r="K512" s="163"/>
      <c r="L512" s="162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</row>
    <row r="513">
      <c r="A513" s="163"/>
      <c r="B513" s="163"/>
      <c r="C513" s="163"/>
      <c r="D513" s="163"/>
      <c r="E513" s="163"/>
      <c r="F513" s="162"/>
      <c r="G513" s="163"/>
      <c r="H513" s="163"/>
      <c r="I513" s="163"/>
      <c r="J513" s="163"/>
      <c r="K513" s="163"/>
      <c r="L513" s="162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</row>
    <row r="514">
      <c r="A514" s="163"/>
      <c r="B514" s="163"/>
      <c r="C514" s="163"/>
      <c r="D514" s="163"/>
      <c r="E514" s="163"/>
      <c r="F514" s="162"/>
      <c r="G514" s="163"/>
      <c r="H514" s="163"/>
      <c r="I514" s="163"/>
      <c r="J514" s="163"/>
      <c r="K514" s="163"/>
      <c r="L514" s="162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</row>
    <row r="515">
      <c r="A515" s="163"/>
      <c r="B515" s="163"/>
      <c r="C515" s="163"/>
      <c r="D515" s="163"/>
      <c r="E515" s="163"/>
      <c r="F515" s="162"/>
      <c r="G515" s="163"/>
      <c r="H515" s="163"/>
      <c r="I515" s="163"/>
      <c r="J515" s="163"/>
      <c r="K515" s="163"/>
      <c r="L515" s="162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</row>
    <row r="516">
      <c r="A516" s="163"/>
      <c r="B516" s="163"/>
      <c r="C516" s="163"/>
      <c r="D516" s="163"/>
      <c r="E516" s="163"/>
      <c r="F516" s="162"/>
      <c r="G516" s="163"/>
      <c r="H516" s="163"/>
      <c r="I516" s="163"/>
      <c r="J516" s="163"/>
      <c r="K516" s="163"/>
      <c r="L516" s="162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</row>
    <row r="517">
      <c r="A517" s="163"/>
      <c r="B517" s="163"/>
      <c r="C517" s="163"/>
      <c r="D517" s="163"/>
      <c r="E517" s="163"/>
      <c r="F517" s="162"/>
      <c r="G517" s="163"/>
      <c r="H517" s="163"/>
      <c r="I517" s="163"/>
      <c r="J517" s="163"/>
      <c r="K517" s="163"/>
      <c r="L517" s="162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</row>
    <row r="518">
      <c r="A518" s="163"/>
      <c r="B518" s="163"/>
      <c r="C518" s="163"/>
      <c r="D518" s="163"/>
      <c r="E518" s="163"/>
      <c r="F518" s="162"/>
      <c r="G518" s="163"/>
      <c r="H518" s="163"/>
      <c r="I518" s="163"/>
      <c r="J518" s="163"/>
      <c r="K518" s="163"/>
      <c r="L518" s="162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</row>
    <row r="519">
      <c r="A519" s="163"/>
      <c r="B519" s="163"/>
      <c r="C519" s="163"/>
      <c r="D519" s="163"/>
      <c r="E519" s="163"/>
      <c r="F519" s="162"/>
      <c r="G519" s="163"/>
      <c r="H519" s="163"/>
      <c r="I519" s="163"/>
      <c r="J519" s="163"/>
      <c r="K519" s="163"/>
      <c r="L519" s="162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</row>
    <row r="520">
      <c r="A520" s="163"/>
      <c r="B520" s="163"/>
      <c r="C520" s="163"/>
      <c r="D520" s="163"/>
      <c r="E520" s="163"/>
      <c r="F520" s="162"/>
      <c r="G520" s="163"/>
      <c r="H520" s="163"/>
      <c r="I520" s="163"/>
      <c r="J520" s="163"/>
      <c r="K520" s="163"/>
      <c r="L520" s="162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</row>
    <row r="521">
      <c r="A521" s="163"/>
      <c r="B521" s="163"/>
      <c r="C521" s="163"/>
      <c r="D521" s="163"/>
      <c r="E521" s="163"/>
      <c r="F521" s="162"/>
      <c r="G521" s="163"/>
      <c r="H521" s="163"/>
      <c r="I521" s="163"/>
      <c r="J521" s="163"/>
      <c r="K521" s="163"/>
      <c r="L521" s="162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</row>
    <row r="522">
      <c r="A522" s="163"/>
      <c r="B522" s="163"/>
      <c r="C522" s="163"/>
      <c r="D522" s="163"/>
      <c r="E522" s="163"/>
      <c r="F522" s="162"/>
      <c r="G522" s="163"/>
      <c r="H522" s="163"/>
      <c r="I522" s="163"/>
      <c r="J522" s="163"/>
      <c r="K522" s="163"/>
      <c r="L522" s="162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</row>
    <row r="523">
      <c r="A523" s="163"/>
      <c r="B523" s="163"/>
      <c r="C523" s="163"/>
      <c r="D523" s="163"/>
      <c r="E523" s="163"/>
      <c r="F523" s="162"/>
      <c r="G523" s="163"/>
      <c r="H523" s="163"/>
      <c r="I523" s="163"/>
      <c r="J523" s="163"/>
      <c r="K523" s="163"/>
      <c r="L523" s="162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</row>
    <row r="524">
      <c r="A524" s="163"/>
      <c r="B524" s="163"/>
      <c r="C524" s="163"/>
      <c r="D524" s="163"/>
      <c r="E524" s="163"/>
      <c r="F524" s="162"/>
      <c r="G524" s="163"/>
      <c r="H524" s="163"/>
      <c r="I524" s="163"/>
      <c r="J524" s="163"/>
      <c r="K524" s="163"/>
      <c r="L524" s="162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</row>
    <row r="525">
      <c r="A525" s="163"/>
      <c r="B525" s="163"/>
      <c r="C525" s="163"/>
      <c r="D525" s="163"/>
      <c r="E525" s="163"/>
      <c r="F525" s="162"/>
      <c r="G525" s="163"/>
      <c r="H525" s="163"/>
      <c r="I525" s="163"/>
      <c r="J525" s="163"/>
      <c r="K525" s="163"/>
      <c r="L525" s="162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</row>
    <row r="526">
      <c r="A526" s="163"/>
      <c r="B526" s="163"/>
      <c r="C526" s="163"/>
      <c r="D526" s="163"/>
      <c r="E526" s="163"/>
      <c r="F526" s="162"/>
      <c r="G526" s="163"/>
      <c r="H526" s="163"/>
      <c r="I526" s="163"/>
      <c r="J526" s="163"/>
      <c r="K526" s="163"/>
      <c r="L526" s="162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</row>
    <row r="527">
      <c r="A527" s="163"/>
      <c r="B527" s="163"/>
      <c r="C527" s="163"/>
      <c r="D527" s="163"/>
      <c r="E527" s="163"/>
      <c r="F527" s="162"/>
      <c r="G527" s="163"/>
      <c r="H527" s="163"/>
      <c r="I527" s="163"/>
      <c r="J527" s="163"/>
      <c r="K527" s="163"/>
      <c r="L527" s="162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</row>
    <row r="528">
      <c r="A528" s="163"/>
      <c r="B528" s="163"/>
      <c r="C528" s="163"/>
      <c r="D528" s="163"/>
      <c r="E528" s="163"/>
      <c r="F528" s="162"/>
      <c r="G528" s="163"/>
      <c r="H528" s="163"/>
      <c r="I528" s="163"/>
      <c r="J528" s="163"/>
      <c r="K528" s="163"/>
      <c r="L528" s="162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</row>
    <row r="529">
      <c r="A529" s="163"/>
      <c r="B529" s="163"/>
      <c r="C529" s="163"/>
      <c r="D529" s="163"/>
      <c r="E529" s="163"/>
      <c r="F529" s="162"/>
      <c r="G529" s="163"/>
      <c r="H529" s="163"/>
      <c r="I529" s="163"/>
      <c r="J529" s="163"/>
      <c r="K529" s="163"/>
      <c r="L529" s="162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</row>
    <row r="530">
      <c r="A530" s="163"/>
      <c r="B530" s="163"/>
      <c r="C530" s="163"/>
      <c r="D530" s="163"/>
      <c r="E530" s="163"/>
      <c r="F530" s="162"/>
      <c r="G530" s="163"/>
      <c r="H530" s="163"/>
      <c r="I530" s="163"/>
      <c r="J530" s="163"/>
      <c r="K530" s="163"/>
      <c r="L530" s="162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</row>
    <row r="531">
      <c r="A531" s="163"/>
      <c r="B531" s="163"/>
      <c r="C531" s="163"/>
      <c r="D531" s="163"/>
      <c r="E531" s="163"/>
      <c r="F531" s="162"/>
      <c r="G531" s="163"/>
      <c r="H531" s="163"/>
      <c r="I531" s="163"/>
      <c r="J531" s="163"/>
      <c r="K531" s="163"/>
      <c r="L531" s="162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</row>
    <row r="532">
      <c r="A532" s="163"/>
      <c r="B532" s="163"/>
      <c r="C532" s="163"/>
      <c r="D532" s="163"/>
      <c r="E532" s="163"/>
      <c r="F532" s="162"/>
      <c r="G532" s="163"/>
      <c r="H532" s="163"/>
      <c r="I532" s="163"/>
      <c r="J532" s="163"/>
      <c r="K532" s="163"/>
      <c r="L532" s="162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</row>
    <row r="533">
      <c r="A533" s="163"/>
      <c r="B533" s="163"/>
      <c r="C533" s="163"/>
      <c r="D533" s="163"/>
      <c r="E533" s="163"/>
      <c r="F533" s="162"/>
      <c r="G533" s="163"/>
      <c r="H533" s="163"/>
      <c r="I533" s="163"/>
      <c r="J533" s="163"/>
      <c r="K533" s="163"/>
      <c r="L533" s="162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</row>
    <row r="534">
      <c r="A534" s="163"/>
      <c r="B534" s="163"/>
      <c r="C534" s="163"/>
      <c r="D534" s="163"/>
      <c r="E534" s="163"/>
      <c r="F534" s="162"/>
      <c r="G534" s="163"/>
      <c r="H534" s="163"/>
      <c r="I534" s="163"/>
      <c r="J534" s="163"/>
      <c r="K534" s="163"/>
      <c r="L534" s="162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</row>
    <row r="535">
      <c r="A535" s="163"/>
      <c r="B535" s="163"/>
      <c r="C535" s="163"/>
      <c r="D535" s="163"/>
      <c r="E535" s="163"/>
      <c r="F535" s="162"/>
      <c r="G535" s="163"/>
      <c r="H535" s="163"/>
      <c r="I535" s="163"/>
      <c r="J535" s="163"/>
      <c r="K535" s="163"/>
      <c r="L535" s="162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</row>
    <row r="536">
      <c r="A536" s="163"/>
      <c r="B536" s="163"/>
      <c r="C536" s="163"/>
      <c r="D536" s="163"/>
      <c r="E536" s="163"/>
      <c r="F536" s="162"/>
      <c r="G536" s="163"/>
      <c r="H536" s="163"/>
      <c r="I536" s="163"/>
      <c r="J536" s="163"/>
      <c r="K536" s="163"/>
      <c r="L536" s="162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</row>
    <row r="537">
      <c r="A537" s="163"/>
      <c r="B537" s="163"/>
      <c r="C537" s="163"/>
      <c r="D537" s="163"/>
      <c r="E537" s="163"/>
      <c r="F537" s="162"/>
      <c r="G537" s="163"/>
      <c r="H537" s="163"/>
      <c r="I537" s="163"/>
      <c r="J537" s="163"/>
      <c r="K537" s="163"/>
      <c r="L537" s="162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</row>
    <row r="538">
      <c r="A538" s="163"/>
      <c r="B538" s="163"/>
      <c r="C538" s="163"/>
      <c r="D538" s="163"/>
      <c r="E538" s="163"/>
      <c r="F538" s="162"/>
      <c r="G538" s="163"/>
      <c r="H538" s="163"/>
      <c r="I538" s="163"/>
      <c r="J538" s="163"/>
      <c r="K538" s="163"/>
      <c r="L538" s="162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</row>
    <row r="539">
      <c r="A539" s="163"/>
      <c r="B539" s="163"/>
      <c r="C539" s="163"/>
      <c r="D539" s="163"/>
      <c r="E539" s="163"/>
      <c r="F539" s="162"/>
      <c r="G539" s="163"/>
      <c r="H539" s="163"/>
      <c r="I539" s="163"/>
      <c r="J539" s="163"/>
      <c r="K539" s="163"/>
      <c r="L539" s="162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</row>
    <row r="540">
      <c r="A540" s="163"/>
      <c r="B540" s="163"/>
      <c r="C540" s="163"/>
      <c r="D540" s="163"/>
      <c r="E540" s="163"/>
      <c r="F540" s="162"/>
      <c r="G540" s="163"/>
      <c r="H540" s="163"/>
      <c r="I540" s="163"/>
      <c r="J540" s="163"/>
      <c r="K540" s="163"/>
      <c r="L540" s="162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</row>
    <row r="541">
      <c r="A541" s="163"/>
      <c r="B541" s="163"/>
      <c r="C541" s="163"/>
      <c r="D541" s="163"/>
      <c r="E541" s="163"/>
      <c r="F541" s="162"/>
      <c r="G541" s="163"/>
      <c r="H541" s="163"/>
      <c r="I541" s="163"/>
      <c r="J541" s="163"/>
      <c r="K541" s="163"/>
      <c r="L541" s="162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</row>
    <row r="542">
      <c r="A542" s="163"/>
      <c r="B542" s="163"/>
      <c r="C542" s="163"/>
      <c r="D542" s="163"/>
      <c r="E542" s="163"/>
      <c r="F542" s="162"/>
      <c r="G542" s="163"/>
      <c r="H542" s="163"/>
      <c r="I542" s="163"/>
      <c r="J542" s="163"/>
      <c r="K542" s="163"/>
      <c r="L542" s="162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</row>
    <row r="543">
      <c r="A543" s="163"/>
      <c r="B543" s="163"/>
      <c r="C543" s="163"/>
      <c r="D543" s="163"/>
      <c r="E543" s="163"/>
      <c r="F543" s="162"/>
      <c r="G543" s="163"/>
      <c r="H543" s="163"/>
      <c r="I543" s="163"/>
      <c r="J543" s="163"/>
      <c r="K543" s="163"/>
      <c r="L543" s="162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</row>
    <row r="544">
      <c r="A544" s="163"/>
      <c r="B544" s="163"/>
      <c r="C544" s="163"/>
      <c r="D544" s="163"/>
      <c r="E544" s="163"/>
      <c r="F544" s="162"/>
      <c r="G544" s="163"/>
      <c r="H544" s="163"/>
      <c r="I544" s="163"/>
      <c r="J544" s="163"/>
      <c r="K544" s="163"/>
      <c r="L544" s="162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</row>
    <row r="545">
      <c r="A545" s="163"/>
      <c r="B545" s="163"/>
      <c r="C545" s="163"/>
      <c r="D545" s="163"/>
      <c r="E545" s="163"/>
      <c r="F545" s="162"/>
      <c r="G545" s="163"/>
      <c r="H545" s="163"/>
      <c r="I545" s="163"/>
      <c r="J545" s="163"/>
      <c r="K545" s="163"/>
      <c r="L545" s="162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</row>
    <row r="546">
      <c r="A546" s="163"/>
      <c r="B546" s="163"/>
      <c r="C546" s="163"/>
      <c r="D546" s="163"/>
      <c r="E546" s="163"/>
      <c r="F546" s="162"/>
      <c r="G546" s="163"/>
      <c r="H546" s="163"/>
      <c r="I546" s="163"/>
      <c r="J546" s="163"/>
      <c r="K546" s="163"/>
      <c r="L546" s="162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</row>
    <row r="547">
      <c r="A547" s="163"/>
      <c r="B547" s="163"/>
      <c r="C547" s="163"/>
      <c r="D547" s="163"/>
      <c r="E547" s="163"/>
      <c r="F547" s="162"/>
      <c r="G547" s="163"/>
      <c r="H547" s="163"/>
      <c r="I547" s="163"/>
      <c r="J547" s="163"/>
      <c r="K547" s="163"/>
      <c r="L547" s="162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</row>
    <row r="548">
      <c r="A548" s="163"/>
      <c r="B548" s="163"/>
      <c r="C548" s="163"/>
      <c r="D548" s="163"/>
      <c r="E548" s="163"/>
      <c r="F548" s="162"/>
      <c r="G548" s="163"/>
      <c r="H548" s="163"/>
      <c r="I548" s="163"/>
      <c r="J548" s="163"/>
      <c r="K548" s="163"/>
      <c r="L548" s="162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</row>
    <row r="549">
      <c r="A549" s="163"/>
      <c r="B549" s="163"/>
      <c r="C549" s="163"/>
      <c r="D549" s="163"/>
      <c r="E549" s="163"/>
      <c r="F549" s="162"/>
      <c r="G549" s="163"/>
      <c r="H549" s="163"/>
      <c r="I549" s="163"/>
      <c r="J549" s="163"/>
      <c r="K549" s="163"/>
      <c r="L549" s="162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</row>
    <row r="550">
      <c r="A550" s="163"/>
      <c r="B550" s="163"/>
      <c r="C550" s="163"/>
      <c r="D550" s="163"/>
      <c r="E550" s="163"/>
      <c r="F550" s="162"/>
      <c r="G550" s="163"/>
      <c r="H550" s="163"/>
      <c r="I550" s="163"/>
      <c r="J550" s="163"/>
      <c r="K550" s="163"/>
      <c r="L550" s="162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</row>
    <row r="551">
      <c r="A551" s="163"/>
      <c r="B551" s="163"/>
      <c r="C551" s="163"/>
      <c r="D551" s="163"/>
      <c r="E551" s="163"/>
      <c r="F551" s="162"/>
      <c r="G551" s="163"/>
      <c r="H551" s="163"/>
      <c r="I551" s="163"/>
      <c r="J551" s="163"/>
      <c r="K551" s="163"/>
      <c r="L551" s="162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</row>
    <row r="552">
      <c r="A552" s="163"/>
      <c r="B552" s="163"/>
      <c r="C552" s="163"/>
      <c r="D552" s="163"/>
      <c r="E552" s="163"/>
      <c r="F552" s="162"/>
      <c r="G552" s="163"/>
      <c r="H552" s="163"/>
      <c r="I552" s="163"/>
      <c r="J552" s="163"/>
      <c r="K552" s="163"/>
      <c r="L552" s="162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</row>
    <row r="553">
      <c r="A553" s="163"/>
      <c r="B553" s="163"/>
      <c r="C553" s="163"/>
      <c r="D553" s="163"/>
      <c r="E553" s="163"/>
      <c r="F553" s="162"/>
      <c r="G553" s="163"/>
      <c r="H553" s="163"/>
      <c r="I553" s="163"/>
      <c r="J553" s="163"/>
      <c r="K553" s="163"/>
      <c r="L553" s="162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</row>
    <row r="554">
      <c r="A554" s="163"/>
      <c r="B554" s="163"/>
      <c r="C554" s="163"/>
      <c r="D554" s="163"/>
      <c r="E554" s="163"/>
      <c r="F554" s="162"/>
      <c r="G554" s="163"/>
      <c r="H554" s="163"/>
      <c r="I554" s="163"/>
      <c r="J554" s="163"/>
      <c r="K554" s="163"/>
      <c r="L554" s="162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</row>
    <row r="555">
      <c r="A555" s="163"/>
      <c r="B555" s="163"/>
      <c r="C555" s="163"/>
      <c r="D555" s="163"/>
      <c r="E555" s="163"/>
      <c r="F555" s="162"/>
      <c r="G555" s="163"/>
      <c r="H555" s="163"/>
      <c r="I555" s="163"/>
      <c r="J555" s="163"/>
      <c r="K555" s="163"/>
      <c r="L555" s="162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</row>
    <row r="556">
      <c r="A556" s="163"/>
      <c r="B556" s="163"/>
      <c r="C556" s="163"/>
      <c r="D556" s="163"/>
      <c r="E556" s="163"/>
      <c r="F556" s="162"/>
      <c r="G556" s="163"/>
      <c r="H556" s="163"/>
      <c r="I556" s="163"/>
      <c r="J556" s="163"/>
      <c r="K556" s="163"/>
      <c r="L556" s="162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</row>
    <row r="557">
      <c r="A557" s="163"/>
      <c r="B557" s="163"/>
      <c r="C557" s="163"/>
      <c r="D557" s="163"/>
      <c r="E557" s="163"/>
      <c r="F557" s="162"/>
      <c r="G557" s="163"/>
      <c r="H557" s="163"/>
      <c r="I557" s="163"/>
      <c r="J557" s="163"/>
      <c r="K557" s="163"/>
      <c r="L557" s="162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</row>
    <row r="558">
      <c r="A558" s="163"/>
      <c r="B558" s="163"/>
      <c r="C558" s="163"/>
      <c r="D558" s="163"/>
      <c r="E558" s="163"/>
      <c r="F558" s="162"/>
      <c r="G558" s="163"/>
      <c r="H558" s="163"/>
      <c r="I558" s="163"/>
      <c r="J558" s="163"/>
      <c r="K558" s="163"/>
      <c r="L558" s="162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</row>
    <row r="559">
      <c r="A559" s="163"/>
      <c r="B559" s="163"/>
      <c r="C559" s="163"/>
      <c r="D559" s="163"/>
      <c r="E559" s="163"/>
      <c r="F559" s="162"/>
      <c r="G559" s="163"/>
      <c r="H559" s="163"/>
      <c r="I559" s="163"/>
      <c r="J559" s="163"/>
      <c r="K559" s="163"/>
      <c r="L559" s="162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</row>
    <row r="560">
      <c r="A560" s="163"/>
      <c r="B560" s="163"/>
      <c r="C560" s="163"/>
      <c r="D560" s="163"/>
      <c r="E560" s="163"/>
      <c r="F560" s="162"/>
      <c r="G560" s="163"/>
      <c r="H560" s="163"/>
      <c r="I560" s="163"/>
      <c r="J560" s="163"/>
      <c r="K560" s="163"/>
      <c r="L560" s="162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</row>
    <row r="561">
      <c r="A561" s="163"/>
      <c r="B561" s="163"/>
      <c r="C561" s="163"/>
      <c r="D561" s="163"/>
      <c r="E561" s="163"/>
      <c r="F561" s="162"/>
      <c r="G561" s="163"/>
      <c r="H561" s="163"/>
      <c r="I561" s="163"/>
      <c r="J561" s="163"/>
      <c r="K561" s="163"/>
      <c r="L561" s="162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</row>
    <row r="562">
      <c r="A562" s="163"/>
      <c r="B562" s="163"/>
      <c r="C562" s="163"/>
      <c r="D562" s="163"/>
      <c r="E562" s="163"/>
      <c r="F562" s="162"/>
      <c r="G562" s="163"/>
      <c r="H562" s="163"/>
      <c r="I562" s="163"/>
      <c r="J562" s="163"/>
      <c r="K562" s="163"/>
      <c r="L562" s="162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</row>
    <row r="563">
      <c r="A563" s="163"/>
      <c r="B563" s="163"/>
      <c r="C563" s="163"/>
      <c r="D563" s="163"/>
      <c r="E563" s="163"/>
      <c r="F563" s="162"/>
      <c r="G563" s="163"/>
      <c r="H563" s="163"/>
      <c r="I563" s="163"/>
      <c r="J563" s="163"/>
      <c r="K563" s="163"/>
      <c r="L563" s="162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</row>
    <row r="564">
      <c r="A564" s="163"/>
      <c r="B564" s="163"/>
      <c r="C564" s="163"/>
      <c r="D564" s="163"/>
      <c r="E564" s="163"/>
      <c r="F564" s="162"/>
      <c r="G564" s="163"/>
      <c r="H564" s="163"/>
      <c r="I564" s="163"/>
      <c r="J564" s="163"/>
      <c r="K564" s="163"/>
      <c r="L564" s="162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</row>
    <row r="565">
      <c r="A565" s="163"/>
      <c r="B565" s="163"/>
      <c r="C565" s="163"/>
      <c r="D565" s="163"/>
      <c r="E565" s="163"/>
      <c r="F565" s="162"/>
      <c r="G565" s="163"/>
      <c r="H565" s="163"/>
      <c r="I565" s="163"/>
      <c r="J565" s="163"/>
      <c r="K565" s="163"/>
      <c r="L565" s="162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</row>
    <row r="566">
      <c r="A566" s="163"/>
      <c r="B566" s="163"/>
      <c r="C566" s="163"/>
      <c r="D566" s="163"/>
      <c r="E566" s="163"/>
      <c r="F566" s="162"/>
      <c r="G566" s="163"/>
      <c r="H566" s="163"/>
      <c r="I566" s="163"/>
      <c r="J566" s="163"/>
      <c r="K566" s="163"/>
      <c r="L566" s="162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</row>
    <row r="567">
      <c r="A567" s="163"/>
      <c r="B567" s="163"/>
      <c r="C567" s="163"/>
      <c r="D567" s="163"/>
      <c r="E567" s="163"/>
      <c r="F567" s="162"/>
      <c r="G567" s="163"/>
      <c r="H567" s="163"/>
      <c r="I567" s="163"/>
      <c r="J567" s="163"/>
      <c r="K567" s="163"/>
      <c r="L567" s="162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</row>
    <row r="568">
      <c r="A568" s="163"/>
      <c r="B568" s="163"/>
      <c r="C568" s="163"/>
      <c r="D568" s="163"/>
      <c r="E568" s="163"/>
      <c r="F568" s="162"/>
      <c r="G568" s="163"/>
      <c r="H568" s="163"/>
      <c r="I568" s="163"/>
      <c r="J568" s="163"/>
      <c r="K568" s="163"/>
      <c r="L568" s="162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</row>
    <row r="569">
      <c r="A569" s="163"/>
      <c r="B569" s="163"/>
      <c r="C569" s="163"/>
      <c r="D569" s="163"/>
      <c r="E569" s="163"/>
      <c r="F569" s="162"/>
      <c r="G569" s="163"/>
      <c r="H569" s="163"/>
      <c r="I569" s="163"/>
      <c r="J569" s="163"/>
      <c r="K569" s="163"/>
      <c r="L569" s="162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</row>
    <row r="570">
      <c r="A570" s="163"/>
      <c r="B570" s="163"/>
      <c r="C570" s="163"/>
      <c r="D570" s="163"/>
      <c r="E570" s="163"/>
      <c r="F570" s="162"/>
      <c r="G570" s="163"/>
      <c r="H570" s="163"/>
      <c r="I570" s="163"/>
      <c r="J570" s="163"/>
      <c r="K570" s="163"/>
      <c r="L570" s="162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</row>
    <row r="571">
      <c r="A571" s="163"/>
      <c r="B571" s="163"/>
      <c r="C571" s="163"/>
      <c r="D571" s="163"/>
      <c r="E571" s="163"/>
      <c r="F571" s="162"/>
      <c r="G571" s="163"/>
      <c r="H571" s="163"/>
      <c r="I571" s="163"/>
      <c r="J571" s="163"/>
      <c r="K571" s="163"/>
      <c r="L571" s="162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</row>
    <row r="572">
      <c r="A572" s="163"/>
      <c r="B572" s="163"/>
      <c r="C572" s="163"/>
      <c r="D572" s="163"/>
      <c r="E572" s="163"/>
      <c r="F572" s="162"/>
      <c r="G572" s="163"/>
      <c r="H572" s="163"/>
      <c r="I572" s="163"/>
      <c r="J572" s="163"/>
      <c r="K572" s="163"/>
      <c r="L572" s="162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</row>
    <row r="573">
      <c r="A573" s="163"/>
      <c r="B573" s="163"/>
      <c r="C573" s="163"/>
      <c r="D573" s="163"/>
      <c r="E573" s="163"/>
      <c r="F573" s="162"/>
      <c r="G573" s="163"/>
      <c r="H573" s="163"/>
      <c r="I573" s="163"/>
      <c r="J573" s="163"/>
      <c r="K573" s="163"/>
      <c r="L573" s="162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</row>
    <row r="574">
      <c r="A574" s="163"/>
      <c r="B574" s="163"/>
      <c r="C574" s="163"/>
      <c r="D574" s="163"/>
      <c r="E574" s="163"/>
      <c r="F574" s="162"/>
      <c r="G574" s="163"/>
      <c r="H574" s="163"/>
      <c r="I574" s="163"/>
      <c r="J574" s="163"/>
      <c r="K574" s="163"/>
      <c r="L574" s="162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</row>
    <row r="575">
      <c r="A575" s="163"/>
      <c r="B575" s="163"/>
      <c r="C575" s="163"/>
      <c r="D575" s="163"/>
      <c r="E575" s="163"/>
      <c r="F575" s="162"/>
      <c r="G575" s="163"/>
      <c r="H575" s="163"/>
      <c r="I575" s="163"/>
      <c r="J575" s="163"/>
      <c r="K575" s="163"/>
      <c r="L575" s="162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</row>
    <row r="576">
      <c r="A576" s="163"/>
      <c r="B576" s="163"/>
      <c r="C576" s="163"/>
      <c r="D576" s="163"/>
      <c r="E576" s="163"/>
      <c r="F576" s="162"/>
      <c r="G576" s="163"/>
      <c r="H576" s="163"/>
      <c r="I576" s="163"/>
      <c r="J576" s="163"/>
      <c r="K576" s="163"/>
      <c r="L576" s="162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</row>
    <row r="577">
      <c r="A577" s="163"/>
      <c r="B577" s="163"/>
      <c r="C577" s="163"/>
      <c r="D577" s="163"/>
      <c r="E577" s="163"/>
      <c r="F577" s="162"/>
      <c r="G577" s="163"/>
      <c r="H577" s="163"/>
      <c r="I577" s="163"/>
      <c r="J577" s="163"/>
      <c r="K577" s="163"/>
      <c r="L577" s="162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</row>
    <row r="578">
      <c r="A578" s="163"/>
      <c r="B578" s="163"/>
      <c r="C578" s="163"/>
      <c r="D578" s="163"/>
      <c r="E578" s="163"/>
      <c r="F578" s="162"/>
      <c r="G578" s="163"/>
      <c r="H578" s="163"/>
      <c r="I578" s="163"/>
      <c r="J578" s="163"/>
      <c r="K578" s="163"/>
      <c r="L578" s="162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</row>
    <row r="579">
      <c r="A579" s="163"/>
      <c r="B579" s="163"/>
      <c r="C579" s="163"/>
      <c r="D579" s="163"/>
      <c r="E579" s="163"/>
      <c r="F579" s="162"/>
      <c r="G579" s="163"/>
      <c r="H579" s="163"/>
      <c r="I579" s="163"/>
      <c r="J579" s="163"/>
      <c r="K579" s="163"/>
      <c r="L579" s="162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</row>
    <row r="580">
      <c r="A580" s="163"/>
      <c r="B580" s="163"/>
      <c r="C580" s="163"/>
      <c r="D580" s="163"/>
      <c r="E580" s="163"/>
      <c r="F580" s="162"/>
      <c r="G580" s="163"/>
      <c r="H580" s="163"/>
      <c r="I580" s="163"/>
      <c r="J580" s="163"/>
      <c r="K580" s="163"/>
      <c r="L580" s="162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</row>
    <row r="581">
      <c r="A581" s="163"/>
      <c r="B581" s="163"/>
      <c r="C581" s="163"/>
      <c r="D581" s="163"/>
      <c r="E581" s="163"/>
      <c r="F581" s="162"/>
      <c r="G581" s="163"/>
      <c r="H581" s="163"/>
      <c r="I581" s="163"/>
      <c r="J581" s="163"/>
      <c r="K581" s="163"/>
      <c r="L581" s="162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</row>
    <row r="582">
      <c r="A582" s="163"/>
      <c r="B582" s="163"/>
      <c r="C582" s="163"/>
      <c r="D582" s="163"/>
      <c r="E582" s="163"/>
      <c r="F582" s="162"/>
      <c r="G582" s="163"/>
      <c r="H582" s="163"/>
      <c r="I582" s="163"/>
      <c r="J582" s="163"/>
      <c r="K582" s="163"/>
      <c r="L582" s="162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</row>
    <row r="583">
      <c r="A583" s="163"/>
      <c r="B583" s="163"/>
      <c r="C583" s="163"/>
      <c r="D583" s="163"/>
      <c r="E583" s="163"/>
      <c r="F583" s="162"/>
      <c r="G583" s="163"/>
      <c r="H583" s="163"/>
      <c r="I583" s="163"/>
      <c r="J583" s="163"/>
      <c r="K583" s="163"/>
      <c r="L583" s="162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</row>
    <row r="584">
      <c r="A584" s="163"/>
      <c r="B584" s="163"/>
      <c r="C584" s="163"/>
      <c r="D584" s="163"/>
      <c r="E584" s="163"/>
      <c r="F584" s="162"/>
      <c r="G584" s="163"/>
      <c r="H584" s="163"/>
      <c r="I584" s="163"/>
      <c r="J584" s="163"/>
      <c r="K584" s="163"/>
      <c r="L584" s="162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</row>
    <row r="585">
      <c r="A585" s="163"/>
      <c r="B585" s="163"/>
      <c r="C585" s="163"/>
      <c r="D585" s="163"/>
      <c r="E585" s="163"/>
      <c r="F585" s="162"/>
      <c r="G585" s="163"/>
      <c r="H585" s="163"/>
      <c r="I585" s="163"/>
      <c r="J585" s="163"/>
      <c r="K585" s="163"/>
      <c r="L585" s="162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</row>
    <row r="586">
      <c r="A586" s="163"/>
      <c r="B586" s="163"/>
      <c r="C586" s="163"/>
      <c r="D586" s="163"/>
      <c r="E586" s="163"/>
      <c r="F586" s="162"/>
      <c r="G586" s="163"/>
      <c r="H586" s="163"/>
      <c r="I586" s="163"/>
      <c r="J586" s="163"/>
      <c r="K586" s="163"/>
      <c r="L586" s="162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</row>
    <row r="587">
      <c r="A587" s="163"/>
      <c r="B587" s="163"/>
      <c r="C587" s="163"/>
      <c r="D587" s="163"/>
      <c r="E587" s="163"/>
      <c r="F587" s="162"/>
      <c r="G587" s="163"/>
      <c r="H587" s="163"/>
      <c r="I587" s="163"/>
      <c r="J587" s="163"/>
      <c r="K587" s="163"/>
      <c r="L587" s="162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</row>
    <row r="588">
      <c r="A588" s="163"/>
      <c r="B588" s="163"/>
      <c r="C588" s="163"/>
      <c r="D588" s="163"/>
      <c r="E588" s="163"/>
      <c r="F588" s="162"/>
      <c r="G588" s="163"/>
      <c r="H588" s="163"/>
      <c r="I588" s="163"/>
      <c r="J588" s="163"/>
      <c r="K588" s="163"/>
      <c r="L588" s="162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</row>
    <row r="589">
      <c r="A589" s="163"/>
      <c r="B589" s="163"/>
      <c r="C589" s="163"/>
      <c r="D589" s="163"/>
      <c r="E589" s="163"/>
      <c r="F589" s="162"/>
      <c r="G589" s="163"/>
      <c r="H589" s="163"/>
      <c r="I589" s="163"/>
      <c r="J589" s="163"/>
      <c r="K589" s="163"/>
      <c r="L589" s="162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</row>
    <row r="590">
      <c r="A590" s="163"/>
      <c r="B590" s="163"/>
      <c r="C590" s="163"/>
      <c r="D590" s="163"/>
      <c r="E590" s="163"/>
      <c r="F590" s="162"/>
      <c r="G590" s="163"/>
      <c r="H590" s="163"/>
      <c r="I590" s="163"/>
      <c r="J590" s="163"/>
      <c r="K590" s="163"/>
      <c r="L590" s="162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</row>
    <row r="591">
      <c r="A591" s="163"/>
      <c r="B591" s="163"/>
      <c r="C591" s="163"/>
      <c r="D591" s="163"/>
      <c r="E591" s="163"/>
      <c r="F591" s="162"/>
      <c r="G591" s="163"/>
      <c r="H591" s="163"/>
      <c r="I591" s="163"/>
      <c r="J591" s="163"/>
      <c r="K591" s="163"/>
      <c r="L591" s="162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</row>
    <row r="592">
      <c r="A592" s="163"/>
      <c r="B592" s="163"/>
      <c r="C592" s="163"/>
      <c r="D592" s="163"/>
      <c r="E592" s="163"/>
      <c r="F592" s="162"/>
      <c r="G592" s="163"/>
      <c r="H592" s="163"/>
      <c r="I592" s="163"/>
      <c r="J592" s="163"/>
      <c r="K592" s="163"/>
      <c r="L592" s="162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</row>
    <row r="593">
      <c r="A593" s="163"/>
      <c r="B593" s="163"/>
      <c r="C593" s="163"/>
      <c r="D593" s="163"/>
      <c r="E593" s="163"/>
      <c r="F593" s="162"/>
      <c r="G593" s="163"/>
      <c r="H593" s="163"/>
      <c r="I593" s="163"/>
      <c r="J593" s="163"/>
      <c r="K593" s="163"/>
      <c r="L593" s="162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</row>
    <row r="594">
      <c r="A594" s="163"/>
      <c r="B594" s="163"/>
      <c r="C594" s="163"/>
      <c r="D594" s="163"/>
      <c r="E594" s="163"/>
      <c r="F594" s="162"/>
      <c r="G594" s="163"/>
      <c r="H594" s="163"/>
      <c r="I594" s="163"/>
      <c r="J594" s="163"/>
      <c r="K594" s="163"/>
      <c r="L594" s="162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</row>
    <row r="595">
      <c r="A595" s="163"/>
      <c r="B595" s="163"/>
      <c r="C595" s="163"/>
      <c r="D595" s="163"/>
      <c r="E595" s="163"/>
      <c r="F595" s="162"/>
      <c r="G595" s="163"/>
      <c r="H595" s="163"/>
      <c r="I595" s="163"/>
      <c r="J595" s="163"/>
      <c r="K595" s="163"/>
      <c r="L595" s="162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</row>
    <row r="596">
      <c r="A596" s="163"/>
      <c r="B596" s="163"/>
      <c r="C596" s="163"/>
      <c r="D596" s="163"/>
      <c r="E596" s="163"/>
      <c r="F596" s="162"/>
      <c r="G596" s="163"/>
      <c r="H596" s="163"/>
      <c r="I596" s="163"/>
      <c r="J596" s="163"/>
      <c r="K596" s="163"/>
      <c r="L596" s="162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</row>
    <row r="597">
      <c r="A597" s="163"/>
      <c r="B597" s="163"/>
      <c r="C597" s="163"/>
      <c r="D597" s="163"/>
      <c r="E597" s="163"/>
      <c r="F597" s="162"/>
      <c r="G597" s="163"/>
      <c r="H597" s="163"/>
      <c r="I597" s="163"/>
      <c r="J597" s="163"/>
      <c r="K597" s="163"/>
      <c r="L597" s="162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</row>
    <row r="598">
      <c r="A598" s="163"/>
      <c r="B598" s="163"/>
      <c r="C598" s="163"/>
      <c r="D598" s="163"/>
      <c r="E598" s="163"/>
      <c r="F598" s="162"/>
      <c r="G598" s="163"/>
      <c r="H598" s="163"/>
      <c r="I598" s="163"/>
      <c r="J598" s="163"/>
      <c r="K598" s="163"/>
      <c r="L598" s="162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</row>
    <row r="599">
      <c r="A599" s="163"/>
      <c r="B599" s="163"/>
      <c r="C599" s="163"/>
      <c r="D599" s="163"/>
      <c r="E599" s="163"/>
      <c r="F599" s="162"/>
      <c r="G599" s="163"/>
      <c r="H599" s="163"/>
      <c r="I599" s="163"/>
      <c r="J599" s="163"/>
      <c r="K599" s="163"/>
      <c r="L599" s="162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</row>
    <row r="600">
      <c r="A600" s="163"/>
      <c r="B600" s="163"/>
      <c r="C600" s="163"/>
      <c r="D600" s="163"/>
      <c r="E600" s="163"/>
      <c r="F600" s="162"/>
      <c r="G600" s="163"/>
      <c r="H600" s="163"/>
      <c r="I600" s="163"/>
      <c r="J600" s="163"/>
      <c r="K600" s="163"/>
      <c r="L600" s="162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</row>
    <row r="601">
      <c r="A601" s="163"/>
      <c r="B601" s="163"/>
      <c r="C601" s="163"/>
      <c r="D601" s="163"/>
      <c r="E601" s="163"/>
      <c r="F601" s="162"/>
      <c r="G601" s="163"/>
      <c r="H601" s="163"/>
      <c r="I601" s="163"/>
      <c r="J601" s="163"/>
      <c r="K601" s="163"/>
      <c r="L601" s="162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</row>
    <row r="602">
      <c r="A602" s="163"/>
      <c r="B602" s="163"/>
      <c r="C602" s="163"/>
      <c r="D602" s="163"/>
      <c r="E602" s="163"/>
      <c r="F602" s="162"/>
      <c r="G602" s="163"/>
      <c r="H602" s="163"/>
      <c r="I602" s="163"/>
      <c r="J602" s="163"/>
      <c r="K602" s="163"/>
      <c r="L602" s="162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</row>
    <row r="603">
      <c r="A603" s="163"/>
      <c r="B603" s="163"/>
      <c r="C603" s="163"/>
      <c r="D603" s="163"/>
      <c r="E603" s="163"/>
      <c r="F603" s="162"/>
      <c r="G603" s="163"/>
      <c r="H603" s="163"/>
      <c r="I603" s="163"/>
      <c r="J603" s="163"/>
      <c r="K603" s="163"/>
      <c r="L603" s="162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</row>
    <row r="604">
      <c r="A604" s="163"/>
      <c r="B604" s="163"/>
      <c r="C604" s="163"/>
      <c r="D604" s="163"/>
      <c r="E604" s="163"/>
      <c r="F604" s="162"/>
      <c r="G604" s="163"/>
      <c r="H604" s="163"/>
      <c r="I604" s="163"/>
      <c r="J604" s="163"/>
      <c r="K604" s="163"/>
      <c r="L604" s="162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</row>
    <row r="605">
      <c r="A605" s="163"/>
      <c r="B605" s="163"/>
      <c r="C605" s="163"/>
      <c r="D605" s="163"/>
      <c r="E605" s="163"/>
      <c r="F605" s="162"/>
      <c r="G605" s="163"/>
      <c r="H605" s="163"/>
      <c r="I605" s="163"/>
      <c r="J605" s="163"/>
      <c r="K605" s="163"/>
      <c r="L605" s="162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</row>
    <row r="606">
      <c r="A606" s="163"/>
      <c r="B606" s="163"/>
      <c r="C606" s="163"/>
      <c r="D606" s="163"/>
      <c r="E606" s="163"/>
      <c r="F606" s="162"/>
      <c r="G606" s="163"/>
      <c r="H606" s="163"/>
      <c r="I606" s="163"/>
      <c r="J606" s="163"/>
      <c r="K606" s="163"/>
      <c r="L606" s="162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</row>
    <row r="607">
      <c r="A607" s="163"/>
      <c r="B607" s="163"/>
      <c r="C607" s="163"/>
      <c r="D607" s="163"/>
      <c r="E607" s="163"/>
      <c r="F607" s="162"/>
      <c r="G607" s="163"/>
      <c r="H607" s="163"/>
      <c r="I607" s="163"/>
      <c r="J607" s="163"/>
      <c r="K607" s="163"/>
      <c r="L607" s="162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</row>
    <row r="608">
      <c r="A608" s="163"/>
      <c r="B608" s="163"/>
      <c r="C608" s="163"/>
      <c r="D608" s="163"/>
      <c r="E608" s="163"/>
      <c r="F608" s="162"/>
      <c r="G608" s="163"/>
      <c r="H608" s="163"/>
      <c r="I608" s="163"/>
      <c r="J608" s="163"/>
      <c r="K608" s="163"/>
      <c r="L608" s="162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</row>
    <row r="609">
      <c r="A609" s="163"/>
      <c r="B609" s="163"/>
      <c r="C609" s="163"/>
      <c r="D609" s="163"/>
      <c r="E609" s="163"/>
      <c r="F609" s="162"/>
      <c r="G609" s="163"/>
      <c r="H609" s="163"/>
      <c r="I609" s="163"/>
      <c r="J609" s="163"/>
      <c r="K609" s="163"/>
      <c r="L609" s="162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</row>
    <row r="610">
      <c r="A610" s="163"/>
      <c r="B610" s="163"/>
      <c r="C610" s="163"/>
      <c r="D610" s="163"/>
      <c r="E610" s="163"/>
      <c r="F610" s="162"/>
      <c r="G610" s="163"/>
      <c r="H610" s="163"/>
      <c r="I610" s="163"/>
      <c r="J610" s="163"/>
      <c r="K610" s="163"/>
      <c r="L610" s="162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</row>
    <row r="611">
      <c r="A611" s="163"/>
      <c r="B611" s="163"/>
      <c r="C611" s="163"/>
      <c r="D611" s="163"/>
      <c r="E611" s="163"/>
      <c r="F611" s="162"/>
      <c r="G611" s="163"/>
      <c r="H611" s="163"/>
      <c r="I611" s="163"/>
      <c r="J611" s="163"/>
      <c r="K611" s="163"/>
      <c r="L611" s="162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</row>
    <row r="612">
      <c r="A612" s="163"/>
      <c r="B612" s="163"/>
      <c r="C612" s="163"/>
      <c r="D612" s="163"/>
      <c r="E612" s="163"/>
      <c r="F612" s="162"/>
      <c r="G612" s="163"/>
      <c r="H612" s="163"/>
      <c r="I612" s="163"/>
      <c r="J612" s="163"/>
      <c r="K612" s="163"/>
      <c r="L612" s="162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</row>
    <row r="613">
      <c r="A613" s="163"/>
      <c r="B613" s="163"/>
      <c r="C613" s="163"/>
      <c r="D613" s="163"/>
      <c r="E613" s="163"/>
      <c r="F613" s="162"/>
      <c r="G613" s="163"/>
      <c r="H613" s="163"/>
      <c r="I613" s="163"/>
      <c r="J613" s="163"/>
      <c r="K613" s="163"/>
      <c r="L613" s="162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</row>
    <row r="614">
      <c r="A614" s="163"/>
      <c r="B614" s="163"/>
      <c r="C614" s="163"/>
      <c r="D614" s="163"/>
      <c r="E614" s="163"/>
      <c r="F614" s="162"/>
      <c r="G614" s="163"/>
      <c r="H614" s="163"/>
      <c r="I614" s="163"/>
      <c r="J614" s="163"/>
      <c r="K614" s="163"/>
      <c r="L614" s="162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</row>
    <row r="615">
      <c r="A615" s="163"/>
      <c r="B615" s="163"/>
      <c r="C615" s="163"/>
      <c r="D615" s="163"/>
      <c r="E615" s="163"/>
      <c r="F615" s="162"/>
      <c r="G615" s="163"/>
      <c r="H615" s="163"/>
      <c r="I615" s="163"/>
      <c r="J615" s="163"/>
      <c r="K615" s="163"/>
      <c r="L615" s="162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</row>
    <row r="616">
      <c r="A616" s="163"/>
      <c r="B616" s="163"/>
      <c r="C616" s="163"/>
      <c r="D616" s="163"/>
      <c r="E616" s="163"/>
      <c r="F616" s="162"/>
      <c r="G616" s="163"/>
      <c r="H616" s="163"/>
      <c r="I616" s="163"/>
      <c r="J616" s="163"/>
      <c r="K616" s="163"/>
      <c r="L616" s="162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</row>
    <row r="617">
      <c r="A617" s="163"/>
      <c r="B617" s="163"/>
      <c r="C617" s="163"/>
      <c r="D617" s="163"/>
      <c r="E617" s="163"/>
      <c r="F617" s="162"/>
      <c r="G617" s="163"/>
      <c r="H617" s="163"/>
      <c r="I617" s="163"/>
      <c r="J617" s="163"/>
      <c r="K617" s="163"/>
      <c r="L617" s="162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</row>
    <row r="618">
      <c r="A618" s="163"/>
      <c r="B618" s="163"/>
      <c r="C618" s="163"/>
      <c r="D618" s="163"/>
      <c r="E618" s="163"/>
      <c r="F618" s="162"/>
      <c r="G618" s="163"/>
      <c r="H618" s="163"/>
      <c r="I618" s="163"/>
      <c r="J618" s="163"/>
      <c r="K618" s="163"/>
      <c r="L618" s="162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</row>
    <row r="619">
      <c r="A619" s="163"/>
      <c r="B619" s="163"/>
      <c r="C619" s="163"/>
      <c r="D619" s="163"/>
      <c r="E619" s="163"/>
      <c r="F619" s="162"/>
      <c r="G619" s="163"/>
      <c r="H619" s="163"/>
      <c r="I619" s="163"/>
      <c r="J619" s="163"/>
      <c r="K619" s="163"/>
      <c r="L619" s="162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</row>
    <row r="620">
      <c r="A620" s="163"/>
      <c r="B620" s="163"/>
      <c r="C620" s="163"/>
      <c r="D620" s="163"/>
      <c r="E620" s="163"/>
      <c r="F620" s="162"/>
      <c r="G620" s="163"/>
      <c r="H620" s="163"/>
      <c r="I620" s="163"/>
      <c r="J620" s="163"/>
      <c r="K620" s="163"/>
      <c r="L620" s="162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</row>
    <row r="621">
      <c r="A621" s="163"/>
      <c r="B621" s="163"/>
      <c r="C621" s="163"/>
      <c r="D621" s="163"/>
      <c r="E621" s="163"/>
      <c r="F621" s="162"/>
      <c r="G621" s="163"/>
      <c r="H621" s="163"/>
      <c r="I621" s="163"/>
      <c r="J621" s="163"/>
      <c r="K621" s="163"/>
      <c r="L621" s="162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</row>
    <row r="622">
      <c r="A622" s="163"/>
      <c r="B622" s="163"/>
      <c r="C622" s="163"/>
      <c r="D622" s="163"/>
      <c r="E622" s="163"/>
      <c r="F622" s="162"/>
      <c r="G622" s="163"/>
      <c r="H622" s="163"/>
      <c r="I622" s="163"/>
      <c r="J622" s="163"/>
      <c r="K622" s="163"/>
      <c r="L622" s="162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</row>
    <row r="623">
      <c r="A623" s="163"/>
      <c r="B623" s="163"/>
      <c r="C623" s="163"/>
      <c r="D623" s="163"/>
      <c r="E623" s="163"/>
      <c r="F623" s="162"/>
      <c r="G623" s="163"/>
      <c r="H623" s="163"/>
      <c r="I623" s="163"/>
      <c r="J623" s="163"/>
      <c r="K623" s="163"/>
      <c r="L623" s="162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</row>
    <row r="624">
      <c r="A624" s="163"/>
      <c r="B624" s="163"/>
      <c r="C624" s="163"/>
      <c r="D624" s="163"/>
      <c r="E624" s="163"/>
      <c r="F624" s="162"/>
      <c r="G624" s="163"/>
      <c r="H624" s="163"/>
      <c r="I624" s="163"/>
      <c r="J624" s="163"/>
      <c r="K624" s="163"/>
      <c r="L624" s="162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</row>
    <row r="625">
      <c r="A625" s="163"/>
      <c r="B625" s="163"/>
      <c r="C625" s="163"/>
      <c r="D625" s="163"/>
      <c r="E625" s="163"/>
      <c r="F625" s="162"/>
      <c r="G625" s="163"/>
      <c r="H625" s="163"/>
      <c r="I625" s="163"/>
      <c r="J625" s="163"/>
      <c r="K625" s="163"/>
      <c r="L625" s="162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</row>
    <row r="626">
      <c r="A626" s="163"/>
      <c r="B626" s="163"/>
      <c r="C626" s="163"/>
      <c r="D626" s="163"/>
      <c r="E626" s="163"/>
      <c r="F626" s="162"/>
      <c r="G626" s="163"/>
      <c r="H626" s="163"/>
      <c r="I626" s="163"/>
      <c r="J626" s="163"/>
      <c r="K626" s="163"/>
      <c r="L626" s="162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</row>
    <row r="627">
      <c r="A627" s="163"/>
      <c r="B627" s="163"/>
      <c r="C627" s="163"/>
      <c r="D627" s="163"/>
      <c r="E627" s="163"/>
      <c r="F627" s="162"/>
      <c r="G627" s="163"/>
      <c r="H627" s="163"/>
      <c r="I627" s="163"/>
      <c r="J627" s="163"/>
      <c r="K627" s="163"/>
      <c r="L627" s="162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</row>
    <row r="628">
      <c r="A628" s="163"/>
      <c r="B628" s="163"/>
      <c r="C628" s="163"/>
      <c r="D628" s="163"/>
      <c r="E628" s="163"/>
      <c r="F628" s="162"/>
      <c r="G628" s="163"/>
      <c r="H628" s="163"/>
      <c r="I628" s="163"/>
      <c r="J628" s="163"/>
      <c r="K628" s="163"/>
      <c r="L628" s="162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</row>
    <row r="629">
      <c r="A629" s="163"/>
      <c r="B629" s="163"/>
      <c r="C629" s="163"/>
      <c r="D629" s="163"/>
      <c r="E629" s="163"/>
      <c r="F629" s="162"/>
      <c r="G629" s="163"/>
      <c r="H629" s="163"/>
      <c r="I629" s="163"/>
      <c r="J629" s="163"/>
      <c r="K629" s="163"/>
      <c r="L629" s="162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</row>
    <row r="630">
      <c r="A630" s="163"/>
      <c r="B630" s="163"/>
      <c r="C630" s="163"/>
      <c r="D630" s="163"/>
      <c r="E630" s="163"/>
      <c r="F630" s="162"/>
      <c r="G630" s="163"/>
      <c r="H630" s="163"/>
      <c r="I630" s="163"/>
      <c r="J630" s="163"/>
      <c r="K630" s="163"/>
      <c r="L630" s="162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</row>
    <row r="631">
      <c r="A631" s="163"/>
      <c r="B631" s="163"/>
      <c r="C631" s="163"/>
      <c r="D631" s="163"/>
      <c r="E631" s="163"/>
      <c r="F631" s="162"/>
      <c r="G631" s="163"/>
      <c r="H631" s="163"/>
      <c r="I631" s="163"/>
      <c r="J631" s="163"/>
      <c r="K631" s="163"/>
      <c r="L631" s="162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</row>
    <row r="632">
      <c r="A632" s="163"/>
      <c r="B632" s="163"/>
      <c r="C632" s="163"/>
      <c r="D632" s="163"/>
      <c r="E632" s="163"/>
      <c r="F632" s="162"/>
      <c r="G632" s="163"/>
      <c r="H632" s="163"/>
      <c r="I632" s="163"/>
      <c r="J632" s="163"/>
      <c r="K632" s="163"/>
      <c r="L632" s="162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</row>
    <row r="633">
      <c r="A633" s="163"/>
      <c r="B633" s="163"/>
      <c r="C633" s="163"/>
      <c r="D633" s="163"/>
      <c r="E633" s="163"/>
      <c r="F633" s="162"/>
      <c r="G633" s="163"/>
      <c r="H633" s="163"/>
      <c r="I633" s="163"/>
      <c r="J633" s="163"/>
      <c r="K633" s="163"/>
      <c r="L633" s="162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</row>
    <row r="634">
      <c r="A634" s="163"/>
      <c r="B634" s="163"/>
      <c r="C634" s="163"/>
      <c r="D634" s="163"/>
      <c r="E634" s="163"/>
      <c r="F634" s="162"/>
      <c r="G634" s="163"/>
      <c r="H634" s="163"/>
      <c r="I634" s="163"/>
      <c r="J634" s="163"/>
      <c r="K634" s="163"/>
      <c r="L634" s="162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</row>
    <row r="635">
      <c r="A635" s="163"/>
      <c r="B635" s="163"/>
      <c r="C635" s="163"/>
      <c r="D635" s="163"/>
      <c r="E635" s="163"/>
      <c r="F635" s="162"/>
      <c r="G635" s="163"/>
      <c r="H635" s="163"/>
      <c r="I635" s="163"/>
      <c r="J635" s="163"/>
      <c r="K635" s="163"/>
      <c r="L635" s="162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</row>
    <row r="636">
      <c r="A636" s="163"/>
      <c r="B636" s="163"/>
      <c r="C636" s="163"/>
      <c r="D636" s="163"/>
      <c r="E636" s="163"/>
      <c r="F636" s="162"/>
      <c r="G636" s="163"/>
      <c r="H636" s="163"/>
      <c r="I636" s="163"/>
      <c r="J636" s="163"/>
      <c r="K636" s="163"/>
      <c r="L636" s="162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</row>
    <row r="637">
      <c r="A637" s="163"/>
      <c r="B637" s="163"/>
      <c r="C637" s="163"/>
      <c r="D637" s="163"/>
      <c r="E637" s="163"/>
      <c r="F637" s="162"/>
      <c r="G637" s="163"/>
      <c r="H637" s="163"/>
      <c r="I637" s="163"/>
      <c r="J637" s="163"/>
      <c r="K637" s="163"/>
      <c r="L637" s="162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</row>
    <row r="638">
      <c r="A638" s="163"/>
      <c r="B638" s="163"/>
      <c r="C638" s="163"/>
      <c r="D638" s="163"/>
      <c r="E638" s="163"/>
      <c r="F638" s="162"/>
      <c r="G638" s="163"/>
      <c r="H638" s="163"/>
      <c r="I638" s="163"/>
      <c r="J638" s="163"/>
      <c r="K638" s="163"/>
      <c r="L638" s="162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</row>
    <row r="639">
      <c r="A639" s="163"/>
      <c r="B639" s="163"/>
      <c r="C639" s="163"/>
      <c r="D639" s="163"/>
      <c r="E639" s="163"/>
      <c r="F639" s="162"/>
      <c r="G639" s="163"/>
      <c r="H639" s="163"/>
      <c r="I639" s="163"/>
      <c r="J639" s="163"/>
      <c r="K639" s="163"/>
      <c r="L639" s="162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</row>
    <row r="640">
      <c r="A640" s="163"/>
      <c r="B640" s="163"/>
      <c r="C640" s="163"/>
      <c r="D640" s="163"/>
      <c r="E640" s="163"/>
      <c r="F640" s="162"/>
      <c r="G640" s="163"/>
      <c r="H640" s="163"/>
      <c r="I640" s="163"/>
      <c r="J640" s="163"/>
      <c r="K640" s="163"/>
      <c r="L640" s="162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</row>
    <row r="641">
      <c r="A641" s="163"/>
      <c r="B641" s="163"/>
      <c r="C641" s="163"/>
      <c r="D641" s="163"/>
      <c r="E641" s="163"/>
      <c r="F641" s="162"/>
      <c r="G641" s="163"/>
      <c r="H641" s="163"/>
      <c r="I641" s="163"/>
      <c r="J641" s="163"/>
      <c r="K641" s="163"/>
      <c r="L641" s="162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</row>
    <row r="642">
      <c r="A642" s="163"/>
      <c r="B642" s="163"/>
      <c r="C642" s="163"/>
      <c r="D642" s="163"/>
      <c r="E642" s="163"/>
      <c r="F642" s="162"/>
      <c r="G642" s="163"/>
      <c r="H642" s="163"/>
      <c r="I642" s="163"/>
      <c r="J642" s="163"/>
      <c r="K642" s="163"/>
      <c r="L642" s="162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</row>
    <row r="643">
      <c r="A643" s="163"/>
      <c r="B643" s="163"/>
      <c r="C643" s="163"/>
      <c r="D643" s="163"/>
      <c r="E643" s="163"/>
      <c r="F643" s="162"/>
      <c r="G643" s="163"/>
      <c r="H643" s="163"/>
      <c r="I643" s="163"/>
      <c r="J643" s="163"/>
      <c r="K643" s="163"/>
      <c r="L643" s="162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</row>
    <row r="644">
      <c r="A644" s="163"/>
      <c r="B644" s="163"/>
      <c r="C644" s="163"/>
      <c r="D644" s="163"/>
      <c r="E644" s="163"/>
      <c r="F644" s="162"/>
      <c r="G644" s="163"/>
      <c r="H644" s="163"/>
      <c r="I644" s="163"/>
      <c r="J644" s="163"/>
      <c r="K644" s="163"/>
      <c r="L644" s="162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</row>
    <row r="645">
      <c r="A645" s="163"/>
      <c r="B645" s="163"/>
      <c r="C645" s="163"/>
      <c r="D645" s="163"/>
      <c r="E645" s="163"/>
      <c r="F645" s="162"/>
      <c r="G645" s="163"/>
      <c r="H645" s="163"/>
      <c r="I645" s="163"/>
      <c r="J645" s="163"/>
      <c r="K645" s="163"/>
      <c r="L645" s="162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</row>
    <row r="646">
      <c r="A646" s="163"/>
      <c r="B646" s="163"/>
      <c r="C646" s="163"/>
      <c r="D646" s="163"/>
      <c r="E646" s="163"/>
      <c r="F646" s="162"/>
      <c r="G646" s="163"/>
      <c r="H646" s="163"/>
      <c r="I646" s="163"/>
      <c r="J646" s="163"/>
      <c r="K646" s="163"/>
      <c r="L646" s="162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</row>
    <row r="647">
      <c r="A647" s="163"/>
      <c r="B647" s="163"/>
      <c r="C647" s="163"/>
      <c r="D647" s="163"/>
      <c r="E647" s="163"/>
      <c r="F647" s="162"/>
      <c r="G647" s="163"/>
      <c r="H647" s="163"/>
      <c r="I647" s="163"/>
      <c r="J647" s="163"/>
      <c r="K647" s="163"/>
      <c r="L647" s="162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</row>
    <row r="648">
      <c r="A648" s="163"/>
      <c r="B648" s="163"/>
      <c r="C648" s="163"/>
      <c r="D648" s="163"/>
      <c r="E648" s="163"/>
      <c r="F648" s="162"/>
      <c r="G648" s="163"/>
      <c r="H648" s="163"/>
      <c r="I648" s="163"/>
      <c r="J648" s="163"/>
      <c r="K648" s="163"/>
      <c r="L648" s="162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</row>
    <row r="649">
      <c r="A649" s="163"/>
      <c r="B649" s="163"/>
      <c r="C649" s="163"/>
      <c r="D649" s="163"/>
      <c r="E649" s="163"/>
      <c r="F649" s="162"/>
      <c r="G649" s="163"/>
      <c r="H649" s="163"/>
      <c r="I649" s="163"/>
      <c r="J649" s="163"/>
      <c r="K649" s="163"/>
      <c r="L649" s="162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</row>
    <row r="650">
      <c r="A650" s="163"/>
      <c r="B650" s="163"/>
      <c r="C650" s="163"/>
      <c r="D650" s="163"/>
      <c r="E650" s="163"/>
      <c r="F650" s="162"/>
      <c r="G650" s="163"/>
      <c r="H650" s="163"/>
      <c r="I650" s="163"/>
      <c r="J650" s="163"/>
      <c r="K650" s="163"/>
      <c r="L650" s="162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</row>
    <row r="651">
      <c r="A651" s="163"/>
      <c r="B651" s="163"/>
      <c r="C651" s="163"/>
      <c r="D651" s="163"/>
      <c r="E651" s="163"/>
      <c r="F651" s="162"/>
      <c r="G651" s="163"/>
      <c r="H651" s="163"/>
      <c r="I651" s="163"/>
      <c r="J651" s="163"/>
      <c r="K651" s="163"/>
      <c r="L651" s="162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</row>
    <row r="652">
      <c r="A652" s="163"/>
      <c r="B652" s="163"/>
      <c r="C652" s="163"/>
      <c r="D652" s="163"/>
      <c r="E652" s="163"/>
      <c r="F652" s="162"/>
      <c r="G652" s="163"/>
      <c r="H652" s="163"/>
      <c r="I652" s="163"/>
      <c r="J652" s="163"/>
      <c r="K652" s="163"/>
      <c r="L652" s="162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</row>
    <row r="653">
      <c r="A653" s="163"/>
      <c r="B653" s="163"/>
      <c r="C653" s="163"/>
      <c r="D653" s="163"/>
      <c r="E653" s="163"/>
      <c r="F653" s="162"/>
      <c r="G653" s="163"/>
      <c r="H653" s="163"/>
      <c r="I653" s="163"/>
      <c r="J653" s="163"/>
      <c r="K653" s="163"/>
      <c r="L653" s="162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</row>
    <row r="654">
      <c r="A654" s="163"/>
      <c r="B654" s="163"/>
      <c r="C654" s="163"/>
      <c r="D654" s="163"/>
      <c r="E654" s="163"/>
      <c r="F654" s="162"/>
      <c r="G654" s="163"/>
      <c r="H654" s="163"/>
      <c r="I654" s="163"/>
      <c r="J654" s="163"/>
      <c r="K654" s="163"/>
      <c r="L654" s="162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</row>
    <row r="655">
      <c r="A655" s="163"/>
      <c r="B655" s="163"/>
      <c r="C655" s="163"/>
      <c r="D655" s="163"/>
      <c r="E655" s="163"/>
      <c r="F655" s="162"/>
      <c r="G655" s="163"/>
      <c r="H655" s="163"/>
      <c r="I655" s="163"/>
      <c r="J655" s="163"/>
      <c r="K655" s="163"/>
      <c r="L655" s="162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</row>
    <row r="656">
      <c r="A656" s="163"/>
      <c r="B656" s="163"/>
      <c r="C656" s="163"/>
      <c r="D656" s="163"/>
      <c r="E656" s="163"/>
      <c r="F656" s="162"/>
      <c r="G656" s="163"/>
      <c r="H656" s="163"/>
      <c r="I656" s="163"/>
      <c r="J656" s="163"/>
      <c r="K656" s="163"/>
      <c r="L656" s="162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</row>
    <row r="657">
      <c r="A657" s="163"/>
      <c r="B657" s="163"/>
      <c r="C657" s="163"/>
      <c r="D657" s="163"/>
      <c r="E657" s="163"/>
      <c r="F657" s="162"/>
      <c r="G657" s="163"/>
      <c r="H657" s="163"/>
      <c r="I657" s="163"/>
      <c r="J657" s="163"/>
      <c r="K657" s="163"/>
      <c r="L657" s="162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</row>
    <row r="658">
      <c r="A658" s="163"/>
      <c r="B658" s="163"/>
      <c r="C658" s="163"/>
      <c r="D658" s="163"/>
      <c r="E658" s="163"/>
      <c r="F658" s="162"/>
      <c r="G658" s="163"/>
      <c r="H658" s="163"/>
      <c r="I658" s="163"/>
      <c r="J658" s="163"/>
      <c r="K658" s="163"/>
      <c r="L658" s="162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</row>
    <row r="659">
      <c r="A659" s="163"/>
      <c r="B659" s="163"/>
      <c r="C659" s="163"/>
      <c r="D659" s="163"/>
      <c r="E659" s="163"/>
      <c r="F659" s="162"/>
      <c r="G659" s="163"/>
      <c r="H659" s="163"/>
      <c r="I659" s="163"/>
      <c r="J659" s="163"/>
      <c r="K659" s="163"/>
      <c r="L659" s="162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</row>
    <row r="660">
      <c r="A660" s="163"/>
      <c r="B660" s="163"/>
      <c r="C660" s="163"/>
      <c r="D660" s="163"/>
      <c r="E660" s="163"/>
      <c r="F660" s="162"/>
      <c r="G660" s="163"/>
      <c r="H660" s="163"/>
      <c r="I660" s="163"/>
      <c r="J660" s="163"/>
      <c r="K660" s="163"/>
      <c r="L660" s="162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</row>
    <row r="661">
      <c r="A661" s="163"/>
      <c r="B661" s="163"/>
      <c r="C661" s="163"/>
      <c r="D661" s="163"/>
      <c r="E661" s="163"/>
      <c r="F661" s="162"/>
      <c r="G661" s="163"/>
      <c r="H661" s="163"/>
      <c r="I661" s="163"/>
      <c r="J661" s="163"/>
      <c r="K661" s="163"/>
      <c r="L661" s="162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</row>
    <row r="662">
      <c r="A662" s="163"/>
      <c r="B662" s="163"/>
      <c r="C662" s="163"/>
      <c r="D662" s="163"/>
      <c r="E662" s="163"/>
      <c r="F662" s="162"/>
      <c r="G662" s="163"/>
      <c r="H662" s="163"/>
      <c r="I662" s="163"/>
      <c r="J662" s="163"/>
      <c r="K662" s="163"/>
      <c r="L662" s="162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</row>
    <row r="663">
      <c r="A663" s="163"/>
      <c r="B663" s="163"/>
      <c r="C663" s="163"/>
      <c r="D663" s="163"/>
      <c r="E663" s="163"/>
      <c r="F663" s="162"/>
      <c r="G663" s="163"/>
      <c r="H663" s="163"/>
      <c r="I663" s="163"/>
      <c r="J663" s="163"/>
      <c r="K663" s="163"/>
      <c r="L663" s="162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</row>
    <row r="664">
      <c r="A664" s="163"/>
      <c r="B664" s="163"/>
      <c r="C664" s="163"/>
      <c r="D664" s="163"/>
      <c r="E664" s="163"/>
      <c r="F664" s="162"/>
      <c r="G664" s="163"/>
      <c r="H664" s="163"/>
      <c r="I664" s="163"/>
      <c r="J664" s="163"/>
      <c r="K664" s="163"/>
      <c r="L664" s="162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</row>
    <row r="665">
      <c r="A665" s="163"/>
      <c r="B665" s="163"/>
      <c r="C665" s="163"/>
      <c r="D665" s="163"/>
      <c r="E665" s="163"/>
      <c r="F665" s="162"/>
      <c r="G665" s="163"/>
      <c r="H665" s="163"/>
      <c r="I665" s="163"/>
      <c r="J665" s="163"/>
      <c r="K665" s="163"/>
      <c r="L665" s="162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</row>
    <row r="666">
      <c r="A666" s="163"/>
      <c r="B666" s="163"/>
      <c r="C666" s="163"/>
      <c r="D666" s="163"/>
      <c r="E666" s="163"/>
      <c r="F666" s="162"/>
      <c r="G666" s="163"/>
      <c r="H666" s="163"/>
      <c r="I666" s="163"/>
      <c r="J666" s="163"/>
      <c r="K666" s="163"/>
      <c r="L666" s="162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</row>
    <row r="667">
      <c r="A667" s="163"/>
      <c r="B667" s="163"/>
      <c r="C667" s="163"/>
      <c r="D667" s="163"/>
      <c r="E667" s="163"/>
      <c r="F667" s="162"/>
      <c r="G667" s="163"/>
      <c r="H667" s="163"/>
      <c r="I667" s="163"/>
      <c r="J667" s="163"/>
      <c r="K667" s="163"/>
      <c r="L667" s="162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</row>
    <row r="668">
      <c r="A668" s="163"/>
      <c r="B668" s="163"/>
      <c r="C668" s="163"/>
      <c r="D668" s="163"/>
      <c r="E668" s="163"/>
      <c r="F668" s="162"/>
      <c r="G668" s="163"/>
      <c r="H668" s="163"/>
      <c r="I668" s="163"/>
      <c r="J668" s="163"/>
      <c r="K668" s="163"/>
      <c r="L668" s="162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</row>
    <row r="669">
      <c r="A669" s="163"/>
      <c r="B669" s="163"/>
      <c r="C669" s="163"/>
      <c r="D669" s="163"/>
      <c r="E669" s="163"/>
      <c r="F669" s="162"/>
      <c r="G669" s="163"/>
      <c r="H669" s="163"/>
      <c r="I669" s="163"/>
      <c r="J669" s="163"/>
      <c r="K669" s="163"/>
      <c r="L669" s="162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</row>
    <row r="670">
      <c r="A670" s="163"/>
      <c r="B670" s="163"/>
      <c r="C670" s="163"/>
      <c r="D670" s="163"/>
      <c r="E670" s="163"/>
      <c r="F670" s="162"/>
      <c r="G670" s="163"/>
      <c r="H670" s="163"/>
      <c r="I670" s="163"/>
      <c r="J670" s="163"/>
      <c r="K670" s="163"/>
      <c r="L670" s="162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</row>
    <row r="671">
      <c r="A671" s="163"/>
      <c r="B671" s="163"/>
      <c r="C671" s="163"/>
      <c r="D671" s="163"/>
      <c r="E671" s="163"/>
      <c r="F671" s="162"/>
      <c r="G671" s="163"/>
      <c r="H671" s="163"/>
      <c r="I671" s="163"/>
      <c r="J671" s="163"/>
      <c r="K671" s="163"/>
      <c r="L671" s="162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</row>
    <row r="672">
      <c r="A672" s="163"/>
      <c r="B672" s="163"/>
      <c r="C672" s="163"/>
      <c r="D672" s="163"/>
      <c r="E672" s="163"/>
      <c r="F672" s="162"/>
      <c r="G672" s="163"/>
      <c r="H672" s="163"/>
      <c r="I672" s="163"/>
      <c r="J672" s="163"/>
      <c r="K672" s="163"/>
      <c r="L672" s="162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</row>
    <row r="673">
      <c r="A673" s="163"/>
      <c r="B673" s="163"/>
      <c r="C673" s="163"/>
      <c r="D673" s="163"/>
      <c r="E673" s="163"/>
      <c r="F673" s="162"/>
      <c r="G673" s="163"/>
      <c r="H673" s="163"/>
      <c r="I673" s="163"/>
      <c r="J673" s="163"/>
      <c r="K673" s="163"/>
      <c r="L673" s="162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</row>
    <row r="674">
      <c r="A674" s="163"/>
      <c r="B674" s="163"/>
      <c r="C674" s="163"/>
      <c r="D674" s="163"/>
      <c r="E674" s="163"/>
      <c r="F674" s="162"/>
      <c r="G674" s="163"/>
      <c r="H674" s="163"/>
      <c r="I674" s="163"/>
      <c r="J674" s="163"/>
      <c r="K674" s="163"/>
      <c r="L674" s="162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</row>
    <row r="675">
      <c r="A675" s="163"/>
      <c r="B675" s="163"/>
      <c r="C675" s="163"/>
      <c r="D675" s="163"/>
      <c r="E675" s="163"/>
      <c r="F675" s="162"/>
      <c r="G675" s="163"/>
      <c r="H675" s="163"/>
      <c r="I675" s="163"/>
      <c r="J675" s="163"/>
      <c r="K675" s="163"/>
      <c r="L675" s="162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</row>
    <row r="676">
      <c r="A676" s="163"/>
      <c r="B676" s="163"/>
      <c r="C676" s="163"/>
      <c r="D676" s="163"/>
      <c r="E676" s="163"/>
      <c r="F676" s="162"/>
      <c r="G676" s="163"/>
      <c r="H676" s="163"/>
      <c r="I676" s="163"/>
      <c r="J676" s="163"/>
      <c r="K676" s="163"/>
      <c r="L676" s="162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</row>
    <row r="677">
      <c r="A677" s="163"/>
      <c r="B677" s="163"/>
      <c r="C677" s="163"/>
      <c r="D677" s="163"/>
      <c r="E677" s="163"/>
      <c r="F677" s="162"/>
      <c r="G677" s="163"/>
      <c r="H677" s="163"/>
      <c r="I677" s="163"/>
      <c r="J677" s="163"/>
      <c r="K677" s="163"/>
      <c r="L677" s="162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</row>
    <row r="678">
      <c r="A678" s="163"/>
      <c r="B678" s="163"/>
      <c r="C678" s="163"/>
      <c r="D678" s="163"/>
      <c r="E678" s="163"/>
      <c r="F678" s="162"/>
      <c r="G678" s="163"/>
      <c r="H678" s="163"/>
      <c r="I678" s="163"/>
      <c r="J678" s="163"/>
      <c r="K678" s="163"/>
      <c r="L678" s="162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</row>
    <row r="679">
      <c r="A679" s="163"/>
      <c r="B679" s="163"/>
      <c r="C679" s="163"/>
      <c r="D679" s="163"/>
      <c r="E679" s="163"/>
      <c r="F679" s="162"/>
      <c r="G679" s="163"/>
      <c r="H679" s="163"/>
      <c r="I679" s="163"/>
      <c r="J679" s="163"/>
      <c r="K679" s="163"/>
      <c r="L679" s="162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</row>
    <row r="680">
      <c r="A680" s="163"/>
      <c r="B680" s="163"/>
      <c r="C680" s="163"/>
      <c r="D680" s="163"/>
      <c r="E680" s="163"/>
      <c r="F680" s="162"/>
      <c r="G680" s="163"/>
      <c r="H680" s="163"/>
      <c r="I680" s="163"/>
      <c r="J680" s="163"/>
      <c r="K680" s="163"/>
      <c r="L680" s="162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</row>
    <row r="681">
      <c r="A681" s="163"/>
      <c r="B681" s="163"/>
      <c r="C681" s="163"/>
      <c r="D681" s="163"/>
      <c r="E681" s="163"/>
      <c r="F681" s="162"/>
      <c r="G681" s="163"/>
      <c r="H681" s="163"/>
      <c r="I681" s="163"/>
      <c r="J681" s="163"/>
      <c r="K681" s="163"/>
      <c r="L681" s="162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</row>
    <row r="682">
      <c r="A682" s="163"/>
      <c r="B682" s="163"/>
      <c r="C682" s="163"/>
      <c r="D682" s="163"/>
      <c r="E682" s="163"/>
      <c r="F682" s="162"/>
      <c r="G682" s="163"/>
      <c r="H682" s="163"/>
      <c r="I682" s="163"/>
      <c r="J682" s="163"/>
      <c r="K682" s="163"/>
      <c r="L682" s="162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</row>
    <row r="683">
      <c r="A683" s="163"/>
      <c r="B683" s="163"/>
      <c r="C683" s="163"/>
      <c r="D683" s="163"/>
      <c r="E683" s="163"/>
      <c r="F683" s="162"/>
      <c r="G683" s="163"/>
      <c r="H683" s="163"/>
      <c r="I683" s="163"/>
      <c r="J683" s="163"/>
      <c r="K683" s="163"/>
      <c r="L683" s="162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</row>
    <row r="684">
      <c r="A684" s="163"/>
      <c r="B684" s="163"/>
      <c r="C684" s="163"/>
      <c r="D684" s="163"/>
      <c r="E684" s="163"/>
      <c r="F684" s="162"/>
      <c r="G684" s="163"/>
      <c r="H684" s="163"/>
      <c r="I684" s="163"/>
      <c r="J684" s="163"/>
      <c r="K684" s="163"/>
      <c r="L684" s="162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</row>
    <row r="685">
      <c r="A685" s="163"/>
      <c r="B685" s="163"/>
      <c r="C685" s="163"/>
      <c r="D685" s="163"/>
      <c r="E685" s="163"/>
      <c r="F685" s="162"/>
      <c r="G685" s="163"/>
      <c r="H685" s="163"/>
      <c r="I685" s="163"/>
      <c r="J685" s="163"/>
      <c r="K685" s="163"/>
      <c r="L685" s="162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</row>
    <row r="686">
      <c r="A686" s="163"/>
      <c r="B686" s="163"/>
      <c r="C686" s="163"/>
      <c r="D686" s="163"/>
      <c r="E686" s="163"/>
      <c r="F686" s="162"/>
      <c r="G686" s="163"/>
      <c r="H686" s="163"/>
      <c r="I686" s="163"/>
      <c r="J686" s="163"/>
      <c r="K686" s="163"/>
      <c r="L686" s="162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</row>
    <row r="687">
      <c r="A687" s="163"/>
      <c r="B687" s="163"/>
      <c r="C687" s="163"/>
      <c r="D687" s="163"/>
      <c r="E687" s="163"/>
      <c r="F687" s="162"/>
      <c r="G687" s="163"/>
      <c r="H687" s="163"/>
      <c r="I687" s="163"/>
      <c r="J687" s="163"/>
      <c r="K687" s="163"/>
      <c r="L687" s="162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</row>
    <row r="688">
      <c r="A688" s="163"/>
      <c r="B688" s="163"/>
      <c r="C688" s="163"/>
      <c r="D688" s="163"/>
      <c r="E688" s="163"/>
      <c r="F688" s="162"/>
      <c r="G688" s="163"/>
      <c r="H688" s="163"/>
      <c r="I688" s="163"/>
      <c r="J688" s="163"/>
      <c r="K688" s="163"/>
      <c r="L688" s="162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</row>
    <row r="689">
      <c r="A689" s="163"/>
      <c r="B689" s="163"/>
      <c r="C689" s="163"/>
      <c r="D689" s="163"/>
      <c r="E689" s="163"/>
      <c r="F689" s="162"/>
      <c r="G689" s="163"/>
      <c r="H689" s="163"/>
      <c r="I689" s="163"/>
      <c r="J689" s="163"/>
      <c r="K689" s="163"/>
      <c r="L689" s="162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</row>
    <row r="690">
      <c r="A690" s="163"/>
      <c r="B690" s="163"/>
      <c r="C690" s="163"/>
      <c r="D690" s="163"/>
      <c r="E690" s="163"/>
      <c r="F690" s="162"/>
      <c r="G690" s="163"/>
      <c r="H690" s="163"/>
      <c r="I690" s="163"/>
      <c r="J690" s="163"/>
      <c r="K690" s="163"/>
      <c r="L690" s="162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</row>
    <row r="691">
      <c r="A691" s="163"/>
      <c r="B691" s="163"/>
      <c r="C691" s="163"/>
      <c r="D691" s="163"/>
      <c r="E691" s="163"/>
      <c r="F691" s="162"/>
      <c r="G691" s="163"/>
      <c r="H691" s="163"/>
      <c r="I691" s="163"/>
      <c r="J691" s="163"/>
      <c r="K691" s="163"/>
      <c r="L691" s="162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</row>
    <row r="692">
      <c r="A692" s="163"/>
      <c r="B692" s="163"/>
      <c r="C692" s="163"/>
      <c r="D692" s="163"/>
      <c r="E692" s="163"/>
      <c r="F692" s="162"/>
      <c r="G692" s="163"/>
      <c r="H692" s="163"/>
      <c r="I692" s="163"/>
      <c r="J692" s="163"/>
      <c r="K692" s="163"/>
      <c r="L692" s="162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</row>
    <row r="693">
      <c r="A693" s="163"/>
      <c r="B693" s="163"/>
      <c r="C693" s="163"/>
      <c r="D693" s="163"/>
      <c r="E693" s="163"/>
      <c r="F693" s="162"/>
      <c r="G693" s="163"/>
      <c r="H693" s="163"/>
      <c r="I693" s="163"/>
      <c r="J693" s="163"/>
      <c r="K693" s="163"/>
      <c r="L693" s="162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</row>
    <row r="694">
      <c r="A694" s="163"/>
      <c r="B694" s="163"/>
      <c r="C694" s="163"/>
      <c r="D694" s="163"/>
      <c r="E694" s="163"/>
      <c r="F694" s="162"/>
      <c r="G694" s="163"/>
      <c r="H694" s="163"/>
      <c r="I694" s="163"/>
      <c r="J694" s="163"/>
      <c r="K694" s="163"/>
      <c r="L694" s="162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</row>
    <row r="695">
      <c r="A695" s="163"/>
      <c r="B695" s="163"/>
      <c r="C695" s="163"/>
      <c r="D695" s="163"/>
      <c r="E695" s="163"/>
      <c r="F695" s="162"/>
      <c r="G695" s="163"/>
      <c r="H695" s="163"/>
      <c r="I695" s="163"/>
      <c r="J695" s="163"/>
      <c r="K695" s="163"/>
      <c r="L695" s="162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</row>
    <row r="696">
      <c r="A696" s="163"/>
      <c r="B696" s="163"/>
      <c r="C696" s="163"/>
      <c r="D696" s="163"/>
      <c r="E696" s="163"/>
      <c r="F696" s="162"/>
      <c r="G696" s="163"/>
      <c r="H696" s="163"/>
      <c r="I696" s="163"/>
      <c r="J696" s="163"/>
      <c r="K696" s="163"/>
      <c r="L696" s="162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</row>
    <row r="697">
      <c r="A697" s="163"/>
      <c r="B697" s="163"/>
      <c r="C697" s="163"/>
      <c r="D697" s="163"/>
      <c r="E697" s="163"/>
      <c r="F697" s="162"/>
      <c r="G697" s="163"/>
      <c r="H697" s="163"/>
      <c r="I697" s="163"/>
      <c r="J697" s="163"/>
      <c r="K697" s="163"/>
      <c r="L697" s="162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</row>
    <row r="698">
      <c r="A698" s="163"/>
      <c r="B698" s="163"/>
      <c r="C698" s="163"/>
      <c r="D698" s="163"/>
      <c r="E698" s="163"/>
      <c r="F698" s="162"/>
      <c r="G698" s="163"/>
      <c r="H698" s="163"/>
      <c r="I698" s="163"/>
      <c r="J698" s="163"/>
      <c r="K698" s="163"/>
      <c r="L698" s="162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</row>
    <row r="699">
      <c r="A699" s="163"/>
      <c r="B699" s="163"/>
      <c r="C699" s="163"/>
      <c r="D699" s="163"/>
      <c r="E699" s="163"/>
      <c r="F699" s="162"/>
      <c r="G699" s="163"/>
      <c r="H699" s="163"/>
      <c r="I699" s="163"/>
      <c r="J699" s="163"/>
      <c r="K699" s="163"/>
      <c r="L699" s="162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</row>
    <row r="700">
      <c r="A700" s="163"/>
      <c r="B700" s="163"/>
      <c r="C700" s="163"/>
      <c r="D700" s="163"/>
      <c r="E700" s="163"/>
      <c r="F700" s="162"/>
      <c r="G700" s="163"/>
      <c r="H700" s="163"/>
      <c r="I700" s="163"/>
      <c r="J700" s="163"/>
      <c r="K700" s="163"/>
      <c r="L700" s="162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</row>
    <row r="701">
      <c r="A701" s="163"/>
      <c r="B701" s="163"/>
      <c r="C701" s="163"/>
      <c r="D701" s="163"/>
      <c r="E701" s="163"/>
      <c r="F701" s="162"/>
      <c r="G701" s="163"/>
      <c r="H701" s="163"/>
      <c r="I701" s="163"/>
      <c r="J701" s="163"/>
      <c r="K701" s="163"/>
      <c r="L701" s="162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</row>
    <row r="702">
      <c r="A702" s="163"/>
      <c r="B702" s="163"/>
      <c r="C702" s="163"/>
      <c r="D702" s="163"/>
      <c r="E702" s="163"/>
      <c r="F702" s="162"/>
      <c r="G702" s="163"/>
      <c r="H702" s="163"/>
      <c r="I702" s="163"/>
      <c r="J702" s="163"/>
      <c r="K702" s="163"/>
      <c r="L702" s="162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</row>
    <row r="703">
      <c r="A703" s="163"/>
      <c r="B703" s="163"/>
      <c r="C703" s="163"/>
      <c r="D703" s="163"/>
      <c r="E703" s="163"/>
      <c r="F703" s="162"/>
      <c r="G703" s="163"/>
      <c r="H703" s="163"/>
      <c r="I703" s="163"/>
      <c r="J703" s="163"/>
      <c r="K703" s="163"/>
      <c r="L703" s="162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</row>
    <row r="704">
      <c r="A704" s="163"/>
      <c r="B704" s="163"/>
      <c r="C704" s="163"/>
      <c r="D704" s="163"/>
      <c r="E704" s="163"/>
      <c r="F704" s="162"/>
      <c r="G704" s="163"/>
      <c r="H704" s="163"/>
      <c r="I704" s="163"/>
      <c r="J704" s="163"/>
      <c r="K704" s="163"/>
      <c r="L704" s="162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</row>
    <row r="705">
      <c r="A705" s="163"/>
      <c r="B705" s="163"/>
      <c r="C705" s="163"/>
      <c r="D705" s="163"/>
      <c r="E705" s="163"/>
      <c r="F705" s="162"/>
      <c r="G705" s="163"/>
      <c r="H705" s="163"/>
      <c r="I705" s="163"/>
      <c r="J705" s="163"/>
      <c r="K705" s="163"/>
      <c r="L705" s="162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</row>
    <row r="706">
      <c r="A706" s="163"/>
      <c r="B706" s="163"/>
      <c r="C706" s="163"/>
      <c r="D706" s="163"/>
      <c r="E706" s="163"/>
      <c r="F706" s="162"/>
      <c r="G706" s="163"/>
      <c r="H706" s="163"/>
      <c r="I706" s="163"/>
      <c r="J706" s="163"/>
      <c r="K706" s="163"/>
      <c r="L706" s="162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</row>
    <row r="707">
      <c r="A707" s="163"/>
      <c r="B707" s="163"/>
      <c r="C707" s="163"/>
      <c r="D707" s="163"/>
      <c r="E707" s="163"/>
      <c r="F707" s="162"/>
      <c r="G707" s="163"/>
      <c r="H707" s="163"/>
      <c r="I707" s="163"/>
      <c r="J707" s="163"/>
      <c r="K707" s="163"/>
      <c r="L707" s="162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</row>
    <row r="708">
      <c r="A708" s="163"/>
      <c r="B708" s="163"/>
      <c r="C708" s="163"/>
      <c r="D708" s="163"/>
      <c r="E708" s="163"/>
      <c r="F708" s="162"/>
      <c r="G708" s="163"/>
      <c r="H708" s="163"/>
      <c r="I708" s="163"/>
      <c r="J708" s="163"/>
      <c r="K708" s="163"/>
      <c r="L708" s="162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</row>
    <row r="709">
      <c r="A709" s="163"/>
      <c r="B709" s="163"/>
      <c r="C709" s="163"/>
      <c r="D709" s="163"/>
      <c r="E709" s="163"/>
      <c r="F709" s="162"/>
      <c r="G709" s="163"/>
      <c r="H709" s="163"/>
      <c r="I709" s="163"/>
      <c r="J709" s="163"/>
      <c r="K709" s="163"/>
      <c r="L709" s="162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</row>
    <row r="710">
      <c r="A710" s="163"/>
      <c r="B710" s="163"/>
      <c r="C710" s="163"/>
      <c r="D710" s="163"/>
      <c r="E710" s="163"/>
      <c r="F710" s="162"/>
      <c r="G710" s="163"/>
      <c r="H710" s="163"/>
      <c r="I710" s="163"/>
      <c r="J710" s="163"/>
      <c r="K710" s="163"/>
      <c r="L710" s="162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</row>
    <row r="711">
      <c r="A711" s="163"/>
      <c r="B711" s="163"/>
      <c r="C711" s="163"/>
      <c r="D711" s="163"/>
      <c r="E711" s="163"/>
      <c r="F711" s="162"/>
      <c r="G711" s="163"/>
      <c r="H711" s="163"/>
      <c r="I711" s="163"/>
      <c r="J711" s="163"/>
      <c r="K711" s="163"/>
      <c r="L711" s="162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</row>
    <row r="712">
      <c r="A712" s="163"/>
      <c r="B712" s="163"/>
      <c r="C712" s="163"/>
      <c r="D712" s="163"/>
      <c r="E712" s="163"/>
      <c r="F712" s="162"/>
      <c r="G712" s="163"/>
      <c r="H712" s="163"/>
      <c r="I712" s="163"/>
      <c r="J712" s="163"/>
      <c r="K712" s="163"/>
      <c r="L712" s="162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</row>
    <row r="713">
      <c r="A713" s="163"/>
      <c r="B713" s="163"/>
      <c r="C713" s="163"/>
      <c r="D713" s="163"/>
      <c r="E713" s="163"/>
      <c r="F713" s="162"/>
      <c r="G713" s="163"/>
      <c r="H713" s="163"/>
      <c r="I713" s="163"/>
      <c r="J713" s="163"/>
      <c r="K713" s="163"/>
      <c r="L713" s="162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</row>
    <row r="714">
      <c r="A714" s="163"/>
      <c r="B714" s="163"/>
      <c r="C714" s="163"/>
      <c r="D714" s="163"/>
      <c r="E714" s="163"/>
      <c r="F714" s="162"/>
      <c r="G714" s="163"/>
      <c r="H714" s="163"/>
      <c r="I714" s="163"/>
      <c r="J714" s="163"/>
      <c r="K714" s="163"/>
      <c r="L714" s="162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</row>
    <row r="715">
      <c r="A715" s="163"/>
      <c r="B715" s="163"/>
      <c r="C715" s="163"/>
      <c r="D715" s="163"/>
      <c r="E715" s="163"/>
      <c r="F715" s="162"/>
      <c r="G715" s="163"/>
      <c r="H715" s="163"/>
      <c r="I715" s="163"/>
      <c r="J715" s="163"/>
      <c r="K715" s="163"/>
      <c r="L715" s="162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</row>
    <row r="716">
      <c r="A716" s="163"/>
      <c r="B716" s="163"/>
      <c r="C716" s="163"/>
      <c r="D716" s="163"/>
      <c r="E716" s="163"/>
      <c r="F716" s="162"/>
      <c r="G716" s="163"/>
      <c r="H716" s="163"/>
      <c r="I716" s="163"/>
      <c r="J716" s="163"/>
      <c r="K716" s="163"/>
      <c r="L716" s="162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</row>
    <row r="717">
      <c r="A717" s="163"/>
      <c r="B717" s="163"/>
      <c r="C717" s="163"/>
      <c r="D717" s="163"/>
      <c r="E717" s="163"/>
      <c r="F717" s="162"/>
      <c r="G717" s="163"/>
      <c r="H717" s="163"/>
      <c r="I717" s="163"/>
      <c r="J717" s="163"/>
      <c r="K717" s="163"/>
      <c r="L717" s="162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</row>
    <row r="718">
      <c r="A718" s="163"/>
      <c r="B718" s="163"/>
      <c r="C718" s="163"/>
      <c r="D718" s="163"/>
      <c r="E718" s="163"/>
      <c r="F718" s="162"/>
      <c r="G718" s="163"/>
      <c r="H718" s="163"/>
      <c r="I718" s="163"/>
      <c r="J718" s="163"/>
      <c r="K718" s="163"/>
      <c r="L718" s="162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</row>
    <row r="719">
      <c r="A719" s="163"/>
      <c r="B719" s="163"/>
      <c r="C719" s="163"/>
      <c r="D719" s="163"/>
      <c r="E719" s="163"/>
      <c r="F719" s="162"/>
      <c r="G719" s="163"/>
      <c r="H719" s="163"/>
      <c r="I719" s="163"/>
      <c r="J719" s="163"/>
      <c r="K719" s="163"/>
      <c r="L719" s="162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</row>
    <row r="720">
      <c r="A720" s="163"/>
      <c r="B720" s="163"/>
      <c r="C720" s="163"/>
      <c r="D720" s="163"/>
      <c r="E720" s="163"/>
      <c r="F720" s="162"/>
      <c r="G720" s="163"/>
      <c r="H720" s="163"/>
      <c r="I720" s="163"/>
      <c r="J720" s="163"/>
      <c r="K720" s="163"/>
      <c r="L720" s="162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</row>
    <row r="721">
      <c r="A721" s="163"/>
      <c r="B721" s="163"/>
      <c r="C721" s="163"/>
      <c r="D721" s="163"/>
      <c r="E721" s="163"/>
      <c r="F721" s="162"/>
      <c r="G721" s="163"/>
      <c r="H721" s="163"/>
      <c r="I721" s="163"/>
      <c r="J721" s="163"/>
      <c r="K721" s="163"/>
      <c r="L721" s="162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</row>
    <row r="722">
      <c r="A722" s="163"/>
      <c r="B722" s="163"/>
      <c r="C722" s="163"/>
      <c r="D722" s="163"/>
      <c r="E722" s="163"/>
      <c r="F722" s="162"/>
      <c r="G722" s="163"/>
      <c r="H722" s="163"/>
      <c r="I722" s="163"/>
      <c r="J722" s="163"/>
      <c r="K722" s="163"/>
      <c r="L722" s="162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</row>
    <row r="723">
      <c r="A723" s="163"/>
      <c r="B723" s="163"/>
      <c r="C723" s="163"/>
      <c r="D723" s="163"/>
      <c r="E723" s="163"/>
      <c r="F723" s="162"/>
      <c r="G723" s="163"/>
      <c r="H723" s="163"/>
      <c r="I723" s="163"/>
      <c r="J723" s="163"/>
      <c r="K723" s="163"/>
      <c r="L723" s="162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</row>
    <row r="724">
      <c r="A724" s="163"/>
      <c r="B724" s="163"/>
      <c r="C724" s="163"/>
      <c r="D724" s="163"/>
      <c r="E724" s="163"/>
      <c r="F724" s="162"/>
      <c r="G724" s="163"/>
      <c r="H724" s="163"/>
      <c r="I724" s="163"/>
      <c r="J724" s="163"/>
      <c r="K724" s="163"/>
      <c r="L724" s="162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</row>
    <row r="725">
      <c r="A725" s="163"/>
      <c r="B725" s="163"/>
      <c r="C725" s="163"/>
      <c r="D725" s="163"/>
      <c r="E725" s="163"/>
      <c r="F725" s="162"/>
      <c r="G725" s="163"/>
      <c r="H725" s="163"/>
      <c r="I725" s="163"/>
      <c r="J725" s="163"/>
      <c r="K725" s="163"/>
      <c r="L725" s="162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</row>
    <row r="726">
      <c r="A726" s="163"/>
      <c r="B726" s="163"/>
      <c r="C726" s="163"/>
      <c r="D726" s="163"/>
      <c r="E726" s="163"/>
      <c r="F726" s="162"/>
      <c r="G726" s="163"/>
      <c r="H726" s="163"/>
      <c r="I726" s="163"/>
      <c r="J726" s="163"/>
      <c r="K726" s="163"/>
      <c r="L726" s="162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</row>
    <row r="727">
      <c r="A727" s="163"/>
      <c r="B727" s="163"/>
      <c r="C727" s="163"/>
      <c r="D727" s="163"/>
      <c r="E727" s="163"/>
      <c r="F727" s="162"/>
      <c r="G727" s="163"/>
      <c r="H727" s="163"/>
      <c r="I727" s="163"/>
      <c r="J727" s="163"/>
      <c r="K727" s="163"/>
      <c r="L727" s="162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</row>
    <row r="728">
      <c r="A728" s="163"/>
      <c r="B728" s="163"/>
      <c r="C728" s="163"/>
      <c r="D728" s="163"/>
      <c r="E728" s="163"/>
      <c r="F728" s="162"/>
      <c r="G728" s="163"/>
      <c r="H728" s="163"/>
      <c r="I728" s="163"/>
      <c r="J728" s="163"/>
      <c r="K728" s="163"/>
      <c r="L728" s="162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</row>
    <row r="729">
      <c r="A729" s="163"/>
      <c r="B729" s="163"/>
      <c r="C729" s="163"/>
      <c r="D729" s="163"/>
      <c r="E729" s="163"/>
      <c r="F729" s="162"/>
      <c r="G729" s="163"/>
      <c r="H729" s="163"/>
      <c r="I729" s="163"/>
      <c r="J729" s="163"/>
      <c r="K729" s="163"/>
      <c r="L729" s="162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</row>
    <row r="730">
      <c r="A730" s="163"/>
      <c r="B730" s="163"/>
      <c r="C730" s="163"/>
      <c r="D730" s="163"/>
      <c r="E730" s="163"/>
      <c r="F730" s="162"/>
      <c r="G730" s="163"/>
      <c r="H730" s="163"/>
      <c r="I730" s="163"/>
      <c r="J730" s="163"/>
      <c r="K730" s="163"/>
      <c r="L730" s="162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</row>
    <row r="731">
      <c r="A731" s="163"/>
      <c r="B731" s="163"/>
      <c r="C731" s="163"/>
      <c r="D731" s="163"/>
      <c r="E731" s="163"/>
      <c r="F731" s="162"/>
      <c r="G731" s="163"/>
      <c r="H731" s="163"/>
      <c r="I731" s="163"/>
      <c r="J731" s="163"/>
      <c r="K731" s="163"/>
      <c r="L731" s="162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</row>
    <row r="732">
      <c r="A732" s="163"/>
      <c r="B732" s="163"/>
      <c r="C732" s="163"/>
      <c r="D732" s="163"/>
      <c r="E732" s="163"/>
      <c r="F732" s="162"/>
      <c r="G732" s="163"/>
      <c r="H732" s="163"/>
      <c r="I732" s="163"/>
      <c r="J732" s="163"/>
      <c r="K732" s="163"/>
      <c r="L732" s="162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</row>
    <row r="733">
      <c r="A733" s="163"/>
      <c r="B733" s="163"/>
      <c r="C733" s="163"/>
      <c r="D733" s="163"/>
      <c r="E733" s="163"/>
      <c r="F733" s="162"/>
      <c r="G733" s="163"/>
      <c r="H733" s="163"/>
      <c r="I733" s="163"/>
      <c r="J733" s="163"/>
      <c r="K733" s="163"/>
      <c r="L733" s="162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</row>
    <row r="734">
      <c r="A734" s="163"/>
      <c r="B734" s="163"/>
      <c r="C734" s="163"/>
      <c r="D734" s="163"/>
      <c r="E734" s="163"/>
      <c r="F734" s="162"/>
      <c r="G734" s="163"/>
      <c r="H734" s="163"/>
      <c r="I734" s="163"/>
      <c r="J734" s="163"/>
      <c r="K734" s="163"/>
      <c r="L734" s="162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</row>
    <row r="735">
      <c r="A735" s="163"/>
      <c r="B735" s="163"/>
      <c r="C735" s="163"/>
      <c r="D735" s="163"/>
      <c r="E735" s="163"/>
      <c r="F735" s="162"/>
      <c r="G735" s="163"/>
      <c r="H735" s="163"/>
      <c r="I735" s="163"/>
      <c r="J735" s="163"/>
      <c r="K735" s="163"/>
      <c r="L735" s="162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</row>
    <row r="736">
      <c r="A736" s="163"/>
      <c r="B736" s="163"/>
      <c r="C736" s="163"/>
      <c r="D736" s="163"/>
      <c r="E736" s="163"/>
      <c r="F736" s="162"/>
      <c r="G736" s="163"/>
      <c r="H736" s="163"/>
      <c r="I736" s="163"/>
      <c r="J736" s="163"/>
      <c r="K736" s="163"/>
      <c r="L736" s="162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</row>
    <row r="737">
      <c r="A737" s="163"/>
      <c r="B737" s="163"/>
      <c r="C737" s="163"/>
      <c r="D737" s="163"/>
      <c r="E737" s="163"/>
      <c r="F737" s="162"/>
      <c r="G737" s="163"/>
      <c r="H737" s="163"/>
      <c r="I737" s="163"/>
      <c r="J737" s="163"/>
      <c r="K737" s="163"/>
      <c r="L737" s="162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</row>
    <row r="738">
      <c r="A738" s="163"/>
      <c r="B738" s="163"/>
      <c r="C738" s="163"/>
      <c r="D738" s="163"/>
      <c r="E738" s="163"/>
      <c r="F738" s="162"/>
      <c r="G738" s="163"/>
      <c r="H738" s="163"/>
      <c r="I738" s="163"/>
      <c r="J738" s="163"/>
      <c r="K738" s="163"/>
      <c r="L738" s="162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</row>
    <row r="739">
      <c r="A739" s="163"/>
      <c r="B739" s="163"/>
      <c r="C739" s="163"/>
      <c r="D739" s="163"/>
      <c r="E739" s="163"/>
      <c r="F739" s="162"/>
      <c r="G739" s="163"/>
      <c r="H739" s="163"/>
      <c r="I739" s="163"/>
      <c r="J739" s="163"/>
      <c r="K739" s="163"/>
      <c r="L739" s="162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</row>
    <row r="740">
      <c r="A740" s="163"/>
      <c r="B740" s="163"/>
      <c r="C740" s="163"/>
      <c r="D740" s="163"/>
      <c r="E740" s="163"/>
      <c r="F740" s="162"/>
      <c r="G740" s="163"/>
      <c r="H740" s="163"/>
      <c r="I740" s="163"/>
      <c r="J740" s="163"/>
      <c r="K740" s="163"/>
      <c r="L740" s="162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</row>
    <row r="741">
      <c r="A741" s="163"/>
      <c r="B741" s="163"/>
      <c r="C741" s="163"/>
      <c r="D741" s="163"/>
      <c r="E741" s="163"/>
      <c r="F741" s="162"/>
      <c r="G741" s="163"/>
      <c r="H741" s="163"/>
      <c r="I741" s="163"/>
      <c r="J741" s="163"/>
      <c r="K741" s="163"/>
      <c r="L741" s="162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</row>
    <row r="742">
      <c r="A742" s="163"/>
      <c r="B742" s="163"/>
      <c r="C742" s="163"/>
      <c r="D742" s="163"/>
      <c r="E742" s="163"/>
      <c r="F742" s="162"/>
      <c r="G742" s="163"/>
      <c r="H742" s="163"/>
      <c r="I742" s="163"/>
      <c r="J742" s="163"/>
      <c r="K742" s="163"/>
      <c r="L742" s="162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</row>
    <row r="743">
      <c r="A743" s="163"/>
      <c r="B743" s="163"/>
      <c r="C743" s="163"/>
      <c r="D743" s="163"/>
      <c r="E743" s="163"/>
      <c r="F743" s="162"/>
      <c r="G743" s="163"/>
      <c r="H743" s="163"/>
      <c r="I743" s="163"/>
      <c r="J743" s="163"/>
      <c r="K743" s="163"/>
      <c r="L743" s="162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</row>
    <row r="744">
      <c r="A744" s="163"/>
      <c r="B744" s="163"/>
      <c r="C744" s="163"/>
      <c r="D744" s="163"/>
      <c r="E744" s="163"/>
      <c r="F744" s="162"/>
      <c r="G744" s="163"/>
      <c r="H744" s="163"/>
      <c r="I744" s="163"/>
      <c r="J744" s="163"/>
      <c r="K744" s="163"/>
      <c r="L744" s="162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</row>
    <row r="745">
      <c r="A745" s="163"/>
      <c r="B745" s="163"/>
      <c r="C745" s="163"/>
      <c r="D745" s="163"/>
      <c r="E745" s="163"/>
      <c r="F745" s="162"/>
      <c r="G745" s="163"/>
      <c r="H745" s="163"/>
      <c r="I745" s="163"/>
      <c r="J745" s="163"/>
      <c r="K745" s="163"/>
      <c r="L745" s="162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</row>
    <row r="746">
      <c r="A746" s="163"/>
      <c r="B746" s="163"/>
      <c r="C746" s="163"/>
      <c r="D746" s="163"/>
      <c r="E746" s="163"/>
      <c r="F746" s="162"/>
      <c r="G746" s="163"/>
      <c r="H746" s="163"/>
      <c r="I746" s="163"/>
      <c r="J746" s="163"/>
      <c r="K746" s="163"/>
      <c r="L746" s="162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</row>
    <row r="747">
      <c r="A747" s="163"/>
      <c r="B747" s="163"/>
      <c r="C747" s="163"/>
      <c r="D747" s="163"/>
      <c r="E747" s="163"/>
      <c r="F747" s="162"/>
      <c r="G747" s="163"/>
      <c r="H747" s="163"/>
      <c r="I747" s="163"/>
      <c r="J747" s="163"/>
      <c r="K747" s="163"/>
      <c r="L747" s="162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</row>
    <row r="748">
      <c r="A748" s="163"/>
      <c r="B748" s="163"/>
      <c r="C748" s="163"/>
      <c r="D748" s="163"/>
      <c r="E748" s="163"/>
      <c r="F748" s="162"/>
      <c r="G748" s="163"/>
      <c r="H748" s="163"/>
      <c r="I748" s="163"/>
      <c r="J748" s="163"/>
      <c r="K748" s="163"/>
      <c r="L748" s="162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</row>
    <row r="749">
      <c r="A749" s="163"/>
      <c r="B749" s="163"/>
      <c r="C749" s="163"/>
      <c r="D749" s="163"/>
      <c r="E749" s="163"/>
      <c r="F749" s="162"/>
      <c r="G749" s="163"/>
      <c r="H749" s="163"/>
      <c r="I749" s="163"/>
      <c r="J749" s="163"/>
      <c r="K749" s="163"/>
      <c r="L749" s="162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</row>
    <row r="750">
      <c r="A750" s="163"/>
      <c r="B750" s="163"/>
      <c r="C750" s="163"/>
      <c r="D750" s="163"/>
      <c r="E750" s="163"/>
      <c r="F750" s="162"/>
      <c r="G750" s="163"/>
      <c r="H750" s="163"/>
      <c r="I750" s="163"/>
      <c r="J750" s="163"/>
      <c r="K750" s="163"/>
      <c r="L750" s="162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</row>
    <row r="751">
      <c r="A751" s="163"/>
      <c r="B751" s="163"/>
      <c r="C751" s="163"/>
      <c r="D751" s="163"/>
      <c r="E751" s="163"/>
      <c r="F751" s="162"/>
      <c r="G751" s="163"/>
      <c r="H751" s="163"/>
      <c r="I751" s="163"/>
      <c r="J751" s="163"/>
      <c r="K751" s="163"/>
      <c r="L751" s="162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</row>
    <row r="752">
      <c r="A752" s="163"/>
      <c r="B752" s="163"/>
      <c r="C752" s="163"/>
      <c r="D752" s="163"/>
      <c r="E752" s="163"/>
      <c r="F752" s="162"/>
      <c r="G752" s="163"/>
      <c r="H752" s="163"/>
      <c r="I752" s="163"/>
      <c r="J752" s="163"/>
      <c r="K752" s="163"/>
      <c r="L752" s="162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</row>
    <row r="753">
      <c r="A753" s="163"/>
      <c r="B753" s="163"/>
      <c r="C753" s="163"/>
      <c r="D753" s="163"/>
      <c r="E753" s="163"/>
      <c r="F753" s="162"/>
      <c r="G753" s="163"/>
      <c r="H753" s="163"/>
      <c r="I753" s="163"/>
      <c r="J753" s="163"/>
      <c r="K753" s="163"/>
      <c r="L753" s="162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</row>
    <row r="754">
      <c r="A754" s="163"/>
      <c r="B754" s="163"/>
      <c r="C754" s="163"/>
      <c r="D754" s="163"/>
      <c r="E754" s="163"/>
      <c r="F754" s="162"/>
      <c r="G754" s="163"/>
      <c r="H754" s="163"/>
      <c r="I754" s="163"/>
      <c r="J754" s="163"/>
      <c r="K754" s="163"/>
      <c r="L754" s="162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</row>
    <row r="755">
      <c r="A755" s="163"/>
      <c r="B755" s="163"/>
      <c r="C755" s="163"/>
      <c r="D755" s="163"/>
      <c r="E755" s="163"/>
      <c r="F755" s="162"/>
      <c r="G755" s="163"/>
      <c r="H755" s="163"/>
      <c r="I755" s="163"/>
      <c r="J755" s="163"/>
      <c r="K755" s="163"/>
      <c r="L755" s="162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</row>
    <row r="756">
      <c r="A756" s="163"/>
      <c r="B756" s="163"/>
      <c r="C756" s="163"/>
      <c r="D756" s="163"/>
      <c r="E756" s="163"/>
      <c r="F756" s="162"/>
      <c r="G756" s="163"/>
      <c r="H756" s="163"/>
      <c r="I756" s="163"/>
      <c r="J756" s="163"/>
      <c r="K756" s="163"/>
      <c r="L756" s="162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</row>
    <row r="757">
      <c r="A757" s="163"/>
      <c r="B757" s="163"/>
      <c r="C757" s="163"/>
      <c r="D757" s="163"/>
      <c r="E757" s="163"/>
      <c r="F757" s="162"/>
      <c r="G757" s="163"/>
      <c r="H757" s="163"/>
      <c r="I757" s="163"/>
      <c r="J757" s="163"/>
      <c r="K757" s="163"/>
      <c r="L757" s="162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</row>
    <row r="758">
      <c r="A758" s="163"/>
      <c r="B758" s="163"/>
      <c r="C758" s="163"/>
      <c r="D758" s="163"/>
      <c r="E758" s="163"/>
      <c r="F758" s="162"/>
      <c r="G758" s="163"/>
      <c r="H758" s="163"/>
      <c r="I758" s="163"/>
      <c r="J758" s="163"/>
      <c r="K758" s="163"/>
      <c r="L758" s="162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</row>
    <row r="759">
      <c r="A759" s="163"/>
      <c r="B759" s="163"/>
      <c r="C759" s="163"/>
      <c r="D759" s="163"/>
      <c r="E759" s="163"/>
      <c r="F759" s="162"/>
      <c r="G759" s="163"/>
      <c r="H759" s="163"/>
      <c r="I759" s="163"/>
      <c r="J759" s="163"/>
      <c r="K759" s="163"/>
      <c r="L759" s="162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</row>
    <row r="760">
      <c r="A760" s="163"/>
      <c r="B760" s="163"/>
      <c r="C760" s="163"/>
      <c r="D760" s="163"/>
      <c r="E760" s="163"/>
      <c r="F760" s="162"/>
      <c r="G760" s="163"/>
      <c r="H760" s="163"/>
      <c r="I760" s="163"/>
      <c r="J760" s="163"/>
      <c r="K760" s="163"/>
      <c r="L760" s="162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</row>
    <row r="761">
      <c r="A761" s="163"/>
      <c r="B761" s="163"/>
      <c r="C761" s="163"/>
      <c r="D761" s="163"/>
      <c r="E761" s="163"/>
      <c r="F761" s="162"/>
      <c r="G761" s="163"/>
      <c r="H761" s="163"/>
      <c r="I761" s="163"/>
      <c r="J761" s="163"/>
      <c r="K761" s="163"/>
      <c r="L761" s="162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</row>
    <row r="762">
      <c r="A762" s="163"/>
      <c r="B762" s="163"/>
      <c r="C762" s="163"/>
      <c r="D762" s="163"/>
      <c r="E762" s="163"/>
      <c r="F762" s="162"/>
      <c r="G762" s="163"/>
      <c r="H762" s="163"/>
      <c r="I762" s="163"/>
      <c r="J762" s="163"/>
      <c r="K762" s="163"/>
      <c r="L762" s="162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</row>
    <row r="763">
      <c r="A763" s="163"/>
      <c r="B763" s="163"/>
      <c r="C763" s="163"/>
      <c r="D763" s="163"/>
      <c r="E763" s="163"/>
      <c r="F763" s="162"/>
      <c r="G763" s="163"/>
      <c r="H763" s="163"/>
      <c r="I763" s="163"/>
      <c r="J763" s="163"/>
      <c r="K763" s="163"/>
      <c r="L763" s="162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</row>
    <row r="764">
      <c r="A764" s="163"/>
      <c r="B764" s="163"/>
      <c r="C764" s="163"/>
      <c r="D764" s="163"/>
      <c r="E764" s="163"/>
      <c r="F764" s="162"/>
      <c r="G764" s="163"/>
      <c r="H764" s="163"/>
      <c r="I764" s="163"/>
      <c r="J764" s="163"/>
      <c r="K764" s="163"/>
      <c r="L764" s="162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</row>
    <row r="765">
      <c r="A765" s="163"/>
      <c r="B765" s="163"/>
      <c r="C765" s="163"/>
      <c r="D765" s="163"/>
      <c r="E765" s="163"/>
      <c r="F765" s="162"/>
      <c r="G765" s="163"/>
      <c r="H765" s="163"/>
      <c r="I765" s="163"/>
      <c r="J765" s="163"/>
      <c r="K765" s="163"/>
      <c r="L765" s="162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</row>
    <row r="766">
      <c r="A766" s="163"/>
      <c r="B766" s="163"/>
      <c r="C766" s="163"/>
      <c r="D766" s="163"/>
      <c r="E766" s="163"/>
      <c r="F766" s="162"/>
      <c r="G766" s="163"/>
      <c r="H766" s="163"/>
      <c r="I766" s="163"/>
      <c r="J766" s="163"/>
      <c r="K766" s="163"/>
      <c r="L766" s="162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</row>
    <row r="767">
      <c r="A767" s="163"/>
      <c r="B767" s="163"/>
      <c r="C767" s="163"/>
      <c r="D767" s="163"/>
      <c r="E767" s="163"/>
      <c r="F767" s="162"/>
      <c r="G767" s="163"/>
      <c r="H767" s="163"/>
      <c r="I767" s="163"/>
      <c r="J767" s="163"/>
      <c r="K767" s="163"/>
      <c r="L767" s="162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</row>
    <row r="768">
      <c r="A768" s="163"/>
      <c r="B768" s="163"/>
      <c r="C768" s="163"/>
      <c r="D768" s="163"/>
      <c r="E768" s="163"/>
      <c r="F768" s="162"/>
      <c r="G768" s="163"/>
      <c r="H768" s="163"/>
      <c r="I768" s="163"/>
      <c r="J768" s="163"/>
      <c r="K768" s="163"/>
      <c r="L768" s="162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</row>
    <row r="769">
      <c r="A769" s="163"/>
      <c r="B769" s="163"/>
      <c r="C769" s="163"/>
      <c r="D769" s="163"/>
      <c r="E769" s="163"/>
      <c r="F769" s="162"/>
      <c r="G769" s="163"/>
      <c r="H769" s="163"/>
      <c r="I769" s="163"/>
      <c r="J769" s="163"/>
      <c r="K769" s="163"/>
      <c r="L769" s="162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</row>
    <row r="770">
      <c r="A770" s="163"/>
      <c r="B770" s="163"/>
      <c r="C770" s="163"/>
      <c r="D770" s="163"/>
      <c r="E770" s="163"/>
      <c r="F770" s="162"/>
      <c r="G770" s="163"/>
      <c r="H770" s="163"/>
      <c r="I770" s="163"/>
      <c r="J770" s="163"/>
      <c r="K770" s="163"/>
      <c r="L770" s="162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</row>
    <row r="771">
      <c r="A771" s="163"/>
      <c r="B771" s="163"/>
      <c r="C771" s="163"/>
      <c r="D771" s="163"/>
      <c r="E771" s="163"/>
      <c r="F771" s="162"/>
      <c r="G771" s="163"/>
      <c r="H771" s="163"/>
      <c r="I771" s="163"/>
      <c r="J771" s="163"/>
      <c r="K771" s="163"/>
      <c r="L771" s="162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</row>
    <row r="772">
      <c r="A772" s="163"/>
      <c r="B772" s="163"/>
      <c r="C772" s="163"/>
      <c r="D772" s="163"/>
      <c r="E772" s="163"/>
      <c r="F772" s="162"/>
      <c r="G772" s="163"/>
      <c r="H772" s="163"/>
      <c r="I772" s="163"/>
      <c r="J772" s="163"/>
      <c r="K772" s="163"/>
      <c r="L772" s="162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</row>
    <row r="773">
      <c r="A773" s="163"/>
      <c r="B773" s="163"/>
      <c r="C773" s="163"/>
      <c r="D773" s="163"/>
      <c r="E773" s="163"/>
      <c r="F773" s="162"/>
      <c r="G773" s="163"/>
      <c r="H773" s="163"/>
      <c r="I773" s="163"/>
      <c r="J773" s="163"/>
      <c r="K773" s="163"/>
      <c r="L773" s="162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</row>
    <row r="774">
      <c r="A774" s="163"/>
      <c r="B774" s="163"/>
      <c r="C774" s="163"/>
      <c r="D774" s="163"/>
      <c r="E774" s="163"/>
      <c r="F774" s="162"/>
      <c r="G774" s="163"/>
      <c r="H774" s="163"/>
      <c r="I774" s="163"/>
      <c r="J774" s="163"/>
      <c r="K774" s="163"/>
      <c r="L774" s="162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</row>
    <row r="775">
      <c r="A775" s="163"/>
      <c r="B775" s="163"/>
      <c r="C775" s="163"/>
      <c r="D775" s="163"/>
      <c r="E775" s="163"/>
      <c r="F775" s="162"/>
      <c r="G775" s="163"/>
      <c r="H775" s="163"/>
      <c r="I775" s="163"/>
      <c r="J775" s="163"/>
      <c r="K775" s="163"/>
      <c r="L775" s="162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</row>
    <row r="776">
      <c r="A776" s="163"/>
      <c r="B776" s="163"/>
      <c r="C776" s="163"/>
      <c r="D776" s="163"/>
      <c r="E776" s="163"/>
      <c r="F776" s="162"/>
      <c r="G776" s="163"/>
      <c r="H776" s="163"/>
      <c r="I776" s="163"/>
      <c r="J776" s="163"/>
      <c r="K776" s="163"/>
      <c r="L776" s="162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</row>
    <row r="777">
      <c r="A777" s="163"/>
      <c r="B777" s="163"/>
      <c r="C777" s="163"/>
      <c r="D777" s="163"/>
      <c r="E777" s="163"/>
      <c r="F777" s="162"/>
      <c r="G777" s="163"/>
      <c r="H777" s="163"/>
      <c r="I777" s="163"/>
      <c r="J777" s="163"/>
      <c r="K777" s="163"/>
      <c r="L777" s="162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</row>
    <row r="778">
      <c r="A778" s="163"/>
      <c r="B778" s="163"/>
      <c r="C778" s="163"/>
      <c r="D778" s="163"/>
      <c r="E778" s="163"/>
      <c r="F778" s="162"/>
      <c r="G778" s="163"/>
      <c r="H778" s="163"/>
      <c r="I778" s="163"/>
      <c r="J778" s="163"/>
      <c r="K778" s="163"/>
      <c r="L778" s="162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</row>
    <row r="779">
      <c r="A779" s="163"/>
      <c r="B779" s="163"/>
      <c r="C779" s="163"/>
      <c r="D779" s="163"/>
      <c r="E779" s="163"/>
      <c r="F779" s="162"/>
      <c r="G779" s="163"/>
      <c r="H779" s="163"/>
      <c r="I779" s="163"/>
      <c r="J779" s="163"/>
      <c r="K779" s="163"/>
      <c r="L779" s="162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</row>
    <row r="780">
      <c r="A780" s="163"/>
      <c r="B780" s="163"/>
      <c r="C780" s="163"/>
      <c r="D780" s="163"/>
      <c r="E780" s="163"/>
      <c r="F780" s="162"/>
      <c r="G780" s="163"/>
      <c r="H780" s="163"/>
      <c r="I780" s="163"/>
      <c r="J780" s="163"/>
      <c r="K780" s="163"/>
      <c r="L780" s="162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</row>
    <row r="781">
      <c r="A781" s="163"/>
      <c r="B781" s="163"/>
      <c r="C781" s="163"/>
      <c r="D781" s="163"/>
      <c r="E781" s="163"/>
      <c r="F781" s="162"/>
      <c r="G781" s="163"/>
      <c r="H781" s="163"/>
      <c r="I781" s="163"/>
      <c r="J781" s="163"/>
      <c r="K781" s="163"/>
      <c r="L781" s="162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</row>
    <row r="782">
      <c r="A782" s="163"/>
      <c r="B782" s="163"/>
      <c r="C782" s="163"/>
      <c r="D782" s="163"/>
      <c r="E782" s="163"/>
      <c r="F782" s="162"/>
      <c r="G782" s="163"/>
      <c r="H782" s="163"/>
      <c r="I782" s="163"/>
      <c r="J782" s="163"/>
      <c r="K782" s="163"/>
      <c r="L782" s="162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</row>
    <row r="783">
      <c r="A783" s="163"/>
      <c r="B783" s="163"/>
      <c r="C783" s="163"/>
      <c r="D783" s="163"/>
      <c r="E783" s="163"/>
      <c r="F783" s="162"/>
      <c r="G783" s="163"/>
      <c r="H783" s="163"/>
      <c r="I783" s="163"/>
      <c r="J783" s="163"/>
      <c r="K783" s="163"/>
      <c r="L783" s="162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</row>
    <row r="784">
      <c r="A784" s="163"/>
      <c r="B784" s="163"/>
      <c r="C784" s="163"/>
      <c r="D784" s="163"/>
      <c r="E784" s="163"/>
      <c r="F784" s="162"/>
      <c r="G784" s="163"/>
      <c r="H784" s="163"/>
      <c r="I784" s="163"/>
      <c r="J784" s="163"/>
      <c r="K784" s="163"/>
      <c r="L784" s="162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</row>
    <row r="785">
      <c r="A785" s="163"/>
      <c r="B785" s="163"/>
      <c r="C785" s="163"/>
      <c r="D785" s="163"/>
      <c r="E785" s="163"/>
      <c r="F785" s="162"/>
      <c r="G785" s="163"/>
      <c r="H785" s="163"/>
      <c r="I785" s="163"/>
      <c r="J785" s="163"/>
      <c r="K785" s="163"/>
      <c r="L785" s="162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</row>
    <row r="786">
      <c r="A786" s="163"/>
      <c r="B786" s="163"/>
      <c r="C786" s="163"/>
      <c r="D786" s="163"/>
      <c r="E786" s="163"/>
      <c r="F786" s="162"/>
      <c r="G786" s="163"/>
      <c r="H786" s="163"/>
      <c r="I786" s="163"/>
      <c r="J786" s="163"/>
      <c r="K786" s="163"/>
      <c r="L786" s="162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</row>
    <row r="787">
      <c r="A787" s="163"/>
      <c r="B787" s="163"/>
      <c r="C787" s="163"/>
      <c r="D787" s="163"/>
      <c r="E787" s="163"/>
      <c r="F787" s="162"/>
      <c r="G787" s="163"/>
      <c r="H787" s="163"/>
      <c r="I787" s="163"/>
      <c r="J787" s="163"/>
      <c r="K787" s="163"/>
      <c r="L787" s="162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</row>
    <row r="788">
      <c r="A788" s="163"/>
      <c r="B788" s="163"/>
      <c r="C788" s="163"/>
      <c r="D788" s="163"/>
      <c r="E788" s="163"/>
      <c r="F788" s="162"/>
      <c r="G788" s="163"/>
      <c r="H788" s="163"/>
      <c r="I788" s="163"/>
      <c r="J788" s="163"/>
      <c r="K788" s="163"/>
      <c r="L788" s="162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</row>
    <row r="789">
      <c r="A789" s="163"/>
      <c r="B789" s="163"/>
      <c r="C789" s="163"/>
      <c r="D789" s="163"/>
      <c r="E789" s="163"/>
      <c r="F789" s="162"/>
      <c r="G789" s="163"/>
      <c r="H789" s="163"/>
      <c r="I789" s="163"/>
      <c r="J789" s="163"/>
      <c r="K789" s="163"/>
      <c r="L789" s="162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</row>
    <row r="790">
      <c r="A790" s="163"/>
      <c r="B790" s="163"/>
      <c r="C790" s="163"/>
      <c r="D790" s="163"/>
      <c r="E790" s="163"/>
      <c r="F790" s="162"/>
      <c r="G790" s="163"/>
      <c r="H790" s="163"/>
      <c r="I790" s="163"/>
      <c r="J790" s="163"/>
      <c r="K790" s="163"/>
      <c r="L790" s="162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</row>
    <row r="791">
      <c r="A791" s="163"/>
      <c r="B791" s="163"/>
      <c r="C791" s="163"/>
      <c r="D791" s="163"/>
      <c r="E791" s="163"/>
      <c r="F791" s="162"/>
      <c r="G791" s="163"/>
      <c r="H791" s="163"/>
      <c r="I791" s="163"/>
      <c r="J791" s="163"/>
      <c r="K791" s="163"/>
      <c r="L791" s="162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</row>
    <row r="792">
      <c r="A792" s="163"/>
      <c r="B792" s="163"/>
      <c r="C792" s="163"/>
      <c r="D792" s="163"/>
      <c r="E792" s="163"/>
      <c r="F792" s="162"/>
      <c r="G792" s="163"/>
      <c r="H792" s="163"/>
      <c r="I792" s="163"/>
      <c r="J792" s="163"/>
      <c r="K792" s="163"/>
      <c r="L792" s="162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</row>
    <row r="793">
      <c r="A793" s="163"/>
      <c r="B793" s="163"/>
      <c r="C793" s="163"/>
      <c r="D793" s="163"/>
      <c r="E793" s="163"/>
      <c r="F793" s="162"/>
      <c r="G793" s="163"/>
      <c r="H793" s="163"/>
      <c r="I793" s="163"/>
      <c r="J793" s="163"/>
      <c r="K793" s="163"/>
      <c r="L793" s="162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</row>
    <row r="794">
      <c r="A794" s="163"/>
      <c r="B794" s="163"/>
      <c r="C794" s="163"/>
      <c r="D794" s="163"/>
      <c r="E794" s="163"/>
      <c r="F794" s="162"/>
      <c r="G794" s="163"/>
      <c r="H794" s="163"/>
      <c r="I794" s="163"/>
      <c r="J794" s="163"/>
      <c r="K794" s="163"/>
      <c r="L794" s="162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</row>
    <row r="795">
      <c r="A795" s="163"/>
      <c r="B795" s="163"/>
      <c r="C795" s="163"/>
      <c r="D795" s="163"/>
      <c r="E795" s="163"/>
      <c r="F795" s="162"/>
      <c r="G795" s="163"/>
      <c r="H795" s="163"/>
      <c r="I795" s="163"/>
      <c r="J795" s="163"/>
      <c r="K795" s="163"/>
      <c r="L795" s="162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</row>
    <row r="796">
      <c r="A796" s="163"/>
      <c r="B796" s="163"/>
      <c r="C796" s="163"/>
      <c r="D796" s="163"/>
      <c r="E796" s="163"/>
      <c r="F796" s="162"/>
      <c r="G796" s="163"/>
      <c r="H796" s="163"/>
      <c r="I796" s="163"/>
      <c r="J796" s="163"/>
      <c r="K796" s="163"/>
      <c r="L796" s="162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</row>
    <row r="797">
      <c r="A797" s="163"/>
      <c r="B797" s="163"/>
      <c r="C797" s="163"/>
      <c r="D797" s="163"/>
      <c r="E797" s="163"/>
      <c r="F797" s="162"/>
      <c r="G797" s="163"/>
      <c r="H797" s="163"/>
      <c r="I797" s="163"/>
      <c r="J797" s="163"/>
      <c r="K797" s="163"/>
      <c r="L797" s="162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</row>
    <row r="798">
      <c r="A798" s="163"/>
      <c r="B798" s="163"/>
      <c r="C798" s="163"/>
      <c r="D798" s="163"/>
      <c r="E798" s="163"/>
      <c r="F798" s="162"/>
      <c r="G798" s="163"/>
      <c r="H798" s="163"/>
      <c r="I798" s="163"/>
      <c r="J798" s="163"/>
      <c r="K798" s="163"/>
      <c r="L798" s="162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</row>
    <row r="799">
      <c r="A799" s="163"/>
      <c r="B799" s="163"/>
      <c r="C799" s="163"/>
      <c r="D799" s="163"/>
      <c r="E799" s="163"/>
      <c r="F799" s="162"/>
      <c r="G799" s="163"/>
      <c r="H799" s="163"/>
      <c r="I799" s="163"/>
      <c r="J799" s="163"/>
      <c r="K799" s="163"/>
      <c r="L799" s="162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</row>
    <row r="800">
      <c r="A800" s="163"/>
      <c r="B800" s="163"/>
      <c r="C800" s="163"/>
      <c r="D800" s="163"/>
      <c r="E800" s="163"/>
      <c r="F800" s="162"/>
      <c r="G800" s="163"/>
      <c r="H800" s="163"/>
      <c r="I800" s="163"/>
      <c r="J800" s="163"/>
      <c r="K800" s="163"/>
      <c r="L800" s="162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</row>
    <row r="801">
      <c r="A801" s="163"/>
      <c r="B801" s="163"/>
      <c r="C801" s="163"/>
      <c r="D801" s="163"/>
      <c r="E801" s="163"/>
      <c r="F801" s="162"/>
      <c r="G801" s="163"/>
      <c r="H801" s="163"/>
      <c r="I801" s="163"/>
      <c r="J801" s="163"/>
      <c r="K801" s="163"/>
      <c r="L801" s="162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</row>
    <row r="802">
      <c r="A802" s="163"/>
      <c r="B802" s="163"/>
      <c r="C802" s="163"/>
      <c r="D802" s="163"/>
      <c r="E802" s="163"/>
      <c r="F802" s="162"/>
      <c r="G802" s="163"/>
      <c r="H802" s="163"/>
      <c r="I802" s="163"/>
      <c r="J802" s="163"/>
      <c r="K802" s="163"/>
      <c r="L802" s="162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</row>
    <row r="803">
      <c r="A803" s="163"/>
      <c r="B803" s="163"/>
      <c r="C803" s="163"/>
      <c r="D803" s="163"/>
      <c r="E803" s="163"/>
      <c r="F803" s="162"/>
      <c r="G803" s="163"/>
      <c r="H803" s="163"/>
      <c r="I803" s="163"/>
      <c r="J803" s="163"/>
      <c r="K803" s="163"/>
      <c r="L803" s="162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</row>
    <row r="804">
      <c r="A804" s="163"/>
      <c r="B804" s="163"/>
      <c r="C804" s="163"/>
      <c r="D804" s="163"/>
      <c r="E804" s="163"/>
      <c r="F804" s="162"/>
      <c r="G804" s="163"/>
      <c r="H804" s="163"/>
      <c r="I804" s="163"/>
      <c r="J804" s="163"/>
      <c r="K804" s="163"/>
      <c r="L804" s="162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</row>
    <row r="805">
      <c r="A805" s="163"/>
      <c r="B805" s="163"/>
      <c r="C805" s="163"/>
      <c r="D805" s="163"/>
      <c r="E805" s="163"/>
      <c r="F805" s="162"/>
      <c r="G805" s="163"/>
      <c r="H805" s="163"/>
      <c r="I805" s="163"/>
      <c r="J805" s="163"/>
      <c r="K805" s="163"/>
      <c r="L805" s="162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</row>
    <row r="806">
      <c r="A806" s="163"/>
      <c r="B806" s="163"/>
      <c r="C806" s="163"/>
      <c r="D806" s="163"/>
      <c r="E806" s="163"/>
      <c r="F806" s="162"/>
      <c r="G806" s="163"/>
      <c r="H806" s="163"/>
      <c r="I806" s="163"/>
      <c r="J806" s="163"/>
      <c r="K806" s="163"/>
      <c r="L806" s="162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</row>
    <row r="807">
      <c r="A807" s="163"/>
      <c r="B807" s="163"/>
      <c r="C807" s="163"/>
      <c r="D807" s="163"/>
      <c r="E807" s="163"/>
      <c r="F807" s="162"/>
      <c r="G807" s="163"/>
      <c r="H807" s="163"/>
      <c r="I807" s="163"/>
      <c r="J807" s="163"/>
      <c r="K807" s="163"/>
      <c r="L807" s="162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</row>
    <row r="808">
      <c r="A808" s="163"/>
      <c r="B808" s="163"/>
      <c r="C808" s="163"/>
      <c r="D808" s="163"/>
      <c r="E808" s="163"/>
      <c r="F808" s="162"/>
      <c r="G808" s="163"/>
      <c r="H808" s="163"/>
      <c r="I808" s="163"/>
      <c r="J808" s="163"/>
      <c r="K808" s="163"/>
      <c r="L808" s="162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</row>
    <row r="809">
      <c r="A809" s="163"/>
      <c r="B809" s="163"/>
      <c r="C809" s="163"/>
      <c r="D809" s="163"/>
      <c r="E809" s="163"/>
      <c r="F809" s="162"/>
      <c r="G809" s="163"/>
      <c r="H809" s="163"/>
      <c r="I809" s="163"/>
      <c r="J809" s="163"/>
      <c r="K809" s="163"/>
      <c r="L809" s="162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</row>
    <row r="810">
      <c r="A810" s="163"/>
      <c r="B810" s="163"/>
      <c r="C810" s="163"/>
      <c r="D810" s="163"/>
      <c r="E810" s="163"/>
      <c r="F810" s="162"/>
      <c r="G810" s="163"/>
      <c r="H810" s="163"/>
      <c r="I810" s="163"/>
      <c r="J810" s="163"/>
      <c r="K810" s="163"/>
      <c r="L810" s="162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</row>
    <row r="811">
      <c r="A811" s="163"/>
      <c r="B811" s="163"/>
      <c r="C811" s="163"/>
      <c r="D811" s="163"/>
      <c r="E811" s="163"/>
      <c r="F811" s="162"/>
      <c r="G811" s="163"/>
      <c r="H811" s="163"/>
      <c r="I811" s="163"/>
      <c r="J811" s="163"/>
      <c r="K811" s="163"/>
      <c r="L811" s="162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</row>
    <row r="812">
      <c r="A812" s="163"/>
      <c r="B812" s="163"/>
      <c r="C812" s="163"/>
      <c r="D812" s="163"/>
      <c r="E812" s="163"/>
      <c r="F812" s="162"/>
      <c r="G812" s="163"/>
      <c r="H812" s="163"/>
      <c r="I812" s="163"/>
      <c r="J812" s="163"/>
      <c r="K812" s="163"/>
      <c r="L812" s="162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</row>
    <row r="813">
      <c r="A813" s="163"/>
      <c r="B813" s="163"/>
      <c r="C813" s="163"/>
      <c r="D813" s="163"/>
      <c r="E813" s="163"/>
      <c r="F813" s="162"/>
      <c r="G813" s="163"/>
      <c r="H813" s="163"/>
      <c r="I813" s="163"/>
      <c r="J813" s="163"/>
      <c r="K813" s="163"/>
      <c r="L813" s="162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</row>
    <row r="814">
      <c r="A814" s="163"/>
      <c r="B814" s="163"/>
      <c r="C814" s="163"/>
      <c r="D814" s="163"/>
      <c r="E814" s="163"/>
      <c r="F814" s="162"/>
      <c r="G814" s="163"/>
      <c r="H814" s="163"/>
      <c r="I814" s="163"/>
      <c r="J814" s="163"/>
      <c r="K814" s="163"/>
      <c r="L814" s="162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</row>
    <row r="815">
      <c r="A815" s="163"/>
      <c r="B815" s="163"/>
      <c r="C815" s="163"/>
      <c r="D815" s="163"/>
      <c r="E815" s="163"/>
      <c r="F815" s="162"/>
      <c r="G815" s="163"/>
      <c r="H815" s="163"/>
      <c r="I815" s="163"/>
      <c r="J815" s="163"/>
      <c r="K815" s="163"/>
      <c r="L815" s="162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</row>
    <row r="816">
      <c r="A816" s="163"/>
      <c r="B816" s="163"/>
      <c r="C816" s="163"/>
      <c r="D816" s="163"/>
      <c r="E816" s="163"/>
      <c r="F816" s="162"/>
      <c r="G816" s="163"/>
      <c r="H816" s="163"/>
      <c r="I816" s="163"/>
      <c r="J816" s="163"/>
      <c r="K816" s="163"/>
      <c r="L816" s="162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</row>
    <row r="817">
      <c r="A817" s="163"/>
      <c r="B817" s="163"/>
      <c r="C817" s="163"/>
      <c r="D817" s="163"/>
      <c r="E817" s="163"/>
      <c r="F817" s="162"/>
      <c r="G817" s="163"/>
      <c r="H817" s="163"/>
      <c r="I817" s="163"/>
      <c r="J817" s="163"/>
      <c r="K817" s="163"/>
      <c r="L817" s="162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</row>
    <row r="818">
      <c r="A818" s="163"/>
      <c r="B818" s="163"/>
      <c r="C818" s="163"/>
      <c r="D818" s="163"/>
      <c r="E818" s="163"/>
      <c r="F818" s="162"/>
      <c r="G818" s="163"/>
      <c r="H818" s="163"/>
      <c r="I818" s="163"/>
      <c r="J818" s="163"/>
      <c r="K818" s="163"/>
      <c r="L818" s="162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</row>
    <row r="819">
      <c r="A819" s="163"/>
      <c r="B819" s="163"/>
      <c r="C819" s="163"/>
      <c r="D819" s="163"/>
      <c r="E819" s="163"/>
      <c r="F819" s="162"/>
      <c r="G819" s="163"/>
      <c r="H819" s="163"/>
      <c r="I819" s="163"/>
      <c r="J819" s="163"/>
      <c r="K819" s="163"/>
      <c r="L819" s="162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</row>
    <row r="820">
      <c r="A820" s="163"/>
      <c r="B820" s="163"/>
      <c r="C820" s="163"/>
      <c r="D820" s="163"/>
      <c r="E820" s="163"/>
      <c r="F820" s="162"/>
      <c r="G820" s="163"/>
      <c r="H820" s="163"/>
      <c r="I820" s="163"/>
      <c r="J820" s="163"/>
      <c r="K820" s="163"/>
      <c r="L820" s="162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</row>
    <row r="821">
      <c r="A821" s="163"/>
      <c r="B821" s="163"/>
      <c r="C821" s="163"/>
      <c r="D821" s="163"/>
      <c r="E821" s="163"/>
      <c r="F821" s="162"/>
      <c r="G821" s="163"/>
      <c r="H821" s="163"/>
      <c r="I821" s="163"/>
      <c r="J821" s="163"/>
      <c r="K821" s="163"/>
      <c r="L821" s="162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</row>
    <row r="822">
      <c r="A822" s="163"/>
      <c r="B822" s="163"/>
      <c r="C822" s="163"/>
      <c r="D822" s="163"/>
      <c r="E822" s="163"/>
      <c r="F822" s="162"/>
      <c r="G822" s="163"/>
      <c r="H822" s="163"/>
      <c r="I822" s="163"/>
      <c r="J822" s="163"/>
      <c r="K822" s="163"/>
      <c r="L822" s="162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</row>
    <row r="823">
      <c r="A823" s="163"/>
      <c r="B823" s="163"/>
      <c r="C823" s="163"/>
      <c r="D823" s="163"/>
      <c r="E823" s="163"/>
      <c r="F823" s="162"/>
      <c r="G823" s="163"/>
      <c r="H823" s="163"/>
      <c r="I823" s="163"/>
      <c r="J823" s="163"/>
      <c r="K823" s="163"/>
      <c r="L823" s="162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</row>
    <row r="824">
      <c r="A824" s="163"/>
      <c r="B824" s="163"/>
      <c r="C824" s="163"/>
      <c r="D824" s="163"/>
      <c r="E824" s="163"/>
      <c r="F824" s="162"/>
      <c r="G824" s="163"/>
      <c r="H824" s="163"/>
      <c r="I824" s="163"/>
      <c r="J824" s="163"/>
      <c r="K824" s="163"/>
      <c r="L824" s="162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</row>
    <row r="825">
      <c r="A825" s="163"/>
      <c r="B825" s="163"/>
      <c r="C825" s="163"/>
      <c r="D825" s="163"/>
      <c r="E825" s="163"/>
      <c r="F825" s="162"/>
      <c r="G825" s="163"/>
      <c r="H825" s="163"/>
      <c r="I825" s="163"/>
      <c r="J825" s="163"/>
      <c r="K825" s="163"/>
      <c r="L825" s="162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</row>
    <row r="826">
      <c r="A826" s="163"/>
      <c r="B826" s="163"/>
      <c r="C826" s="163"/>
      <c r="D826" s="163"/>
      <c r="E826" s="163"/>
      <c r="F826" s="162"/>
      <c r="G826" s="163"/>
      <c r="H826" s="163"/>
      <c r="I826" s="163"/>
      <c r="J826" s="163"/>
      <c r="K826" s="163"/>
      <c r="L826" s="162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</row>
    <row r="827">
      <c r="A827" s="163"/>
      <c r="B827" s="163"/>
      <c r="C827" s="163"/>
      <c r="D827" s="163"/>
      <c r="E827" s="163"/>
      <c r="F827" s="162"/>
      <c r="G827" s="163"/>
      <c r="H827" s="163"/>
      <c r="I827" s="163"/>
      <c r="J827" s="163"/>
      <c r="K827" s="163"/>
      <c r="L827" s="162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</row>
    <row r="828">
      <c r="A828" s="163"/>
      <c r="B828" s="163"/>
      <c r="C828" s="163"/>
      <c r="D828" s="163"/>
      <c r="E828" s="163"/>
      <c r="F828" s="162"/>
      <c r="G828" s="163"/>
      <c r="H828" s="163"/>
      <c r="I828" s="163"/>
      <c r="J828" s="163"/>
      <c r="K828" s="163"/>
      <c r="L828" s="162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</row>
    <row r="829">
      <c r="A829" s="163"/>
      <c r="B829" s="163"/>
      <c r="C829" s="163"/>
      <c r="D829" s="163"/>
      <c r="E829" s="163"/>
      <c r="F829" s="162"/>
      <c r="G829" s="163"/>
      <c r="H829" s="163"/>
      <c r="I829" s="163"/>
      <c r="J829" s="163"/>
      <c r="K829" s="163"/>
      <c r="L829" s="162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</row>
    <row r="830">
      <c r="A830" s="163"/>
      <c r="B830" s="163"/>
      <c r="C830" s="163"/>
      <c r="D830" s="163"/>
      <c r="E830" s="163"/>
      <c r="F830" s="162"/>
      <c r="G830" s="163"/>
      <c r="H830" s="163"/>
      <c r="I830" s="163"/>
      <c r="J830" s="163"/>
      <c r="K830" s="163"/>
      <c r="L830" s="162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</row>
    <row r="831">
      <c r="A831" s="163"/>
      <c r="B831" s="163"/>
      <c r="C831" s="163"/>
      <c r="D831" s="163"/>
      <c r="E831" s="163"/>
      <c r="F831" s="162"/>
      <c r="G831" s="163"/>
      <c r="H831" s="163"/>
      <c r="I831" s="163"/>
      <c r="J831" s="163"/>
      <c r="K831" s="163"/>
      <c r="L831" s="162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</row>
    <row r="832">
      <c r="A832" s="163"/>
      <c r="B832" s="163"/>
      <c r="C832" s="163"/>
      <c r="D832" s="163"/>
      <c r="E832" s="163"/>
      <c r="F832" s="162"/>
      <c r="G832" s="163"/>
      <c r="H832" s="163"/>
      <c r="I832" s="163"/>
      <c r="J832" s="163"/>
      <c r="K832" s="163"/>
      <c r="L832" s="162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</row>
    <row r="833">
      <c r="A833" s="163"/>
      <c r="B833" s="163"/>
      <c r="C833" s="163"/>
      <c r="D833" s="163"/>
      <c r="E833" s="163"/>
      <c r="F833" s="162"/>
      <c r="G833" s="163"/>
      <c r="H833" s="163"/>
      <c r="I833" s="163"/>
      <c r="J833" s="163"/>
      <c r="K833" s="163"/>
      <c r="L833" s="162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</row>
    <row r="834">
      <c r="A834" s="163"/>
      <c r="B834" s="163"/>
      <c r="C834" s="163"/>
      <c r="D834" s="163"/>
      <c r="E834" s="163"/>
      <c r="F834" s="162"/>
      <c r="G834" s="163"/>
      <c r="H834" s="163"/>
      <c r="I834" s="163"/>
      <c r="J834" s="163"/>
      <c r="K834" s="163"/>
      <c r="L834" s="162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</row>
    <row r="835">
      <c r="A835" s="163"/>
      <c r="B835" s="163"/>
      <c r="C835" s="163"/>
      <c r="D835" s="163"/>
      <c r="E835" s="163"/>
      <c r="F835" s="162"/>
      <c r="G835" s="163"/>
      <c r="H835" s="163"/>
      <c r="I835" s="163"/>
      <c r="J835" s="163"/>
      <c r="K835" s="163"/>
      <c r="L835" s="162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</row>
    <row r="836">
      <c r="A836" s="163"/>
      <c r="B836" s="163"/>
      <c r="C836" s="163"/>
      <c r="D836" s="163"/>
      <c r="E836" s="163"/>
      <c r="F836" s="162"/>
      <c r="G836" s="163"/>
      <c r="H836" s="163"/>
      <c r="I836" s="163"/>
      <c r="J836" s="163"/>
      <c r="K836" s="163"/>
      <c r="L836" s="162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</row>
    <row r="837">
      <c r="A837" s="163"/>
      <c r="B837" s="163"/>
      <c r="C837" s="163"/>
      <c r="D837" s="163"/>
      <c r="E837" s="163"/>
      <c r="F837" s="162"/>
      <c r="G837" s="163"/>
      <c r="H837" s="163"/>
      <c r="I837" s="163"/>
      <c r="J837" s="163"/>
      <c r="K837" s="163"/>
      <c r="L837" s="162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</row>
    <row r="838">
      <c r="A838" s="163"/>
      <c r="B838" s="163"/>
      <c r="C838" s="163"/>
      <c r="D838" s="163"/>
      <c r="E838" s="163"/>
      <c r="F838" s="162"/>
      <c r="G838" s="163"/>
      <c r="H838" s="163"/>
      <c r="I838" s="163"/>
      <c r="J838" s="163"/>
      <c r="K838" s="163"/>
      <c r="L838" s="162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</row>
    <row r="839">
      <c r="A839" s="163"/>
      <c r="B839" s="163"/>
      <c r="C839" s="163"/>
      <c r="D839" s="163"/>
      <c r="E839" s="163"/>
      <c r="F839" s="162"/>
      <c r="G839" s="163"/>
      <c r="H839" s="163"/>
      <c r="I839" s="163"/>
      <c r="J839" s="163"/>
      <c r="K839" s="163"/>
      <c r="L839" s="162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</row>
    <row r="840">
      <c r="A840" s="163"/>
      <c r="B840" s="163"/>
      <c r="C840" s="163"/>
      <c r="D840" s="163"/>
      <c r="E840" s="163"/>
      <c r="F840" s="162"/>
      <c r="G840" s="163"/>
      <c r="H840" s="163"/>
      <c r="I840" s="163"/>
      <c r="J840" s="163"/>
      <c r="K840" s="163"/>
      <c r="L840" s="162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</row>
    <row r="841">
      <c r="A841" s="163"/>
      <c r="B841" s="163"/>
      <c r="C841" s="163"/>
      <c r="D841" s="163"/>
      <c r="E841" s="163"/>
      <c r="F841" s="162"/>
      <c r="G841" s="163"/>
      <c r="H841" s="163"/>
      <c r="I841" s="163"/>
      <c r="J841" s="163"/>
      <c r="K841" s="163"/>
      <c r="L841" s="162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</row>
    <row r="842">
      <c r="A842" s="163"/>
      <c r="B842" s="163"/>
      <c r="C842" s="163"/>
      <c r="D842" s="163"/>
      <c r="E842" s="163"/>
      <c r="F842" s="162"/>
      <c r="G842" s="163"/>
      <c r="H842" s="163"/>
      <c r="I842" s="163"/>
      <c r="J842" s="163"/>
      <c r="K842" s="163"/>
      <c r="L842" s="162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</row>
    <row r="843">
      <c r="A843" s="163"/>
      <c r="B843" s="163"/>
      <c r="C843" s="163"/>
      <c r="D843" s="163"/>
      <c r="E843" s="163"/>
      <c r="F843" s="162"/>
      <c r="G843" s="163"/>
      <c r="H843" s="163"/>
      <c r="I843" s="163"/>
      <c r="J843" s="163"/>
      <c r="K843" s="163"/>
      <c r="L843" s="162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</row>
    <row r="844">
      <c r="A844" s="163"/>
      <c r="B844" s="163"/>
      <c r="C844" s="163"/>
      <c r="D844" s="163"/>
      <c r="E844" s="163"/>
      <c r="F844" s="162"/>
      <c r="G844" s="163"/>
      <c r="H844" s="163"/>
      <c r="I844" s="163"/>
      <c r="J844" s="163"/>
      <c r="K844" s="163"/>
      <c r="L844" s="162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</row>
    <row r="845">
      <c r="A845" s="163"/>
      <c r="B845" s="163"/>
      <c r="C845" s="163"/>
      <c r="D845" s="163"/>
      <c r="E845" s="163"/>
      <c r="F845" s="162"/>
      <c r="G845" s="163"/>
      <c r="H845" s="163"/>
      <c r="I845" s="163"/>
      <c r="J845" s="163"/>
      <c r="K845" s="163"/>
      <c r="L845" s="162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</row>
    <row r="846">
      <c r="A846" s="163"/>
      <c r="B846" s="163"/>
      <c r="C846" s="163"/>
      <c r="D846" s="163"/>
      <c r="E846" s="163"/>
      <c r="F846" s="162"/>
      <c r="G846" s="163"/>
      <c r="H846" s="163"/>
      <c r="I846" s="163"/>
      <c r="J846" s="163"/>
      <c r="K846" s="163"/>
      <c r="L846" s="162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</row>
    <row r="847">
      <c r="A847" s="163"/>
      <c r="B847" s="163"/>
      <c r="C847" s="163"/>
      <c r="D847" s="163"/>
      <c r="E847" s="163"/>
      <c r="F847" s="162"/>
      <c r="G847" s="163"/>
      <c r="H847" s="163"/>
      <c r="I847" s="163"/>
      <c r="J847" s="163"/>
      <c r="K847" s="163"/>
      <c r="L847" s="162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</row>
    <row r="848">
      <c r="A848" s="163"/>
      <c r="B848" s="163"/>
      <c r="C848" s="163"/>
      <c r="D848" s="163"/>
      <c r="E848" s="163"/>
      <c r="F848" s="162"/>
      <c r="G848" s="163"/>
      <c r="H848" s="163"/>
      <c r="I848" s="163"/>
      <c r="J848" s="163"/>
      <c r="K848" s="163"/>
      <c r="L848" s="162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</row>
    <row r="849">
      <c r="A849" s="163"/>
      <c r="B849" s="163"/>
      <c r="C849" s="163"/>
      <c r="D849" s="163"/>
      <c r="E849" s="163"/>
      <c r="F849" s="162"/>
      <c r="G849" s="163"/>
      <c r="H849" s="163"/>
      <c r="I849" s="163"/>
      <c r="J849" s="163"/>
      <c r="K849" s="163"/>
      <c r="L849" s="162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</row>
    <row r="850">
      <c r="A850" s="163"/>
      <c r="B850" s="163"/>
      <c r="C850" s="163"/>
      <c r="D850" s="163"/>
      <c r="E850" s="163"/>
      <c r="F850" s="162"/>
      <c r="G850" s="163"/>
      <c r="H850" s="163"/>
      <c r="I850" s="163"/>
      <c r="J850" s="163"/>
      <c r="K850" s="163"/>
      <c r="L850" s="162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</row>
    <row r="851">
      <c r="A851" s="163"/>
      <c r="B851" s="163"/>
      <c r="C851" s="163"/>
      <c r="D851" s="163"/>
      <c r="E851" s="163"/>
      <c r="F851" s="162"/>
      <c r="G851" s="163"/>
      <c r="H851" s="163"/>
      <c r="I851" s="163"/>
      <c r="J851" s="163"/>
      <c r="K851" s="163"/>
      <c r="L851" s="162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</row>
    <row r="852">
      <c r="A852" s="163"/>
      <c r="B852" s="163"/>
      <c r="C852" s="163"/>
      <c r="D852" s="163"/>
      <c r="E852" s="163"/>
      <c r="F852" s="162"/>
      <c r="G852" s="163"/>
      <c r="H852" s="163"/>
      <c r="I852" s="163"/>
      <c r="J852" s="163"/>
      <c r="K852" s="163"/>
      <c r="L852" s="162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</row>
    <row r="853">
      <c r="A853" s="163"/>
      <c r="B853" s="163"/>
      <c r="C853" s="163"/>
      <c r="D853" s="163"/>
      <c r="E853" s="163"/>
      <c r="F853" s="162"/>
      <c r="G853" s="163"/>
      <c r="H853" s="163"/>
      <c r="I853" s="163"/>
      <c r="J853" s="163"/>
      <c r="K853" s="163"/>
      <c r="L853" s="162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</row>
    <row r="854">
      <c r="A854" s="163"/>
      <c r="B854" s="163"/>
      <c r="C854" s="163"/>
      <c r="D854" s="163"/>
      <c r="E854" s="163"/>
      <c r="F854" s="162"/>
      <c r="G854" s="163"/>
      <c r="H854" s="163"/>
      <c r="I854" s="163"/>
      <c r="J854" s="163"/>
      <c r="K854" s="163"/>
      <c r="L854" s="162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</row>
    <row r="855">
      <c r="A855" s="163"/>
      <c r="B855" s="163"/>
      <c r="C855" s="163"/>
      <c r="D855" s="163"/>
      <c r="E855" s="163"/>
      <c r="F855" s="162"/>
      <c r="G855" s="163"/>
      <c r="H855" s="163"/>
      <c r="I855" s="163"/>
      <c r="J855" s="163"/>
      <c r="K855" s="163"/>
      <c r="L855" s="162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</row>
    <row r="856">
      <c r="A856" s="163"/>
      <c r="B856" s="163"/>
      <c r="C856" s="163"/>
      <c r="D856" s="163"/>
      <c r="E856" s="163"/>
      <c r="F856" s="162"/>
      <c r="G856" s="163"/>
      <c r="H856" s="163"/>
      <c r="I856" s="163"/>
      <c r="J856" s="163"/>
      <c r="K856" s="163"/>
      <c r="L856" s="162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</row>
    <row r="857">
      <c r="A857" s="163"/>
      <c r="B857" s="163"/>
      <c r="C857" s="163"/>
      <c r="D857" s="163"/>
      <c r="E857" s="163"/>
      <c r="F857" s="162"/>
      <c r="G857" s="163"/>
      <c r="H857" s="163"/>
      <c r="I857" s="163"/>
      <c r="J857" s="163"/>
      <c r="K857" s="163"/>
      <c r="L857" s="162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</row>
    <row r="858">
      <c r="A858" s="163"/>
      <c r="B858" s="163"/>
      <c r="C858" s="163"/>
      <c r="D858" s="163"/>
      <c r="E858" s="163"/>
      <c r="F858" s="162"/>
      <c r="G858" s="163"/>
      <c r="H858" s="163"/>
      <c r="I858" s="163"/>
      <c r="J858" s="163"/>
      <c r="K858" s="163"/>
      <c r="L858" s="162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</row>
    <row r="859">
      <c r="A859" s="163"/>
      <c r="B859" s="163"/>
      <c r="C859" s="163"/>
      <c r="D859" s="163"/>
      <c r="E859" s="163"/>
      <c r="F859" s="162"/>
      <c r="G859" s="163"/>
      <c r="H859" s="163"/>
      <c r="I859" s="163"/>
      <c r="J859" s="163"/>
      <c r="K859" s="163"/>
      <c r="L859" s="162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</row>
    <row r="860">
      <c r="A860" s="163"/>
      <c r="B860" s="163"/>
      <c r="C860" s="163"/>
      <c r="D860" s="163"/>
      <c r="E860" s="163"/>
      <c r="F860" s="162"/>
      <c r="G860" s="163"/>
      <c r="H860" s="163"/>
      <c r="I860" s="163"/>
      <c r="J860" s="163"/>
      <c r="K860" s="163"/>
      <c r="L860" s="162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</row>
    <row r="861">
      <c r="A861" s="163"/>
      <c r="B861" s="163"/>
      <c r="C861" s="163"/>
      <c r="D861" s="163"/>
      <c r="E861" s="163"/>
      <c r="F861" s="162"/>
      <c r="G861" s="163"/>
      <c r="H861" s="163"/>
      <c r="I861" s="163"/>
      <c r="J861" s="163"/>
      <c r="K861" s="163"/>
      <c r="L861" s="162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</row>
    <row r="862">
      <c r="A862" s="163"/>
      <c r="B862" s="163"/>
      <c r="C862" s="163"/>
      <c r="D862" s="163"/>
      <c r="E862" s="163"/>
      <c r="F862" s="162"/>
      <c r="G862" s="163"/>
      <c r="H862" s="163"/>
      <c r="I862" s="163"/>
      <c r="J862" s="163"/>
      <c r="K862" s="163"/>
      <c r="L862" s="162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</row>
    <row r="863">
      <c r="A863" s="163"/>
      <c r="B863" s="163"/>
      <c r="C863" s="163"/>
      <c r="D863" s="163"/>
      <c r="E863" s="163"/>
      <c r="F863" s="162"/>
      <c r="G863" s="163"/>
      <c r="H863" s="163"/>
      <c r="I863" s="163"/>
      <c r="J863" s="163"/>
      <c r="K863" s="163"/>
      <c r="L863" s="162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</row>
    <row r="864">
      <c r="A864" s="163"/>
      <c r="B864" s="163"/>
      <c r="C864" s="163"/>
      <c r="D864" s="163"/>
      <c r="E864" s="163"/>
      <c r="F864" s="162"/>
      <c r="G864" s="163"/>
      <c r="H864" s="163"/>
      <c r="I864" s="163"/>
      <c r="J864" s="163"/>
      <c r="K864" s="163"/>
      <c r="L864" s="162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</row>
    <row r="865">
      <c r="A865" s="163"/>
      <c r="B865" s="163"/>
      <c r="C865" s="163"/>
      <c r="D865" s="163"/>
      <c r="E865" s="163"/>
      <c r="F865" s="162"/>
      <c r="G865" s="163"/>
      <c r="H865" s="163"/>
      <c r="I865" s="163"/>
      <c r="J865" s="163"/>
      <c r="K865" s="163"/>
      <c r="L865" s="162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</row>
    <row r="866">
      <c r="A866" s="163"/>
      <c r="B866" s="163"/>
      <c r="C866" s="163"/>
      <c r="D866" s="163"/>
      <c r="E866" s="163"/>
      <c r="F866" s="162"/>
      <c r="G866" s="163"/>
      <c r="H866" s="163"/>
      <c r="I866" s="163"/>
      <c r="J866" s="163"/>
      <c r="K866" s="163"/>
      <c r="L866" s="162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</row>
    <row r="867">
      <c r="A867" s="163"/>
      <c r="B867" s="163"/>
      <c r="C867" s="163"/>
      <c r="D867" s="163"/>
      <c r="E867" s="163"/>
      <c r="F867" s="162"/>
      <c r="G867" s="163"/>
      <c r="H867" s="163"/>
      <c r="I867" s="163"/>
      <c r="J867" s="163"/>
      <c r="K867" s="163"/>
      <c r="L867" s="162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</row>
    <row r="868">
      <c r="A868" s="163"/>
      <c r="B868" s="163"/>
      <c r="C868" s="163"/>
      <c r="D868" s="163"/>
      <c r="E868" s="163"/>
      <c r="F868" s="162"/>
      <c r="G868" s="163"/>
      <c r="H868" s="163"/>
      <c r="I868" s="163"/>
      <c r="J868" s="163"/>
      <c r="K868" s="163"/>
      <c r="L868" s="162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</row>
    <row r="869">
      <c r="A869" s="163"/>
      <c r="B869" s="163"/>
      <c r="C869" s="163"/>
      <c r="D869" s="163"/>
      <c r="E869" s="163"/>
      <c r="F869" s="162"/>
      <c r="G869" s="163"/>
      <c r="H869" s="163"/>
      <c r="I869" s="163"/>
      <c r="J869" s="163"/>
      <c r="K869" s="163"/>
      <c r="L869" s="162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</row>
    <row r="870">
      <c r="A870" s="163"/>
      <c r="B870" s="163"/>
      <c r="C870" s="163"/>
      <c r="D870" s="163"/>
      <c r="E870" s="163"/>
      <c r="F870" s="162"/>
      <c r="G870" s="163"/>
      <c r="H870" s="163"/>
      <c r="I870" s="163"/>
      <c r="J870" s="163"/>
      <c r="K870" s="163"/>
      <c r="L870" s="162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</row>
    <row r="871">
      <c r="A871" s="163"/>
      <c r="B871" s="163"/>
      <c r="C871" s="163"/>
      <c r="D871" s="163"/>
      <c r="E871" s="163"/>
      <c r="F871" s="162"/>
      <c r="G871" s="163"/>
      <c r="H871" s="163"/>
      <c r="I871" s="163"/>
      <c r="J871" s="163"/>
      <c r="K871" s="163"/>
      <c r="L871" s="162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</row>
    <row r="872">
      <c r="A872" s="163"/>
      <c r="B872" s="163"/>
      <c r="C872" s="163"/>
      <c r="D872" s="163"/>
      <c r="E872" s="163"/>
      <c r="F872" s="162"/>
      <c r="G872" s="163"/>
      <c r="H872" s="163"/>
      <c r="I872" s="163"/>
      <c r="J872" s="163"/>
      <c r="K872" s="163"/>
      <c r="L872" s="162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</row>
    <row r="873">
      <c r="A873" s="163"/>
      <c r="B873" s="163"/>
      <c r="C873" s="163"/>
      <c r="D873" s="163"/>
      <c r="E873" s="163"/>
      <c r="F873" s="162"/>
      <c r="G873" s="163"/>
      <c r="H873" s="163"/>
      <c r="I873" s="163"/>
      <c r="J873" s="163"/>
      <c r="K873" s="163"/>
      <c r="L873" s="162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</row>
    <row r="874">
      <c r="A874" s="163"/>
      <c r="B874" s="163"/>
      <c r="C874" s="163"/>
      <c r="D874" s="163"/>
      <c r="E874" s="163"/>
      <c r="F874" s="162"/>
      <c r="G874" s="163"/>
      <c r="H874" s="163"/>
      <c r="I874" s="163"/>
      <c r="J874" s="163"/>
      <c r="K874" s="163"/>
      <c r="L874" s="162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</row>
    <row r="875">
      <c r="A875" s="163"/>
      <c r="B875" s="163"/>
      <c r="C875" s="163"/>
      <c r="D875" s="163"/>
      <c r="E875" s="163"/>
      <c r="F875" s="162"/>
      <c r="G875" s="163"/>
      <c r="H875" s="163"/>
      <c r="I875" s="163"/>
      <c r="J875" s="163"/>
      <c r="K875" s="163"/>
      <c r="L875" s="162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</row>
    <row r="876">
      <c r="A876" s="163"/>
      <c r="B876" s="163"/>
      <c r="C876" s="163"/>
      <c r="D876" s="163"/>
      <c r="E876" s="163"/>
      <c r="F876" s="162"/>
      <c r="G876" s="163"/>
      <c r="H876" s="163"/>
      <c r="I876" s="163"/>
      <c r="J876" s="163"/>
      <c r="K876" s="163"/>
      <c r="L876" s="162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</row>
    <row r="877">
      <c r="A877" s="163"/>
      <c r="B877" s="163"/>
      <c r="C877" s="163"/>
      <c r="D877" s="163"/>
      <c r="E877" s="163"/>
      <c r="F877" s="162"/>
      <c r="G877" s="163"/>
      <c r="H877" s="163"/>
      <c r="I877" s="163"/>
      <c r="J877" s="163"/>
      <c r="K877" s="163"/>
      <c r="L877" s="162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</row>
    <row r="878">
      <c r="A878" s="163"/>
      <c r="B878" s="163"/>
      <c r="C878" s="163"/>
      <c r="D878" s="163"/>
      <c r="E878" s="163"/>
      <c r="F878" s="162"/>
      <c r="G878" s="163"/>
      <c r="H878" s="163"/>
      <c r="I878" s="163"/>
      <c r="J878" s="163"/>
      <c r="K878" s="163"/>
      <c r="L878" s="162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</row>
    <row r="879">
      <c r="A879" s="163"/>
      <c r="B879" s="163"/>
      <c r="C879" s="163"/>
      <c r="D879" s="163"/>
      <c r="E879" s="163"/>
      <c r="F879" s="162"/>
      <c r="G879" s="163"/>
      <c r="H879" s="163"/>
      <c r="I879" s="163"/>
      <c r="J879" s="163"/>
      <c r="K879" s="163"/>
      <c r="L879" s="162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</row>
    <row r="880">
      <c r="A880" s="163"/>
      <c r="B880" s="163"/>
      <c r="C880" s="163"/>
      <c r="D880" s="163"/>
      <c r="E880" s="163"/>
      <c r="F880" s="162"/>
      <c r="G880" s="163"/>
      <c r="H880" s="163"/>
      <c r="I880" s="163"/>
      <c r="J880" s="163"/>
      <c r="K880" s="163"/>
      <c r="L880" s="162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</row>
    <row r="881">
      <c r="A881" s="163"/>
      <c r="B881" s="163"/>
      <c r="C881" s="163"/>
      <c r="D881" s="163"/>
      <c r="E881" s="163"/>
      <c r="F881" s="162"/>
      <c r="G881" s="163"/>
      <c r="H881" s="163"/>
      <c r="I881" s="163"/>
      <c r="J881" s="163"/>
      <c r="K881" s="163"/>
      <c r="L881" s="162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</row>
    <row r="882">
      <c r="A882" s="163"/>
      <c r="B882" s="163"/>
      <c r="C882" s="163"/>
      <c r="D882" s="163"/>
      <c r="E882" s="163"/>
      <c r="F882" s="162"/>
      <c r="G882" s="163"/>
      <c r="H882" s="163"/>
      <c r="I882" s="163"/>
      <c r="J882" s="163"/>
      <c r="K882" s="163"/>
      <c r="L882" s="162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</row>
    <row r="883">
      <c r="A883" s="163"/>
      <c r="B883" s="163"/>
      <c r="C883" s="163"/>
      <c r="D883" s="163"/>
      <c r="E883" s="163"/>
      <c r="F883" s="162"/>
      <c r="G883" s="163"/>
      <c r="H883" s="163"/>
      <c r="I883" s="163"/>
      <c r="J883" s="163"/>
      <c r="K883" s="163"/>
      <c r="L883" s="162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</row>
    <row r="884">
      <c r="A884" s="163"/>
      <c r="B884" s="163"/>
      <c r="C884" s="163"/>
      <c r="D884" s="163"/>
      <c r="E884" s="163"/>
      <c r="F884" s="162"/>
      <c r="G884" s="163"/>
      <c r="H884" s="163"/>
      <c r="I884" s="163"/>
      <c r="J884" s="163"/>
      <c r="K884" s="163"/>
      <c r="L884" s="162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</row>
    <row r="885">
      <c r="A885" s="163"/>
      <c r="B885" s="163"/>
      <c r="C885" s="163"/>
      <c r="D885" s="163"/>
      <c r="E885" s="163"/>
      <c r="F885" s="162"/>
      <c r="G885" s="163"/>
      <c r="H885" s="163"/>
      <c r="I885" s="163"/>
      <c r="J885" s="163"/>
      <c r="K885" s="163"/>
      <c r="L885" s="162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</row>
    <row r="886">
      <c r="A886" s="163"/>
      <c r="B886" s="163"/>
      <c r="C886" s="163"/>
      <c r="D886" s="163"/>
      <c r="E886" s="163"/>
      <c r="F886" s="162"/>
      <c r="G886" s="163"/>
      <c r="H886" s="163"/>
      <c r="I886" s="163"/>
      <c r="J886" s="163"/>
      <c r="K886" s="163"/>
      <c r="L886" s="162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</row>
    <row r="887">
      <c r="A887" s="163"/>
      <c r="B887" s="163"/>
      <c r="C887" s="163"/>
      <c r="D887" s="163"/>
      <c r="E887" s="163"/>
      <c r="F887" s="162"/>
      <c r="G887" s="163"/>
      <c r="H887" s="163"/>
      <c r="I887" s="163"/>
      <c r="J887" s="163"/>
      <c r="K887" s="163"/>
      <c r="L887" s="162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</row>
    <row r="888">
      <c r="A888" s="163"/>
      <c r="B888" s="163"/>
      <c r="C888" s="163"/>
      <c r="D888" s="163"/>
      <c r="E888" s="163"/>
      <c r="F888" s="162"/>
      <c r="G888" s="163"/>
      <c r="H888" s="163"/>
      <c r="I888" s="163"/>
      <c r="J888" s="163"/>
      <c r="K888" s="163"/>
      <c r="L888" s="162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</row>
    <row r="889">
      <c r="A889" s="163"/>
      <c r="B889" s="163"/>
      <c r="C889" s="163"/>
      <c r="D889" s="163"/>
      <c r="E889" s="163"/>
      <c r="F889" s="162"/>
      <c r="G889" s="163"/>
      <c r="H889" s="163"/>
      <c r="I889" s="163"/>
      <c r="J889" s="163"/>
      <c r="K889" s="163"/>
      <c r="L889" s="162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</row>
    <row r="890">
      <c r="A890" s="163"/>
      <c r="B890" s="163"/>
      <c r="C890" s="163"/>
      <c r="D890" s="163"/>
      <c r="E890" s="163"/>
      <c r="F890" s="162"/>
      <c r="G890" s="163"/>
      <c r="H890" s="163"/>
      <c r="I890" s="163"/>
      <c r="J890" s="163"/>
      <c r="K890" s="163"/>
      <c r="L890" s="162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</row>
    <row r="891">
      <c r="A891" s="163"/>
      <c r="B891" s="163"/>
      <c r="C891" s="163"/>
      <c r="D891" s="163"/>
      <c r="E891" s="163"/>
      <c r="F891" s="162"/>
      <c r="G891" s="163"/>
      <c r="H891" s="163"/>
      <c r="I891" s="163"/>
      <c r="J891" s="163"/>
      <c r="K891" s="163"/>
      <c r="L891" s="162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</row>
    <row r="892">
      <c r="A892" s="163"/>
      <c r="B892" s="163"/>
      <c r="C892" s="163"/>
      <c r="D892" s="163"/>
      <c r="E892" s="163"/>
      <c r="F892" s="162"/>
      <c r="G892" s="163"/>
      <c r="H892" s="163"/>
      <c r="I892" s="163"/>
      <c r="J892" s="163"/>
      <c r="K892" s="163"/>
      <c r="L892" s="162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</row>
    <row r="893">
      <c r="A893" s="163"/>
      <c r="B893" s="163"/>
      <c r="C893" s="163"/>
      <c r="D893" s="163"/>
      <c r="E893" s="163"/>
      <c r="F893" s="162"/>
      <c r="G893" s="163"/>
      <c r="H893" s="163"/>
      <c r="I893" s="163"/>
      <c r="J893" s="163"/>
      <c r="K893" s="163"/>
      <c r="L893" s="162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</row>
    <row r="894">
      <c r="A894" s="163"/>
      <c r="B894" s="163"/>
      <c r="C894" s="163"/>
      <c r="D894" s="163"/>
      <c r="E894" s="163"/>
      <c r="F894" s="162"/>
      <c r="G894" s="163"/>
      <c r="H894" s="163"/>
      <c r="I894" s="163"/>
      <c r="J894" s="163"/>
      <c r="K894" s="163"/>
      <c r="L894" s="162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</row>
    <row r="895">
      <c r="A895" s="163"/>
      <c r="B895" s="163"/>
      <c r="C895" s="163"/>
      <c r="D895" s="163"/>
      <c r="E895" s="163"/>
      <c r="F895" s="162"/>
      <c r="G895" s="163"/>
      <c r="H895" s="163"/>
      <c r="I895" s="163"/>
      <c r="J895" s="163"/>
      <c r="K895" s="163"/>
      <c r="L895" s="162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</row>
    <row r="896">
      <c r="A896" s="163"/>
      <c r="B896" s="163"/>
      <c r="C896" s="163"/>
      <c r="D896" s="163"/>
      <c r="E896" s="163"/>
      <c r="F896" s="162"/>
      <c r="G896" s="163"/>
      <c r="H896" s="163"/>
      <c r="I896" s="163"/>
      <c r="J896" s="163"/>
      <c r="K896" s="163"/>
      <c r="L896" s="162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</row>
    <row r="897">
      <c r="A897" s="163"/>
      <c r="B897" s="163"/>
      <c r="C897" s="163"/>
      <c r="D897" s="163"/>
      <c r="E897" s="163"/>
      <c r="F897" s="162"/>
      <c r="G897" s="163"/>
      <c r="H897" s="163"/>
      <c r="I897" s="163"/>
      <c r="J897" s="163"/>
      <c r="K897" s="163"/>
      <c r="L897" s="162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</row>
    <row r="898">
      <c r="A898" s="163"/>
      <c r="B898" s="163"/>
      <c r="C898" s="163"/>
      <c r="D898" s="163"/>
      <c r="E898" s="163"/>
      <c r="F898" s="162"/>
      <c r="G898" s="163"/>
      <c r="H898" s="163"/>
      <c r="I898" s="163"/>
      <c r="J898" s="163"/>
      <c r="K898" s="163"/>
      <c r="L898" s="162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</row>
    <row r="899">
      <c r="A899" s="163"/>
      <c r="B899" s="163"/>
      <c r="C899" s="163"/>
      <c r="D899" s="163"/>
      <c r="E899" s="163"/>
      <c r="F899" s="162"/>
      <c r="G899" s="163"/>
      <c r="H899" s="163"/>
      <c r="I899" s="163"/>
      <c r="J899" s="163"/>
      <c r="K899" s="163"/>
      <c r="L899" s="162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</row>
    <row r="900">
      <c r="A900" s="163"/>
      <c r="B900" s="163"/>
      <c r="C900" s="163"/>
      <c r="D900" s="163"/>
      <c r="E900" s="163"/>
      <c r="F900" s="162"/>
      <c r="G900" s="163"/>
      <c r="H900" s="163"/>
      <c r="I900" s="163"/>
      <c r="J900" s="163"/>
      <c r="K900" s="163"/>
      <c r="L900" s="162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</row>
    <row r="901">
      <c r="A901" s="163"/>
      <c r="B901" s="163"/>
      <c r="C901" s="163"/>
      <c r="D901" s="163"/>
      <c r="E901" s="163"/>
      <c r="F901" s="162"/>
      <c r="G901" s="163"/>
      <c r="H901" s="163"/>
      <c r="I901" s="163"/>
      <c r="J901" s="163"/>
      <c r="K901" s="163"/>
      <c r="L901" s="162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</row>
    <row r="902">
      <c r="A902" s="163"/>
      <c r="B902" s="163"/>
      <c r="C902" s="163"/>
      <c r="D902" s="163"/>
      <c r="E902" s="163"/>
      <c r="F902" s="162"/>
      <c r="G902" s="163"/>
      <c r="H902" s="163"/>
      <c r="I902" s="163"/>
      <c r="J902" s="163"/>
      <c r="K902" s="163"/>
      <c r="L902" s="162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</row>
    <row r="903">
      <c r="A903" s="163"/>
      <c r="B903" s="163"/>
      <c r="C903" s="163"/>
      <c r="D903" s="163"/>
      <c r="E903" s="163"/>
      <c r="F903" s="162"/>
      <c r="G903" s="163"/>
      <c r="H903" s="163"/>
      <c r="I903" s="163"/>
      <c r="J903" s="163"/>
      <c r="K903" s="163"/>
      <c r="L903" s="162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</row>
    <row r="904">
      <c r="A904" s="163"/>
      <c r="B904" s="163"/>
      <c r="C904" s="163"/>
      <c r="D904" s="163"/>
      <c r="E904" s="163"/>
      <c r="F904" s="162"/>
      <c r="G904" s="163"/>
      <c r="H904" s="163"/>
      <c r="I904" s="163"/>
      <c r="J904" s="163"/>
      <c r="K904" s="163"/>
      <c r="L904" s="162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</row>
    <row r="905">
      <c r="A905" s="163"/>
      <c r="B905" s="163"/>
      <c r="C905" s="163"/>
      <c r="D905" s="163"/>
      <c r="E905" s="163"/>
      <c r="F905" s="162"/>
      <c r="G905" s="163"/>
      <c r="H905" s="163"/>
      <c r="I905" s="163"/>
      <c r="J905" s="163"/>
      <c r="K905" s="163"/>
      <c r="L905" s="162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</row>
    <row r="906">
      <c r="A906" s="163"/>
      <c r="B906" s="163"/>
      <c r="C906" s="163"/>
      <c r="D906" s="163"/>
      <c r="E906" s="163"/>
      <c r="F906" s="162"/>
      <c r="G906" s="163"/>
      <c r="H906" s="163"/>
      <c r="I906" s="163"/>
      <c r="J906" s="163"/>
      <c r="K906" s="163"/>
      <c r="L906" s="162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</row>
    <row r="907">
      <c r="A907" s="163"/>
      <c r="B907" s="163"/>
      <c r="C907" s="163"/>
      <c r="D907" s="163"/>
      <c r="E907" s="163"/>
      <c r="F907" s="162"/>
      <c r="G907" s="163"/>
      <c r="H907" s="163"/>
      <c r="I907" s="163"/>
      <c r="J907" s="163"/>
      <c r="K907" s="163"/>
      <c r="L907" s="162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</row>
    <row r="908">
      <c r="A908" s="163"/>
      <c r="B908" s="163"/>
      <c r="C908" s="163"/>
      <c r="D908" s="163"/>
      <c r="E908" s="163"/>
      <c r="F908" s="162"/>
      <c r="G908" s="163"/>
      <c r="H908" s="163"/>
      <c r="I908" s="163"/>
      <c r="J908" s="163"/>
      <c r="K908" s="163"/>
      <c r="L908" s="162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</row>
    <row r="909">
      <c r="A909" s="163"/>
      <c r="B909" s="163"/>
      <c r="C909" s="163"/>
      <c r="D909" s="163"/>
      <c r="E909" s="163"/>
      <c r="F909" s="162"/>
      <c r="G909" s="163"/>
      <c r="H909" s="163"/>
      <c r="I909" s="163"/>
      <c r="J909" s="163"/>
      <c r="K909" s="163"/>
      <c r="L909" s="162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</row>
    <row r="910">
      <c r="A910" s="163"/>
      <c r="B910" s="163"/>
      <c r="C910" s="163"/>
      <c r="D910" s="163"/>
      <c r="E910" s="163"/>
      <c r="F910" s="162"/>
      <c r="G910" s="163"/>
      <c r="H910" s="163"/>
      <c r="I910" s="163"/>
      <c r="J910" s="163"/>
      <c r="K910" s="163"/>
      <c r="L910" s="162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</row>
    <row r="911">
      <c r="A911" s="163"/>
      <c r="B911" s="163"/>
      <c r="C911" s="163"/>
      <c r="D911" s="163"/>
      <c r="E911" s="163"/>
      <c r="F911" s="162"/>
      <c r="G911" s="163"/>
      <c r="H911" s="163"/>
      <c r="I911" s="163"/>
      <c r="J911" s="163"/>
      <c r="K911" s="163"/>
      <c r="L911" s="162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</row>
    <row r="912">
      <c r="A912" s="163"/>
      <c r="B912" s="163"/>
      <c r="C912" s="163"/>
      <c r="D912" s="163"/>
      <c r="E912" s="163"/>
      <c r="F912" s="162"/>
      <c r="G912" s="163"/>
      <c r="H912" s="163"/>
      <c r="I912" s="163"/>
      <c r="J912" s="163"/>
      <c r="K912" s="163"/>
      <c r="L912" s="162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</row>
    <row r="913">
      <c r="A913" s="163"/>
      <c r="B913" s="163"/>
      <c r="C913" s="163"/>
      <c r="D913" s="163"/>
      <c r="E913" s="163"/>
      <c r="F913" s="162"/>
      <c r="G913" s="163"/>
      <c r="H913" s="163"/>
      <c r="I913" s="163"/>
      <c r="J913" s="163"/>
      <c r="K913" s="163"/>
      <c r="L913" s="162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</row>
    <row r="914">
      <c r="A914" s="163"/>
      <c r="B914" s="163"/>
      <c r="C914" s="163"/>
      <c r="D914" s="163"/>
      <c r="E914" s="163"/>
      <c r="F914" s="162"/>
      <c r="G914" s="163"/>
      <c r="H914" s="163"/>
      <c r="I914" s="163"/>
      <c r="J914" s="163"/>
      <c r="K914" s="163"/>
      <c r="L914" s="162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</row>
    <row r="915">
      <c r="A915" s="163"/>
      <c r="B915" s="163"/>
      <c r="C915" s="163"/>
      <c r="D915" s="163"/>
      <c r="E915" s="163"/>
      <c r="F915" s="162"/>
      <c r="G915" s="163"/>
      <c r="H915" s="163"/>
      <c r="I915" s="163"/>
      <c r="J915" s="163"/>
      <c r="K915" s="163"/>
      <c r="L915" s="162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</row>
    <row r="916">
      <c r="A916" s="163"/>
      <c r="B916" s="163"/>
      <c r="C916" s="163"/>
      <c r="D916" s="163"/>
      <c r="E916" s="163"/>
      <c r="F916" s="162"/>
      <c r="G916" s="163"/>
      <c r="H916" s="163"/>
      <c r="I916" s="163"/>
      <c r="J916" s="163"/>
      <c r="K916" s="163"/>
      <c r="L916" s="162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</row>
    <row r="917">
      <c r="A917" s="163"/>
      <c r="B917" s="163"/>
      <c r="C917" s="163"/>
      <c r="D917" s="163"/>
      <c r="E917" s="163"/>
      <c r="F917" s="162"/>
      <c r="G917" s="163"/>
      <c r="H917" s="163"/>
      <c r="I917" s="163"/>
      <c r="J917" s="163"/>
      <c r="K917" s="163"/>
      <c r="L917" s="162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</row>
    <row r="918">
      <c r="A918" s="163"/>
      <c r="B918" s="163"/>
      <c r="C918" s="163"/>
      <c r="D918" s="163"/>
      <c r="E918" s="163"/>
      <c r="F918" s="162"/>
      <c r="G918" s="163"/>
      <c r="H918" s="163"/>
      <c r="I918" s="163"/>
      <c r="J918" s="163"/>
      <c r="K918" s="163"/>
      <c r="L918" s="162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</row>
    <row r="919">
      <c r="A919" s="163"/>
      <c r="B919" s="163"/>
      <c r="C919" s="163"/>
      <c r="D919" s="163"/>
      <c r="E919" s="163"/>
      <c r="F919" s="162"/>
      <c r="G919" s="163"/>
      <c r="H919" s="163"/>
      <c r="I919" s="163"/>
      <c r="J919" s="163"/>
      <c r="K919" s="163"/>
      <c r="L919" s="162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</row>
    <row r="920">
      <c r="A920" s="163"/>
      <c r="B920" s="163"/>
      <c r="C920" s="163"/>
      <c r="D920" s="163"/>
      <c r="E920" s="163"/>
      <c r="F920" s="162"/>
      <c r="G920" s="163"/>
      <c r="H920" s="163"/>
      <c r="I920" s="163"/>
      <c r="J920" s="163"/>
      <c r="K920" s="163"/>
      <c r="L920" s="162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</row>
    <row r="921">
      <c r="A921" s="163"/>
      <c r="B921" s="163"/>
      <c r="C921" s="163"/>
      <c r="D921" s="163"/>
      <c r="E921" s="163"/>
      <c r="F921" s="162"/>
      <c r="G921" s="163"/>
      <c r="H921" s="163"/>
      <c r="I921" s="163"/>
      <c r="J921" s="163"/>
      <c r="K921" s="163"/>
      <c r="L921" s="162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</row>
    <row r="922">
      <c r="A922" s="163"/>
      <c r="B922" s="163"/>
      <c r="C922" s="163"/>
      <c r="D922" s="163"/>
      <c r="E922" s="163"/>
      <c r="F922" s="162"/>
      <c r="G922" s="163"/>
      <c r="H922" s="163"/>
      <c r="I922" s="163"/>
      <c r="J922" s="163"/>
      <c r="K922" s="163"/>
      <c r="L922" s="162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</row>
    <row r="923">
      <c r="A923" s="163"/>
      <c r="B923" s="163"/>
      <c r="C923" s="163"/>
      <c r="D923" s="163"/>
      <c r="E923" s="163"/>
      <c r="F923" s="162"/>
      <c r="G923" s="163"/>
      <c r="H923" s="163"/>
      <c r="I923" s="163"/>
      <c r="J923" s="163"/>
      <c r="K923" s="163"/>
      <c r="L923" s="162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</row>
    <row r="924">
      <c r="A924" s="163"/>
      <c r="B924" s="163"/>
      <c r="C924" s="163"/>
      <c r="D924" s="163"/>
      <c r="E924" s="163"/>
      <c r="F924" s="162"/>
      <c r="G924" s="163"/>
      <c r="H924" s="163"/>
      <c r="I924" s="163"/>
      <c r="J924" s="163"/>
      <c r="K924" s="163"/>
      <c r="L924" s="162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</row>
    <row r="925">
      <c r="A925" s="163"/>
      <c r="B925" s="163"/>
      <c r="C925" s="163"/>
      <c r="D925" s="163"/>
      <c r="E925" s="163"/>
      <c r="F925" s="162"/>
      <c r="G925" s="163"/>
      <c r="H925" s="163"/>
      <c r="I925" s="163"/>
      <c r="J925" s="163"/>
      <c r="K925" s="163"/>
      <c r="L925" s="162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</row>
    <row r="926">
      <c r="A926" s="163"/>
      <c r="B926" s="163"/>
      <c r="C926" s="163"/>
      <c r="D926" s="163"/>
      <c r="E926" s="163"/>
      <c r="F926" s="162"/>
      <c r="G926" s="163"/>
      <c r="H926" s="163"/>
      <c r="I926" s="163"/>
      <c r="J926" s="163"/>
      <c r="K926" s="163"/>
      <c r="L926" s="162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</row>
    <row r="927">
      <c r="A927" s="163"/>
      <c r="B927" s="163"/>
      <c r="C927" s="163"/>
      <c r="D927" s="163"/>
      <c r="E927" s="163"/>
      <c r="F927" s="162"/>
      <c r="G927" s="163"/>
      <c r="H927" s="163"/>
      <c r="I927" s="163"/>
      <c r="J927" s="163"/>
      <c r="K927" s="163"/>
      <c r="L927" s="162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</row>
    <row r="928">
      <c r="A928" s="163"/>
      <c r="B928" s="163"/>
      <c r="C928" s="163"/>
      <c r="D928" s="163"/>
      <c r="E928" s="163"/>
      <c r="F928" s="162"/>
      <c r="G928" s="163"/>
      <c r="H928" s="163"/>
      <c r="I928" s="163"/>
      <c r="J928" s="163"/>
      <c r="K928" s="163"/>
      <c r="L928" s="162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</row>
    <row r="929">
      <c r="A929" s="163"/>
      <c r="B929" s="163"/>
      <c r="C929" s="163"/>
      <c r="D929" s="163"/>
      <c r="E929" s="163"/>
      <c r="F929" s="162"/>
      <c r="G929" s="163"/>
      <c r="H929" s="163"/>
      <c r="I929" s="163"/>
      <c r="J929" s="163"/>
      <c r="K929" s="163"/>
      <c r="L929" s="162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</row>
    <row r="930">
      <c r="A930" s="163"/>
      <c r="B930" s="163"/>
      <c r="C930" s="163"/>
      <c r="D930" s="163"/>
      <c r="E930" s="163"/>
      <c r="F930" s="162"/>
      <c r="G930" s="163"/>
      <c r="H930" s="163"/>
      <c r="I930" s="163"/>
      <c r="J930" s="163"/>
      <c r="K930" s="163"/>
      <c r="L930" s="162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</row>
    <row r="931">
      <c r="A931" s="163"/>
      <c r="B931" s="163"/>
      <c r="C931" s="163"/>
      <c r="D931" s="163"/>
      <c r="E931" s="163"/>
      <c r="F931" s="162"/>
      <c r="G931" s="163"/>
      <c r="H931" s="163"/>
      <c r="I931" s="163"/>
      <c r="J931" s="163"/>
      <c r="K931" s="163"/>
      <c r="L931" s="162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</row>
    <row r="932">
      <c r="A932" s="163"/>
      <c r="B932" s="163"/>
      <c r="C932" s="163"/>
      <c r="D932" s="163"/>
      <c r="E932" s="163"/>
      <c r="F932" s="162"/>
      <c r="G932" s="163"/>
      <c r="H932" s="163"/>
      <c r="I932" s="163"/>
      <c r="J932" s="163"/>
      <c r="K932" s="163"/>
      <c r="L932" s="162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</row>
    <row r="933">
      <c r="A933" s="163"/>
      <c r="B933" s="163"/>
      <c r="C933" s="163"/>
      <c r="D933" s="163"/>
      <c r="E933" s="163"/>
      <c r="F933" s="162"/>
      <c r="G933" s="163"/>
      <c r="H933" s="163"/>
      <c r="I933" s="163"/>
      <c r="J933" s="163"/>
      <c r="K933" s="163"/>
      <c r="L933" s="162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</row>
    <row r="934">
      <c r="A934" s="163"/>
      <c r="B934" s="163"/>
      <c r="C934" s="163"/>
      <c r="D934" s="163"/>
      <c r="E934" s="163"/>
      <c r="F934" s="162"/>
      <c r="G934" s="163"/>
      <c r="H934" s="163"/>
      <c r="I934" s="163"/>
      <c r="J934" s="163"/>
      <c r="K934" s="163"/>
      <c r="L934" s="162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</row>
    <row r="935">
      <c r="A935" s="163"/>
      <c r="B935" s="163"/>
      <c r="C935" s="163"/>
      <c r="D935" s="163"/>
      <c r="E935" s="163"/>
      <c r="F935" s="162"/>
      <c r="G935" s="163"/>
      <c r="H935" s="163"/>
      <c r="I935" s="163"/>
      <c r="J935" s="163"/>
      <c r="K935" s="163"/>
      <c r="L935" s="162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</row>
    <row r="936">
      <c r="A936" s="163"/>
      <c r="B936" s="163"/>
      <c r="C936" s="163"/>
      <c r="D936" s="163"/>
      <c r="E936" s="163"/>
      <c r="F936" s="162"/>
      <c r="G936" s="163"/>
      <c r="H936" s="163"/>
      <c r="I936" s="163"/>
      <c r="J936" s="163"/>
      <c r="K936" s="163"/>
      <c r="L936" s="162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</row>
    <row r="937">
      <c r="A937" s="163"/>
      <c r="B937" s="163"/>
      <c r="C937" s="163"/>
      <c r="D937" s="163"/>
      <c r="E937" s="163"/>
      <c r="F937" s="162"/>
      <c r="G937" s="163"/>
      <c r="H937" s="163"/>
      <c r="I937" s="163"/>
      <c r="J937" s="163"/>
      <c r="K937" s="163"/>
      <c r="L937" s="162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</row>
    <row r="938">
      <c r="A938" s="163"/>
      <c r="B938" s="163"/>
      <c r="C938" s="163"/>
      <c r="D938" s="163"/>
      <c r="E938" s="163"/>
      <c r="F938" s="162"/>
      <c r="G938" s="163"/>
      <c r="H938" s="163"/>
      <c r="I938" s="163"/>
      <c r="J938" s="163"/>
      <c r="K938" s="163"/>
      <c r="L938" s="162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</row>
    <row r="939">
      <c r="A939" s="163"/>
      <c r="B939" s="163"/>
      <c r="C939" s="163"/>
      <c r="D939" s="163"/>
      <c r="E939" s="163"/>
      <c r="F939" s="162"/>
      <c r="G939" s="163"/>
      <c r="H939" s="163"/>
      <c r="I939" s="163"/>
      <c r="J939" s="163"/>
      <c r="K939" s="163"/>
      <c r="L939" s="162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</row>
    <row r="940">
      <c r="A940" s="163"/>
      <c r="B940" s="163"/>
      <c r="C940" s="163"/>
      <c r="D940" s="163"/>
      <c r="E940" s="163"/>
      <c r="F940" s="162"/>
      <c r="G940" s="163"/>
      <c r="H940" s="163"/>
      <c r="I940" s="163"/>
      <c r="J940" s="163"/>
      <c r="K940" s="163"/>
      <c r="L940" s="162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</row>
    <row r="941">
      <c r="A941" s="163"/>
      <c r="B941" s="163"/>
      <c r="C941" s="163"/>
      <c r="D941" s="163"/>
      <c r="E941" s="163"/>
      <c r="F941" s="162"/>
      <c r="G941" s="163"/>
      <c r="H941" s="163"/>
      <c r="I941" s="163"/>
      <c r="J941" s="163"/>
      <c r="K941" s="163"/>
      <c r="L941" s="162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</row>
    <row r="942">
      <c r="A942" s="163"/>
      <c r="B942" s="163"/>
      <c r="C942" s="163"/>
      <c r="D942" s="163"/>
      <c r="E942" s="163"/>
      <c r="F942" s="162"/>
      <c r="G942" s="163"/>
      <c r="H942" s="163"/>
      <c r="I942" s="163"/>
      <c r="J942" s="163"/>
      <c r="K942" s="163"/>
      <c r="L942" s="162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</row>
    <row r="943">
      <c r="A943" s="163"/>
      <c r="B943" s="163"/>
      <c r="C943" s="163"/>
      <c r="D943" s="163"/>
      <c r="E943" s="163"/>
      <c r="F943" s="162"/>
      <c r="G943" s="163"/>
      <c r="H943" s="163"/>
      <c r="I943" s="163"/>
      <c r="J943" s="163"/>
      <c r="K943" s="163"/>
      <c r="L943" s="162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</row>
    <row r="944">
      <c r="A944" s="163"/>
      <c r="B944" s="163"/>
      <c r="C944" s="163"/>
      <c r="D944" s="163"/>
      <c r="E944" s="163"/>
      <c r="F944" s="162"/>
      <c r="G944" s="163"/>
      <c r="H944" s="163"/>
      <c r="I944" s="163"/>
      <c r="J944" s="163"/>
      <c r="K944" s="163"/>
      <c r="L944" s="162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</row>
    <row r="945">
      <c r="A945" s="163"/>
      <c r="B945" s="163"/>
      <c r="C945" s="163"/>
      <c r="D945" s="163"/>
      <c r="E945" s="163"/>
      <c r="F945" s="162"/>
      <c r="G945" s="163"/>
      <c r="H945" s="163"/>
      <c r="I945" s="163"/>
      <c r="J945" s="163"/>
      <c r="K945" s="163"/>
      <c r="L945" s="162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</row>
    <row r="946">
      <c r="A946" s="163"/>
      <c r="B946" s="163"/>
      <c r="C946" s="163"/>
      <c r="D946" s="163"/>
      <c r="E946" s="163"/>
      <c r="F946" s="162"/>
      <c r="G946" s="163"/>
      <c r="H946" s="163"/>
      <c r="I946" s="163"/>
      <c r="J946" s="163"/>
      <c r="K946" s="163"/>
      <c r="L946" s="162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</row>
    <row r="947">
      <c r="A947" s="163"/>
      <c r="B947" s="163"/>
      <c r="C947" s="163"/>
      <c r="D947" s="163"/>
      <c r="E947" s="163"/>
      <c r="F947" s="162"/>
      <c r="G947" s="163"/>
      <c r="H947" s="163"/>
      <c r="I947" s="163"/>
      <c r="J947" s="163"/>
      <c r="K947" s="163"/>
      <c r="L947" s="162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</row>
    <row r="948">
      <c r="A948" s="163"/>
      <c r="B948" s="163"/>
      <c r="C948" s="163"/>
      <c r="D948" s="163"/>
      <c r="E948" s="163"/>
      <c r="F948" s="162"/>
      <c r="G948" s="163"/>
      <c r="H948" s="163"/>
      <c r="I948" s="163"/>
      <c r="J948" s="163"/>
      <c r="K948" s="163"/>
      <c r="L948" s="162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</row>
    <row r="949">
      <c r="A949" s="163"/>
      <c r="B949" s="163"/>
      <c r="C949" s="163"/>
      <c r="D949" s="163"/>
      <c r="E949" s="163"/>
      <c r="F949" s="162"/>
      <c r="G949" s="163"/>
      <c r="H949" s="163"/>
      <c r="I949" s="163"/>
      <c r="J949" s="163"/>
      <c r="K949" s="163"/>
      <c r="L949" s="162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</row>
    <row r="950">
      <c r="A950" s="163"/>
      <c r="B950" s="163"/>
      <c r="C950" s="163"/>
      <c r="D950" s="163"/>
      <c r="E950" s="163"/>
      <c r="F950" s="162"/>
      <c r="G950" s="163"/>
      <c r="H950" s="163"/>
      <c r="I950" s="163"/>
      <c r="J950" s="163"/>
      <c r="K950" s="163"/>
      <c r="L950" s="162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</row>
    <row r="951">
      <c r="A951" s="163"/>
      <c r="B951" s="163"/>
      <c r="C951" s="163"/>
      <c r="D951" s="163"/>
      <c r="E951" s="163"/>
      <c r="F951" s="162"/>
      <c r="G951" s="163"/>
      <c r="H951" s="163"/>
      <c r="I951" s="163"/>
      <c r="J951" s="163"/>
      <c r="K951" s="163"/>
      <c r="L951" s="162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</row>
    <row r="952">
      <c r="A952" s="163"/>
      <c r="B952" s="163"/>
      <c r="C952" s="163"/>
      <c r="D952" s="163"/>
      <c r="E952" s="163"/>
      <c r="F952" s="162"/>
      <c r="G952" s="163"/>
      <c r="H952" s="163"/>
      <c r="I952" s="163"/>
      <c r="J952" s="163"/>
      <c r="K952" s="163"/>
      <c r="L952" s="162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</row>
    <row r="953">
      <c r="A953" s="163"/>
      <c r="B953" s="163"/>
      <c r="C953" s="163"/>
      <c r="D953" s="163"/>
      <c r="E953" s="163"/>
      <c r="F953" s="162"/>
      <c r="G953" s="163"/>
      <c r="H953" s="163"/>
      <c r="I953" s="163"/>
      <c r="J953" s="163"/>
      <c r="K953" s="163"/>
      <c r="L953" s="162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</row>
    <row r="954">
      <c r="A954" s="163"/>
      <c r="B954" s="163"/>
      <c r="C954" s="163"/>
      <c r="D954" s="163"/>
      <c r="E954" s="163"/>
      <c r="F954" s="162"/>
      <c r="G954" s="163"/>
      <c r="H954" s="163"/>
      <c r="I954" s="163"/>
      <c r="J954" s="163"/>
      <c r="K954" s="163"/>
      <c r="L954" s="162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</row>
    <row r="955">
      <c r="A955" s="163"/>
      <c r="B955" s="163"/>
      <c r="C955" s="163"/>
      <c r="D955" s="163"/>
      <c r="E955" s="163"/>
      <c r="F955" s="162"/>
      <c r="G955" s="163"/>
      <c r="H955" s="163"/>
      <c r="I955" s="163"/>
      <c r="J955" s="163"/>
      <c r="K955" s="163"/>
      <c r="L955" s="162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</row>
    <row r="956">
      <c r="A956" s="163"/>
      <c r="B956" s="163"/>
      <c r="C956" s="163"/>
      <c r="D956" s="163"/>
      <c r="E956" s="163"/>
      <c r="F956" s="162"/>
      <c r="G956" s="163"/>
      <c r="H956" s="163"/>
      <c r="I956" s="163"/>
      <c r="J956" s="163"/>
      <c r="K956" s="163"/>
      <c r="L956" s="162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</row>
    <row r="957">
      <c r="A957" s="163"/>
      <c r="B957" s="163"/>
      <c r="C957" s="163"/>
      <c r="D957" s="163"/>
      <c r="E957" s="163"/>
      <c r="F957" s="162"/>
      <c r="G957" s="163"/>
      <c r="H957" s="163"/>
      <c r="I957" s="163"/>
      <c r="J957" s="163"/>
      <c r="K957" s="163"/>
      <c r="L957" s="162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</row>
    <row r="958">
      <c r="A958" s="163"/>
      <c r="B958" s="163"/>
      <c r="C958" s="163"/>
      <c r="D958" s="163"/>
      <c r="E958" s="163"/>
      <c r="F958" s="162"/>
      <c r="G958" s="163"/>
      <c r="H958" s="163"/>
      <c r="I958" s="163"/>
      <c r="J958" s="163"/>
      <c r="K958" s="163"/>
      <c r="L958" s="162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</row>
    <row r="959">
      <c r="A959" s="163"/>
      <c r="B959" s="163"/>
      <c r="C959" s="163"/>
      <c r="D959" s="163"/>
      <c r="E959" s="163"/>
      <c r="F959" s="162"/>
      <c r="G959" s="163"/>
      <c r="H959" s="163"/>
      <c r="I959" s="163"/>
      <c r="J959" s="163"/>
      <c r="K959" s="163"/>
      <c r="L959" s="162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</row>
    <row r="960">
      <c r="A960" s="163"/>
      <c r="B960" s="163"/>
      <c r="C960" s="163"/>
      <c r="D960" s="163"/>
      <c r="E960" s="163"/>
      <c r="F960" s="162"/>
      <c r="G960" s="163"/>
      <c r="H960" s="163"/>
      <c r="I960" s="163"/>
      <c r="J960" s="163"/>
      <c r="K960" s="163"/>
      <c r="L960" s="162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</row>
    <row r="961">
      <c r="A961" s="163"/>
      <c r="B961" s="163"/>
      <c r="C961" s="163"/>
      <c r="D961" s="163"/>
      <c r="E961" s="163"/>
      <c r="F961" s="162"/>
      <c r="G961" s="163"/>
      <c r="H961" s="163"/>
      <c r="I961" s="163"/>
      <c r="J961" s="163"/>
      <c r="K961" s="163"/>
      <c r="L961" s="162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</row>
    <row r="962">
      <c r="A962" s="163"/>
      <c r="B962" s="163"/>
      <c r="C962" s="163"/>
      <c r="D962" s="163"/>
      <c r="E962" s="163"/>
      <c r="F962" s="162"/>
      <c r="G962" s="163"/>
      <c r="H962" s="163"/>
      <c r="I962" s="163"/>
      <c r="J962" s="163"/>
      <c r="K962" s="163"/>
      <c r="L962" s="162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</row>
    <row r="963">
      <c r="A963" s="163"/>
      <c r="B963" s="163"/>
      <c r="C963" s="163"/>
      <c r="D963" s="163"/>
      <c r="E963" s="163"/>
      <c r="F963" s="162"/>
      <c r="G963" s="163"/>
      <c r="H963" s="163"/>
      <c r="I963" s="163"/>
      <c r="J963" s="163"/>
      <c r="K963" s="163"/>
      <c r="L963" s="162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</row>
    <row r="964">
      <c r="A964" s="163"/>
      <c r="B964" s="163"/>
      <c r="C964" s="163"/>
      <c r="D964" s="163"/>
      <c r="E964" s="163"/>
      <c r="F964" s="162"/>
      <c r="G964" s="163"/>
      <c r="H964" s="163"/>
      <c r="I964" s="163"/>
      <c r="J964" s="163"/>
      <c r="K964" s="163"/>
      <c r="L964" s="162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</row>
    <row r="965">
      <c r="A965" s="163"/>
      <c r="B965" s="163"/>
      <c r="C965" s="163"/>
      <c r="D965" s="163"/>
      <c r="E965" s="163"/>
      <c r="F965" s="162"/>
      <c r="G965" s="163"/>
      <c r="H965" s="163"/>
      <c r="I965" s="163"/>
      <c r="J965" s="163"/>
      <c r="K965" s="163"/>
      <c r="L965" s="162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</row>
    <row r="966">
      <c r="A966" s="163"/>
      <c r="B966" s="163"/>
      <c r="C966" s="163"/>
      <c r="D966" s="163"/>
      <c r="E966" s="163"/>
      <c r="F966" s="162"/>
      <c r="G966" s="163"/>
      <c r="H966" s="163"/>
      <c r="I966" s="163"/>
      <c r="J966" s="163"/>
      <c r="K966" s="163"/>
      <c r="L966" s="162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</row>
    <row r="967">
      <c r="A967" s="163"/>
      <c r="B967" s="163"/>
      <c r="C967" s="163"/>
      <c r="D967" s="163"/>
      <c r="E967" s="163"/>
      <c r="F967" s="162"/>
      <c r="G967" s="163"/>
      <c r="H967" s="163"/>
      <c r="I967" s="163"/>
      <c r="J967" s="163"/>
      <c r="K967" s="163"/>
      <c r="L967" s="162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</row>
    <row r="968">
      <c r="A968" s="163"/>
      <c r="B968" s="163"/>
      <c r="C968" s="163"/>
      <c r="D968" s="163"/>
      <c r="E968" s="163"/>
      <c r="F968" s="162"/>
      <c r="G968" s="163"/>
      <c r="H968" s="163"/>
      <c r="I968" s="163"/>
      <c r="J968" s="163"/>
      <c r="K968" s="163"/>
      <c r="L968" s="162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</row>
    <row r="969">
      <c r="A969" s="163"/>
      <c r="B969" s="163"/>
      <c r="C969" s="163"/>
      <c r="D969" s="163"/>
      <c r="E969" s="163"/>
      <c r="F969" s="162"/>
      <c r="G969" s="163"/>
      <c r="H969" s="163"/>
      <c r="I969" s="163"/>
      <c r="J969" s="163"/>
      <c r="K969" s="163"/>
      <c r="L969" s="162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</row>
    <row r="970">
      <c r="A970" s="163"/>
      <c r="B970" s="163"/>
      <c r="C970" s="163"/>
      <c r="D970" s="163"/>
      <c r="E970" s="163"/>
      <c r="F970" s="162"/>
      <c r="G970" s="163"/>
      <c r="H970" s="163"/>
      <c r="I970" s="163"/>
      <c r="J970" s="163"/>
      <c r="K970" s="163"/>
      <c r="L970" s="162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</row>
    <row r="971">
      <c r="A971" s="163"/>
      <c r="B971" s="163"/>
      <c r="C971" s="163"/>
      <c r="D971" s="163"/>
      <c r="E971" s="163"/>
      <c r="F971" s="162"/>
      <c r="G971" s="163"/>
      <c r="H971" s="163"/>
      <c r="I971" s="163"/>
      <c r="J971" s="163"/>
      <c r="K971" s="163"/>
      <c r="L971" s="162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</row>
    <row r="972">
      <c r="A972" s="163"/>
      <c r="B972" s="163"/>
      <c r="C972" s="163"/>
      <c r="D972" s="163"/>
      <c r="E972" s="163"/>
      <c r="F972" s="162"/>
      <c r="G972" s="163"/>
      <c r="H972" s="163"/>
      <c r="I972" s="163"/>
      <c r="J972" s="163"/>
      <c r="K972" s="163"/>
      <c r="L972" s="162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</row>
    <row r="973">
      <c r="A973" s="163"/>
      <c r="B973" s="163"/>
      <c r="C973" s="163"/>
      <c r="D973" s="163"/>
      <c r="E973" s="163"/>
      <c r="F973" s="162"/>
      <c r="G973" s="163"/>
      <c r="H973" s="163"/>
      <c r="I973" s="163"/>
      <c r="J973" s="163"/>
      <c r="K973" s="163"/>
      <c r="L973" s="162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</row>
    <row r="974">
      <c r="A974" s="163"/>
      <c r="B974" s="163"/>
      <c r="C974" s="163"/>
      <c r="D974" s="163"/>
      <c r="E974" s="163"/>
      <c r="F974" s="162"/>
      <c r="G974" s="163"/>
      <c r="H974" s="163"/>
      <c r="I974" s="163"/>
      <c r="J974" s="163"/>
      <c r="K974" s="163"/>
      <c r="L974" s="162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</row>
    <row r="975">
      <c r="A975" s="163"/>
      <c r="B975" s="163"/>
      <c r="C975" s="163"/>
      <c r="D975" s="163"/>
      <c r="E975" s="163"/>
      <c r="F975" s="162"/>
      <c r="G975" s="163"/>
      <c r="H975" s="163"/>
      <c r="I975" s="163"/>
      <c r="J975" s="163"/>
      <c r="K975" s="163"/>
      <c r="L975" s="162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</row>
    <row r="976">
      <c r="A976" s="163"/>
      <c r="B976" s="163"/>
      <c r="C976" s="163"/>
      <c r="D976" s="163"/>
      <c r="E976" s="163"/>
      <c r="F976" s="162"/>
      <c r="G976" s="163"/>
      <c r="H976" s="163"/>
      <c r="I976" s="163"/>
      <c r="J976" s="163"/>
      <c r="K976" s="163"/>
      <c r="L976" s="162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</row>
    <row r="977">
      <c r="A977" s="163"/>
      <c r="B977" s="163"/>
      <c r="C977" s="163"/>
      <c r="D977" s="163"/>
      <c r="E977" s="163"/>
      <c r="F977" s="162"/>
      <c r="G977" s="163"/>
      <c r="H977" s="163"/>
      <c r="I977" s="163"/>
      <c r="J977" s="163"/>
      <c r="K977" s="163"/>
      <c r="L977" s="162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</row>
    <row r="978">
      <c r="A978" s="163"/>
      <c r="B978" s="163"/>
      <c r="C978" s="163"/>
      <c r="D978" s="163"/>
      <c r="E978" s="163"/>
      <c r="F978" s="162"/>
      <c r="G978" s="163"/>
      <c r="H978" s="163"/>
      <c r="I978" s="163"/>
      <c r="J978" s="163"/>
      <c r="K978" s="163"/>
      <c r="L978" s="162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</row>
    <row r="979">
      <c r="A979" s="163"/>
      <c r="B979" s="163"/>
      <c r="C979" s="163"/>
      <c r="D979" s="163"/>
      <c r="E979" s="163"/>
      <c r="F979" s="162"/>
      <c r="G979" s="163"/>
      <c r="H979" s="163"/>
      <c r="I979" s="163"/>
      <c r="J979" s="163"/>
      <c r="K979" s="163"/>
      <c r="L979" s="162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</row>
    <row r="980">
      <c r="A980" s="163"/>
      <c r="B980" s="163"/>
      <c r="C980" s="163"/>
      <c r="D980" s="163"/>
      <c r="E980" s="163"/>
      <c r="F980" s="162"/>
      <c r="G980" s="163"/>
      <c r="H980" s="163"/>
      <c r="I980" s="163"/>
      <c r="J980" s="163"/>
      <c r="K980" s="163"/>
      <c r="L980" s="162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</row>
    <row r="981">
      <c r="A981" s="163"/>
      <c r="B981" s="163"/>
      <c r="C981" s="163"/>
      <c r="D981" s="163"/>
      <c r="E981" s="163"/>
      <c r="F981" s="162"/>
      <c r="G981" s="163"/>
      <c r="H981" s="163"/>
      <c r="I981" s="163"/>
      <c r="J981" s="163"/>
      <c r="K981" s="163"/>
      <c r="L981" s="162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</row>
    <row r="982">
      <c r="A982" s="163"/>
      <c r="B982" s="163"/>
      <c r="C982" s="163"/>
      <c r="D982" s="163"/>
      <c r="E982" s="163"/>
      <c r="F982" s="162"/>
      <c r="G982" s="163"/>
      <c r="H982" s="163"/>
      <c r="I982" s="163"/>
      <c r="J982" s="163"/>
      <c r="K982" s="163"/>
      <c r="L982" s="162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</row>
    <row r="983">
      <c r="A983" s="163"/>
      <c r="B983" s="163"/>
      <c r="C983" s="163"/>
      <c r="D983" s="163"/>
      <c r="E983" s="163"/>
      <c r="F983" s="162"/>
      <c r="G983" s="163"/>
      <c r="H983" s="163"/>
      <c r="I983" s="163"/>
      <c r="J983" s="163"/>
      <c r="K983" s="163"/>
      <c r="L983" s="162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</row>
    <row r="984">
      <c r="A984" s="163"/>
      <c r="B984" s="163"/>
      <c r="C984" s="163"/>
      <c r="D984" s="163"/>
      <c r="E984" s="163"/>
      <c r="F984" s="162"/>
      <c r="G984" s="163"/>
      <c r="H984" s="163"/>
      <c r="I984" s="163"/>
      <c r="J984" s="163"/>
      <c r="K984" s="163"/>
      <c r="L984" s="162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</row>
    <row r="985">
      <c r="A985" s="163"/>
      <c r="B985" s="163"/>
      <c r="C985" s="163"/>
      <c r="D985" s="163"/>
      <c r="E985" s="163"/>
      <c r="F985" s="162"/>
      <c r="G985" s="163"/>
      <c r="H985" s="163"/>
      <c r="I985" s="163"/>
      <c r="J985" s="163"/>
      <c r="K985" s="163"/>
      <c r="L985" s="162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</row>
    <row r="986">
      <c r="A986" s="163"/>
      <c r="B986" s="163"/>
      <c r="C986" s="163"/>
      <c r="D986" s="163"/>
      <c r="E986" s="163"/>
      <c r="F986" s="162"/>
      <c r="G986" s="163"/>
      <c r="H986" s="163"/>
      <c r="I986" s="163"/>
      <c r="J986" s="163"/>
      <c r="K986" s="163"/>
      <c r="L986" s="162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</row>
    <row r="987">
      <c r="A987" s="163"/>
      <c r="B987" s="163"/>
      <c r="C987" s="163"/>
      <c r="D987" s="163"/>
      <c r="E987" s="163"/>
      <c r="F987" s="162"/>
      <c r="G987" s="163"/>
      <c r="H987" s="163"/>
      <c r="I987" s="163"/>
      <c r="J987" s="163"/>
      <c r="K987" s="163"/>
      <c r="L987" s="162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</row>
    <row r="988">
      <c r="A988" s="163"/>
      <c r="B988" s="163"/>
      <c r="C988" s="163"/>
      <c r="D988" s="163"/>
      <c r="E988" s="163"/>
      <c r="F988" s="162"/>
      <c r="G988" s="163"/>
      <c r="H988" s="163"/>
      <c r="I988" s="163"/>
      <c r="J988" s="163"/>
      <c r="K988" s="163"/>
      <c r="L988" s="162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</row>
    <row r="989">
      <c r="A989" s="163"/>
      <c r="B989" s="163"/>
      <c r="C989" s="163"/>
      <c r="D989" s="163"/>
      <c r="E989" s="163"/>
      <c r="F989" s="162"/>
      <c r="G989" s="163"/>
      <c r="H989" s="163"/>
      <c r="I989" s="163"/>
      <c r="J989" s="163"/>
      <c r="K989" s="163"/>
      <c r="L989" s="162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</row>
    <row r="990">
      <c r="A990" s="163"/>
      <c r="B990" s="163"/>
      <c r="C990" s="163"/>
      <c r="D990" s="163"/>
      <c r="E990" s="163"/>
      <c r="F990" s="162"/>
      <c r="G990" s="163"/>
      <c r="H990" s="163"/>
      <c r="I990" s="163"/>
      <c r="J990" s="163"/>
      <c r="K990" s="163"/>
      <c r="L990" s="162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</row>
    <row r="991">
      <c r="A991" s="163"/>
      <c r="B991" s="163"/>
      <c r="C991" s="163"/>
      <c r="D991" s="163"/>
      <c r="E991" s="163"/>
      <c r="F991" s="162"/>
      <c r="G991" s="163"/>
      <c r="H991" s="163"/>
      <c r="I991" s="163"/>
      <c r="J991" s="163"/>
      <c r="K991" s="163"/>
      <c r="L991" s="162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</row>
    <row r="992">
      <c r="A992" s="163"/>
      <c r="B992" s="163"/>
      <c r="C992" s="163"/>
      <c r="D992" s="163"/>
      <c r="E992" s="163"/>
      <c r="F992" s="162"/>
      <c r="G992" s="163"/>
      <c r="H992" s="163"/>
      <c r="I992" s="163"/>
      <c r="J992" s="163"/>
      <c r="K992" s="163"/>
      <c r="L992" s="162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</row>
    <row r="993">
      <c r="A993" s="163"/>
      <c r="B993" s="163"/>
      <c r="C993" s="163"/>
      <c r="D993" s="163"/>
      <c r="E993" s="163"/>
      <c r="F993" s="162"/>
      <c r="G993" s="163"/>
      <c r="H993" s="163"/>
      <c r="I993" s="163"/>
      <c r="J993" s="163"/>
      <c r="K993" s="163"/>
      <c r="L993" s="162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</row>
    <row r="994">
      <c r="A994" s="163"/>
      <c r="B994" s="163"/>
      <c r="C994" s="163"/>
      <c r="D994" s="163"/>
      <c r="E994" s="163"/>
      <c r="F994" s="162"/>
      <c r="G994" s="163"/>
      <c r="H994" s="163"/>
      <c r="I994" s="163"/>
      <c r="J994" s="163"/>
      <c r="K994" s="163"/>
      <c r="L994" s="162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</row>
    <row r="995">
      <c r="A995" s="163"/>
      <c r="B995" s="163"/>
      <c r="C995" s="163"/>
      <c r="D995" s="163"/>
      <c r="E995" s="163"/>
      <c r="F995" s="162"/>
      <c r="G995" s="163"/>
      <c r="H995" s="163"/>
      <c r="I995" s="163"/>
      <c r="J995" s="163"/>
      <c r="K995" s="163"/>
      <c r="L995" s="162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</row>
    <row r="996">
      <c r="A996" s="163"/>
      <c r="B996" s="163"/>
      <c r="C996" s="163"/>
      <c r="D996" s="163"/>
      <c r="E996" s="163"/>
      <c r="F996" s="162"/>
      <c r="G996" s="163"/>
      <c r="H996" s="163"/>
      <c r="I996" s="163"/>
      <c r="J996" s="163"/>
      <c r="K996" s="163"/>
      <c r="L996" s="162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</row>
    <row r="997">
      <c r="A997" s="163"/>
      <c r="B997" s="163"/>
      <c r="C997" s="163"/>
      <c r="D997" s="163"/>
      <c r="E997" s="163"/>
      <c r="F997" s="162"/>
      <c r="G997" s="163"/>
      <c r="H997" s="163"/>
      <c r="I997" s="163"/>
      <c r="J997" s="163"/>
      <c r="K997" s="163"/>
      <c r="L997" s="162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</row>
    <row r="998">
      <c r="A998" s="163"/>
      <c r="B998" s="163"/>
      <c r="C998" s="163"/>
      <c r="D998" s="163"/>
      <c r="E998" s="163"/>
      <c r="F998" s="162"/>
      <c r="G998" s="163"/>
      <c r="H998" s="163"/>
      <c r="I998" s="163"/>
      <c r="J998" s="163"/>
      <c r="K998" s="163"/>
      <c r="L998" s="162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</row>
    <row r="999">
      <c r="A999" s="163"/>
      <c r="B999" s="163"/>
      <c r="C999" s="163"/>
      <c r="D999" s="163"/>
      <c r="E999" s="163"/>
      <c r="F999" s="162"/>
      <c r="G999" s="163"/>
      <c r="H999" s="163"/>
      <c r="I999" s="163"/>
      <c r="J999" s="163"/>
      <c r="K999" s="163"/>
      <c r="L999" s="162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</row>
    <row r="1000">
      <c r="A1000" s="163"/>
      <c r="B1000" s="163"/>
      <c r="C1000" s="163"/>
      <c r="D1000" s="163"/>
      <c r="E1000" s="163"/>
      <c r="F1000" s="162"/>
      <c r="G1000" s="163"/>
      <c r="H1000" s="163"/>
      <c r="I1000" s="163"/>
      <c r="J1000" s="163"/>
      <c r="K1000" s="163"/>
      <c r="L1000" s="162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</row>
  </sheetData>
  <mergeCells count="2">
    <mergeCell ref="A1:E1"/>
    <mergeCell ref="G1:K1"/>
  </mergeCells>
  <hyperlinks>
    <hyperlink r:id="rId1" ref="E4"/>
    <hyperlink r:id="rId2" ref="K4"/>
    <hyperlink r:id="rId3" ref="E5"/>
    <hyperlink r:id="rId4" ref="K5"/>
    <hyperlink r:id="rId5" ref="E6"/>
    <hyperlink r:id="rId6" ref="K6"/>
    <hyperlink r:id="rId7" ref="E7"/>
    <hyperlink r:id="rId8" ref="K7"/>
    <hyperlink r:id="rId9" ref="E8"/>
    <hyperlink r:id="rId10" ref="K8"/>
    <hyperlink r:id="rId11" ref="E9"/>
    <hyperlink r:id="rId12" ref="K9"/>
    <hyperlink r:id="rId13" ref="E10"/>
    <hyperlink r:id="rId14" ref="K10"/>
    <hyperlink r:id="rId15" ref="E11"/>
    <hyperlink r:id="rId16" ref="K11"/>
    <hyperlink r:id="rId17" ref="E12"/>
    <hyperlink r:id="rId18" ref="K12"/>
    <hyperlink r:id="rId19" ref="E13"/>
    <hyperlink r:id="rId20" ref="K13"/>
    <hyperlink r:id="rId21" ref="E14"/>
    <hyperlink r:id="rId22" ref="K14"/>
    <hyperlink r:id="rId23" ref="E15"/>
    <hyperlink r:id="rId24" ref="K15"/>
    <hyperlink r:id="rId25" ref="E16"/>
    <hyperlink r:id="rId26" ref="K16"/>
    <hyperlink r:id="rId27" ref="E17"/>
    <hyperlink r:id="rId28" ref="K17"/>
    <hyperlink r:id="rId29" ref="E18"/>
    <hyperlink r:id="rId30" ref="K18"/>
    <hyperlink r:id="rId31" ref="E19"/>
    <hyperlink r:id="rId32" ref="K19"/>
    <hyperlink r:id="rId33" ref="E20"/>
    <hyperlink r:id="rId34" ref="K20"/>
    <hyperlink r:id="rId35" ref="E21"/>
    <hyperlink r:id="rId36" ref="K21"/>
    <hyperlink r:id="rId37" ref="E22"/>
    <hyperlink r:id="rId38" ref="K22"/>
    <hyperlink r:id="rId39" ref="E23"/>
    <hyperlink r:id="rId40" ref="K23"/>
    <hyperlink r:id="rId41" ref="E24"/>
    <hyperlink r:id="rId42" ref="K24"/>
    <hyperlink r:id="rId43" ref="E25"/>
    <hyperlink r:id="rId44" ref="K25"/>
    <hyperlink r:id="rId45" ref="E26"/>
    <hyperlink r:id="rId46" ref="K26"/>
    <hyperlink r:id="rId47" ref="E27"/>
    <hyperlink r:id="rId48" ref="K27"/>
    <hyperlink r:id="rId49" ref="E28"/>
    <hyperlink r:id="rId50" ref="K28"/>
    <hyperlink r:id="rId51" ref="E29"/>
    <hyperlink r:id="rId52" ref="K29"/>
    <hyperlink r:id="rId53" ref="E30"/>
    <hyperlink r:id="rId54" ref="K30"/>
    <hyperlink r:id="rId55" ref="E31"/>
    <hyperlink r:id="rId56" ref="K31"/>
    <hyperlink r:id="rId57" ref="E32"/>
    <hyperlink r:id="rId58" ref="K32"/>
    <hyperlink r:id="rId59" ref="E33"/>
    <hyperlink r:id="rId60" ref="K33"/>
    <hyperlink r:id="rId61" ref="E34"/>
    <hyperlink r:id="rId62" ref="K34"/>
    <hyperlink r:id="rId63" ref="E35"/>
    <hyperlink r:id="rId64" ref="K35"/>
    <hyperlink r:id="rId65" ref="E36"/>
    <hyperlink r:id="rId66" ref="K36"/>
    <hyperlink r:id="rId67" ref="E37"/>
    <hyperlink r:id="rId68" ref="K37"/>
    <hyperlink r:id="rId69" ref="E38"/>
    <hyperlink r:id="rId70" ref="K38"/>
    <hyperlink r:id="rId71" ref="E39"/>
    <hyperlink r:id="rId72" ref="K39"/>
    <hyperlink r:id="rId73" ref="E40"/>
    <hyperlink r:id="rId74" ref="K40"/>
    <hyperlink r:id="rId75" ref="E41"/>
    <hyperlink r:id="rId76" ref="K41"/>
    <hyperlink r:id="rId77" ref="E42"/>
    <hyperlink r:id="rId78" ref="K42"/>
    <hyperlink r:id="rId79" ref="E43"/>
    <hyperlink r:id="rId80" ref="K43"/>
    <hyperlink r:id="rId81" ref="E44"/>
    <hyperlink r:id="rId82" ref="K44"/>
    <hyperlink r:id="rId83" ref="E45"/>
    <hyperlink r:id="rId84" ref="K45"/>
    <hyperlink r:id="rId85" ref="E46"/>
    <hyperlink r:id="rId86" ref="K46"/>
    <hyperlink r:id="rId87" ref="E47"/>
    <hyperlink r:id="rId88" ref="K47"/>
    <hyperlink r:id="rId89" ref="E48"/>
    <hyperlink r:id="rId90" ref="K48"/>
    <hyperlink r:id="rId91" ref="E49"/>
    <hyperlink r:id="rId92" ref="K49"/>
    <hyperlink r:id="rId93" ref="E50"/>
    <hyperlink r:id="rId94" ref="K50"/>
    <hyperlink r:id="rId95" ref="E51"/>
    <hyperlink r:id="rId96" ref="K51"/>
    <hyperlink r:id="rId97" ref="E52"/>
    <hyperlink r:id="rId98" ref="K52"/>
    <hyperlink r:id="rId99" ref="E53"/>
    <hyperlink r:id="rId100" ref="K53"/>
    <hyperlink r:id="rId101" ref="E54"/>
    <hyperlink r:id="rId102" ref="K54"/>
    <hyperlink r:id="rId103" ref="E55"/>
    <hyperlink r:id="rId104" ref="K55"/>
    <hyperlink r:id="rId105" ref="E56"/>
    <hyperlink r:id="rId106" ref="K56"/>
    <hyperlink r:id="rId107" ref="E57"/>
    <hyperlink r:id="rId108" ref="K57"/>
    <hyperlink r:id="rId109" ref="E58"/>
    <hyperlink r:id="rId110" ref="K58"/>
    <hyperlink r:id="rId111" ref="E59"/>
    <hyperlink r:id="rId112" ref="K59"/>
    <hyperlink r:id="rId113" ref="E60"/>
    <hyperlink r:id="rId114" ref="K60"/>
    <hyperlink r:id="rId115" ref="E61"/>
    <hyperlink r:id="rId116" ref="K61"/>
    <hyperlink r:id="rId117" ref="E62"/>
    <hyperlink r:id="rId118" ref="K62"/>
    <hyperlink r:id="rId119" ref="E63"/>
    <hyperlink r:id="rId120" ref="K63"/>
    <hyperlink r:id="rId121" ref="E64"/>
    <hyperlink r:id="rId122" ref="K64"/>
    <hyperlink r:id="rId123" ref="E65"/>
    <hyperlink r:id="rId124" ref="K65"/>
    <hyperlink r:id="rId125" ref="E66"/>
    <hyperlink r:id="rId126" ref="K66"/>
    <hyperlink r:id="rId127" ref="E67"/>
    <hyperlink r:id="rId128" ref="K67"/>
    <hyperlink r:id="rId129" ref="E68"/>
    <hyperlink r:id="rId130" ref="K68"/>
    <hyperlink r:id="rId131" ref="E69"/>
    <hyperlink r:id="rId132" ref="K69"/>
    <hyperlink r:id="rId133" ref="E70"/>
    <hyperlink r:id="rId134" ref="K70"/>
    <hyperlink r:id="rId135" ref="E71"/>
    <hyperlink r:id="rId136" ref="K71"/>
    <hyperlink r:id="rId137" ref="E72"/>
    <hyperlink r:id="rId138" ref="K72"/>
    <hyperlink r:id="rId139" ref="E73"/>
    <hyperlink r:id="rId140" ref="K73"/>
    <hyperlink r:id="rId141" ref="E74"/>
    <hyperlink r:id="rId142" ref="K74"/>
    <hyperlink r:id="rId143" ref="E75"/>
    <hyperlink r:id="rId144" ref="K75"/>
    <hyperlink r:id="rId145" ref="E76"/>
    <hyperlink r:id="rId146" ref="K76"/>
    <hyperlink r:id="rId147" ref="E77"/>
    <hyperlink r:id="rId148" ref="K77"/>
    <hyperlink r:id="rId149" ref="E78"/>
    <hyperlink r:id="rId150" ref="K78"/>
    <hyperlink r:id="rId151" ref="E79"/>
    <hyperlink r:id="rId152" ref="K79"/>
    <hyperlink r:id="rId153" ref="E80"/>
    <hyperlink r:id="rId154" ref="K80"/>
    <hyperlink r:id="rId155" ref="E81"/>
    <hyperlink r:id="rId156" ref="K81"/>
    <hyperlink r:id="rId157" ref="E82"/>
    <hyperlink r:id="rId158" ref="K82"/>
    <hyperlink r:id="rId159" ref="E83"/>
    <hyperlink r:id="rId160" ref="K83"/>
    <hyperlink r:id="rId161" ref="E84"/>
    <hyperlink r:id="rId162" ref="K84"/>
    <hyperlink r:id="rId163" ref="E85"/>
    <hyperlink r:id="rId164" ref="K85"/>
    <hyperlink r:id="rId165" ref="E86"/>
    <hyperlink r:id="rId166" ref="K86"/>
    <hyperlink r:id="rId167" ref="E87"/>
    <hyperlink r:id="rId168" ref="K87"/>
    <hyperlink r:id="rId169" ref="E88"/>
    <hyperlink r:id="rId170" ref="K88"/>
    <hyperlink r:id="rId171" ref="E89"/>
    <hyperlink r:id="rId172" ref="K89"/>
    <hyperlink r:id="rId173" ref="E90"/>
    <hyperlink r:id="rId174" ref="K90"/>
    <hyperlink r:id="rId175" ref="E91"/>
    <hyperlink r:id="rId176" ref="K91"/>
    <hyperlink r:id="rId177" ref="E92"/>
    <hyperlink r:id="rId178" ref="K92"/>
    <hyperlink r:id="rId179" ref="E93"/>
    <hyperlink r:id="rId180" ref="K93"/>
    <hyperlink r:id="rId181" ref="E94"/>
    <hyperlink r:id="rId182" ref="K94"/>
    <hyperlink r:id="rId183" ref="E95"/>
    <hyperlink r:id="rId184" ref="K95"/>
    <hyperlink r:id="rId185" ref="E96"/>
    <hyperlink r:id="rId186" ref="K96"/>
    <hyperlink r:id="rId187" ref="E97"/>
    <hyperlink r:id="rId188" ref="K97"/>
    <hyperlink r:id="rId189" ref="E98"/>
    <hyperlink r:id="rId190" ref="K98"/>
    <hyperlink r:id="rId191" ref="E99"/>
    <hyperlink r:id="rId192" ref="K99"/>
    <hyperlink r:id="rId193" ref="E100"/>
    <hyperlink r:id="rId194" ref="K100"/>
    <hyperlink r:id="rId195" ref="E101"/>
    <hyperlink r:id="rId196" ref="K101"/>
    <hyperlink r:id="rId197" ref="E102"/>
    <hyperlink r:id="rId198" ref="K102"/>
    <hyperlink r:id="rId199" ref="E103"/>
    <hyperlink r:id="rId200" ref="K103"/>
    <hyperlink r:id="rId201" ref="E104"/>
    <hyperlink r:id="rId202" ref="K104"/>
    <hyperlink r:id="rId203" ref="E105"/>
    <hyperlink r:id="rId204" ref="K105"/>
    <hyperlink r:id="rId205" ref="E106"/>
    <hyperlink r:id="rId206" ref="K106"/>
    <hyperlink r:id="rId207" ref="E107"/>
    <hyperlink r:id="rId208" ref="K107"/>
    <hyperlink r:id="rId209" ref="E108"/>
    <hyperlink r:id="rId210" ref="K108"/>
    <hyperlink r:id="rId211" ref="E109"/>
    <hyperlink r:id="rId212" ref="K109"/>
    <hyperlink r:id="rId213" ref="E110"/>
    <hyperlink r:id="rId214" ref="K110"/>
    <hyperlink r:id="rId215" ref="E111"/>
    <hyperlink r:id="rId216" ref="K111"/>
    <hyperlink r:id="rId217" ref="E112"/>
    <hyperlink r:id="rId218" ref="K112"/>
    <hyperlink r:id="rId219" ref="E113"/>
    <hyperlink r:id="rId220" ref="K113"/>
    <hyperlink r:id="rId221" ref="E114"/>
    <hyperlink r:id="rId222" ref="K114"/>
    <hyperlink r:id="rId223" ref="E115"/>
    <hyperlink r:id="rId224" ref="K115"/>
    <hyperlink r:id="rId225" ref="E116"/>
    <hyperlink r:id="rId226" ref="K116"/>
    <hyperlink r:id="rId227" ref="E117"/>
    <hyperlink r:id="rId228" ref="K117"/>
    <hyperlink r:id="rId229" ref="E118"/>
    <hyperlink r:id="rId230" ref="K118"/>
    <hyperlink r:id="rId231" ref="E119"/>
    <hyperlink r:id="rId232" ref="K119"/>
    <hyperlink r:id="rId233" ref="E120"/>
    <hyperlink r:id="rId234" ref="K120"/>
    <hyperlink r:id="rId235" ref="E121"/>
    <hyperlink r:id="rId236" ref="K121"/>
    <hyperlink r:id="rId237" ref="E122"/>
    <hyperlink r:id="rId238" ref="K122"/>
    <hyperlink r:id="rId239" ref="E123"/>
    <hyperlink r:id="rId240" ref="K123"/>
    <hyperlink r:id="rId241" ref="E124"/>
    <hyperlink r:id="rId242" ref="K124"/>
    <hyperlink r:id="rId243" ref="E125"/>
    <hyperlink r:id="rId244" ref="K125"/>
    <hyperlink r:id="rId245" ref="E126"/>
    <hyperlink r:id="rId246" ref="K126"/>
    <hyperlink r:id="rId247" ref="E127"/>
    <hyperlink r:id="rId248" ref="K127"/>
    <hyperlink r:id="rId249" ref="E128"/>
    <hyperlink r:id="rId250" ref="K128"/>
    <hyperlink r:id="rId251" ref="E129"/>
    <hyperlink r:id="rId252" ref="K129"/>
    <hyperlink r:id="rId253" ref="E130"/>
    <hyperlink r:id="rId254" ref="K130"/>
    <hyperlink r:id="rId255" ref="E131"/>
    <hyperlink r:id="rId256" ref="K131"/>
    <hyperlink r:id="rId257" ref="E132"/>
    <hyperlink r:id="rId258" ref="K132"/>
    <hyperlink r:id="rId259" ref="E133"/>
    <hyperlink r:id="rId260" ref="K133"/>
    <hyperlink r:id="rId261" ref="E134"/>
    <hyperlink r:id="rId262" ref="K134"/>
    <hyperlink r:id="rId263" ref="E135"/>
    <hyperlink r:id="rId264" ref="K135"/>
    <hyperlink r:id="rId265" ref="E136"/>
    <hyperlink r:id="rId266" ref="K136"/>
    <hyperlink r:id="rId267" ref="E137"/>
    <hyperlink r:id="rId268" ref="K137"/>
    <hyperlink r:id="rId269" ref="E138"/>
    <hyperlink r:id="rId270" ref="K138"/>
    <hyperlink r:id="rId271" ref="E139"/>
    <hyperlink r:id="rId272" ref="K139"/>
    <hyperlink r:id="rId273" ref="E140"/>
    <hyperlink r:id="rId274" ref="K140"/>
    <hyperlink r:id="rId275" ref="E141"/>
    <hyperlink r:id="rId276" ref="K141"/>
    <hyperlink r:id="rId277" ref="E142"/>
    <hyperlink r:id="rId278" ref="K142"/>
    <hyperlink r:id="rId279" ref="E143"/>
    <hyperlink r:id="rId280" ref="K143"/>
    <hyperlink r:id="rId281" ref="E144"/>
    <hyperlink r:id="rId282" ref="K144"/>
    <hyperlink r:id="rId283" ref="E145"/>
    <hyperlink r:id="rId284" ref="K145"/>
    <hyperlink r:id="rId285" ref="E146"/>
    <hyperlink r:id="rId286" ref="K146"/>
    <hyperlink r:id="rId287" ref="E147"/>
    <hyperlink r:id="rId288" ref="K147"/>
    <hyperlink r:id="rId289" ref="E148"/>
    <hyperlink r:id="rId290" ref="K148"/>
    <hyperlink r:id="rId291" ref="E149"/>
    <hyperlink r:id="rId292" ref="K149"/>
    <hyperlink r:id="rId293" ref="E150"/>
    <hyperlink r:id="rId294" ref="K150"/>
    <hyperlink r:id="rId295" ref="E151"/>
    <hyperlink r:id="rId296" ref="K151"/>
    <hyperlink r:id="rId297" ref="E152"/>
    <hyperlink r:id="rId298" ref="K152"/>
    <hyperlink r:id="rId299" ref="E153"/>
    <hyperlink r:id="rId300" ref="K153"/>
    <hyperlink r:id="rId301" ref="E154"/>
    <hyperlink r:id="rId302" ref="K154"/>
    <hyperlink r:id="rId303" ref="E155"/>
    <hyperlink r:id="rId304" ref="K155"/>
    <hyperlink r:id="rId305" ref="E156"/>
    <hyperlink r:id="rId306" ref="K156"/>
    <hyperlink r:id="rId307" ref="E157"/>
    <hyperlink r:id="rId308" ref="K157"/>
    <hyperlink r:id="rId309" ref="E158"/>
    <hyperlink r:id="rId310" ref="K158"/>
    <hyperlink r:id="rId311" ref="E159"/>
    <hyperlink r:id="rId312" ref="K159"/>
    <hyperlink r:id="rId313" ref="E160"/>
    <hyperlink r:id="rId314" ref="K160"/>
    <hyperlink r:id="rId315" ref="E161"/>
    <hyperlink r:id="rId316" ref="K161"/>
    <hyperlink r:id="rId317" ref="E162"/>
    <hyperlink r:id="rId318" ref="K162"/>
    <hyperlink r:id="rId319" ref="E163"/>
    <hyperlink r:id="rId320" ref="K163"/>
    <hyperlink r:id="rId321" ref="E164"/>
    <hyperlink r:id="rId322" ref="K164"/>
    <hyperlink r:id="rId323" ref="E165"/>
    <hyperlink r:id="rId324" ref="K165"/>
    <hyperlink r:id="rId325" ref="E166"/>
    <hyperlink r:id="rId326" ref="K166"/>
    <hyperlink r:id="rId327" ref="E167"/>
    <hyperlink r:id="rId328" ref="K167"/>
    <hyperlink r:id="rId329" ref="E168"/>
    <hyperlink r:id="rId330" ref="K168"/>
    <hyperlink r:id="rId331" ref="E169"/>
    <hyperlink r:id="rId332" ref="K169"/>
    <hyperlink r:id="rId333" ref="E170"/>
    <hyperlink r:id="rId334" ref="K170"/>
    <hyperlink r:id="rId335" ref="E171"/>
    <hyperlink r:id="rId336" ref="K171"/>
    <hyperlink r:id="rId337" ref="E172"/>
    <hyperlink r:id="rId338" ref="K172"/>
    <hyperlink r:id="rId339" ref="E173"/>
    <hyperlink r:id="rId340" ref="K173"/>
    <hyperlink r:id="rId341" ref="E174"/>
    <hyperlink r:id="rId342" ref="K174"/>
    <hyperlink r:id="rId343" ref="E175"/>
    <hyperlink r:id="rId344" ref="K175"/>
    <hyperlink r:id="rId345" ref="E176"/>
    <hyperlink r:id="rId346" ref="K176"/>
    <hyperlink r:id="rId347" ref="E177"/>
    <hyperlink r:id="rId348" ref="K177"/>
    <hyperlink r:id="rId349" ref="E178"/>
    <hyperlink r:id="rId350" ref="K178"/>
    <hyperlink r:id="rId351" ref="E179"/>
    <hyperlink r:id="rId352" ref="K179"/>
    <hyperlink r:id="rId353" ref="E180"/>
    <hyperlink r:id="rId354" ref="K180"/>
    <hyperlink r:id="rId355" ref="E181"/>
    <hyperlink r:id="rId356" ref="K181"/>
    <hyperlink r:id="rId357" ref="E182"/>
    <hyperlink r:id="rId358" ref="K182"/>
    <hyperlink r:id="rId359" ref="E183"/>
    <hyperlink r:id="rId360" ref="K183"/>
    <hyperlink r:id="rId361" ref="E184"/>
    <hyperlink r:id="rId362" ref="K184"/>
    <hyperlink r:id="rId363" ref="E185"/>
    <hyperlink r:id="rId364" ref="K185"/>
    <hyperlink r:id="rId365" ref="E186"/>
    <hyperlink r:id="rId366" ref="K186"/>
    <hyperlink r:id="rId367" ref="E187"/>
    <hyperlink r:id="rId368" ref="K187"/>
    <hyperlink r:id="rId369" ref="E188"/>
    <hyperlink r:id="rId370" ref="K188"/>
    <hyperlink r:id="rId371" ref="E189"/>
    <hyperlink r:id="rId372" ref="K189"/>
    <hyperlink r:id="rId373" ref="E190"/>
    <hyperlink r:id="rId374" ref="K190"/>
    <hyperlink r:id="rId375" ref="E191"/>
    <hyperlink r:id="rId376" ref="K191"/>
    <hyperlink r:id="rId377" ref="E192"/>
    <hyperlink r:id="rId378" ref="K192"/>
    <hyperlink r:id="rId379" ref="E193"/>
    <hyperlink r:id="rId380" ref="K193"/>
    <hyperlink r:id="rId381" ref="E194"/>
    <hyperlink r:id="rId382" ref="K194"/>
    <hyperlink r:id="rId383" ref="E195"/>
    <hyperlink r:id="rId384" ref="K195"/>
    <hyperlink r:id="rId385" ref="E196"/>
    <hyperlink r:id="rId386" ref="K196"/>
    <hyperlink r:id="rId387" ref="E197"/>
    <hyperlink r:id="rId388" ref="K197"/>
    <hyperlink r:id="rId389" ref="E198"/>
    <hyperlink r:id="rId390" ref="K198"/>
    <hyperlink r:id="rId391" ref="E199"/>
    <hyperlink r:id="rId392" ref="K199"/>
    <hyperlink r:id="rId393" ref="E200"/>
    <hyperlink r:id="rId394" ref="K200"/>
    <hyperlink r:id="rId395" ref="E201"/>
    <hyperlink r:id="rId396" ref="K201"/>
    <hyperlink r:id="rId397" ref="E202"/>
    <hyperlink r:id="rId398" ref="K202"/>
    <hyperlink r:id="rId399" ref="E203"/>
    <hyperlink r:id="rId400" ref="K203"/>
    <hyperlink r:id="rId401" ref="E204"/>
    <hyperlink r:id="rId402" ref="K204"/>
    <hyperlink r:id="rId403" ref="E205"/>
    <hyperlink r:id="rId404" ref="K205"/>
    <hyperlink r:id="rId405" ref="E206"/>
    <hyperlink r:id="rId406" ref="K206"/>
    <hyperlink r:id="rId407" ref="E207"/>
    <hyperlink r:id="rId408" ref="K207"/>
    <hyperlink r:id="rId409" ref="E208"/>
    <hyperlink r:id="rId410" ref="K208"/>
    <hyperlink r:id="rId411" ref="E209"/>
    <hyperlink r:id="rId412" ref="K209"/>
    <hyperlink r:id="rId413" ref="E210"/>
    <hyperlink r:id="rId414" ref="K210"/>
    <hyperlink r:id="rId415" ref="E211"/>
    <hyperlink r:id="rId416" ref="K211"/>
    <hyperlink r:id="rId417" ref="E212"/>
    <hyperlink r:id="rId418" ref="K212"/>
    <hyperlink r:id="rId419" ref="E213"/>
    <hyperlink r:id="rId420" ref="K213"/>
    <hyperlink r:id="rId421" ref="E214"/>
    <hyperlink r:id="rId422" ref="K214"/>
    <hyperlink r:id="rId423" ref="E215"/>
    <hyperlink r:id="rId424" ref="K215"/>
    <hyperlink r:id="rId425" ref="E216"/>
    <hyperlink r:id="rId426" ref="K216"/>
    <hyperlink r:id="rId427" ref="E217"/>
    <hyperlink r:id="rId428" ref="K217"/>
    <hyperlink r:id="rId429" ref="E218"/>
    <hyperlink r:id="rId430" ref="K218"/>
    <hyperlink r:id="rId431" ref="E219"/>
    <hyperlink r:id="rId432" ref="K219"/>
    <hyperlink r:id="rId433" ref="E220"/>
    <hyperlink r:id="rId434" ref="K220"/>
    <hyperlink r:id="rId435" ref="E221"/>
    <hyperlink r:id="rId436" ref="K221"/>
    <hyperlink r:id="rId437" ref="E222"/>
    <hyperlink r:id="rId438" ref="K222"/>
    <hyperlink r:id="rId439" ref="E223"/>
    <hyperlink r:id="rId440" ref="K223"/>
    <hyperlink r:id="rId441" ref="E224"/>
    <hyperlink r:id="rId442" ref="K224"/>
    <hyperlink r:id="rId443" ref="E225"/>
    <hyperlink r:id="rId444" ref="K225"/>
    <hyperlink r:id="rId445" ref="E226"/>
    <hyperlink r:id="rId446" ref="K226"/>
    <hyperlink r:id="rId447" ref="E227"/>
    <hyperlink r:id="rId448" ref="K227"/>
    <hyperlink r:id="rId449" ref="E228"/>
    <hyperlink r:id="rId450" ref="K228"/>
    <hyperlink r:id="rId451" ref="E229"/>
    <hyperlink r:id="rId452" ref="K229"/>
    <hyperlink r:id="rId453" ref="E230"/>
    <hyperlink r:id="rId454" ref="K230"/>
    <hyperlink r:id="rId455" ref="E231"/>
    <hyperlink r:id="rId456" ref="K231"/>
    <hyperlink r:id="rId457" ref="E232"/>
    <hyperlink r:id="rId458" ref="K232"/>
    <hyperlink r:id="rId459" ref="E233"/>
    <hyperlink r:id="rId460" ref="K233"/>
    <hyperlink r:id="rId461" ref="E234"/>
    <hyperlink r:id="rId462" ref="K234"/>
    <hyperlink r:id="rId463" ref="E235"/>
    <hyperlink r:id="rId464" ref="K235"/>
    <hyperlink r:id="rId465" ref="E236"/>
    <hyperlink r:id="rId466" ref="K236"/>
    <hyperlink r:id="rId467" ref="E237"/>
    <hyperlink r:id="rId468" ref="K237"/>
    <hyperlink r:id="rId469" ref="E238"/>
    <hyperlink r:id="rId470" ref="K238"/>
    <hyperlink r:id="rId471" ref="E239"/>
    <hyperlink r:id="rId472" ref="K239"/>
    <hyperlink r:id="rId473" ref="E240"/>
    <hyperlink r:id="rId474" ref="K240"/>
    <hyperlink r:id="rId475" ref="E241"/>
    <hyperlink r:id="rId476" ref="K241"/>
    <hyperlink r:id="rId477" ref="E242"/>
    <hyperlink r:id="rId478" ref="K242"/>
    <hyperlink r:id="rId479" ref="E243"/>
    <hyperlink r:id="rId480" ref="K243"/>
    <hyperlink r:id="rId481" ref="E244"/>
    <hyperlink r:id="rId482" ref="K244"/>
    <hyperlink r:id="rId483" ref="E245"/>
    <hyperlink r:id="rId484" ref="K245"/>
    <hyperlink r:id="rId485" ref="E246"/>
    <hyperlink r:id="rId486" ref="K246"/>
    <hyperlink r:id="rId487" ref="E247"/>
    <hyperlink r:id="rId488" ref="K247"/>
    <hyperlink r:id="rId489" ref="E248"/>
    <hyperlink r:id="rId490" ref="K248"/>
    <hyperlink r:id="rId491" ref="E249"/>
    <hyperlink r:id="rId492" ref="K249"/>
    <hyperlink r:id="rId493" ref="E250"/>
    <hyperlink r:id="rId494" ref="K250"/>
    <hyperlink r:id="rId495" ref="E251"/>
    <hyperlink r:id="rId496" ref="K251"/>
    <hyperlink r:id="rId497" ref="E252"/>
    <hyperlink r:id="rId498" ref="K252"/>
    <hyperlink r:id="rId499" ref="E253"/>
    <hyperlink r:id="rId500" ref="K253"/>
    <hyperlink r:id="rId501" ref="E254"/>
    <hyperlink r:id="rId502" ref="K254"/>
    <hyperlink r:id="rId503" ref="E255"/>
    <hyperlink r:id="rId504" ref="K255"/>
    <hyperlink r:id="rId505" ref="E256"/>
    <hyperlink r:id="rId506" ref="K256"/>
    <hyperlink r:id="rId507" ref="E257"/>
    <hyperlink r:id="rId508" ref="K257"/>
    <hyperlink r:id="rId509" ref="E258"/>
    <hyperlink r:id="rId510" ref="K258"/>
    <hyperlink r:id="rId511" ref="E259"/>
    <hyperlink r:id="rId512" ref="K259"/>
    <hyperlink r:id="rId513" ref="E260"/>
    <hyperlink r:id="rId514" ref="K260"/>
    <hyperlink r:id="rId515" ref="E261"/>
    <hyperlink r:id="rId516" ref="K261"/>
    <hyperlink r:id="rId517" ref="E262"/>
    <hyperlink r:id="rId518" ref="K262"/>
    <hyperlink r:id="rId519" ref="E263"/>
    <hyperlink r:id="rId520" ref="K263"/>
    <hyperlink r:id="rId521" ref="E264"/>
    <hyperlink r:id="rId522" ref="K264"/>
    <hyperlink r:id="rId523" ref="E265"/>
    <hyperlink r:id="rId524" ref="K265"/>
    <hyperlink r:id="rId525" ref="E266"/>
    <hyperlink r:id="rId526" ref="K266"/>
    <hyperlink r:id="rId527" ref="E267"/>
    <hyperlink r:id="rId528" ref="K267"/>
    <hyperlink r:id="rId529" ref="E268"/>
    <hyperlink r:id="rId530" ref="K268"/>
    <hyperlink r:id="rId531" ref="E269"/>
    <hyperlink r:id="rId532" ref="K269"/>
    <hyperlink r:id="rId533" ref="E270"/>
    <hyperlink r:id="rId534" ref="K270"/>
    <hyperlink r:id="rId535" ref="E271"/>
    <hyperlink r:id="rId536" ref="K271"/>
    <hyperlink r:id="rId537" ref="E272"/>
    <hyperlink r:id="rId538" ref="K272"/>
    <hyperlink r:id="rId539" ref="E273"/>
    <hyperlink r:id="rId540" ref="K273"/>
    <hyperlink r:id="rId541" ref="E274"/>
    <hyperlink r:id="rId542" ref="K274"/>
    <hyperlink r:id="rId543" ref="E275"/>
    <hyperlink r:id="rId544" ref="K275"/>
    <hyperlink r:id="rId545" ref="E276"/>
    <hyperlink r:id="rId546" ref="K276"/>
    <hyperlink r:id="rId547" ref="E277"/>
    <hyperlink r:id="rId548" ref="K277"/>
    <hyperlink r:id="rId549" ref="E278"/>
    <hyperlink r:id="rId550" ref="K278"/>
    <hyperlink r:id="rId551" ref="E279"/>
    <hyperlink r:id="rId552" ref="K279"/>
    <hyperlink r:id="rId553" ref="E280"/>
    <hyperlink r:id="rId554" ref="K280"/>
    <hyperlink r:id="rId555" ref="E281"/>
    <hyperlink r:id="rId556" ref="K281"/>
    <hyperlink r:id="rId557" ref="E282"/>
    <hyperlink r:id="rId558" ref="K282"/>
    <hyperlink r:id="rId559" ref="E283"/>
    <hyperlink r:id="rId560" ref="K283"/>
    <hyperlink r:id="rId561" ref="E284"/>
    <hyperlink r:id="rId562" ref="K284"/>
    <hyperlink r:id="rId563" ref="E285"/>
    <hyperlink r:id="rId564" ref="K285"/>
    <hyperlink r:id="rId565" ref="E286"/>
    <hyperlink r:id="rId566" ref="K286"/>
    <hyperlink r:id="rId567" ref="E287"/>
    <hyperlink r:id="rId568" ref="K287"/>
    <hyperlink r:id="rId569" ref="E288"/>
    <hyperlink r:id="rId570" ref="K288"/>
    <hyperlink r:id="rId571" ref="E289"/>
    <hyperlink r:id="rId572" ref="K289"/>
    <hyperlink r:id="rId573" ref="E290"/>
    <hyperlink r:id="rId574" ref="K290"/>
    <hyperlink r:id="rId575" ref="E291"/>
    <hyperlink r:id="rId576" ref="K291"/>
    <hyperlink r:id="rId577" ref="E292"/>
    <hyperlink r:id="rId578" ref="K292"/>
    <hyperlink r:id="rId579" ref="E293"/>
    <hyperlink r:id="rId580" ref="K293"/>
    <hyperlink r:id="rId581" ref="E294"/>
    <hyperlink r:id="rId582" ref="K294"/>
    <hyperlink r:id="rId583" ref="E295"/>
    <hyperlink r:id="rId584" ref="K295"/>
    <hyperlink r:id="rId585" ref="E296"/>
    <hyperlink r:id="rId586" ref="K296"/>
    <hyperlink r:id="rId587" ref="E297"/>
    <hyperlink r:id="rId588" ref="K297"/>
    <hyperlink r:id="rId589" ref="E298"/>
    <hyperlink r:id="rId590" ref="K298"/>
    <hyperlink r:id="rId591" ref="E299"/>
    <hyperlink r:id="rId592" ref="K299"/>
    <hyperlink r:id="rId593" ref="E300"/>
    <hyperlink r:id="rId594" ref="K300"/>
    <hyperlink r:id="rId595" ref="E301"/>
    <hyperlink r:id="rId596" ref="K301"/>
    <hyperlink r:id="rId597" ref="E302"/>
    <hyperlink r:id="rId598" ref="K302"/>
    <hyperlink r:id="rId599" ref="E303"/>
    <hyperlink r:id="rId600" ref="K303"/>
    <hyperlink r:id="rId601" ref="E304"/>
    <hyperlink r:id="rId602" ref="K304"/>
    <hyperlink r:id="rId603" ref="E305"/>
    <hyperlink r:id="rId604" ref="K305"/>
    <hyperlink r:id="rId605" ref="E306"/>
    <hyperlink r:id="rId606" ref="K306"/>
    <hyperlink r:id="rId607" ref="E307"/>
    <hyperlink r:id="rId608" ref="K307"/>
    <hyperlink r:id="rId609" ref="E308"/>
    <hyperlink r:id="rId610" ref="K308"/>
    <hyperlink r:id="rId611" ref="E309"/>
    <hyperlink r:id="rId612" ref="K309"/>
    <hyperlink r:id="rId613" ref="E310"/>
    <hyperlink r:id="rId614" ref="E311"/>
    <hyperlink r:id="rId615" ref="E312"/>
    <hyperlink r:id="rId616" ref="E313"/>
    <hyperlink r:id="rId617" ref="E314"/>
    <hyperlink r:id="rId618" ref="E315"/>
    <hyperlink r:id="rId619" ref="E316"/>
    <hyperlink r:id="rId620" ref="E317"/>
    <hyperlink r:id="rId621" ref="E318"/>
    <hyperlink r:id="rId622" ref="E319"/>
    <hyperlink r:id="rId623" ref="E320"/>
    <hyperlink r:id="rId624" ref="E321"/>
    <hyperlink r:id="rId625" ref="E322"/>
    <hyperlink r:id="rId626" ref="E323"/>
    <hyperlink r:id="rId627" ref="E324"/>
    <hyperlink r:id="rId628" ref="E325"/>
    <hyperlink r:id="rId629" ref="E326"/>
    <hyperlink r:id="rId630" ref="E327"/>
    <hyperlink r:id="rId631" ref="E328"/>
    <hyperlink r:id="rId632" ref="E329"/>
    <hyperlink r:id="rId633" ref="E330"/>
    <hyperlink r:id="rId634" ref="E331"/>
    <hyperlink r:id="rId635" ref="E332"/>
    <hyperlink r:id="rId636" ref="E333"/>
    <hyperlink r:id="rId637" ref="E334"/>
    <hyperlink r:id="rId638" ref="E335"/>
    <hyperlink r:id="rId639" ref="E336"/>
    <hyperlink r:id="rId640" ref="E337"/>
    <hyperlink r:id="rId641" ref="E338"/>
    <hyperlink r:id="rId642" ref="E339"/>
    <hyperlink r:id="rId643" ref="E340"/>
    <hyperlink r:id="rId644" ref="E341"/>
    <hyperlink r:id="rId645" ref="E342"/>
    <hyperlink r:id="rId646" ref="E343"/>
  </hyperlinks>
  <drawing r:id="rId647"/>
</worksheet>
</file>